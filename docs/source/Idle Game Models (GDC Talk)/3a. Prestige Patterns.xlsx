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stige Patterns" sheetId="1" r:id="rId5"/>
    <sheet state="visible" name="Calc for Prestige Patterns" sheetId="2" r:id="rId6"/>
  </sheets>
  <definedNames/>
  <calcPr/>
</workbook>
</file>

<file path=xl/sharedStrings.xml><?xml version="1.0" encoding="utf-8"?>
<sst xmlns="http://schemas.openxmlformats.org/spreadsheetml/2006/main" count="27" uniqueCount="27">
  <si>
    <t>This sheet attempts to model prestige patterns for players, getting a sense of how the length of time between prestiges can be varied to keep things interesting. This is a simplified model with only a single generator but still functions as a demonstration of how these progressions look. A simple decision process is used for when to prestige: the player prestiges when gaining a target amount more prestige currency. For example, if set at 100% the player would prestige each time they would double their prestige currency. The currency gives a global bonus to production, and the "cost" of prestige currency is based on lifetime earnings in the game. Purchases and income are calculated per "tick", so if you have that longer than 1 second you won't be "optimal" in your growth, but should still be fine.</t>
  </si>
  <si>
    <t>Generator</t>
  </si>
  <si>
    <t>Base Income</t>
  </si>
  <si>
    <t>Starting Cost</t>
  </si>
  <si>
    <t xml:space="preserve">Cost Mult Factor </t>
  </si>
  <si>
    <t>Count Bonus (Non-Cumulative)</t>
  </si>
  <si>
    <t>Seconds / tick</t>
  </si>
  <si>
    <t>Prestige Divisor</t>
  </si>
  <si>
    <t>Prestige Fractional Exponent</t>
  </si>
  <si>
    <t>Prestige Currency Multiplier</t>
  </si>
  <si>
    <t>Prestige when gaining...</t>
  </si>
  <si>
    <t>First prestige to get X currency</t>
  </si>
  <si>
    <t>Time (minutes)</t>
  </si>
  <si>
    <t>Currency Balance</t>
  </si>
  <si>
    <t>Generator Count</t>
  </si>
  <si>
    <t>Cost</t>
  </si>
  <si>
    <t>Max Afford</t>
  </si>
  <si>
    <t>Prestige Currency</t>
  </si>
  <si>
    <t>Prestige Mult</t>
  </si>
  <si>
    <t>Prestige to Gain</t>
  </si>
  <si>
    <t>Lifetime Earnings</t>
  </si>
  <si>
    <t>Prestige Number</t>
  </si>
  <si>
    <t>Income / sec</t>
  </si>
  <si>
    <t>Base Incom Value</t>
  </si>
  <si>
    <t>Bonus for Count</t>
  </si>
  <si>
    <t>Tick</t>
  </si>
  <si>
    <t>Cumulative Bonuses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</si>
</sst>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
  </numFmts>
  <fonts count="5">
    <font>
      <sz val="10.0"/>
      <color rgb="FF000000"/>
      <name val="Arial"/>
      <scheme val="minor"/>
    </font>
    <font>
      <color theme="1"/>
      <name val="Arial"/>
      <scheme val="minor"/>
    </font>
    <font>
      <b/>
      <color theme="1"/>
      <name val="Arial"/>
      <scheme val="minor"/>
    </font>
    <font>
      <i/>
      <color theme="1"/>
      <name val="Arial"/>
      <scheme val="minor"/>
    </font>
    <font>
      <sz val="11.0"/>
      <color rgb="FF000000"/>
      <name val="Inconsolata"/>
    </font>
  </fonts>
  <fills count="5">
    <fill>
      <patternFill patternType="none"/>
    </fill>
    <fill>
      <patternFill patternType="lightGray"/>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1"/>
    </xf>
    <xf borderId="0" fillId="2" fontId="2" numFmtId="0" xfId="0" applyFill="1" applyFont="1"/>
    <xf borderId="0" fillId="0" fontId="3" numFmtId="0" xfId="0" applyFont="1"/>
    <xf borderId="0" fillId="3" fontId="1" numFmtId="0" xfId="0" applyFill="1" applyFont="1"/>
    <xf borderId="0" fillId="2" fontId="1" numFmtId="0" xfId="0" applyFont="1"/>
    <xf borderId="0" fillId="3" fontId="1" numFmtId="164" xfId="0" applyFont="1" applyNumberFormat="1"/>
    <xf borderId="0" fillId="0" fontId="1" numFmtId="165" xfId="0" applyFont="1" applyNumberFormat="1"/>
    <xf borderId="0" fillId="0" fontId="1" numFmtId="1" xfId="0" applyFont="1" applyNumberFormat="1"/>
    <xf borderId="0" fillId="0" fontId="1" numFmtId="0" xfId="0" applyFont="1"/>
    <xf borderId="0" fillId="0" fontId="1" numFmtId="2" xfId="0" applyFont="1" applyNumberFormat="1"/>
    <xf borderId="0" fillId="0" fontId="1" numFmtId="166" xfId="0" applyFont="1" applyNumberFormat="1"/>
    <xf borderId="0" fillId="0" fontId="1" numFmtId="0" xfId="0" applyFont="1"/>
    <xf borderId="0" fillId="4" fontId="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Currency Balance and Generator Count</a:t>
            </a:r>
          </a:p>
        </c:rich>
      </c:tx>
      <c:overlay val="0"/>
    </c:title>
    <c:plotArea>
      <c:layout/>
      <c:lineChart>
        <c:ser>
          <c:idx val="0"/>
          <c:order val="0"/>
          <c:tx>
            <c:strRef>
              <c:f>'Calc for Prestige Patterns'!$E$1</c:f>
            </c:strRef>
          </c:tx>
          <c:spPr>
            <a:ln cmpd="sng" w="19050">
              <a:solidFill>
                <a:srgbClr val="DB4437">
                  <a:alpha val="100000"/>
                </a:srgbClr>
              </a:solidFill>
            </a:ln>
          </c:spPr>
          <c:marker>
            <c:symbol val="none"/>
          </c:marker>
          <c:cat>
            <c:strRef>
              <c:f>'Calc for Prestige Patterns'!$C$2:$C$750</c:f>
            </c:strRef>
          </c:cat>
          <c:val>
            <c:numRef>
              <c:f>'Calc for Prestige Patterns'!$E$2:$E$750</c:f>
              <c:numCache/>
            </c:numRef>
          </c:val>
          <c:smooth val="0"/>
        </c:ser>
        <c:ser>
          <c:idx val="1"/>
          <c:order val="1"/>
          <c:tx>
            <c:strRef>
              <c:f>'Calc for Prestige Patterns'!$D$1</c:f>
            </c:strRef>
          </c:tx>
          <c:spPr>
            <a:ln cmpd="sng" w="19050">
              <a:solidFill>
                <a:srgbClr val="4285F4">
                  <a:alpha val="100000"/>
                </a:srgbClr>
              </a:solidFill>
            </a:ln>
          </c:spPr>
          <c:marker>
            <c:symbol val="none"/>
          </c:marker>
          <c:cat>
            <c:strRef>
              <c:f>'Calc for Prestige Patterns'!$C$2:$C$750</c:f>
            </c:strRef>
          </c:cat>
          <c:val>
            <c:numRef>
              <c:f>'Calc for Prestige Patterns'!$D$2:$D$750</c:f>
              <c:numCache/>
            </c:numRef>
          </c:val>
          <c:smooth val="0"/>
        </c:ser>
        <c:axId val="28676497"/>
        <c:axId val="1503164968"/>
      </c:lineChart>
      <c:catAx>
        <c:axId val="2867649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Time (minutes)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503164968"/>
      </c:catAx>
      <c:valAx>
        <c:axId val="15031649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28676497"/>
      </c:valAx>
    </c:plotArea>
    <c:legend>
      <c:legendPos val="t"/>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Prestige Currency (log scale)</a:t>
            </a:r>
          </a:p>
        </c:rich>
      </c:tx>
      <c:overlay val="0"/>
    </c:title>
    <c:plotArea>
      <c:layout/>
      <c:lineChart>
        <c:varyColors val="0"/>
        <c:ser>
          <c:idx val="0"/>
          <c:order val="0"/>
          <c:tx>
            <c:strRef>
              <c:f>'Calc for Prestige Patterns'!$H$1</c:f>
            </c:strRef>
          </c:tx>
          <c:spPr>
            <a:ln cmpd="sng">
              <a:solidFill>
                <a:srgbClr val="3366CC"/>
              </a:solidFill>
            </a:ln>
          </c:spPr>
          <c:marker>
            <c:symbol val="none"/>
          </c:marker>
          <c:cat>
            <c:strRef>
              <c:f>'Calc for Prestige Patterns'!$C$2:$C$751</c:f>
            </c:strRef>
          </c:cat>
          <c:val>
            <c:numRef>
              <c:f>'Calc for Prestige Patterns'!$H$2:$H$751</c:f>
              <c:numCache/>
            </c:numRef>
          </c:val>
          <c:smooth val="0"/>
        </c:ser>
        <c:axId val="1341302560"/>
        <c:axId val="764955156"/>
      </c:lineChart>
      <c:catAx>
        <c:axId val="1341302560"/>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Time (minutes)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764955156"/>
      </c:catAx>
      <c:valAx>
        <c:axId val="764955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Roboto"/>
                  </a:defRPr>
                </a:pPr>
                <a:r>
                  <a:rPr b="0" i="0">
                    <a:solidFill>
                      <a:srgbClr val="000000"/>
                    </a:solidFill>
                    <a:latin typeface="Roboto"/>
                  </a:rPr>
                  <a:t>Total Currency</a:t>
                </a:r>
              </a:p>
            </c:rich>
          </c:tx>
          <c:overlay val="0"/>
        </c:title>
        <c:numFmt formatCode="General" sourceLinked="0"/>
        <c:majorTickMark val="none"/>
        <c:minorTickMark val="none"/>
        <c:tickLblPos val="nextTo"/>
        <c:spPr>
          <a:ln/>
        </c:spPr>
        <c:txPr>
          <a:bodyPr/>
          <a:lstStyle/>
          <a:p>
            <a:pPr lvl="0">
              <a:defRPr b="0" i="0">
                <a:solidFill>
                  <a:srgbClr val="000000"/>
                </a:solidFill>
                <a:latin typeface="Roboto"/>
              </a:defRPr>
            </a:pPr>
          </a:p>
        </c:txPr>
        <c:crossAx val="1341302560"/>
      </c:valAx>
    </c:plotArea>
    <c:legend>
      <c:legendPos val="r"/>
      <c:overlay val="0"/>
      <c:txPr>
        <a:bodyPr/>
        <a:lstStyle/>
        <a:p>
          <a:pPr lvl="0">
            <a:defRPr b="0" i="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000000"/>
                </a:solidFill>
                <a:latin typeface="Roboto"/>
              </a:defRPr>
            </a:pPr>
            <a:r>
              <a:rPr b="1" i="0" sz="1600">
                <a:solidFill>
                  <a:srgbClr val="000000"/>
                </a:solidFill>
                <a:latin typeface="Roboto"/>
              </a:rPr>
              <a:t>Generator Count with Prestiges over Time</a:t>
            </a:r>
          </a:p>
        </c:rich>
      </c:tx>
      <c:overlay val="0"/>
    </c:title>
    <c:plotArea>
      <c:layout/>
      <c:lineChart>
        <c:varyColors val="0"/>
        <c:ser>
          <c:idx val="0"/>
          <c:order val="0"/>
          <c:tx>
            <c:strRef>
              <c:f>'Calc for Prestige Patterns'!$E$1</c:f>
            </c:strRef>
          </c:tx>
          <c:spPr>
            <a:ln cmpd="sng">
              <a:solidFill>
                <a:srgbClr val="3366CC"/>
              </a:solidFill>
            </a:ln>
          </c:spPr>
          <c:marker>
            <c:symbol val="none"/>
          </c:marker>
          <c:cat>
            <c:strRef>
              <c:f>'Calc for Prestige Patterns'!$C$2:$C$750</c:f>
            </c:strRef>
          </c:cat>
          <c:val>
            <c:numRef>
              <c:f>'Calc for Prestige Patterns'!$E$2:$E$750</c:f>
              <c:numCache/>
            </c:numRef>
          </c:val>
          <c:smooth val="0"/>
        </c:ser>
        <c:axId val="929853106"/>
        <c:axId val="1544795605"/>
      </c:lineChart>
      <c:catAx>
        <c:axId val="929853106"/>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Time (minutes)</a:t>
                </a:r>
              </a:p>
            </c:rich>
          </c:tx>
          <c:overlay val="0"/>
        </c:title>
        <c:numFmt formatCode="General" sourceLinked="1"/>
        <c:majorTickMark val="none"/>
        <c:minorTickMark val="none"/>
        <c:spPr/>
        <c:txPr>
          <a:bodyPr/>
          <a:lstStyle/>
          <a:p>
            <a:pPr lvl="0">
              <a:defRPr b="0" i="0">
                <a:solidFill>
                  <a:srgbClr val="000000"/>
                </a:solidFill>
                <a:latin typeface="Roboto"/>
              </a:defRPr>
            </a:pPr>
          </a:p>
        </c:txPr>
        <c:crossAx val="1544795605"/>
      </c:catAx>
      <c:valAx>
        <c:axId val="15447956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Roboto"/>
              </a:defRPr>
            </a:pPr>
          </a:p>
        </c:txPr>
        <c:crossAx val="92985310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2</xdr:row>
      <xdr:rowOff>200025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21</xdr:row>
      <xdr:rowOff>104775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9</xdr:col>
      <xdr:colOff>142875</xdr:colOff>
      <xdr:row>3</xdr:row>
      <xdr:rowOff>57150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6" width="12.63"/>
  </cols>
  <sheetData>
    <row r="1" ht="15.75" customHeight="1">
      <c r="A1" s="1" t="s">
        <v>0</v>
      </c>
    </row>
    <row r="2" ht="15.75" customHeight="1"/>
    <row r="3" ht="15.75" customHeight="1">
      <c r="A3" s="2" t="s">
        <v>1</v>
      </c>
    </row>
    <row r="4" ht="15.75" customHeight="1">
      <c r="A4" s="3" t="s">
        <v>2</v>
      </c>
      <c r="B4" s="4">
        <v>20.0</v>
      </c>
    </row>
    <row r="5" ht="15.75" customHeight="1">
      <c r="A5" s="3" t="s">
        <v>3</v>
      </c>
      <c r="B5" s="4">
        <v>4.0</v>
      </c>
    </row>
    <row r="6" ht="15.75" customHeight="1">
      <c r="A6" s="3" t="s">
        <v>4</v>
      </c>
      <c r="B6" s="4">
        <v>1.05</v>
      </c>
    </row>
    <row r="7" ht="15.75" customHeight="1"/>
    <row r="8" ht="15.75" customHeight="1"/>
    <row r="9" ht="15.75" customHeight="1">
      <c r="A9" s="2" t="s">
        <v>5</v>
      </c>
    </row>
    <row r="10" ht="15.75" customHeight="1">
      <c r="A10" s="4">
        <v>25.0</v>
      </c>
      <c r="B10" s="4">
        <v>2.0</v>
      </c>
    </row>
    <row r="11" ht="15.75" customHeight="1">
      <c r="A11" s="4">
        <v>50.0</v>
      </c>
      <c r="B11" s="4">
        <v>2.0</v>
      </c>
    </row>
    <row r="12" ht="15.75" customHeight="1">
      <c r="A12" s="4">
        <v>100.0</v>
      </c>
      <c r="B12" s="4">
        <v>4.0</v>
      </c>
    </row>
    <row r="13" ht="15.75" customHeight="1">
      <c r="A13" s="4">
        <v>200.0</v>
      </c>
      <c r="B13" s="4">
        <v>4.0</v>
      </c>
    </row>
    <row r="14" ht="15.75" customHeight="1">
      <c r="A14" s="4">
        <v>300.0</v>
      </c>
      <c r="B14" s="4">
        <v>8.0</v>
      </c>
    </row>
    <row r="15" ht="15.75" customHeight="1">
      <c r="A15" s="4">
        <v>400.0</v>
      </c>
      <c r="B15" s="4">
        <v>8.0</v>
      </c>
    </row>
    <row r="16" ht="15.75" customHeight="1">
      <c r="A16" s="4">
        <v>500.0</v>
      </c>
      <c r="B16" s="4">
        <v>16.0</v>
      </c>
    </row>
    <row r="17" ht="15.75" customHeight="1">
      <c r="A17" s="4">
        <v>600.0</v>
      </c>
      <c r="B17" s="4">
        <v>16.0</v>
      </c>
    </row>
    <row r="18" ht="15.75" customHeight="1">
      <c r="A18" s="4">
        <v>700.0</v>
      </c>
      <c r="B18" s="4">
        <v>32.0</v>
      </c>
    </row>
    <row r="19" ht="15.75" customHeight="1"/>
    <row r="20" ht="15.75" customHeight="1">
      <c r="A20" s="5" t="s">
        <v>6</v>
      </c>
      <c r="B20" s="4">
        <v>30.0</v>
      </c>
    </row>
    <row r="21" ht="15.75" customHeight="1"/>
    <row r="22" ht="15.75" customHeight="1">
      <c r="A22" s="5" t="s">
        <v>7</v>
      </c>
      <c r="B22" s="4">
        <v>100000.0</v>
      </c>
    </row>
    <row r="23" ht="15.75" customHeight="1">
      <c r="A23" s="5" t="s">
        <v>8</v>
      </c>
      <c r="B23" s="4">
        <v>0.5</v>
      </c>
    </row>
    <row r="24" ht="15.75" customHeight="1"/>
    <row r="25" ht="15.75" customHeight="1">
      <c r="A25" s="5" t="s">
        <v>9</v>
      </c>
      <c r="B25" s="4">
        <v>0.01</v>
      </c>
    </row>
    <row r="26" ht="15.75" customHeight="1"/>
    <row r="27" ht="15.75" customHeight="1">
      <c r="A27" s="5" t="s">
        <v>10</v>
      </c>
      <c r="B27" s="6">
        <v>0.5</v>
      </c>
    </row>
    <row r="28" ht="15.75" customHeight="1">
      <c r="A28" s="5" t="s">
        <v>11</v>
      </c>
      <c r="B28" s="4">
        <v>50.0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7"/>
      <c r="B1" s="7"/>
      <c r="C1" s="7" t="s">
        <v>12</v>
      </c>
      <c r="D1" s="8" t="s">
        <v>13</v>
      </c>
      <c r="E1" s="9" t="s">
        <v>14</v>
      </c>
      <c r="F1" s="10" t="s">
        <v>15</v>
      </c>
      <c r="G1" s="9" t="s">
        <v>16</v>
      </c>
      <c r="H1" s="9" t="s">
        <v>17</v>
      </c>
      <c r="I1" s="11" t="s">
        <v>18</v>
      </c>
      <c r="J1" s="9" t="s">
        <v>19</v>
      </c>
      <c r="K1" s="8" t="s">
        <v>20</v>
      </c>
      <c r="L1" s="8" t="s">
        <v>21</v>
      </c>
      <c r="N1" s="9" t="s">
        <v>22</v>
      </c>
      <c r="O1" s="9" t="s">
        <v>23</v>
      </c>
      <c r="P1" s="9" t="s">
        <v>24</v>
      </c>
      <c r="Q1" s="11"/>
      <c r="R1" s="11"/>
      <c r="S1" s="9" t="s">
        <v>25</v>
      </c>
      <c r="T1" s="11"/>
    </row>
    <row r="2" ht="15.75" customHeight="1">
      <c r="A2" s="7"/>
      <c r="B2" s="7"/>
      <c r="C2" s="7">
        <f>(S2*'Prestige Patterns'!$B$20)/60</f>
        <v>0.5</v>
      </c>
      <c r="D2" s="8">
        <v>0.0</v>
      </c>
      <c r="E2" s="9">
        <v>1.0</v>
      </c>
      <c r="F2" s="10">
        <v>0.0</v>
      </c>
      <c r="G2" s="9">
        <v>0.0</v>
      </c>
      <c r="H2" s="9">
        <v>0.0</v>
      </c>
      <c r="I2" s="11">
        <v>1.0</v>
      </c>
      <c r="J2" s="9">
        <v>0.0</v>
      </c>
      <c r="K2" s="8">
        <v>0.0</v>
      </c>
      <c r="L2" s="8">
        <v>0.0</v>
      </c>
      <c r="N2" s="12">
        <f t="shared" ref="N2:N751" si="1">P2*O2*I2</f>
        <v>20</v>
      </c>
      <c r="O2" s="9">
        <f>'Prestige Patterns'!$B$4*E2</f>
        <v>20</v>
      </c>
      <c r="P2" s="9">
        <v>1.0</v>
      </c>
      <c r="Q2" s="11"/>
      <c r="R2" s="11"/>
      <c r="S2" s="9">
        <v>1.0</v>
      </c>
      <c r="T2" s="11"/>
      <c r="U2" s="5" t="s">
        <v>26</v>
      </c>
    </row>
    <row r="3" ht="15.75" customHeight="1">
      <c r="A3" s="7"/>
      <c r="B3" s="7"/>
      <c r="C3" s="7">
        <f>(S3*'Prestige Patterns'!$B$20)/60</f>
        <v>1</v>
      </c>
      <c r="D3" s="8">
        <f>if(L2=L3,N2*'Prestige Patterns'!$B$20+D2-F3,0)</f>
        <v>600</v>
      </c>
      <c r="E3" s="9">
        <f t="shared" ref="E3:E751" si="2">if(L2=L3,E2+G3,1)</f>
        <v>1</v>
      </c>
      <c r="F3" s="10">
        <f>'Prestige Patterns'!$B$5*('Prestige Patterns'!$B$6^E2-'Prestige Patterns'!$B$6^(E2+G3))/(1-'Prestige Patterns'!$B$6)</f>
        <v>0</v>
      </c>
      <c r="G3" s="13">
        <f>floor(LOG('Prestige Patterns'!$B$6^(E2) - (D2*(1-'Prestige Patterns'!$B$6)/'Prestige Patterns'!$B$5),'Prestige Patterns'!$B$6)-E2,1)</f>
        <v>0</v>
      </c>
      <c r="H3" s="12">
        <f t="shared" ref="H3:H751" si="3">if(L3=L2,H2,H2+J2)</f>
        <v>0</v>
      </c>
      <c r="I3" s="11">
        <f>1+H3*'Prestige Patterns'!$B$25</f>
        <v>1</v>
      </c>
      <c r="J3" s="12">
        <f>floor((K3/'Prestige Patterns'!$B$22)^'Prestige Patterns'!$B$23,1)-H2</f>
        <v>0</v>
      </c>
      <c r="K3" s="8">
        <f>K2+N2*'Prestige Patterns'!$B$20</f>
        <v>600</v>
      </c>
      <c r="L3" s="8">
        <f>if(J2&gt;='Prestige Patterns'!$B$28,if(J2/(H2+1)&gt;('Prestige Patterns'!$B$27+1),L2+1,L2),L2)</f>
        <v>0</v>
      </c>
      <c r="N3" s="12">
        <f t="shared" si="1"/>
        <v>20</v>
      </c>
      <c r="O3" s="9">
        <f>'Prestige Patterns'!$B$4*E3</f>
        <v>20</v>
      </c>
      <c r="P3" s="12">
        <f t="shared" ref="P3:P751" si="4">if(isna(VLOOKUP(E3,$U$3:$V$11,2,true)),P2, VLOOKUP(E3,$U$3:$V$11,2,true))</f>
        <v>1</v>
      </c>
      <c r="Q3" s="11"/>
      <c r="R3" s="11"/>
      <c r="S3" s="9">
        <v>2.0</v>
      </c>
      <c r="T3" s="11"/>
      <c r="U3" s="9">
        <f>'Prestige Patterns'!A10</f>
        <v>25</v>
      </c>
      <c r="V3" s="9">
        <f>'Prestige Patterns'!B10</f>
        <v>2</v>
      </c>
    </row>
    <row r="4" ht="15.75" customHeight="1">
      <c r="A4" s="7"/>
      <c r="B4" s="7"/>
      <c r="C4" s="7">
        <f>(S4*'Prestige Patterns'!$B$20)/60</f>
        <v>1.5</v>
      </c>
      <c r="D4" s="8">
        <f>if(L3=L4,N3*'Prestige Patterns'!$B$20+D3-F4,0)</f>
        <v>632.0266454</v>
      </c>
      <c r="E4" s="9">
        <f t="shared" si="2"/>
        <v>43</v>
      </c>
      <c r="F4" s="10">
        <f>'Prestige Patterns'!$B$5*('Prestige Patterns'!$B$6^E3-'Prestige Patterns'!$B$6^(E3+G4))/(1-'Prestige Patterns'!$B$6)</f>
        <v>567.9733546</v>
      </c>
      <c r="G4" s="13">
        <f>floor(LOG('Prestige Patterns'!$B$6^(E3) - (D3*(1-'Prestige Patterns'!$B$6)/'Prestige Patterns'!$B$5),'Prestige Patterns'!$B$6)-E3,1)</f>
        <v>42</v>
      </c>
      <c r="H4" s="12">
        <f t="shared" si="3"/>
        <v>0</v>
      </c>
      <c r="I4" s="11">
        <f>1+H4*'Prestige Patterns'!$B$25</f>
        <v>1</v>
      </c>
      <c r="J4" s="12">
        <f>floor((K4/'Prestige Patterns'!$B$22)^'Prestige Patterns'!$B$23,1)-H3</f>
        <v>0</v>
      </c>
      <c r="K4" s="8">
        <f>K3+N3*'Prestige Patterns'!$B$20</f>
        <v>1200</v>
      </c>
      <c r="L4" s="8">
        <f>if(J3&gt;='Prestige Patterns'!$B$28,if(J3/(H3+1)&gt;('Prestige Patterns'!$B$27+1),L3+1,L3),L3)</f>
        <v>0</v>
      </c>
      <c r="N4" s="12">
        <f t="shared" si="1"/>
        <v>1720</v>
      </c>
      <c r="O4" s="9">
        <f>'Prestige Patterns'!$B$4*E4</f>
        <v>860</v>
      </c>
      <c r="P4" s="12">
        <f t="shared" si="4"/>
        <v>2</v>
      </c>
      <c r="Q4" s="11"/>
      <c r="R4" s="11"/>
      <c r="S4" s="9">
        <v>3.0</v>
      </c>
      <c r="T4" s="11"/>
      <c r="U4" s="9">
        <f>'Prestige Patterns'!A11</f>
        <v>50</v>
      </c>
      <c r="V4" s="9">
        <f>V3*'Prestige Patterns'!B11</f>
        <v>4</v>
      </c>
    </row>
    <row r="5" ht="15.75" customHeight="1">
      <c r="A5" s="7"/>
      <c r="B5" s="7"/>
      <c r="C5" s="7">
        <f>(S5*'Prestige Patterns'!$B$20)/60</f>
        <v>2</v>
      </c>
      <c r="D5" s="8">
        <f>if(L4=L5,N4*'Prestige Patterns'!$B$20+D4-F5,0)</f>
        <v>51654.607</v>
      </c>
      <c r="E5" s="9">
        <f t="shared" si="2"/>
        <v>56</v>
      </c>
      <c r="F5" s="10">
        <f>'Prestige Patterns'!$B$5*('Prestige Patterns'!$B$6^E4-'Prestige Patterns'!$B$6^(E4+G5))/(1-'Prestige Patterns'!$B$6)</f>
        <v>577.4196423</v>
      </c>
      <c r="G5" s="13">
        <f>floor(LOG('Prestige Patterns'!$B$6^(E4) - (D4*(1-'Prestige Patterns'!$B$6)/'Prestige Patterns'!$B$5),'Prestige Patterns'!$B$6)-E4,1)</f>
        <v>13</v>
      </c>
      <c r="H5" s="12">
        <f t="shared" si="3"/>
        <v>0</v>
      </c>
      <c r="I5" s="11">
        <f>1+H5*'Prestige Patterns'!$B$25</f>
        <v>1</v>
      </c>
      <c r="J5" s="12">
        <f>floor((K5/'Prestige Patterns'!$B$22)^'Prestige Patterns'!$B$23,1)-H4</f>
        <v>0</v>
      </c>
      <c r="K5" s="8">
        <f>K4+N4*'Prestige Patterns'!$B$20</f>
        <v>52800</v>
      </c>
      <c r="L5" s="8">
        <f>if(J4&gt;='Prestige Patterns'!$B$28,if(J4/(H4+1)&gt;('Prestige Patterns'!$B$27+1),L4+1,L4),L4)</f>
        <v>0</v>
      </c>
      <c r="N5" s="12">
        <f t="shared" si="1"/>
        <v>4480</v>
      </c>
      <c r="O5" s="9">
        <f>'Prestige Patterns'!$B$4*E5</f>
        <v>1120</v>
      </c>
      <c r="P5" s="12">
        <f t="shared" si="4"/>
        <v>4</v>
      </c>
      <c r="Q5" s="11"/>
      <c r="R5" s="11"/>
      <c r="S5" s="9">
        <v>4.0</v>
      </c>
      <c r="T5" s="11"/>
      <c r="U5" s="9">
        <f>'Prestige Patterns'!A12</f>
        <v>100</v>
      </c>
      <c r="V5" s="9">
        <f>V4*'Prestige Patterns'!B12</f>
        <v>16</v>
      </c>
    </row>
    <row r="6" ht="15.75" customHeight="1">
      <c r="A6" s="7"/>
      <c r="B6" s="7"/>
      <c r="C6" s="7">
        <f>(S6*'Prestige Patterns'!$B$20)/60</f>
        <v>2.5</v>
      </c>
      <c r="D6" s="8">
        <f>if(L5=L6,N5*'Prestige Patterns'!$B$20+D5-F6,0)</f>
        <v>134649.9531</v>
      </c>
      <c r="E6" s="9">
        <f t="shared" si="2"/>
        <v>133</v>
      </c>
      <c r="F6" s="10">
        <f>'Prestige Patterns'!$B$5*('Prestige Patterns'!$B$6^E5-'Prestige Patterns'!$B$6^(E5+G6))/(1-'Prestige Patterns'!$B$6)</f>
        <v>51404.65392</v>
      </c>
      <c r="G6" s="13">
        <f>floor(LOG('Prestige Patterns'!$B$6^(E5) - (D5*(1-'Prestige Patterns'!$B$6)/'Prestige Patterns'!$B$5),'Prestige Patterns'!$B$6)-E5,1)</f>
        <v>77</v>
      </c>
      <c r="H6" s="12">
        <f t="shared" si="3"/>
        <v>0</v>
      </c>
      <c r="I6" s="11">
        <f>1+H6*'Prestige Patterns'!$B$25</f>
        <v>1</v>
      </c>
      <c r="J6" s="12">
        <f>floor((K6/'Prestige Patterns'!$B$22)^'Prestige Patterns'!$B$23,1)-H5</f>
        <v>1</v>
      </c>
      <c r="K6" s="8">
        <f>K5+N5*'Prestige Patterns'!$B$20</f>
        <v>187200</v>
      </c>
      <c r="L6" s="8">
        <f>if(J5&gt;='Prestige Patterns'!$B$28,if(J5/(H5+1)&gt;('Prestige Patterns'!$B$27+1),L5+1,L5),L5)</f>
        <v>0</v>
      </c>
      <c r="N6" s="12">
        <f t="shared" si="1"/>
        <v>42560</v>
      </c>
      <c r="O6" s="9">
        <f>'Prestige Patterns'!$B$4*E6</f>
        <v>2660</v>
      </c>
      <c r="P6" s="12">
        <f t="shared" si="4"/>
        <v>16</v>
      </c>
      <c r="Q6" s="11"/>
      <c r="R6" s="11"/>
      <c r="S6" s="9">
        <v>5.0</v>
      </c>
      <c r="T6" s="11"/>
      <c r="U6" s="9">
        <f>'Prestige Patterns'!A13</f>
        <v>200</v>
      </c>
      <c r="V6" s="9">
        <f>V5*'Prestige Patterns'!B13</f>
        <v>64</v>
      </c>
    </row>
    <row r="7" ht="15.75" customHeight="1">
      <c r="A7" s="7"/>
      <c r="B7" s="7"/>
      <c r="C7" s="7">
        <f>(S7*'Prestige Patterns'!$B$20)/60</f>
        <v>3</v>
      </c>
      <c r="D7" s="8">
        <f>if(L6=L7,N6*'Prestige Patterns'!$B$20+D6-F7,0)</f>
        <v>1276934.557</v>
      </c>
      <c r="E7" s="9">
        <f t="shared" si="2"/>
        <v>159</v>
      </c>
      <c r="F7" s="10">
        <f>'Prestige Patterns'!$B$5*('Prestige Patterns'!$B$6^E6-'Prestige Patterns'!$B$6^(E6+G7))/(1-'Prestige Patterns'!$B$6)</f>
        <v>134515.3962</v>
      </c>
      <c r="G7" s="13">
        <f>floor(LOG('Prestige Patterns'!$B$6^(E6) - (D6*(1-'Prestige Patterns'!$B$6)/'Prestige Patterns'!$B$5),'Prestige Patterns'!$B$6)-E6,1)</f>
        <v>26</v>
      </c>
      <c r="H7" s="12">
        <f t="shared" si="3"/>
        <v>0</v>
      </c>
      <c r="I7" s="11">
        <f>1+H7*'Prestige Patterns'!$B$25</f>
        <v>1</v>
      </c>
      <c r="J7" s="12">
        <f>floor((K7/'Prestige Patterns'!$B$22)^'Prestige Patterns'!$B$23,1)-H6</f>
        <v>3</v>
      </c>
      <c r="K7" s="8">
        <f>K6+N6*'Prestige Patterns'!$B$20</f>
        <v>1464000</v>
      </c>
      <c r="L7" s="8">
        <f>if(J6&gt;='Prestige Patterns'!$B$28,if(J6/(H6+1)&gt;('Prestige Patterns'!$B$27+1),L6+1,L6),L6)</f>
        <v>0</v>
      </c>
      <c r="N7" s="12">
        <f t="shared" si="1"/>
        <v>50880</v>
      </c>
      <c r="O7" s="9">
        <f>'Prestige Patterns'!$B$4*E7</f>
        <v>3180</v>
      </c>
      <c r="P7" s="12">
        <f t="shared" si="4"/>
        <v>16</v>
      </c>
      <c r="Q7" s="11"/>
      <c r="R7" s="11"/>
      <c r="S7" s="9">
        <v>6.0</v>
      </c>
      <c r="T7" s="11"/>
      <c r="U7" s="9">
        <f>'Prestige Patterns'!A14</f>
        <v>300</v>
      </c>
      <c r="V7" s="9">
        <f>V6*'Prestige Patterns'!B14</f>
        <v>512</v>
      </c>
    </row>
    <row r="8" ht="15.75" customHeight="1">
      <c r="A8" s="7"/>
      <c r="B8" s="7"/>
      <c r="C8" s="7">
        <f>(S8*'Prestige Patterns'!$B$20)/60</f>
        <v>3.5</v>
      </c>
      <c r="D8" s="8">
        <f>if(L7=L8,N7*'Prestige Patterns'!$B$20+D7-F8,0)</f>
        <v>1537907.212</v>
      </c>
      <c r="E8" s="9">
        <f t="shared" si="2"/>
        <v>201</v>
      </c>
      <c r="F8" s="10">
        <f>'Prestige Patterns'!$B$5*('Prestige Patterns'!$B$6^E7-'Prestige Patterns'!$B$6^(E7+G8))/(1-'Prestige Patterns'!$B$6)</f>
        <v>1265427.345</v>
      </c>
      <c r="G8" s="13">
        <f>floor(LOG('Prestige Patterns'!$B$6^(E7) - (D7*(1-'Prestige Patterns'!$B$6)/'Prestige Patterns'!$B$5),'Prestige Patterns'!$B$6)-E7,1)</f>
        <v>42</v>
      </c>
      <c r="H8" s="12">
        <f t="shared" si="3"/>
        <v>0</v>
      </c>
      <c r="I8" s="11">
        <f>1+H8*'Prestige Patterns'!$B$25</f>
        <v>1</v>
      </c>
      <c r="J8" s="12">
        <f>floor((K8/'Prestige Patterns'!$B$22)^'Prestige Patterns'!$B$23,1)-H7</f>
        <v>5</v>
      </c>
      <c r="K8" s="8">
        <f>K7+N7*'Prestige Patterns'!$B$20</f>
        <v>2990400</v>
      </c>
      <c r="L8" s="8">
        <f>if(J7&gt;='Prestige Patterns'!$B$28,if(J7/(H7+1)&gt;('Prestige Patterns'!$B$27+1),L7+1,L7),L7)</f>
        <v>0</v>
      </c>
      <c r="N8" s="12">
        <f t="shared" si="1"/>
        <v>257280</v>
      </c>
      <c r="O8" s="9">
        <f>'Prestige Patterns'!$B$4*E8</f>
        <v>4020</v>
      </c>
      <c r="P8" s="12">
        <f t="shared" si="4"/>
        <v>64</v>
      </c>
      <c r="Q8" s="11"/>
      <c r="R8" s="11"/>
      <c r="S8" s="9">
        <v>7.0</v>
      </c>
      <c r="T8" s="11"/>
      <c r="U8" s="9">
        <f>'Prestige Patterns'!A15</f>
        <v>400</v>
      </c>
      <c r="V8" s="9">
        <f>V7*'Prestige Patterns'!B15</f>
        <v>4096</v>
      </c>
    </row>
    <row r="9" ht="15.75" customHeight="1">
      <c r="A9" s="7"/>
      <c r="B9" s="7"/>
      <c r="C9" s="7">
        <f>(S9*'Prestige Patterns'!$B$20)/60</f>
        <v>4</v>
      </c>
      <c r="D9" s="8">
        <f>if(L8=L9,N8*'Prestige Patterns'!$B$20+D8-F9,0)</f>
        <v>7832881.316</v>
      </c>
      <c r="E9" s="9">
        <f t="shared" si="2"/>
        <v>215</v>
      </c>
      <c r="F9" s="10">
        <f>'Prestige Patterns'!$B$5*('Prestige Patterns'!$B$6^E8-'Prestige Patterns'!$B$6^(E8+G9))/(1-'Prestige Patterns'!$B$6)</f>
        <v>1423425.896</v>
      </c>
      <c r="G9" s="13">
        <f>floor(LOG('Prestige Patterns'!$B$6^(E8) - (D8*(1-'Prestige Patterns'!$B$6)/'Prestige Patterns'!$B$5),'Prestige Patterns'!$B$6)-E8,1)</f>
        <v>14</v>
      </c>
      <c r="H9" s="12">
        <f t="shared" si="3"/>
        <v>0</v>
      </c>
      <c r="I9" s="11">
        <f>1+H9*'Prestige Patterns'!$B$25</f>
        <v>1</v>
      </c>
      <c r="J9" s="12">
        <f>floor((K9/'Prestige Patterns'!$B$22)^'Prestige Patterns'!$B$23,1)-H8</f>
        <v>10</v>
      </c>
      <c r="K9" s="8">
        <f>K8+N8*'Prestige Patterns'!$B$20</f>
        <v>10708800</v>
      </c>
      <c r="L9" s="8">
        <f>if(J8&gt;='Prestige Patterns'!$B$28,if(J8/(H8+1)&gt;('Prestige Patterns'!$B$27+1),L8+1,L8),L8)</f>
        <v>0</v>
      </c>
      <c r="N9" s="12">
        <f t="shared" si="1"/>
        <v>275200</v>
      </c>
      <c r="O9" s="9">
        <f>'Prestige Patterns'!$B$4*E9</f>
        <v>4300</v>
      </c>
      <c r="P9" s="12">
        <f t="shared" si="4"/>
        <v>64</v>
      </c>
      <c r="Q9" s="11"/>
      <c r="R9" s="11"/>
      <c r="S9" s="9">
        <v>8.0</v>
      </c>
      <c r="T9" s="11"/>
      <c r="U9" s="9">
        <f>'Prestige Patterns'!A16</f>
        <v>500</v>
      </c>
      <c r="V9" s="9">
        <f>V8*'Prestige Patterns'!B16</f>
        <v>65536</v>
      </c>
    </row>
    <row r="10" ht="15.75" customHeight="1">
      <c r="A10" s="7"/>
      <c r="B10" s="7"/>
      <c r="C10" s="7">
        <f>(S10*'Prestige Patterns'!$B$20)/60</f>
        <v>4.5</v>
      </c>
      <c r="D10" s="8">
        <f>if(L9=L10,N9*'Prestige Patterns'!$B$20+D9-F10,0)</f>
        <v>8738759.806</v>
      </c>
      <c r="E10" s="9">
        <f t="shared" si="2"/>
        <v>241</v>
      </c>
      <c r="F10" s="10">
        <f>'Prestige Patterns'!$B$5*('Prestige Patterns'!$B$6^E9-'Prestige Patterns'!$B$6^(E9+G10))/(1-'Prestige Patterns'!$B$6)</f>
        <v>7350121.51</v>
      </c>
      <c r="G10" s="13">
        <f>floor(LOG('Prestige Patterns'!$B$6^(E9) - (D9*(1-'Prestige Patterns'!$B$6)/'Prestige Patterns'!$B$5),'Prestige Patterns'!$B$6)-E9,1)</f>
        <v>26</v>
      </c>
      <c r="H10" s="12">
        <f t="shared" si="3"/>
        <v>0</v>
      </c>
      <c r="I10" s="11">
        <f>1+H10*'Prestige Patterns'!$B$25</f>
        <v>1</v>
      </c>
      <c r="J10" s="12">
        <f>floor((K10/'Prestige Patterns'!$B$22)^'Prestige Patterns'!$B$23,1)-H9</f>
        <v>13</v>
      </c>
      <c r="K10" s="8">
        <f>K9+N9*'Prestige Patterns'!$B$20</f>
        <v>18964800</v>
      </c>
      <c r="L10" s="8">
        <f>if(J9&gt;='Prestige Patterns'!$B$28,if(J9/(H9+1)&gt;('Prestige Patterns'!$B$27+1),L9+1,L9),L9)</f>
        <v>0</v>
      </c>
      <c r="N10" s="12">
        <f t="shared" si="1"/>
        <v>308480</v>
      </c>
      <c r="O10" s="9">
        <f>'Prestige Patterns'!$B$4*E10</f>
        <v>4820</v>
      </c>
      <c r="P10" s="12">
        <f t="shared" si="4"/>
        <v>64</v>
      </c>
      <c r="Q10" s="11"/>
      <c r="R10" s="11"/>
      <c r="S10" s="9">
        <v>9.0</v>
      </c>
      <c r="T10" s="11"/>
      <c r="U10" s="9">
        <f>'Prestige Patterns'!A17</f>
        <v>600</v>
      </c>
      <c r="V10" s="9">
        <f>V9*'Prestige Patterns'!B17</f>
        <v>1048576</v>
      </c>
    </row>
    <row r="11" ht="15.75" customHeight="1">
      <c r="A11" s="7"/>
      <c r="B11" s="7"/>
      <c r="C11" s="7">
        <f>(S11*'Prestige Patterns'!$B$20)/60</f>
        <v>5</v>
      </c>
      <c r="D11" s="8">
        <f>if(L10=L11,N10*'Prestige Patterns'!$B$20+D10-F11,0)</f>
        <v>9854634.175</v>
      </c>
      <c r="E11" s="9">
        <f t="shared" si="2"/>
        <v>253</v>
      </c>
      <c r="F11" s="10">
        <f>'Prestige Patterns'!$B$5*('Prestige Patterns'!$B$6^E10-'Prestige Patterns'!$B$6^(E10+G11))/(1-'Prestige Patterns'!$B$6)</f>
        <v>8138525.631</v>
      </c>
      <c r="G11" s="13">
        <f>floor(LOG('Prestige Patterns'!$B$6^(E10) - (D10*(1-'Prestige Patterns'!$B$6)/'Prestige Patterns'!$B$5),'Prestige Patterns'!$B$6)-E10,1)</f>
        <v>12</v>
      </c>
      <c r="H11" s="12">
        <f t="shared" si="3"/>
        <v>0</v>
      </c>
      <c r="I11" s="11">
        <f>1+H11*'Prestige Patterns'!$B$25</f>
        <v>1</v>
      </c>
      <c r="J11" s="12">
        <f>floor((K11/'Prestige Patterns'!$B$22)^'Prestige Patterns'!$B$23,1)-H10</f>
        <v>16</v>
      </c>
      <c r="K11" s="8">
        <f>K10+N10*'Prestige Patterns'!$B$20</f>
        <v>28219200</v>
      </c>
      <c r="L11" s="8">
        <f>if(J10&gt;='Prestige Patterns'!$B$28,if(J10/(H10+1)&gt;('Prestige Patterns'!$B$27+1),L10+1,L10),L10)</f>
        <v>0</v>
      </c>
      <c r="N11" s="12">
        <f t="shared" si="1"/>
        <v>323840</v>
      </c>
      <c r="O11" s="9">
        <f>'Prestige Patterns'!$B$4*E11</f>
        <v>5060</v>
      </c>
      <c r="P11" s="12">
        <f t="shared" si="4"/>
        <v>64</v>
      </c>
      <c r="Q11" s="11"/>
      <c r="R11" s="11"/>
      <c r="S11" s="9">
        <v>10.0</v>
      </c>
      <c r="T11" s="11"/>
      <c r="U11" s="9">
        <f>'Prestige Patterns'!A18</f>
        <v>700</v>
      </c>
      <c r="V11" s="9">
        <f>V10*'Prestige Patterns'!B18</f>
        <v>33554432</v>
      </c>
    </row>
    <row r="12" ht="15.75" customHeight="1">
      <c r="A12" s="7"/>
      <c r="B12" s="7"/>
      <c r="C12" s="7">
        <f>(S12*'Prestige Patterns'!$B$20)/60</f>
        <v>5.5</v>
      </c>
      <c r="D12" s="8">
        <f>if(L11=L12,N11*'Prestige Patterns'!$B$20+D11-F12,0)</f>
        <v>10801532.14</v>
      </c>
      <c r="E12" s="9">
        <f t="shared" si="2"/>
        <v>261</v>
      </c>
      <c r="F12" s="10">
        <f>'Prestige Patterns'!$B$5*('Prestige Patterns'!$B$6^E11-'Prestige Patterns'!$B$6^(E11+G12))/(1-'Prestige Patterns'!$B$6)</f>
        <v>8768302.032</v>
      </c>
      <c r="G12" s="13">
        <f>floor(LOG('Prestige Patterns'!$B$6^(E11) - (D11*(1-'Prestige Patterns'!$B$6)/'Prestige Patterns'!$B$5),'Prestige Patterns'!$B$6)-E11,1)</f>
        <v>8</v>
      </c>
      <c r="H12" s="12">
        <f t="shared" si="3"/>
        <v>0</v>
      </c>
      <c r="I12" s="11">
        <f>1+H12*'Prestige Patterns'!$B$25</f>
        <v>1</v>
      </c>
      <c r="J12" s="12">
        <f>floor((K12/'Prestige Patterns'!$B$22)^'Prestige Patterns'!$B$23,1)-H11</f>
        <v>19</v>
      </c>
      <c r="K12" s="8">
        <f>K11+N11*'Prestige Patterns'!$B$20</f>
        <v>37934400</v>
      </c>
      <c r="L12" s="8">
        <f>if(J11&gt;='Prestige Patterns'!$B$28,if(J11/(H11+1)&gt;('Prestige Patterns'!$B$27+1),L11+1,L11),L11)</f>
        <v>0</v>
      </c>
      <c r="N12" s="12">
        <f t="shared" si="1"/>
        <v>334080</v>
      </c>
      <c r="O12" s="9">
        <f>'Prestige Patterns'!$B$4*E12</f>
        <v>5220</v>
      </c>
      <c r="P12" s="12">
        <f t="shared" si="4"/>
        <v>64</v>
      </c>
      <c r="Q12" s="11"/>
      <c r="R12" s="11"/>
      <c r="S12" s="9">
        <v>11.0</v>
      </c>
      <c r="T12" s="11"/>
      <c r="U12" s="9"/>
      <c r="V12" s="9"/>
    </row>
    <row r="13" ht="15.75" customHeight="1">
      <c r="A13" s="7"/>
      <c r="B13" s="7"/>
      <c r="C13" s="7">
        <f>(S13*'Prestige Patterns'!$B$20)/60</f>
        <v>6</v>
      </c>
      <c r="D13" s="8">
        <f>if(L12=L13,N12*'Prestige Patterns'!$B$20+D12-F13,0)</f>
        <v>11596133.5</v>
      </c>
      <c r="E13" s="9">
        <f t="shared" si="2"/>
        <v>267</v>
      </c>
      <c r="F13" s="10">
        <f>'Prestige Patterns'!$B$5*('Prestige Patterns'!$B$6^E12-'Prestige Patterns'!$B$6^(E12+G13))/(1-'Prestige Patterns'!$B$6)</f>
        <v>9227798.644</v>
      </c>
      <c r="G13" s="13">
        <f>floor(LOG('Prestige Patterns'!$B$6^(E12) - (D12*(1-'Prestige Patterns'!$B$6)/'Prestige Patterns'!$B$5),'Prestige Patterns'!$B$6)-E12,1)</f>
        <v>6</v>
      </c>
      <c r="H13" s="12">
        <f t="shared" si="3"/>
        <v>0</v>
      </c>
      <c r="I13" s="11">
        <f>1+H13*'Prestige Patterns'!$B$25</f>
        <v>1</v>
      </c>
      <c r="J13" s="12">
        <f>floor((K13/'Prestige Patterns'!$B$22)^'Prestige Patterns'!$B$23,1)-H12</f>
        <v>21</v>
      </c>
      <c r="K13" s="8">
        <f>K12+N12*'Prestige Patterns'!$B$20</f>
        <v>47956800</v>
      </c>
      <c r="L13" s="8">
        <f>if(J12&gt;='Prestige Patterns'!$B$28,if(J12/(H12+1)&gt;('Prestige Patterns'!$B$27+1),L12+1,L12),L12)</f>
        <v>0</v>
      </c>
      <c r="N13" s="12">
        <f t="shared" si="1"/>
        <v>341760</v>
      </c>
      <c r="O13" s="9">
        <f>'Prestige Patterns'!$B$4*E13</f>
        <v>5340</v>
      </c>
      <c r="P13" s="12">
        <f t="shared" si="4"/>
        <v>64</v>
      </c>
      <c r="Q13" s="11"/>
      <c r="R13" s="11"/>
      <c r="S13" s="9">
        <v>12.0</v>
      </c>
      <c r="T13" s="11"/>
      <c r="U13" s="9"/>
      <c r="V13" s="9"/>
    </row>
    <row r="14" ht="15.75" customHeight="1">
      <c r="A14" s="7"/>
      <c r="B14" s="7"/>
      <c r="C14" s="7">
        <f>(S14*'Prestige Patterns'!$B$20)/60</f>
        <v>6.5</v>
      </c>
      <c r="D14" s="8">
        <f>if(L13=L14,N13*'Prestige Patterns'!$B$20+D13-F14,0)</f>
        <v>11803128.54</v>
      </c>
      <c r="E14" s="9">
        <f t="shared" si="2"/>
        <v>272</v>
      </c>
      <c r="F14" s="10">
        <f>'Prestige Patterns'!$B$5*('Prestige Patterns'!$B$6^E13-'Prestige Patterns'!$B$6^(E13+G14))/(1-'Prestige Patterns'!$B$6)</f>
        <v>10045804.96</v>
      </c>
      <c r="G14" s="13">
        <f>floor(LOG('Prestige Patterns'!$B$6^(E13) - (D13*(1-'Prestige Patterns'!$B$6)/'Prestige Patterns'!$B$5),'Prestige Patterns'!$B$6)-E13,1)</f>
        <v>5</v>
      </c>
      <c r="H14" s="12">
        <f t="shared" si="3"/>
        <v>0</v>
      </c>
      <c r="I14" s="11">
        <f>1+H14*'Prestige Patterns'!$B$25</f>
        <v>1</v>
      </c>
      <c r="J14" s="12">
        <f>floor((K14/'Prestige Patterns'!$B$22)^'Prestige Patterns'!$B$23,1)-H13</f>
        <v>24</v>
      </c>
      <c r="K14" s="8">
        <f>K13+N13*'Prestige Patterns'!$B$20</f>
        <v>58209600</v>
      </c>
      <c r="L14" s="8">
        <f>if(J13&gt;='Prestige Patterns'!$B$28,if(J13/(H13+1)&gt;('Prestige Patterns'!$B$27+1),L13+1,L13),L13)</f>
        <v>0</v>
      </c>
      <c r="N14" s="12">
        <f t="shared" si="1"/>
        <v>348160</v>
      </c>
      <c r="O14" s="9">
        <f>'Prestige Patterns'!$B$4*E14</f>
        <v>5440</v>
      </c>
      <c r="P14" s="12">
        <f t="shared" si="4"/>
        <v>64</v>
      </c>
      <c r="Q14" s="11"/>
      <c r="R14" s="11"/>
      <c r="S14" s="9">
        <v>13.0</v>
      </c>
      <c r="T14" s="11"/>
      <c r="U14" s="9"/>
      <c r="V14" s="9"/>
    </row>
    <row r="15" ht="15.75" customHeight="1">
      <c r="A15" s="7"/>
      <c r="B15" s="7"/>
      <c r="C15" s="7">
        <f>(S15*'Prestige Patterns'!$B$20)/60</f>
        <v>7</v>
      </c>
      <c r="D15" s="8">
        <f>if(L14=L15,N14*'Prestige Patterns'!$B$20+D14-F15,0)</f>
        <v>12247025.79</v>
      </c>
      <c r="E15" s="9">
        <f t="shared" si="2"/>
        <v>276</v>
      </c>
      <c r="F15" s="10">
        <f>'Prestige Patterns'!$B$5*('Prestige Patterns'!$B$6^E14-'Prestige Patterns'!$B$6^(E14+G15))/(1-'Prestige Patterns'!$B$6)</f>
        <v>10000902.74</v>
      </c>
      <c r="G15" s="13">
        <f>floor(LOG('Prestige Patterns'!$B$6^(E14) - (D14*(1-'Prestige Patterns'!$B$6)/'Prestige Patterns'!$B$5),'Prestige Patterns'!$B$6)-E14,1)</f>
        <v>4</v>
      </c>
      <c r="H15" s="12">
        <f t="shared" si="3"/>
        <v>0</v>
      </c>
      <c r="I15" s="11">
        <f>1+H15*'Prestige Patterns'!$B$25</f>
        <v>1</v>
      </c>
      <c r="J15" s="12">
        <f>floor((K15/'Prestige Patterns'!$B$22)^'Prestige Patterns'!$B$23,1)-H14</f>
        <v>26</v>
      </c>
      <c r="K15" s="8">
        <f>K14+N14*'Prestige Patterns'!$B$20</f>
        <v>68654400</v>
      </c>
      <c r="L15" s="8">
        <f>if(J14&gt;='Prestige Patterns'!$B$28,if(J14/(H14+1)&gt;('Prestige Patterns'!$B$27+1),L14+1,L14),L14)</f>
        <v>0</v>
      </c>
      <c r="N15" s="12">
        <f t="shared" si="1"/>
        <v>353280</v>
      </c>
      <c r="O15" s="9">
        <f>'Prestige Patterns'!$B$4*E15</f>
        <v>5520</v>
      </c>
      <c r="P15" s="12">
        <f t="shared" si="4"/>
        <v>64</v>
      </c>
      <c r="Q15" s="11"/>
      <c r="R15" s="11"/>
      <c r="S15" s="9">
        <v>14.0</v>
      </c>
      <c r="T15" s="11"/>
    </row>
    <row r="16" ht="15.75" customHeight="1">
      <c r="A16" s="7"/>
      <c r="B16" s="7"/>
      <c r="C16" s="7">
        <f>(S16*'Prestige Patterns'!$B$20)/60</f>
        <v>7.5</v>
      </c>
      <c r="D16" s="8">
        <f>if(L15=L16,N15*'Prestige Patterns'!$B$20+D15-F16,0)</f>
        <v>10689266</v>
      </c>
      <c r="E16" s="9">
        <f t="shared" si="2"/>
        <v>280</v>
      </c>
      <c r="F16" s="10">
        <f>'Prestige Patterns'!$B$5*('Prestige Patterns'!$B$6^E15-'Prestige Patterns'!$B$6^(E15+G16))/(1-'Prestige Patterns'!$B$6)</f>
        <v>12156159.79</v>
      </c>
      <c r="G16" s="13">
        <f>floor(LOG('Prestige Patterns'!$B$6^(E15) - (D15*(1-'Prestige Patterns'!$B$6)/'Prestige Patterns'!$B$5),'Prestige Patterns'!$B$6)-E15,1)</f>
        <v>4</v>
      </c>
      <c r="H16" s="12">
        <f t="shared" si="3"/>
        <v>0</v>
      </c>
      <c r="I16" s="11">
        <f>1+H16*'Prestige Patterns'!$B$25</f>
        <v>1</v>
      </c>
      <c r="J16" s="12">
        <f>floor((K16/'Prestige Patterns'!$B$22)^'Prestige Patterns'!$B$23,1)-H15</f>
        <v>28</v>
      </c>
      <c r="K16" s="8">
        <f>K15+N15*'Prestige Patterns'!$B$20</f>
        <v>79252800</v>
      </c>
      <c r="L16" s="8">
        <f>if(J15&gt;='Prestige Patterns'!$B$28,if(J15/(H15+1)&gt;('Prestige Patterns'!$B$27+1),L15+1,L15),L15)</f>
        <v>0</v>
      </c>
      <c r="N16" s="12">
        <f t="shared" si="1"/>
        <v>358400</v>
      </c>
      <c r="O16" s="9">
        <f>'Prestige Patterns'!$B$4*E16</f>
        <v>5600</v>
      </c>
      <c r="P16" s="12">
        <f t="shared" si="4"/>
        <v>64</v>
      </c>
      <c r="Q16" s="11"/>
      <c r="R16" s="11"/>
      <c r="S16" s="9">
        <v>15.0</v>
      </c>
      <c r="T16" s="11"/>
    </row>
    <row r="17" ht="15.75" customHeight="1">
      <c r="A17" s="7"/>
      <c r="B17" s="7"/>
      <c r="C17" s="7">
        <f>(S17*'Prestige Patterns'!$B$20)/60</f>
        <v>8</v>
      </c>
      <c r="D17" s="8">
        <f>if(L16=L17,N16*'Prestige Patterns'!$B$20+D16-F17,0)</f>
        <v>14413495.16</v>
      </c>
      <c r="E17" s="9">
        <f t="shared" si="2"/>
        <v>282</v>
      </c>
      <c r="F17" s="10">
        <f>'Prestige Patterns'!$B$5*('Prestige Patterns'!$B$6^E16-'Prestige Patterns'!$B$6^(E16+G17))/(1-'Prestige Patterns'!$B$6)</f>
        <v>7027770.845</v>
      </c>
      <c r="G17" s="13">
        <f>floor(LOG('Prestige Patterns'!$B$6^(E16) - (D16*(1-'Prestige Patterns'!$B$6)/'Prestige Patterns'!$B$5),'Prestige Patterns'!$B$6)-E16,1)</f>
        <v>2</v>
      </c>
      <c r="H17" s="12">
        <f t="shared" si="3"/>
        <v>0</v>
      </c>
      <c r="I17" s="11">
        <f>1+H17*'Prestige Patterns'!$B$25</f>
        <v>1</v>
      </c>
      <c r="J17" s="12">
        <f>floor((K17/'Prestige Patterns'!$B$22)^'Prestige Patterns'!$B$23,1)-H16</f>
        <v>30</v>
      </c>
      <c r="K17" s="8">
        <f>K16+N16*'Prestige Patterns'!$B$20</f>
        <v>90004800</v>
      </c>
      <c r="L17" s="8">
        <f>if(J16&gt;='Prestige Patterns'!$B$28,if(J16/(H16+1)&gt;('Prestige Patterns'!$B$27+1),L16+1,L16),L16)</f>
        <v>0</v>
      </c>
      <c r="N17" s="12">
        <f t="shared" si="1"/>
        <v>360960</v>
      </c>
      <c r="O17" s="9">
        <f>'Prestige Patterns'!$B$4*E17</f>
        <v>5640</v>
      </c>
      <c r="P17" s="12">
        <f t="shared" si="4"/>
        <v>64</v>
      </c>
      <c r="Q17" s="11"/>
      <c r="R17" s="11"/>
      <c r="S17" s="9">
        <v>16.0</v>
      </c>
      <c r="T17" s="11"/>
    </row>
    <row r="18" ht="15.75" customHeight="1">
      <c r="A18" s="7"/>
      <c r="B18" s="7"/>
      <c r="C18" s="7">
        <f>(S18*'Prestige Patterns'!$B$20)/60</f>
        <v>8.5</v>
      </c>
      <c r="D18" s="8">
        <f>if(L17=L18,N17*'Prestige Patterns'!$B$20+D17-F18,0)</f>
        <v>13327202.49</v>
      </c>
      <c r="E18" s="9">
        <f t="shared" si="2"/>
        <v>285</v>
      </c>
      <c r="F18" s="10">
        <f>'Prestige Patterns'!$B$5*('Prestige Patterns'!$B$6^E17-'Prestige Patterns'!$B$6^(E17+G18))/(1-'Prestige Patterns'!$B$6)</f>
        <v>11915092.67</v>
      </c>
      <c r="G18" s="13">
        <f>floor(LOG('Prestige Patterns'!$B$6^(E17) - (D17*(1-'Prestige Patterns'!$B$6)/'Prestige Patterns'!$B$5),'Prestige Patterns'!$B$6)-E17,1)</f>
        <v>3</v>
      </c>
      <c r="H18" s="12">
        <f t="shared" si="3"/>
        <v>0</v>
      </c>
      <c r="I18" s="11">
        <f>1+H18*'Prestige Patterns'!$B$25</f>
        <v>1</v>
      </c>
      <c r="J18" s="12">
        <f>floor((K18/'Prestige Patterns'!$B$22)^'Prestige Patterns'!$B$23,1)-H17</f>
        <v>31</v>
      </c>
      <c r="K18" s="8">
        <f>K17+N17*'Prestige Patterns'!$B$20</f>
        <v>100833600</v>
      </c>
      <c r="L18" s="8">
        <f>if(J17&gt;='Prestige Patterns'!$B$28,if(J17/(H17+1)&gt;('Prestige Patterns'!$B$27+1),L17+1,L17),L17)</f>
        <v>0</v>
      </c>
      <c r="N18" s="12">
        <f t="shared" si="1"/>
        <v>364800</v>
      </c>
      <c r="O18" s="9">
        <f>'Prestige Patterns'!$B$4*E18</f>
        <v>5700</v>
      </c>
      <c r="P18" s="12">
        <f t="shared" si="4"/>
        <v>64</v>
      </c>
      <c r="Q18" s="11"/>
      <c r="R18" s="11"/>
      <c r="S18" s="9">
        <v>17.0</v>
      </c>
      <c r="T18" s="11"/>
    </row>
    <row r="19" ht="15.75" customHeight="1">
      <c r="A19" s="7"/>
      <c r="B19" s="7"/>
      <c r="C19" s="7">
        <f>(S19*'Prestige Patterns'!$B$20)/60</f>
        <v>9</v>
      </c>
      <c r="D19" s="8">
        <f>if(L18=L19,N18*'Prestige Patterns'!$B$20+D18-F19,0)</f>
        <v>15301788.14</v>
      </c>
      <c r="E19" s="9">
        <f t="shared" si="2"/>
        <v>287</v>
      </c>
      <c r="F19" s="10">
        <f>'Prestige Patterns'!$B$5*('Prestige Patterns'!$B$6^E18-'Prestige Patterns'!$B$6^(E18+G19))/(1-'Prestige Patterns'!$B$6)</f>
        <v>8969414.355</v>
      </c>
      <c r="G19" s="13">
        <f>floor(LOG('Prestige Patterns'!$B$6^(E18) - (D18*(1-'Prestige Patterns'!$B$6)/'Prestige Patterns'!$B$5),'Prestige Patterns'!$B$6)-E18,1)</f>
        <v>2</v>
      </c>
      <c r="H19" s="12">
        <f t="shared" si="3"/>
        <v>0</v>
      </c>
      <c r="I19" s="11">
        <f>1+H19*'Prestige Patterns'!$B$25</f>
        <v>1</v>
      </c>
      <c r="J19" s="12">
        <f>floor((K19/'Prestige Patterns'!$B$22)^'Prestige Patterns'!$B$23,1)-H18</f>
        <v>33</v>
      </c>
      <c r="K19" s="8">
        <f>K18+N18*'Prestige Patterns'!$B$20</f>
        <v>111777600</v>
      </c>
      <c r="L19" s="8">
        <f>if(J18&gt;='Prestige Patterns'!$B$28,if(J18/(H18+1)&gt;('Prestige Patterns'!$B$27+1),L18+1,L18),L18)</f>
        <v>0</v>
      </c>
      <c r="N19" s="12">
        <f t="shared" si="1"/>
        <v>367360</v>
      </c>
      <c r="O19" s="9">
        <f>'Prestige Patterns'!$B$4*E19</f>
        <v>5740</v>
      </c>
      <c r="P19" s="12">
        <f t="shared" si="4"/>
        <v>64</v>
      </c>
      <c r="Q19" s="11"/>
      <c r="R19" s="11"/>
      <c r="S19" s="9">
        <v>18.0</v>
      </c>
      <c r="T19" s="11"/>
    </row>
    <row r="20" ht="15.75" customHeight="1">
      <c r="A20" s="7"/>
      <c r="B20" s="7"/>
      <c r="C20" s="7">
        <f>(S20*'Prestige Patterns'!$B$20)/60</f>
        <v>9.5</v>
      </c>
      <c r="D20" s="8">
        <f>if(L19=L20,N19*'Prestige Patterns'!$B$20+D19-F20,0)</f>
        <v>11115575.05</v>
      </c>
      <c r="E20" s="9">
        <f t="shared" si="2"/>
        <v>290</v>
      </c>
      <c r="F20" s="10">
        <f>'Prestige Patterns'!$B$5*('Prestige Patterns'!$B$6^E19-'Prestige Patterns'!$B$6^(E19+G20))/(1-'Prestige Patterns'!$B$6)</f>
        <v>15207013.09</v>
      </c>
      <c r="G20" s="13">
        <f>floor(LOG('Prestige Patterns'!$B$6^(E19) - (D19*(1-'Prestige Patterns'!$B$6)/'Prestige Patterns'!$B$5),'Prestige Patterns'!$B$6)-E19,1)</f>
        <v>3</v>
      </c>
      <c r="H20" s="12">
        <f t="shared" si="3"/>
        <v>0</v>
      </c>
      <c r="I20" s="11">
        <f>1+H20*'Prestige Patterns'!$B$25</f>
        <v>1</v>
      </c>
      <c r="J20" s="12">
        <f>floor((K20/'Prestige Patterns'!$B$22)^'Prestige Patterns'!$B$23,1)-H19</f>
        <v>35</v>
      </c>
      <c r="K20" s="8">
        <f>K19+N19*'Prestige Patterns'!$B$20</f>
        <v>122798400</v>
      </c>
      <c r="L20" s="8">
        <f>if(J19&gt;='Prestige Patterns'!$B$28,if(J19/(H19+1)&gt;('Prestige Patterns'!$B$27+1),L19+1,L19),L19)</f>
        <v>0</v>
      </c>
      <c r="N20" s="12">
        <f t="shared" si="1"/>
        <v>371200</v>
      </c>
      <c r="O20" s="9">
        <f>'Prestige Patterns'!$B$4*E20</f>
        <v>5800</v>
      </c>
      <c r="P20" s="12">
        <f t="shared" si="4"/>
        <v>64</v>
      </c>
      <c r="Q20" s="11"/>
      <c r="R20" s="11"/>
      <c r="S20" s="9">
        <v>19.0</v>
      </c>
      <c r="T20" s="11"/>
    </row>
    <row r="21" ht="15.75" customHeight="1">
      <c r="A21" s="7"/>
      <c r="B21" s="7"/>
      <c r="C21" s="7">
        <f>(S21*'Prestige Patterns'!$B$20)/60</f>
        <v>10</v>
      </c>
      <c r="D21" s="8">
        <f>if(L20=L21,N20*'Prestige Patterns'!$B$20+D20-F21,0)</f>
        <v>16667429.6</v>
      </c>
      <c r="E21" s="9">
        <f t="shared" si="2"/>
        <v>291</v>
      </c>
      <c r="F21" s="10">
        <f>'Prestige Patterns'!$B$5*('Prestige Patterns'!$B$6^E20-'Prestige Patterns'!$B$6^(E20+G21))/(1-'Prestige Patterns'!$B$6)</f>
        <v>5584145.447</v>
      </c>
      <c r="G21" s="13">
        <f>floor(LOG('Prestige Patterns'!$B$6^(E20) - (D20*(1-'Prestige Patterns'!$B$6)/'Prestige Patterns'!$B$5),'Prestige Patterns'!$B$6)-E20,1)</f>
        <v>1</v>
      </c>
      <c r="H21" s="12">
        <f t="shared" si="3"/>
        <v>0</v>
      </c>
      <c r="I21" s="11">
        <f>1+H21*'Prestige Patterns'!$B$25</f>
        <v>1</v>
      </c>
      <c r="J21" s="12">
        <f>floor((K21/'Prestige Patterns'!$B$22)^'Prestige Patterns'!$B$23,1)-H20</f>
        <v>36</v>
      </c>
      <c r="K21" s="8">
        <f>K20+N20*'Prestige Patterns'!$B$20</f>
        <v>133934400</v>
      </c>
      <c r="L21" s="8">
        <f>if(J20&gt;='Prestige Patterns'!$B$28,if(J20/(H20+1)&gt;('Prestige Patterns'!$B$27+1),L20+1,L20),L20)</f>
        <v>0</v>
      </c>
      <c r="N21" s="12">
        <f t="shared" si="1"/>
        <v>372480</v>
      </c>
      <c r="O21" s="9">
        <f>'Prestige Patterns'!$B$4*E21</f>
        <v>5820</v>
      </c>
      <c r="P21" s="12">
        <f t="shared" si="4"/>
        <v>64</v>
      </c>
      <c r="Q21" s="11"/>
      <c r="R21" s="11"/>
      <c r="S21" s="9">
        <v>20.0</v>
      </c>
      <c r="T21" s="11"/>
    </row>
    <row r="22" ht="15.75" customHeight="1">
      <c r="A22" s="7"/>
      <c r="B22" s="7"/>
      <c r="C22" s="7">
        <f>(S22*'Prestige Patterns'!$B$20)/60</f>
        <v>10.5</v>
      </c>
      <c r="D22" s="8">
        <f>if(L21=L22,N21*'Prestige Patterns'!$B$20+D21-F22,0)</f>
        <v>15821956.53</v>
      </c>
      <c r="E22" s="9">
        <f t="shared" si="2"/>
        <v>293</v>
      </c>
      <c r="F22" s="10">
        <f>'Prestige Patterns'!$B$5*('Prestige Patterns'!$B$6^E21-'Prestige Patterns'!$B$6^(E21+G22))/(1-'Prestige Patterns'!$B$6)</f>
        <v>12019873.08</v>
      </c>
      <c r="G22" s="13">
        <f>floor(LOG('Prestige Patterns'!$B$6^(E21) - (D21*(1-'Prestige Patterns'!$B$6)/'Prestige Patterns'!$B$5),'Prestige Patterns'!$B$6)-E21,1)</f>
        <v>2</v>
      </c>
      <c r="H22" s="12">
        <f t="shared" si="3"/>
        <v>0</v>
      </c>
      <c r="I22" s="11">
        <f>1+H22*'Prestige Patterns'!$B$25</f>
        <v>1</v>
      </c>
      <c r="J22" s="12">
        <f>floor((K22/'Prestige Patterns'!$B$22)^'Prestige Patterns'!$B$23,1)-H21</f>
        <v>38</v>
      </c>
      <c r="K22" s="8">
        <f>K21+N21*'Prestige Patterns'!$B$20</f>
        <v>145108800</v>
      </c>
      <c r="L22" s="8">
        <f>if(J21&gt;='Prestige Patterns'!$B$28,if(J21/(H21+1)&gt;('Prestige Patterns'!$B$27+1),L21+1,L21),L21)</f>
        <v>0</v>
      </c>
      <c r="N22" s="12">
        <f t="shared" si="1"/>
        <v>375040</v>
      </c>
      <c r="O22" s="9">
        <f>'Prestige Patterns'!$B$4*E22</f>
        <v>5860</v>
      </c>
      <c r="P22" s="12">
        <f t="shared" si="4"/>
        <v>64</v>
      </c>
      <c r="Q22" s="11"/>
      <c r="R22" s="11"/>
      <c r="S22" s="9">
        <v>21.0</v>
      </c>
      <c r="T22" s="11"/>
    </row>
    <row r="23" ht="15.75" customHeight="1">
      <c r="A23" s="7"/>
      <c r="B23" s="7"/>
      <c r="C23" s="7">
        <f>(S23*'Prestige Patterns'!$B$20)/60</f>
        <v>11</v>
      </c>
      <c r="D23" s="8">
        <f>if(L22=L23,N22*'Prestige Patterns'!$B$20+D22-F23,0)</f>
        <v>13821246.46</v>
      </c>
      <c r="E23" s="9">
        <f t="shared" si="2"/>
        <v>295</v>
      </c>
      <c r="F23" s="10">
        <f>'Prestige Patterns'!$B$5*('Prestige Patterns'!$B$6^E22-'Prestige Patterns'!$B$6^(E22+G23))/(1-'Prestige Patterns'!$B$6)</f>
        <v>13251910.07</v>
      </c>
      <c r="G23" s="13">
        <f>floor(LOG('Prestige Patterns'!$B$6^(E22) - (D22*(1-'Prestige Patterns'!$B$6)/'Prestige Patterns'!$B$5),'Prestige Patterns'!$B$6)-E22,1)</f>
        <v>2</v>
      </c>
      <c r="H23" s="12">
        <f t="shared" si="3"/>
        <v>0</v>
      </c>
      <c r="I23" s="11">
        <f>1+H23*'Prestige Patterns'!$B$25</f>
        <v>1</v>
      </c>
      <c r="J23" s="12">
        <f>floor((K23/'Prestige Patterns'!$B$22)^'Prestige Patterns'!$B$23,1)-H22</f>
        <v>39</v>
      </c>
      <c r="K23" s="8">
        <f>K22+N22*'Prestige Patterns'!$B$20</f>
        <v>156360000</v>
      </c>
      <c r="L23" s="8">
        <f>if(J22&gt;='Prestige Patterns'!$B$28,if(J22/(H22+1)&gt;('Prestige Patterns'!$B$27+1),L22+1,L22),L22)</f>
        <v>0</v>
      </c>
      <c r="N23" s="12">
        <f t="shared" si="1"/>
        <v>377600</v>
      </c>
      <c r="O23" s="9">
        <f>'Prestige Patterns'!$B$4*E23</f>
        <v>5900</v>
      </c>
      <c r="P23" s="12">
        <f t="shared" si="4"/>
        <v>64</v>
      </c>
      <c r="Q23" s="11"/>
      <c r="R23" s="11"/>
      <c r="S23" s="9">
        <v>22.0</v>
      </c>
      <c r="T23" s="11"/>
    </row>
    <row r="24" ht="15.75" customHeight="1">
      <c r="A24" s="7"/>
      <c r="B24" s="7"/>
      <c r="C24" s="7">
        <f>(S24*'Prestige Patterns'!$B$20)/60</f>
        <v>11.5</v>
      </c>
      <c r="D24" s="8">
        <f>if(L23=L24,N23*'Prestige Patterns'!$B$20+D23-F24,0)</f>
        <v>18022304.59</v>
      </c>
      <c r="E24" s="9">
        <f t="shared" si="2"/>
        <v>296</v>
      </c>
      <c r="F24" s="10">
        <f>'Prestige Patterns'!$B$5*('Prestige Patterns'!$B$6^E23-'Prestige Patterns'!$B$6^(E23+G24))/(1-'Prestige Patterns'!$B$6)</f>
        <v>7126941.877</v>
      </c>
      <c r="G24" s="13">
        <f>floor(LOG('Prestige Patterns'!$B$6^(E23) - (D23*(1-'Prestige Patterns'!$B$6)/'Prestige Patterns'!$B$5),'Prestige Patterns'!$B$6)-E23,1)</f>
        <v>1</v>
      </c>
      <c r="H24" s="12">
        <f t="shared" si="3"/>
        <v>0</v>
      </c>
      <c r="I24" s="11">
        <f>1+H24*'Prestige Patterns'!$B$25</f>
        <v>1</v>
      </c>
      <c r="J24" s="12">
        <f>floor((K24/'Prestige Patterns'!$B$22)^'Prestige Patterns'!$B$23,1)-H23</f>
        <v>40</v>
      </c>
      <c r="K24" s="8">
        <f>K23+N23*'Prestige Patterns'!$B$20</f>
        <v>167688000</v>
      </c>
      <c r="L24" s="8">
        <f>if(J23&gt;='Prestige Patterns'!$B$28,if(J23/(H23+1)&gt;('Prestige Patterns'!$B$27+1),L23+1,L23),L23)</f>
        <v>0</v>
      </c>
      <c r="N24" s="12">
        <f t="shared" si="1"/>
        <v>378880</v>
      </c>
      <c r="O24" s="9">
        <f>'Prestige Patterns'!$B$4*E24</f>
        <v>5920</v>
      </c>
      <c r="P24" s="12">
        <f t="shared" si="4"/>
        <v>64</v>
      </c>
      <c r="Q24" s="11"/>
      <c r="R24" s="11"/>
      <c r="S24" s="9">
        <v>23.0</v>
      </c>
      <c r="T24" s="11"/>
    </row>
    <row r="25" ht="15.75" customHeight="1">
      <c r="A25" s="7"/>
      <c r="B25" s="7"/>
      <c r="C25" s="7">
        <f>(S25*'Prestige Patterns'!$B$20)/60</f>
        <v>12</v>
      </c>
      <c r="D25" s="8">
        <f>if(L24=L25,N24*'Prestige Patterns'!$B$20+D24-F25,0)</f>
        <v>14047962.2</v>
      </c>
      <c r="E25" s="9">
        <f t="shared" si="2"/>
        <v>298</v>
      </c>
      <c r="F25" s="10">
        <f>'Prestige Patterns'!$B$5*('Prestige Patterns'!$B$6^E24-'Prestige Patterns'!$B$6^(E24+G25))/(1-'Prestige Patterns'!$B$6)</f>
        <v>15340742.39</v>
      </c>
      <c r="G25" s="13">
        <f>floor(LOG('Prestige Patterns'!$B$6^(E24) - (D24*(1-'Prestige Patterns'!$B$6)/'Prestige Patterns'!$B$5),'Prestige Patterns'!$B$6)-E24,1)</f>
        <v>2</v>
      </c>
      <c r="H25" s="12">
        <f t="shared" si="3"/>
        <v>0</v>
      </c>
      <c r="I25" s="11">
        <f>1+H25*'Prestige Patterns'!$B$25</f>
        <v>1</v>
      </c>
      <c r="J25" s="12">
        <f>floor((K25/'Prestige Patterns'!$B$22)^'Prestige Patterns'!$B$23,1)-H24</f>
        <v>42</v>
      </c>
      <c r="K25" s="8">
        <f>K24+N24*'Prestige Patterns'!$B$20</f>
        <v>179054400</v>
      </c>
      <c r="L25" s="8">
        <f>if(J24&gt;='Prestige Patterns'!$B$28,if(J24/(H24+1)&gt;('Prestige Patterns'!$B$27+1),L24+1,L24),L24)</f>
        <v>0</v>
      </c>
      <c r="N25" s="12">
        <f t="shared" si="1"/>
        <v>381440</v>
      </c>
      <c r="O25" s="9">
        <f>'Prestige Patterns'!$B$4*E25</f>
        <v>5960</v>
      </c>
      <c r="P25" s="12">
        <f t="shared" si="4"/>
        <v>64</v>
      </c>
      <c r="Q25" s="11"/>
      <c r="R25" s="11"/>
      <c r="S25" s="9">
        <v>24.0</v>
      </c>
      <c r="T25" s="11"/>
    </row>
    <row r="26" ht="15.75" customHeight="1">
      <c r="A26" s="7"/>
      <c r="B26" s="7"/>
      <c r="C26" s="7">
        <f>(S26*'Prestige Patterns'!$B$20)/60</f>
        <v>12.5</v>
      </c>
      <c r="D26" s="8">
        <f>if(L25=L26,N25*'Prestige Patterns'!$B$20+D25-F26,0)</f>
        <v>17240836.11</v>
      </c>
      <c r="E26" s="9">
        <f t="shared" si="2"/>
        <v>299</v>
      </c>
      <c r="F26" s="10">
        <f>'Prestige Patterns'!$B$5*('Prestige Patterns'!$B$6^E25-'Prestige Patterns'!$B$6^(E25+G26))/(1-'Prestige Patterns'!$B$6)</f>
        <v>8250326.09</v>
      </c>
      <c r="G26" s="13">
        <f>floor(LOG('Prestige Patterns'!$B$6^(E25) - (D25*(1-'Prestige Patterns'!$B$6)/'Prestige Patterns'!$B$5),'Prestige Patterns'!$B$6)-E25,1)</f>
        <v>1</v>
      </c>
      <c r="H26" s="12">
        <f t="shared" si="3"/>
        <v>0</v>
      </c>
      <c r="I26" s="11">
        <f>1+H26*'Prestige Patterns'!$B$25</f>
        <v>1</v>
      </c>
      <c r="J26" s="12">
        <f>floor((K26/'Prestige Patterns'!$B$22)^'Prestige Patterns'!$B$23,1)-H25</f>
        <v>43</v>
      </c>
      <c r="K26" s="8">
        <f>K25+N25*'Prestige Patterns'!$B$20</f>
        <v>190497600</v>
      </c>
      <c r="L26" s="8">
        <f>if(J25&gt;='Prestige Patterns'!$B$28,if(J25/(H25+1)&gt;('Prestige Patterns'!$B$27+1),L25+1,L25),L25)</f>
        <v>0</v>
      </c>
      <c r="N26" s="12">
        <f t="shared" si="1"/>
        <v>382720</v>
      </c>
      <c r="O26" s="9">
        <f>'Prestige Patterns'!$B$4*E26</f>
        <v>5980</v>
      </c>
      <c r="P26" s="12">
        <f t="shared" si="4"/>
        <v>64</v>
      </c>
      <c r="Q26" s="11"/>
      <c r="R26" s="11"/>
      <c r="S26" s="9">
        <v>25.0</v>
      </c>
      <c r="T26" s="11"/>
    </row>
    <row r="27" ht="15.75" customHeight="1">
      <c r="A27" s="7"/>
      <c r="B27" s="7"/>
      <c r="C27" s="7">
        <f>(S27*'Prestige Patterns'!$B$20)/60</f>
        <v>13</v>
      </c>
      <c r="D27" s="8">
        <f>if(L26=L27,N26*'Prestige Patterns'!$B$20+D26-F27,0)</f>
        <v>20059593.71</v>
      </c>
      <c r="E27" s="9">
        <f t="shared" si="2"/>
        <v>300</v>
      </c>
      <c r="F27" s="10">
        <f>'Prestige Patterns'!$B$5*('Prestige Patterns'!$B$6^E26-'Prestige Patterns'!$B$6^(E26+G27))/(1-'Prestige Patterns'!$B$6)</f>
        <v>8662842.395</v>
      </c>
      <c r="G27" s="13">
        <f>floor(LOG('Prestige Patterns'!$B$6^(E26) - (D26*(1-'Prestige Patterns'!$B$6)/'Prestige Patterns'!$B$5),'Prestige Patterns'!$B$6)-E26,1)</f>
        <v>1</v>
      </c>
      <c r="H27" s="12">
        <f t="shared" si="3"/>
        <v>0</v>
      </c>
      <c r="I27" s="11">
        <f>1+H27*'Prestige Patterns'!$B$25</f>
        <v>1</v>
      </c>
      <c r="J27" s="12">
        <f>floor((K27/'Prestige Patterns'!$B$22)^'Prestige Patterns'!$B$23,1)-H26</f>
        <v>44</v>
      </c>
      <c r="K27" s="8">
        <f>K26+N26*'Prestige Patterns'!$B$20</f>
        <v>201979200</v>
      </c>
      <c r="L27" s="8">
        <f>if(J26&gt;='Prestige Patterns'!$B$28,if(J26/(H26+1)&gt;('Prestige Patterns'!$B$27+1),L26+1,L26),L26)</f>
        <v>0</v>
      </c>
      <c r="N27" s="12">
        <f t="shared" si="1"/>
        <v>3072000</v>
      </c>
      <c r="O27" s="9">
        <f>'Prestige Patterns'!$B$4*E27</f>
        <v>6000</v>
      </c>
      <c r="P27" s="12">
        <f t="shared" si="4"/>
        <v>512</v>
      </c>
      <c r="Q27" s="11"/>
      <c r="R27" s="11"/>
      <c r="S27" s="9">
        <v>26.0</v>
      </c>
      <c r="T27" s="11"/>
    </row>
    <row r="28" ht="15.75" customHeight="1">
      <c r="A28" s="7"/>
      <c r="B28" s="7"/>
      <c r="C28" s="7">
        <f>(S28*'Prestige Patterns'!$B$20)/60</f>
        <v>13.5</v>
      </c>
      <c r="D28" s="8">
        <f>if(L27=L28,N27*'Prestige Patterns'!$B$20+D27-F28,0)</f>
        <v>93572825.46</v>
      </c>
      <c r="E28" s="9">
        <f t="shared" si="2"/>
        <v>302</v>
      </c>
      <c r="F28" s="10">
        <f>'Prestige Patterns'!$B$5*('Prestige Patterns'!$B$6^E27-'Prestige Patterns'!$B$6^(E27+G28))/(1-'Prestige Patterns'!$B$6)</f>
        <v>18646768.25</v>
      </c>
      <c r="G28" s="13">
        <f>floor(LOG('Prestige Patterns'!$B$6^(E27) - (D27*(1-'Prestige Patterns'!$B$6)/'Prestige Patterns'!$B$5),'Prestige Patterns'!$B$6)-E27,1)</f>
        <v>2</v>
      </c>
      <c r="H28" s="12">
        <f t="shared" si="3"/>
        <v>0</v>
      </c>
      <c r="I28" s="11">
        <f>1+H28*'Prestige Patterns'!$B$25</f>
        <v>1</v>
      </c>
      <c r="J28" s="12">
        <f>floor((K28/'Prestige Patterns'!$B$22)^'Prestige Patterns'!$B$23,1)-H27</f>
        <v>54</v>
      </c>
      <c r="K28" s="8">
        <f>K27+N27*'Prestige Patterns'!$B$20</f>
        <v>294139200</v>
      </c>
      <c r="L28" s="8">
        <f>if(J27&gt;='Prestige Patterns'!$B$28,if(J27/(H27+1)&gt;('Prestige Patterns'!$B$27+1),L27+1,L27),L27)</f>
        <v>0</v>
      </c>
      <c r="N28" s="12">
        <f t="shared" si="1"/>
        <v>3092480</v>
      </c>
      <c r="O28" s="9">
        <f>'Prestige Patterns'!$B$4*E28</f>
        <v>6040</v>
      </c>
      <c r="P28" s="12">
        <f t="shared" si="4"/>
        <v>512</v>
      </c>
      <c r="Q28" s="11"/>
      <c r="R28" s="11"/>
      <c r="S28" s="9">
        <v>27.0</v>
      </c>
      <c r="T28" s="11"/>
    </row>
    <row r="29" ht="15.75" customHeight="1">
      <c r="A29" s="7"/>
      <c r="B29" s="7"/>
      <c r="C29" s="7">
        <f>(S29*'Prestige Patterns'!$B$20)/60</f>
        <v>14</v>
      </c>
      <c r="D29" s="8">
        <f>if(L28=L29,N28*'Prestige Patterns'!$B$20+D28-F29,0)</f>
        <v>0</v>
      </c>
      <c r="E29" s="9">
        <f t="shared" si="2"/>
        <v>1</v>
      </c>
      <c r="F29" s="10">
        <f>'Prestige Patterns'!$B$5*('Prestige Patterns'!$B$6^E28-'Prestige Patterns'!$B$6^(E28+G29))/(1-'Prestige Patterns'!$B$6)</f>
        <v>81650690.04</v>
      </c>
      <c r="G29" s="13">
        <f>floor(LOG('Prestige Patterns'!$B$6^(E28) - (D28*(1-'Prestige Patterns'!$B$6)/'Prestige Patterns'!$B$5),'Prestige Patterns'!$B$6)-E28,1)</f>
        <v>7</v>
      </c>
      <c r="H29" s="12">
        <f t="shared" si="3"/>
        <v>54</v>
      </c>
      <c r="I29" s="11">
        <f>1+H29*'Prestige Patterns'!$B$25</f>
        <v>1.54</v>
      </c>
      <c r="J29" s="12">
        <f>floor((K29/'Prestige Patterns'!$B$22)^'Prestige Patterns'!$B$23,1)-H28</f>
        <v>62</v>
      </c>
      <c r="K29" s="8">
        <f>K28+N28*'Prestige Patterns'!$B$20</f>
        <v>386913600</v>
      </c>
      <c r="L29" s="8">
        <f>if(J28&gt;='Prestige Patterns'!$B$28,if(J28/(H28+1)&gt;('Prestige Patterns'!$B$27+1),L28+1,L28),L28)</f>
        <v>1</v>
      </c>
      <c r="N29" s="12">
        <f t="shared" si="1"/>
        <v>15769.6</v>
      </c>
      <c r="O29" s="9">
        <f>'Prestige Patterns'!$B$4*E29</f>
        <v>20</v>
      </c>
      <c r="P29" s="12">
        <f t="shared" si="4"/>
        <v>512</v>
      </c>
      <c r="Q29" s="11"/>
      <c r="R29" s="11"/>
      <c r="S29" s="9">
        <v>28.0</v>
      </c>
      <c r="T29" s="11"/>
    </row>
    <row r="30" ht="15.75" customHeight="1">
      <c r="A30" s="7"/>
      <c r="B30" s="7"/>
      <c r="C30" s="7">
        <f>(S30*'Prestige Patterns'!$B$20)/60</f>
        <v>14.5</v>
      </c>
      <c r="D30" s="8">
        <f>if(L29=L30,N29*'Prestige Patterns'!$B$20+D29-F30,0)</f>
        <v>473088</v>
      </c>
      <c r="E30" s="9">
        <f t="shared" si="2"/>
        <v>1</v>
      </c>
      <c r="F30" s="10">
        <f>'Prestige Patterns'!$B$5*('Prestige Patterns'!$B$6^E29-'Prestige Patterns'!$B$6^(E29+G30))/(1-'Prestige Patterns'!$B$6)</f>
        <v>0</v>
      </c>
      <c r="G30" s="13">
        <f>floor(LOG('Prestige Patterns'!$B$6^(E29) - (D29*(1-'Prestige Patterns'!$B$6)/'Prestige Patterns'!$B$5),'Prestige Patterns'!$B$6)-E29,1)</f>
        <v>0</v>
      </c>
      <c r="H30" s="12">
        <f t="shared" si="3"/>
        <v>54</v>
      </c>
      <c r="I30" s="11">
        <f>1+H30*'Prestige Patterns'!$B$25</f>
        <v>1.54</v>
      </c>
      <c r="J30" s="12">
        <f>floor((K30/'Prestige Patterns'!$B$22)^'Prestige Patterns'!$B$23,1)-H29</f>
        <v>8</v>
      </c>
      <c r="K30" s="8">
        <f>K29+N29*'Prestige Patterns'!$B$20</f>
        <v>387386688</v>
      </c>
      <c r="L30" s="8">
        <f>if(J29&gt;='Prestige Patterns'!$B$28,if(J29/(H29+1)&gt;('Prestige Patterns'!$B$27+1),L29+1,L29),L29)</f>
        <v>1</v>
      </c>
      <c r="N30" s="12">
        <f t="shared" si="1"/>
        <v>15769.6</v>
      </c>
      <c r="O30" s="9">
        <f>'Prestige Patterns'!$B$4*E30</f>
        <v>20</v>
      </c>
      <c r="P30" s="12">
        <f t="shared" si="4"/>
        <v>512</v>
      </c>
      <c r="Q30" s="11"/>
      <c r="R30" s="11"/>
      <c r="S30" s="9">
        <v>29.0</v>
      </c>
      <c r="T30" s="11"/>
    </row>
    <row r="31" ht="15.75" customHeight="1">
      <c r="A31" s="7"/>
      <c r="B31" s="7"/>
      <c r="C31" s="7">
        <f>(S31*'Prestige Patterns'!$B$20)/60</f>
        <v>15</v>
      </c>
      <c r="D31" s="8">
        <f>if(L30=L31,N30*'Prestige Patterns'!$B$20+D30-F31,0)</f>
        <v>473342.6782</v>
      </c>
      <c r="E31" s="9">
        <f t="shared" si="2"/>
        <v>178</v>
      </c>
      <c r="F31" s="10">
        <f>'Prestige Patterns'!$B$5*('Prestige Patterns'!$B$6^E30-'Prestige Patterns'!$B$6^(E30+G31))/(1-'Prestige Patterns'!$B$6)</f>
        <v>472833.3218</v>
      </c>
      <c r="G31" s="13">
        <f>floor(LOG('Prestige Patterns'!$B$6^(E30) - (D30*(1-'Prestige Patterns'!$B$6)/'Prestige Patterns'!$B$5),'Prestige Patterns'!$B$6)-E30,1)</f>
        <v>177</v>
      </c>
      <c r="H31" s="12">
        <f t="shared" si="3"/>
        <v>54</v>
      </c>
      <c r="I31" s="11">
        <f>1+H31*'Prestige Patterns'!$B$25</f>
        <v>1.54</v>
      </c>
      <c r="J31" s="12">
        <f>floor((K31/'Prestige Patterns'!$B$22)^'Prestige Patterns'!$B$23,1)-H30</f>
        <v>8</v>
      </c>
      <c r="K31" s="8">
        <f>K30+N30*'Prestige Patterns'!$B$20</f>
        <v>387859776</v>
      </c>
      <c r="L31" s="8">
        <f>if(J30&gt;='Prestige Patterns'!$B$28,if(J30/(H30+1)&gt;('Prestige Patterns'!$B$27+1),L30+1,L30),L30)</f>
        <v>1</v>
      </c>
      <c r="N31" s="12">
        <f t="shared" si="1"/>
        <v>87718.4</v>
      </c>
      <c r="O31" s="9">
        <f>'Prestige Patterns'!$B$4*E31</f>
        <v>3560</v>
      </c>
      <c r="P31" s="12">
        <f t="shared" si="4"/>
        <v>16</v>
      </c>
      <c r="Q31" s="11"/>
      <c r="R31" s="11"/>
      <c r="S31" s="9">
        <v>30.0</v>
      </c>
      <c r="T31" s="11"/>
    </row>
    <row r="32" ht="15.75" customHeight="1">
      <c r="A32" s="7"/>
      <c r="B32" s="7"/>
      <c r="C32" s="7">
        <f>(S32*'Prestige Patterns'!$B$20)/60</f>
        <v>15.5</v>
      </c>
      <c r="D32" s="8">
        <f>if(L31=L32,N31*'Prestige Patterns'!$B$20+D31-F32,0)</f>
        <v>2641468.051</v>
      </c>
      <c r="E32" s="9">
        <f t="shared" si="2"/>
        <v>192</v>
      </c>
      <c r="F32" s="10">
        <f>'Prestige Patterns'!$B$5*('Prestige Patterns'!$B$6^E31-'Prestige Patterns'!$B$6^(E31+G32))/(1-'Prestige Patterns'!$B$6)</f>
        <v>463426.6275</v>
      </c>
      <c r="G32" s="13">
        <f>floor(LOG('Prestige Patterns'!$B$6^(E31) - (D31*(1-'Prestige Patterns'!$B$6)/'Prestige Patterns'!$B$5),'Prestige Patterns'!$B$6)-E31,1)</f>
        <v>14</v>
      </c>
      <c r="H32" s="12">
        <f t="shared" si="3"/>
        <v>54</v>
      </c>
      <c r="I32" s="11">
        <f>1+H32*'Prestige Patterns'!$B$25</f>
        <v>1.54</v>
      </c>
      <c r="J32" s="12">
        <f>floor((K32/'Prestige Patterns'!$B$22)^'Prestige Patterns'!$B$23,1)-H31</f>
        <v>8</v>
      </c>
      <c r="K32" s="8">
        <f>K31+N31*'Prestige Patterns'!$B$20</f>
        <v>390491328</v>
      </c>
      <c r="L32" s="8">
        <f>if(J31&gt;='Prestige Patterns'!$B$28,if(J31/(H31+1)&gt;('Prestige Patterns'!$B$27+1),L31+1,L31),L31)</f>
        <v>1</v>
      </c>
      <c r="N32" s="12">
        <f t="shared" si="1"/>
        <v>94617.6</v>
      </c>
      <c r="O32" s="9">
        <f>'Prestige Patterns'!$B$4*E32</f>
        <v>3840</v>
      </c>
      <c r="P32" s="12">
        <f t="shared" si="4"/>
        <v>16</v>
      </c>
      <c r="Q32" s="11"/>
      <c r="R32" s="11"/>
      <c r="S32" s="9">
        <v>31.0</v>
      </c>
      <c r="T32" s="11"/>
    </row>
    <row r="33" ht="15.75" customHeight="1">
      <c r="A33" s="7"/>
      <c r="B33" s="7"/>
      <c r="C33" s="7">
        <f>(S33*'Prestige Patterns'!$B$20)/60</f>
        <v>16</v>
      </c>
      <c r="D33" s="8">
        <f>if(L32=L33,N32*'Prestige Patterns'!$B$20+D32-F33,0)</f>
        <v>2920540.762</v>
      </c>
      <c r="E33" s="9">
        <f t="shared" si="2"/>
        <v>219</v>
      </c>
      <c r="F33" s="10">
        <f>'Prestige Patterns'!$B$5*('Prestige Patterns'!$B$6^E32-'Prestige Patterns'!$B$6^(E32+G33))/(1-'Prestige Patterns'!$B$6)</f>
        <v>2559455.288</v>
      </c>
      <c r="G33" s="13">
        <f>floor(LOG('Prestige Patterns'!$B$6^(E32) - (D32*(1-'Prestige Patterns'!$B$6)/'Prestige Patterns'!$B$5),'Prestige Patterns'!$B$6)-E32,1)</f>
        <v>27</v>
      </c>
      <c r="H33" s="12">
        <f t="shared" si="3"/>
        <v>54</v>
      </c>
      <c r="I33" s="11">
        <f>1+H33*'Prestige Patterns'!$B$25</f>
        <v>1.54</v>
      </c>
      <c r="J33" s="12">
        <f>floor((K33/'Prestige Patterns'!$B$22)^'Prestige Patterns'!$B$23,1)-H32</f>
        <v>8</v>
      </c>
      <c r="K33" s="8">
        <f>K32+N32*'Prestige Patterns'!$B$20</f>
        <v>393329856</v>
      </c>
      <c r="L33" s="8">
        <f>if(J32&gt;='Prestige Patterns'!$B$28,if(J32/(H32+1)&gt;('Prestige Patterns'!$B$27+1),L32+1,L32),L32)</f>
        <v>1</v>
      </c>
      <c r="N33" s="12">
        <f t="shared" si="1"/>
        <v>431692.8</v>
      </c>
      <c r="O33" s="9">
        <f>'Prestige Patterns'!$B$4*E33</f>
        <v>4380</v>
      </c>
      <c r="P33" s="12">
        <f t="shared" si="4"/>
        <v>64</v>
      </c>
      <c r="Q33" s="11"/>
      <c r="R33" s="11"/>
      <c r="S33" s="9">
        <v>32.0</v>
      </c>
      <c r="T33" s="11"/>
    </row>
    <row r="34" ht="15.75" customHeight="1">
      <c r="A34" s="7"/>
      <c r="B34" s="7"/>
      <c r="C34" s="7">
        <f>(S34*'Prestige Patterns'!$B$20)/60</f>
        <v>16.5</v>
      </c>
      <c r="D34" s="8">
        <f>if(L33=L34,N33*'Prestige Patterns'!$B$20+D33-F34,0)</f>
        <v>13089170.82</v>
      </c>
      <c r="E34" s="9">
        <f t="shared" si="2"/>
        <v>231</v>
      </c>
      <c r="F34" s="10">
        <f>'Prestige Patterns'!$B$5*('Prestige Patterns'!$B$6^E33-'Prestige Patterns'!$B$6^(E33+G34))/(1-'Prestige Patterns'!$B$6)</f>
        <v>2782153.938</v>
      </c>
      <c r="G34" s="13">
        <f>floor(LOG('Prestige Patterns'!$B$6^(E33) - (D33*(1-'Prestige Patterns'!$B$6)/'Prestige Patterns'!$B$5),'Prestige Patterns'!$B$6)-E33,1)</f>
        <v>12</v>
      </c>
      <c r="H34" s="12">
        <f t="shared" si="3"/>
        <v>54</v>
      </c>
      <c r="I34" s="11">
        <f>1+H34*'Prestige Patterns'!$B$25</f>
        <v>1.54</v>
      </c>
      <c r="J34" s="12">
        <f>floor((K34/'Prestige Patterns'!$B$22)^'Prestige Patterns'!$B$23,1)-H33</f>
        <v>9</v>
      </c>
      <c r="K34" s="8">
        <f>K33+N33*'Prestige Patterns'!$B$20</f>
        <v>406280640</v>
      </c>
      <c r="L34" s="8">
        <f>if(J33&gt;='Prestige Patterns'!$B$28,if(J33/(H33+1)&gt;('Prestige Patterns'!$B$27+1),L33+1,L33),L33)</f>
        <v>1</v>
      </c>
      <c r="N34" s="12">
        <f t="shared" si="1"/>
        <v>455347.2</v>
      </c>
      <c r="O34" s="9">
        <f>'Prestige Patterns'!$B$4*E34</f>
        <v>4620</v>
      </c>
      <c r="P34" s="12">
        <f t="shared" si="4"/>
        <v>64</v>
      </c>
      <c r="Q34" s="11"/>
      <c r="R34" s="11"/>
      <c r="S34" s="9">
        <v>33.0</v>
      </c>
      <c r="T34" s="11"/>
    </row>
    <row r="35" ht="15.75" customHeight="1">
      <c r="A35" s="7"/>
      <c r="B35" s="7"/>
      <c r="C35" s="7">
        <f>(S35*'Prestige Patterns'!$B$20)/60</f>
        <v>17</v>
      </c>
      <c r="D35" s="8">
        <f>if(L34=L35,N34*'Prestige Patterns'!$B$20+D34-F35,0)</f>
        <v>13744657.68</v>
      </c>
      <c r="E35" s="9">
        <f t="shared" si="2"/>
        <v>254</v>
      </c>
      <c r="F35" s="10">
        <f>'Prestige Patterns'!$B$5*('Prestige Patterns'!$B$6^E34-'Prestige Patterns'!$B$6^(E34+G35))/(1-'Prestige Patterns'!$B$6)</f>
        <v>13004929.14</v>
      </c>
      <c r="G35" s="13">
        <f>floor(LOG('Prestige Patterns'!$B$6^(E34) - (D34*(1-'Prestige Patterns'!$B$6)/'Prestige Patterns'!$B$5),'Prestige Patterns'!$B$6)-E34,1)</f>
        <v>23</v>
      </c>
      <c r="H35" s="12">
        <f t="shared" si="3"/>
        <v>54</v>
      </c>
      <c r="I35" s="11">
        <f>1+H35*'Prestige Patterns'!$B$25</f>
        <v>1.54</v>
      </c>
      <c r="J35" s="12">
        <f>floor((K35/'Prestige Patterns'!$B$22)^'Prestige Patterns'!$B$23,1)-H34</f>
        <v>10</v>
      </c>
      <c r="K35" s="8">
        <f>K34+N34*'Prestige Patterns'!$B$20</f>
        <v>419941056</v>
      </c>
      <c r="L35" s="8">
        <f>if(J34&gt;='Prestige Patterns'!$B$28,if(J34/(H34+1)&gt;('Prestige Patterns'!$B$27+1),L34+1,L34),L34)</f>
        <v>1</v>
      </c>
      <c r="N35" s="12">
        <f t="shared" si="1"/>
        <v>500684.8</v>
      </c>
      <c r="O35" s="9">
        <f>'Prestige Patterns'!$B$4*E35</f>
        <v>5080</v>
      </c>
      <c r="P35" s="12">
        <f t="shared" si="4"/>
        <v>64</v>
      </c>
      <c r="Q35" s="11"/>
      <c r="R35" s="11"/>
      <c r="S35" s="9">
        <v>34.0</v>
      </c>
      <c r="T35" s="11"/>
    </row>
    <row r="36" ht="15.75" customHeight="1">
      <c r="A36" s="7"/>
      <c r="B36" s="7"/>
      <c r="C36" s="7">
        <f>(S36*'Prestige Patterns'!$B$20)/60</f>
        <v>17.5</v>
      </c>
      <c r="D36" s="8">
        <f>if(L35=L36,N35*'Prestige Patterns'!$B$20+D35-F36,0)</f>
        <v>15067811.44</v>
      </c>
      <c r="E36" s="9">
        <f t="shared" si="2"/>
        <v>265</v>
      </c>
      <c r="F36" s="10">
        <f>'Prestige Patterns'!$B$5*('Prestige Patterns'!$B$6^E35-'Prestige Patterns'!$B$6^(E35+G36))/(1-'Prestige Patterns'!$B$6)</f>
        <v>13697390.25</v>
      </c>
      <c r="G36" s="13">
        <f>floor(LOG('Prestige Patterns'!$B$6^(E35) - (D35*(1-'Prestige Patterns'!$B$6)/'Prestige Patterns'!$B$5),'Prestige Patterns'!$B$6)-E35,1)</f>
        <v>11</v>
      </c>
      <c r="H36" s="12">
        <f t="shared" si="3"/>
        <v>54</v>
      </c>
      <c r="I36" s="11">
        <f>1+H36*'Prestige Patterns'!$B$25</f>
        <v>1.54</v>
      </c>
      <c r="J36" s="12">
        <f>floor((K36/'Prestige Patterns'!$B$22)^'Prestige Patterns'!$B$23,1)-H35</f>
        <v>11</v>
      </c>
      <c r="K36" s="8">
        <f>K35+N35*'Prestige Patterns'!$B$20</f>
        <v>434961600</v>
      </c>
      <c r="L36" s="8">
        <f>if(J35&gt;='Prestige Patterns'!$B$28,if(J35/(H35+1)&gt;('Prestige Patterns'!$B$27+1),L35+1,L35),L35)</f>
        <v>1</v>
      </c>
      <c r="N36" s="12">
        <f t="shared" si="1"/>
        <v>522368</v>
      </c>
      <c r="O36" s="9">
        <f>'Prestige Patterns'!$B$4*E36</f>
        <v>5300</v>
      </c>
      <c r="P36" s="12">
        <f t="shared" si="4"/>
        <v>64</v>
      </c>
      <c r="Q36" s="11"/>
      <c r="R36" s="11"/>
      <c r="S36" s="9">
        <v>35.0</v>
      </c>
      <c r="T36" s="11"/>
    </row>
    <row r="37" ht="15.75" customHeight="1">
      <c r="A37" s="7"/>
      <c r="B37" s="7"/>
      <c r="C37" s="7">
        <f>(S37*'Prestige Patterns'!$B$20)/60</f>
        <v>18</v>
      </c>
      <c r="D37" s="8">
        <f>if(L36=L37,N36*'Prestige Patterns'!$B$20+D36-F37,0)</f>
        <v>17312568.54</v>
      </c>
      <c r="E37" s="9">
        <f t="shared" si="2"/>
        <v>272</v>
      </c>
      <c r="F37" s="10">
        <f>'Prestige Patterns'!$B$5*('Prestige Patterns'!$B$6^E36-'Prestige Patterns'!$B$6^(E36+G37))/(1-'Prestige Patterns'!$B$6)</f>
        <v>13426282.9</v>
      </c>
      <c r="G37" s="13">
        <f>floor(LOG('Prestige Patterns'!$B$6^(E36) - (D36*(1-'Prestige Patterns'!$B$6)/'Prestige Patterns'!$B$5),'Prestige Patterns'!$B$6)-E36,1)</f>
        <v>7</v>
      </c>
      <c r="H37" s="12">
        <f t="shared" si="3"/>
        <v>54</v>
      </c>
      <c r="I37" s="11">
        <f>1+H37*'Prestige Patterns'!$B$25</f>
        <v>1.54</v>
      </c>
      <c r="J37" s="12">
        <f>floor((K37/'Prestige Patterns'!$B$22)^'Prestige Patterns'!$B$23,1)-H36</f>
        <v>13</v>
      </c>
      <c r="K37" s="8">
        <f>K36+N36*'Prestige Patterns'!$B$20</f>
        <v>450632640</v>
      </c>
      <c r="L37" s="8">
        <f>if(J36&gt;='Prestige Patterns'!$B$28,if(J36/(H36+1)&gt;('Prestige Patterns'!$B$27+1),L36+1,L36),L36)</f>
        <v>1</v>
      </c>
      <c r="N37" s="12">
        <f t="shared" si="1"/>
        <v>536166.4</v>
      </c>
      <c r="O37" s="9">
        <f>'Prestige Patterns'!$B$4*E37</f>
        <v>5440</v>
      </c>
      <c r="P37" s="12">
        <f t="shared" si="4"/>
        <v>64</v>
      </c>
      <c r="Q37" s="11"/>
      <c r="R37" s="11"/>
      <c r="S37" s="9">
        <v>36.0</v>
      </c>
      <c r="T37" s="11"/>
    </row>
    <row r="38" ht="15.75" customHeight="1">
      <c r="A38" s="7"/>
      <c r="B38" s="7"/>
      <c r="C38" s="7">
        <f>(S38*'Prestige Patterns'!$B$20)/60</f>
        <v>18.5</v>
      </c>
      <c r="D38" s="8">
        <f>if(L37=L38,N37*'Prestige Patterns'!$B$20+D37-F38,0)</f>
        <v>17614893.33</v>
      </c>
      <c r="E38" s="9">
        <f t="shared" si="2"/>
        <v>278</v>
      </c>
      <c r="F38" s="10">
        <f>'Prestige Patterns'!$B$5*('Prestige Patterns'!$B$6^E37-'Prestige Patterns'!$B$6^(E37+G38))/(1-'Prestige Patterns'!$B$6)</f>
        <v>15782667.21</v>
      </c>
      <c r="G38" s="13">
        <f>floor(LOG('Prestige Patterns'!$B$6^(E37) - (D37*(1-'Prestige Patterns'!$B$6)/'Prestige Patterns'!$B$5),'Prestige Patterns'!$B$6)-E37,1)</f>
        <v>6</v>
      </c>
      <c r="H38" s="12">
        <f t="shared" si="3"/>
        <v>54</v>
      </c>
      <c r="I38" s="11">
        <f>1+H38*'Prestige Patterns'!$B$25</f>
        <v>1.54</v>
      </c>
      <c r="J38" s="12">
        <f>floor((K38/'Prestige Patterns'!$B$22)^'Prestige Patterns'!$B$23,1)-H37</f>
        <v>14</v>
      </c>
      <c r="K38" s="8">
        <f>K37+N37*'Prestige Patterns'!$B$20</f>
        <v>466717632</v>
      </c>
      <c r="L38" s="8">
        <f>if(J37&gt;='Prestige Patterns'!$B$28,if(J37/(H37+1)&gt;('Prestige Patterns'!$B$27+1),L37+1,L37),L37)</f>
        <v>1</v>
      </c>
      <c r="N38" s="12">
        <f t="shared" si="1"/>
        <v>547993.6</v>
      </c>
      <c r="O38" s="9">
        <f>'Prestige Patterns'!$B$4*E38</f>
        <v>5560</v>
      </c>
      <c r="P38" s="12">
        <f t="shared" si="4"/>
        <v>64</v>
      </c>
      <c r="Q38" s="11"/>
      <c r="R38" s="11"/>
      <c r="S38" s="9">
        <v>37.0</v>
      </c>
      <c r="T38" s="11"/>
    </row>
    <row r="39" ht="15.75" customHeight="1">
      <c r="A39" s="7"/>
      <c r="B39" s="7"/>
      <c r="C39" s="7">
        <f>(S39*'Prestige Patterns'!$B$20)/60</f>
        <v>19</v>
      </c>
      <c r="D39" s="8">
        <f>if(L38=L39,N38*'Prestige Patterns'!$B$20+D38-F39,0)</f>
        <v>16872965.72</v>
      </c>
      <c r="E39" s="9">
        <f t="shared" si="2"/>
        <v>283</v>
      </c>
      <c r="F39" s="10">
        <f>'Prestige Patterns'!$B$5*('Prestige Patterns'!$B$6^E38-'Prestige Patterns'!$B$6^(E38+G39))/(1-'Prestige Patterns'!$B$6)</f>
        <v>17181735.61</v>
      </c>
      <c r="G39" s="13">
        <f>floor(LOG('Prestige Patterns'!$B$6^(E38) - (D38*(1-'Prestige Patterns'!$B$6)/'Prestige Patterns'!$B$5),'Prestige Patterns'!$B$6)-E38,1)</f>
        <v>5</v>
      </c>
      <c r="H39" s="12">
        <f t="shared" si="3"/>
        <v>54</v>
      </c>
      <c r="I39" s="11">
        <f>1+H39*'Prestige Patterns'!$B$25</f>
        <v>1.54</v>
      </c>
      <c r="J39" s="12">
        <f>floor((K39/'Prestige Patterns'!$B$22)^'Prestige Patterns'!$B$23,1)-H38</f>
        <v>15</v>
      </c>
      <c r="K39" s="8">
        <f>K38+N38*'Prestige Patterns'!$B$20</f>
        <v>483157440</v>
      </c>
      <c r="L39" s="8">
        <f>if(J38&gt;='Prestige Patterns'!$B$28,if(J38/(H38+1)&gt;('Prestige Patterns'!$B$27+1),L38+1,L38),L38)</f>
        <v>1</v>
      </c>
      <c r="N39" s="12">
        <f t="shared" si="1"/>
        <v>557849.6</v>
      </c>
      <c r="O39" s="9">
        <f>'Prestige Patterns'!$B$4*E39</f>
        <v>5660</v>
      </c>
      <c r="P39" s="12">
        <f t="shared" si="4"/>
        <v>64</v>
      </c>
      <c r="Q39" s="11"/>
      <c r="R39" s="11"/>
      <c r="S39" s="9">
        <v>38.0</v>
      </c>
      <c r="T39" s="11"/>
    </row>
    <row r="40" ht="15.75" customHeight="1">
      <c r="A40" s="7"/>
      <c r="B40" s="7"/>
      <c r="C40" s="7">
        <f>(S40*'Prestige Patterns'!$B$20)/60</f>
        <v>19.5</v>
      </c>
      <c r="D40" s="8">
        <f>if(L39=L40,N39*'Prestige Patterns'!$B$20+D39-F40,0)</f>
        <v>21097606.42</v>
      </c>
      <c r="E40" s="9">
        <f t="shared" si="2"/>
        <v>286</v>
      </c>
      <c r="F40" s="10">
        <f>'Prestige Patterns'!$B$5*('Prestige Patterns'!$B$6^E39-'Prestige Patterns'!$B$6^(E39+G40))/(1-'Prestige Patterns'!$B$6)</f>
        <v>12510847.3</v>
      </c>
      <c r="G40" s="13">
        <f>floor(LOG('Prestige Patterns'!$B$6^(E39) - (D39*(1-'Prestige Patterns'!$B$6)/'Prestige Patterns'!$B$5),'Prestige Patterns'!$B$6)-E39,1)</f>
        <v>3</v>
      </c>
      <c r="H40" s="12">
        <f t="shared" si="3"/>
        <v>54</v>
      </c>
      <c r="I40" s="11">
        <f>1+H40*'Prestige Patterns'!$B$25</f>
        <v>1.54</v>
      </c>
      <c r="J40" s="12">
        <f>floor((K40/'Prestige Patterns'!$B$22)^'Prestige Patterns'!$B$23,1)-H39</f>
        <v>16</v>
      </c>
      <c r="K40" s="8">
        <f>K39+N39*'Prestige Patterns'!$B$20</f>
        <v>499892928</v>
      </c>
      <c r="L40" s="8">
        <f>if(J39&gt;='Prestige Patterns'!$B$28,if(J39/(H39+1)&gt;('Prestige Patterns'!$B$27+1),L39+1,L39),L39)</f>
        <v>1</v>
      </c>
      <c r="N40" s="12">
        <f t="shared" si="1"/>
        <v>563763.2</v>
      </c>
      <c r="O40" s="9">
        <f>'Prestige Patterns'!$B$4*E40</f>
        <v>5720</v>
      </c>
      <c r="P40" s="12">
        <f t="shared" si="4"/>
        <v>64</v>
      </c>
      <c r="Q40" s="11"/>
      <c r="R40" s="11"/>
      <c r="S40" s="9">
        <v>39.0</v>
      </c>
      <c r="T40" s="11"/>
    </row>
    <row r="41" ht="15.75" customHeight="1">
      <c r="A41" s="7"/>
      <c r="B41" s="7"/>
      <c r="C41" s="7">
        <f>(S41*'Prestige Patterns'!$B$20)/60</f>
        <v>20</v>
      </c>
      <c r="D41" s="8">
        <f>if(L40=L41,N40*'Prestige Patterns'!$B$20+D40-F41,0)</f>
        <v>18209399.05</v>
      </c>
      <c r="E41" s="9">
        <f t="shared" si="2"/>
        <v>290</v>
      </c>
      <c r="F41" s="10">
        <f>'Prestige Patterns'!$B$5*('Prestige Patterns'!$B$6^E40-'Prestige Patterns'!$B$6^(E40+G41))/(1-'Prestige Patterns'!$B$6)</f>
        <v>19801103.36</v>
      </c>
      <c r="G41" s="13">
        <f>floor(LOG('Prestige Patterns'!$B$6^(E40) - (D40*(1-'Prestige Patterns'!$B$6)/'Prestige Patterns'!$B$5),'Prestige Patterns'!$B$6)-E40,1)</f>
        <v>4</v>
      </c>
      <c r="H41" s="12">
        <f t="shared" si="3"/>
        <v>54</v>
      </c>
      <c r="I41" s="11">
        <f>1+H41*'Prestige Patterns'!$B$25</f>
        <v>1.54</v>
      </c>
      <c r="J41" s="12">
        <f>floor((K41/'Prestige Patterns'!$B$22)^'Prestige Patterns'!$B$23,1)-H40</f>
        <v>17</v>
      </c>
      <c r="K41" s="8">
        <f>K40+N40*'Prestige Patterns'!$B$20</f>
        <v>516805824</v>
      </c>
      <c r="L41" s="8">
        <f>if(J40&gt;='Prestige Patterns'!$B$28,if(J40/(H40+1)&gt;('Prestige Patterns'!$B$27+1),L40+1,L40),L40)</f>
        <v>1</v>
      </c>
      <c r="N41" s="12">
        <f t="shared" si="1"/>
        <v>571648</v>
      </c>
      <c r="O41" s="9">
        <f>'Prestige Patterns'!$B$4*E41</f>
        <v>5800</v>
      </c>
      <c r="P41" s="12">
        <f t="shared" si="4"/>
        <v>64</v>
      </c>
      <c r="Q41" s="11"/>
      <c r="R41" s="11"/>
      <c r="S41" s="9">
        <v>40.0</v>
      </c>
      <c r="T41" s="11"/>
    </row>
    <row r="42" ht="15.75" customHeight="1">
      <c r="A42" s="7"/>
      <c r="B42" s="7"/>
      <c r="C42" s="7">
        <f>(S42*'Prestige Patterns'!$B$20)/60</f>
        <v>20.5</v>
      </c>
      <c r="D42" s="8">
        <f>if(L41=L42,N41*'Prestige Patterns'!$B$20+D41-F42,0)</f>
        <v>17754820.53</v>
      </c>
      <c r="E42" s="9">
        <f t="shared" si="2"/>
        <v>293</v>
      </c>
      <c r="F42" s="10">
        <f>'Prestige Patterns'!$B$5*('Prestige Patterns'!$B$6^E41-'Prestige Patterns'!$B$6^(E41+G42))/(1-'Prestige Patterns'!$B$6)</f>
        <v>17604018.52</v>
      </c>
      <c r="G42" s="13">
        <f>floor(LOG('Prestige Patterns'!$B$6^(E41) - (D41*(1-'Prestige Patterns'!$B$6)/'Prestige Patterns'!$B$5),'Prestige Patterns'!$B$6)-E41,1)</f>
        <v>3</v>
      </c>
      <c r="H42" s="12">
        <f t="shared" si="3"/>
        <v>54</v>
      </c>
      <c r="I42" s="11">
        <f>1+H42*'Prestige Patterns'!$B$25</f>
        <v>1.54</v>
      </c>
      <c r="J42" s="12">
        <f>floor((K42/'Prestige Patterns'!$B$22)^'Prestige Patterns'!$B$23,1)-H41</f>
        <v>19</v>
      </c>
      <c r="K42" s="8">
        <f>K41+N41*'Prestige Patterns'!$B$20</f>
        <v>533955264</v>
      </c>
      <c r="L42" s="8">
        <f>if(J41&gt;='Prestige Patterns'!$B$28,if(J41/(H41+1)&gt;('Prestige Patterns'!$B$27+1),L41+1,L41),L41)</f>
        <v>1</v>
      </c>
      <c r="N42" s="12">
        <f t="shared" si="1"/>
        <v>577561.6</v>
      </c>
      <c r="O42" s="9">
        <f>'Prestige Patterns'!$B$4*E42</f>
        <v>5860</v>
      </c>
      <c r="P42" s="12">
        <f t="shared" si="4"/>
        <v>64</v>
      </c>
      <c r="Q42" s="11"/>
      <c r="R42" s="11"/>
      <c r="S42" s="9">
        <v>41.0</v>
      </c>
      <c r="T42" s="11"/>
    </row>
    <row r="43" ht="15.75" customHeight="1">
      <c r="A43" s="7"/>
      <c r="B43" s="7"/>
      <c r="C43" s="7">
        <f>(S43*'Prestige Patterns'!$B$20)/60</f>
        <v>21</v>
      </c>
      <c r="D43" s="8">
        <f>if(L42=L43,N42*'Prestige Patterns'!$B$20+D42-F43,0)</f>
        <v>21829758.46</v>
      </c>
      <c r="E43" s="9">
        <f t="shared" si="2"/>
        <v>295</v>
      </c>
      <c r="F43" s="10">
        <f>'Prestige Patterns'!$B$5*('Prestige Patterns'!$B$6^E42-'Prestige Patterns'!$B$6^(E42+G43))/(1-'Prestige Patterns'!$B$6)</f>
        <v>13251910.07</v>
      </c>
      <c r="G43" s="13">
        <f>floor(LOG('Prestige Patterns'!$B$6^(E42) - (D42*(1-'Prestige Patterns'!$B$6)/'Prestige Patterns'!$B$5),'Prestige Patterns'!$B$6)-E42,1)</f>
        <v>2</v>
      </c>
      <c r="H43" s="12">
        <f t="shared" si="3"/>
        <v>54</v>
      </c>
      <c r="I43" s="11">
        <f>1+H43*'Prestige Patterns'!$B$25</f>
        <v>1.54</v>
      </c>
      <c r="J43" s="12">
        <f>floor((K43/'Prestige Patterns'!$B$22)^'Prestige Patterns'!$B$23,1)-H42</f>
        <v>20</v>
      </c>
      <c r="K43" s="8">
        <f>K42+N42*'Prestige Patterns'!$B$20</f>
        <v>551282112</v>
      </c>
      <c r="L43" s="8">
        <f>if(J42&gt;='Prestige Patterns'!$B$28,if(J42/(H42+1)&gt;('Prestige Patterns'!$B$27+1),L42+1,L42),L42)</f>
        <v>1</v>
      </c>
      <c r="N43" s="12">
        <f t="shared" si="1"/>
        <v>581504</v>
      </c>
      <c r="O43" s="9">
        <f>'Prestige Patterns'!$B$4*E43</f>
        <v>5900</v>
      </c>
      <c r="P43" s="12">
        <f t="shared" si="4"/>
        <v>64</v>
      </c>
      <c r="Q43" s="11"/>
      <c r="R43" s="11"/>
      <c r="S43" s="9">
        <v>42.0</v>
      </c>
      <c r="T43" s="11"/>
    </row>
    <row r="44" ht="15.75" customHeight="1">
      <c r="A44" s="7"/>
      <c r="B44" s="7"/>
      <c r="C44" s="7">
        <f>(S44*'Prestige Patterns'!$B$20)/60</f>
        <v>21.5</v>
      </c>
      <c r="D44" s="8">
        <f>if(L43=L44,N43*'Prestige Patterns'!$B$20+D43-F44,0)</f>
        <v>24664647.62</v>
      </c>
      <c r="E44" s="9">
        <f t="shared" si="2"/>
        <v>297</v>
      </c>
      <c r="F44" s="10">
        <f>'Prestige Patterns'!$B$5*('Prestige Patterns'!$B$6^E43-'Prestige Patterns'!$B$6^(E43+G44))/(1-'Prestige Patterns'!$B$6)</f>
        <v>14610230.85</v>
      </c>
      <c r="G44" s="13">
        <f>floor(LOG('Prestige Patterns'!$B$6^(E43) - (D43*(1-'Prestige Patterns'!$B$6)/'Prestige Patterns'!$B$5),'Prestige Patterns'!$B$6)-E43,1)</f>
        <v>2</v>
      </c>
      <c r="H44" s="12">
        <f t="shared" si="3"/>
        <v>54</v>
      </c>
      <c r="I44" s="11">
        <f>1+H44*'Prestige Patterns'!$B$25</f>
        <v>1.54</v>
      </c>
      <c r="J44" s="12">
        <f>floor((K44/'Prestige Patterns'!$B$22)^'Prestige Patterns'!$B$23,1)-H43</f>
        <v>21</v>
      </c>
      <c r="K44" s="8">
        <f>K43+N43*'Prestige Patterns'!$B$20</f>
        <v>568727232</v>
      </c>
      <c r="L44" s="8">
        <f>if(J43&gt;='Prestige Patterns'!$B$28,if(J43/(H43+1)&gt;('Prestige Patterns'!$B$27+1),L43+1,L43),L43)</f>
        <v>1</v>
      </c>
      <c r="N44" s="12">
        <f t="shared" si="1"/>
        <v>585446.4</v>
      </c>
      <c r="O44" s="9">
        <f>'Prestige Patterns'!$B$4*E44</f>
        <v>5940</v>
      </c>
      <c r="P44" s="12">
        <f t="shared" si="4"/>
        <v>64</v>
      </c>
      <c r="Q44" s="11"/>
      <c r="R44" s="11"/>
      <c r="S44" s="9">
        <v>43.0</v>
      </c>
      <c r="T44" s="11"/>
    </row>
    <row r="45" ht="15.75" customHeight="1">
      <c r="A45" s="7"/>
      <c r="B45" s="7"/>
      <c r="C45" s="7">
        <f>(S45*'Prestige Patterns'!$B$20)/60</f>
        <v>22</v>
      </c>
      <c r="D45" s="8">
        <f>if(L44=L45,N44*'Prestige Patterns'!$B$20+D44-F45,0)</f>
        <v>26120260.11</v>
      </c>
      <c r="E45" s="9">
        <f t="shared" si="2"/>
        <v>299</v>
      </c>
      <c r="F45" s="10">
        <f>'Prestige Patterns'!$B$5*('Prestige Patterns'!$B$6^E44-'Prestige Patterns'!$B$6^(E44+G45))/(1-'Prestige Patterns'!$B$6)</f>
        <v>16107779.51</v>
      </c>
      <c r="G45" s="13">
        <f>floor(LOG('Prestige Patterns'!$B$6^(E44) - (D44*(1-'Prestige Patterns'!$B$6)/'Prestige Patterns'!$B$5),'Prestige Patterns'!$B$6)-E44,1)</f>
        <v>2</v>
      </c>
      <c r="H45" s="12">
        <f t="shared" si="3"/>
        <v>54</v>
      </c>
      <c r="I45" s="11">
        <f>1+H45*'Prestige Patterns'!$B$25</f>
        <v>1.54</v>
      </c>
      <c r="J45" s="12">
        <f>floor((K45/'Prestige Patterns'!$B$22)^'Prestige Patterns'!$B$23,1)-H44</f>
        <v>22</v>
      </c>
      <c r="K45" s="8">
        <f>K44+N44*'Prestige Patterns'!$B$20</f>
        <v>586290624</v>
      </c>
      <c r="L45" s="8">
        <f>if(J44&gt;='Prestige Patterns'!$B$28,if(J44/(H44+1)&gt;('Prestige Patterns'!$B$27+1),L44+1,L44),L44)</f>
        <v>1</v>
      </c>
      <c r="N45" s="12">
        <f t="shared" si="1"/>
        <v>589388.8</v>
      </c>
      <c r="O45" s="9">
        <f>'Prestige Patterns'!$B$4*E45</f>
        <v>5980</v>
      </c>
      <c r="P45" s="12">
        <f t="shared" si="4"/>
        <v>64</v>
      </c>
      <c r="Q45" s="11"/>
      <c r="R45" s="11"/>
      <c r="S45" s="9">
        <v>44.0</v>
      </c>
      <c r="T45" s="11"/>
    </row>
    <row r="46" ht="15.75" customHeight="1">
      <c r="A46" s="7"/>
      <c r="B46" s="7"/>
      <c r="C46" s="7">
        <f>(S46*'Prestige Patterns'!$B$20)/60</f>
        <v>22.5</v>
      </c>
      <c r="D46" s="8">
        <f>if(L45=L46,N45*'Prestige Patterns'!$B$20+D45-F46,0)</f>
        <v>26043097.2</v>
      </c>
      <c r="E46" s="9">
        <f t="shared" si="2"/>
        <v>301</v>
      </c>
      <c r="F46" s="10">
        <f>'Prestige Patterns'!$B$5*('Prestige Patterns'!$B$6^E45-'Prestige Patterns'!$B$6^(E45+G46))/(1-'Prestige Patterns'!$B$6)</f>
        <v>17758826.91</v>
      </c>
      <c r="G46" s="13">
        <f>floor(LOG('Prestige Patterns'!$B$6^(E45) - (D45*(1-'Prestige Patterns'!$B$6)/'Prestige Patterns'!$B$5),'Prestige Patterns'!$B$6)-E45,1)</f>
        <v>2</v>
      </c>
      <c r="H46" s="12">
        <f t="shared" si="3"/>
        <v>54</v>
      </c>
      <c r="I46" s="11">
        <f>1+H46*'Prestige Patterns'!$B$25</f>
        <v>1.54</v>
      </c>
      <c r="J46" s="12">
        <f>floor((K46/'Prestige Patterns'!$B$22)^'Prestige Patterns'!$B$23,1)-H45</f>
        <v>23</v>
      </c>
      <c r="K46" s="8">
        <f>K45+N45*'Prestige Patterns'!$B$20</f>
        <v>603972288</v>
      </c>
      <c r="L46" s="8">
        <f>if(J45&gt;='Prestige Patterns'!$B$28,if(J45/(H45+1)&gt;('Prestige Patterns'!$B$27+1),L45+1,L45),L45)</f>
        <v>1</v>
      </c>
      <c r="N46" s="12">
        <f t="shared" si="1"/>
        <v>4746649.6</v>
      </c>
      <c r="O46" s="9">
        <f>'Prestige Patterns'!$B$4*E46</f>
        <v>6020</v>
      </c>
      <c r="P46" s="12">
        <f t="shared" si="4"/>
        <v>512</v>
      </c>
      <c r="Q46" s="11"/>
      <c r="R46" s="11"/>
      <c r="S46" s="9">
        <v>45.0</v>
      </c>
      <c r="T46" s="11"/>
    </row>
    <row r="47" ht="15.75" customHeight="1">
      <c r="A47" s="7"/>
      <c r="B47" s="7"/>
      <c r="C47" s="7">
        <f>(S47*'Prestige Patterns'!$B$20)/60</f>
        <v>23</v>
      </c>
      <c r="D47" s="8">
        <f>if(L46=L47,N46*'Prestige Patterns'!$B$20+D46-F47,0)</f>
        <v>148863478.5</v>
      </c>
      <c r="E47" s="9">
        <f t="shared" si="2"/>
        <v>303</v>
      </c>
      <c r="F47" s="10">
        <f>'Prestige Patterns'!$B$5*('Prestige Patterns'!$B$6^E46-'Prestige Patterns'!$B$6^(E46+G47))/(1-'Prestige Patterns'!$B$6)</f>
        <v>19579106.67</v>
      </c>
      <c r="G47" s="13">
        <f>floor(LOG('Prestige Patterns'!$B$6^(E46) - (D46*(1-'Prestige Patterns'!$B$6)/'Prestige Patterns'!$B$5),'Prestige Patterns'!$B$6)-E46,1)</f>
        <v>2</v>
      </c>
      <c r="H47" s="12">
        <f t="shared" si="3"/>
        <v>54</v>
      </c>
      <c r="I47" s="11">
        <f>1+H47*'Prestige Patterns'!$B$25</f>
        <v>1.54</v>
      </c>
      <c r="J47" s="12">
        <f>floor((K47/'Prestige Patterns'!$B$22)^'Prestige Patterns'!$B$23,1)-H46</f>
        <v>32</v>
      </c>
      <c r="K47" s="8">
        <f>K46+N46*'Prestige Patterns'!$B$20</f>
        <v>746371776</v>
      </c>
      <c r="L47" s="8">
        <f>if(J46&gt;='Prestige Patterns'!$B$28,if(J46/(H46+1)&gt;('Prestige Patterns'!$B$27+1),L46+1,L46),L46)</f>
        <v>1</v>
      </c>
      <c r="N47" s="12">
        <f t="shared" si="1"/>
        <v>4778188.8</v>
      </c>
      <c r="O47" s="9">
        <f>'Prestige Patterns'!$B$4*E47</f>
        <v>6060</v>
      </c>
      <c r="P47" s="12">
        <f t="shared" si="4"/>
        <v>512</v>
      </c>
      <c r="Q47" s="11"/>
      <c r="R47" s="11"/>
      <c r="S47" s="9">
        <v>46.0</v>
      </c>
      <c r="T47" s="11"/>
    </row>
    <row r="48" ht="15.75" customHeight="1">
      <c r="A48" s="7"/>
      <c r="B48" s="7"/>
      <c r="C48" s="7">
        <f>(S48*'Prestige Patterns'!$B$20)/60</f>
        <v>23.5</v>
      </c>
      <c r="D48" s="8">
        <f>if(L47=L48,N47*'Prestige Patterns'!$B$20+D47-F48,0)</f>
        <v>159767216</v>
      </c>
      <c r="E48" s="9">
        <f t="shared" si="2"/>
        <v>313</v>
      </c>
      <c r="F48" s="10">
        <f>'Prestige Patterns'!$B$5*('Prestige Patterns'!$B$6^E47-'Prestige Patterns'!$B$6^(E47+G48))/(1-'Prestige Patterns'!$B$6)</f>
        <v>132441926.5</v>
      </c>
      <c r="G48" s="13">
        <f>floor(LOG('Prestige Patterns'!$B$6^(E47) - (D47*(1-'Prestige Patterns'!$B$6)/'Prestige Patterns'!$B$5),'Prestige Patterns'!$B$6)-E47,1)</f>
        <v>10</v>
      </c>
      <c r="H48" s="12">
        <f t="shared" si="3"/>
        <v>54</v>
      </c>
      <c r="I48" s="11">
        <f>1+H48*'Prestige Patterns'!$B$25</f>
        <v>1.54</v>
      </c>
      <c r="J48" s="12">
        <f>floor((K48/'Prestige Patterns'!$B$22)^'Prestige Patterns'!$B$23,1)-H47</f>
        <v>40</v>
      </c>
      <c r="K48" s="8">
        <f>K47+N47*'Prestige Patterns'!$B$20</f>
        <v>889717440</v>
      </c>
      <c r="L48" s="8">
        <f>if(J47&gt;='Prestige Patterns'!$B$28,if(J47/(H47+1)&gt;('Prestige Patterns'!$B$27+1),L47+1,L47),L47)</f>
        <v>1</v>
      </c>
      <c r="N48" s="12">
        <f t="shared" si="1"/>
        <v>4935884.8</v>
      </c>
      <c r="O48" s="9">
        <f>'Prestige Patterns'!$B$4*E48</f>
        <v>6260</v>
      </c>
      <c r="P48" s="12">
        <f t="shared" si="4"/>
        <v>512</v>
      </c>
      <c r="Q48" s="11"/>
      <c r="R48" s="11"/>
      <c r="S48" s="9">
        <v>47.0</v>
      </c>
      <c r="T48" s="11"/>
    </row>
    <row r="49" ht="15.75" customHeight="1">
      <c r="A49" s="7"/>
      <c r="B49" s="7"/>
      <c r="C49" s="7">
        <f>(S49*'Prestige Patterns'!$B$20)/60</f>
        <v>24</v>
      </c>
      <c r="D49" s="8">
        <f>if(L48=L49,N48*'Prestige Patterns'!$B$20+D48-F49,0)</f>
        <v>168193371.2</v>
      </c>
      <c r="E49" s="9">
        <f t="shared" si="2"/>
        <v>320</v>
      </c>
      <c r="F49" s="10">
        <f>'Prestige Patterns'!$B$5*('Prestige Patterns'!$B$6^E48-'Prestige Patterns'!$B$6^(E48+G49))/(1-'Prestige Patterns'!$B$6)</f>
        <v>139650388.8</v>
      </c>
      <c r="G49" s="13">
        <f>floor(LOG('Prestige Patterns'!$B$6^(E48) - (D48*(1-'Prestige Patterns'!$B$6)/'Prestige Patterns'!$B$5),'Prestige Patterns'!$B$6)-E48,1)</f>
        <v>7</v>
      </c>
      <c r="H49" s="12">
        <f t="shared" si="3"/>
        <v>54</v>
      </c>
      <c r="I49" s="11">
        <f>1+H49*'Prestige Patterns'!$B$25</f>
        <v>1.54</v>
      </c>
      <c r="J49" s="12">
        <f>floor((K49/'Prestige Patterns'!$B$22)^'Prestige Patterns'!$B$23,1)-H48</f>
        <v>47</v>
      </c>
      <c r="K49" s="8">
        <f>K48+N48*'Prestige Patterns'!$B$20</f>
        <v>1037793984</v>
      </c>
      <c r="L49" s="8">
        <f>if(J48&gt;='Prestige Patterns'!$B$28,if(J48/(H48+1)&gt;('Prestige Patterns'!$B$27+1),L48+1,L48),L48)</f>
        <v>1</v>
      </c>
      <c r="N49" s="12">
        <f t="shared" si="1"/>
        <v>5046272</v>
      </c>
      <c r="O49" s="9">
        <f>'Prestige Patterns'!$B$4*E49</f>
        <v>6400</v>
      </c>
      <c r="P49" s="12">
        <f t="shared" si="4"/>
        <v>512</v>
      </c>
      <c r="Q49" s="11"/>
      <c r="R49" s="11"/>
      <c r="S49" s="9">
        <v>48.0</v>
      </c>
      <c r="T49" s="11"/>
    </row>
    <row r="50" ht="15.75" customHeight="1">
      <c r="A50" s="7"/>
      <c r="B50" s="7"/>
      <c r="C50" s="7">
        <f>(S50*'Prestige Patterns'!$B$20)/60</f>
        <v>24.5</v>
      </c>
      <c r="D50" s="8">
        <f>if(L49=L50,N49*'Prestige Patterns'!$B$20+D49-F50,0)</f>
        <v>155421753.8</v>
      </c>
      <c r="E50" s="9">
        <f t="shared" si="2"/>
        <v>326</v>
      </c>
      <c r="F50" s="10">
        <f>'Prestige Patterns'!$B$5*('Prestige Patterns'!$B$6^E49-'Prestige Patterns'!$B$6^(E49+G50))/(1-'Prestige Patterns'!$B$6)</f>
        <v>164159777.4</v>
      </c>
      <c r="G50" s="13">
        <f>floor(LOG('Prestige Patterns'!$B$6^(E49) - (D49*(1-'Prestige Patterns'!$B$6)/'Prestige Patterns'!$B$5),'Prestige Patterns'!$B$6)-E49,1)</f>
        <v>6</v>
      </c>
      <c r="H50" s="12">
        <f t="shared" si="3"/>
        <v>54</v>
      </c>
      <c r="I50" s="11">
        <f>1+H50*'Prestige Patterns'!$B$25</f>
        <v>1.54</v>
      </c>
      <c r="J50" s="12">
        <f>floor((K50/'Prestige Patterns'!$B$22)^'Prestige Patterns'!$B$23,1)-H49</f>
        <v>55</v>
      </c>
      <c r="K50" s="8">
        <f>K49+N49*'Prestige Patterns'!$B$20</f>
        <v>1189182144</v>
      </c>
      <c r="L50" s="8">
        <f>if(J49&gt;='Prestige Patterns'!$B$28,if(J49/(H49+1)&gt;('Prestige Patterns'!$B$27+1),L49+1,L49),L49)</f>
        <v>1</v>
      </c>
      <c r="N50" s="12">
        <f t="shared" si="1"/>
        <v>5140889.6</v>
      </c>
      <c r="O50" s="9">
        <f>'Prestige Patterns'!$B$4*E50</f>
        <v>6520</v>
      </c>
      <c r="P50" s="12">
        <f t="shared" si="4"/>
        <v>512</v>
      </c>
      <c r="Q50" s="11"/>
      <c r="R50" s="11"/>
      <c r="S50" s="9">
        <v>49.0</v>
      </c>
      <c r="T50" s="11"/>
    </row>
    <row r="51" ht="15.75" customHeight="1">
      <c r="A51" s="7"/>
      <c r="B51" s="7"/>
      <c r="C51" s="7">
        <f>(S51*'Prestige Patterns'!$B$20)/60</f>
        <v>25</v>
      </c>
      <c r="D51" s="8">
        <f>if(L50=L51,N50*'Prestige Patterns'!$B$20+D50-F51,0)</f>
        <v>170248897.7</v>
      </c>
      <c r="E51" s="9">
        <f t="shared" si="2"/>
        <v>330</v>
      </c>
      <c r="F51" s="10">
        <f>'Prestige Patterns'!$B$5*('Prestige Patterns'!$B$6^E50-'Prestige Patterns'!$B$6^(E50+G51))/(1-'Prestige Patterns'!$B$6)</f>
        <v>139399544.2</v>
      </c>
      <c r="G51" s="13">
        <f>floor(LOG('Prestige Patterns'!$B$6^(E50) - (D50*(1-'Prestige Patterns'!$B$6)/'Prestige Patterns'!$B$5),'Prestige Patterns'!$B$6)-E50,1)</f>
        <v>4</v>
      </c>
      <c r="H51" s="12">
        <f t="shared" si="3"/>
        <v>54</v>
      </c>
      <c r="I51" s="11">
        <f>1+H51*'Prestige Patterns'!$B$25</f>
        <v>1.54</v>
      </c>
      <c r="J51" s="12">
        <f>floor((K51/'Prestige Patterns'!$B$22)^'Prestige Patterns'!$B$23,1)-H50</f>
        <v>61</v>
      </c>
      <c r="K51" s="8">
        <f>K50+N50*'Prestige Patterns'!$B$20</f>
        <v>1343408832</v>
      </c>
      <c r="L51" s="8">
        <f>if(J50&gt;='Prestige Patterns'!$B$28,if(J50/(H50+1)&gt;('Prestige Patterns'!$B$27+1),L50+1,L50),L50)</f>
        <v>1</v>
      </c>
      <c r="N51" s="12">
        <f t="shared" si="1"/>
        <v>5203968</v>
      </c>
      <c r="O51" s="9">
        <f>'Prestige Patterns'!$B$4*E51</f>
        <v>6600</v>
      </c>
      <c r="P51" s="12">
        <f t="shared" si="4"/>
        <v>512</v>
      </c>
      <c r="Q51" s="11"/>
      <c r="R51" s="11"/>
      <c r="S51" s="9">
        <v>50.0</v>
      </c>
      <c r="T51" s="11"/>
    </row>
    <row r="52" ht="15.75" customHeight="1">
      <c r="A52" s="7"/>
      <c r="B52" s="7"/>
      <c r="C52" s="7">
        <f>(S52*'Prestige Patterns'!$B$20)/60</f>
        <v>25.5</v>
      </c>
      <c r="D52" s="8">
        <f>if(L51=L52,N51*'Prestige Patterns'!$B$20+D51-F52,0)</f>
        <v>156926920.5</v>
      </c>
      <c r="E52" s="9">
        <f t="shared" si="2"/>
        <v>334</v>
      </c>
      <c r="F52" s="10">
        <f>'Prestige Patterns'!$B$5*('Prestige Patterns'!$B$6^E51-'Prestige Patterns'!$B$6^(E51+G52))/(1-'Prestige Patterns'!$B$6)</f>
        <v>169441017.2</v>
      </c>
      <c r="G52" s="13">
        <f>floor(LOG('Prestige Patterns'!$B$6^(E51) - (D51*(1-'Prestige Patterns'!$B$6)/'Prestige Patterns'!$B$5),'Prestige Patterns'!$B$6)-E51,1)</f>
        <v>4</v>
      </c>
      <c r="H52" s="12">
        <f t="shared" si="3"/>
        <v>54</v>
      </c>
      <c r="I52" s="11">
        <f>1+H52*'Prestige Patterns'!$B$25</f>
        <v>1.54</v>
      </c>
      <c r="J52" s="12">
        <f>floor((K52/'Prestige Patterns'!$B$22)^'Prestige Patterns'!$B$23,1)-H51</f>
        <v>68</v>
      </c>
      <c r="K52" s="8">
        <f>K51+N51*'Prestige Patterns'!$B$20</f>
        <v>1499527872</v>
      </c>
      <c r="L52" s="8">
        <f>if(J51&gt;='Prestige Patterns'!$B$28,if(J51/(H51+1)&gt;('Prestige Patterns'!$B$27+1),L51+1,L51),L51)</f>
        <v>1</v>
      </c>
      <c r="N52" s="12">
        <f t="shared" si="1"/>
        <v>5267046.4</v>
      </c>
      <c r="O52" s="9">
        <f>'Prestige Patterns'!$B$4*E52</f>
        <v>6680</v>
      </c>
      <c r="P52" s="12">
        <f t="shared" si="4"/>
        <v>512</v>
      </c>
      <c r="Q52" s="11"/>
      <c r="R52" s="11"/>
      <c r="S52" s="9">
        <v>51.0</v>
      </c>
      <c r="T52" s="11"/>
    </row>
    <row r="53" ht="15.75" customHeight="1">
      <c r="A53" s="7"/>
      <c r="B53" s="7"/>
      <c r="C53" s="7">
        <f>(S53*'Prestige Patterns'!$B$20)/60</f>
        <v>26</v>
      </c>
      <c r="D53" s="8">
        <f>if(L52=L53,N52*'Prestige Patterns'!$B$20+D52-F53,0)</f>
        <v>164298080.5</v>
      </c>
      <c r="E53" s="9">
        <f t="shared" si="2"/>
        <v>337</v>
      </c>
      <c r="F53" s="10">
        <f>'Prestige Patterns'!$B$5*('Prestige Patterns'!$B$6^E52-'Prestige Patterns'!$B$6^(E52+G53))/(1-'Prestige Patterns'!$B$6)</f>
        <v>150640232</v>
      </c>
      <c r="G53" s="13">
        <f>floor(LOG('Prestige Patterns'!$B$6^(E52) - (D52*(1-'Prestige Patterns'!$B$6)/'Prestige Patterns'!$B$5),'Prestige Patterns'!$B$6)-E52,1)</f>
        <v>3</v>
      </c>
      <c r="H53" s="12">
        <f t="shared" si="3"/>
        <v>54</v>
      </c>
      <c r="I53" s="11">
        <f>1+H53*'Prestige Patterns'!$B$25</f>
        <v>1.54</v>
      </c>
      <c r="J53" s="12">
        <f>floor((K53/'Prestige Patterns'!$B$22)^'Prestige Patterns'!$B$23,1)-H52</f>
        <v>74</v>
      </c>
      <c r="K53" s="8">
        <f>K52+N52*'Prestige Patterns'!$B$20</f>
        <v>1657539264</v>
      </c>
      <c r="L53" s="8">
        <f>if(J52&gt;='Prestige Patterns'!$B$28,if(J52/(H52+1)&gt;('Prestige Patterns'!$B$27+1),L52+1,L52),L52)</f>
        <v>1</v>
      </c>
      <c r="N53" s="12">
        <f t="shared" si="1"/>
        <v>5314355.2</v>
      </c>
      <c r="O53" s="9">
        <f>'Prestige Patterns'!$B$4*E53</f>
        <v>6740</v>
      </c>
      <c r="P53" s="12">
        <f t="shared" si="4"/>
        <v>512</v>
      </c>
      <c r="Q53" s="11"/>
      <c r="R53" s="11"/>
      <c r="S53" s="9">
        <v>52.0</v>
      </c>
      <c r="T53" s="11"/>
    </row>
    <row r="54" ht="15.75" customHeight="1">
      <c r="A54" s="7"/>
      <c r="B54" s="7"/>
      <c r="C54" s="7">
        <f>(S54*'Prestige Patterns'!$B$20)/60</f>
        <v>26.5</v>
      </c>
      <c r="D54" s="8">
        <f>if(L53=L54,N53*'Prestige Patterns'!$B$20+D53-F54,0)</f>
        <v>210330150.5</v>
      </c>
      <c r="E54" s="9">
        <f t="shared" si="2"/>
        <v>339</v>
      </c>
      <c r="F54" s="10">
        <f>'Prestige Patterns'!$B$5*('Prestige Patterns'!$B$6^E53-'Prestige Patterns'!$B$6^(E53+G54))/(1-'Prestige Patterns'!$B$6)</f>
        <v>113398585.9</v>
      </c>
      <c r="G54" s="13">
        <f>floor(LOG('Prestige Patterns'!$B$6^(E53) - (D53*(1-'Prestige Patterns'!$B$6)/'Prestige Patterns'!$B$5),'Prestige Patterns'!$B$6)-E53,1)</f>
        <v>2</v>
      </c>
      <c r="H54" s="12">
        <f t="shared" si="3"/>
        <v>54</v>
      </c>
      <c r="I54" s="11">
        <f>1+H54*'Prestige Patterns'!$B$25</f>
        <v>1.54</v>
      </c>
      <c r="J54" s="12">
        <f>floor((K54/'Prestige Patterns'!$B$22)^'Prestige Patterns'!$B$23,1)-H53</f>
        <v>80</v>
      </c>
      <c r="K54" s="8">
        <f>K53+N53*'Prestige Patterns'!$B$20</f>
        <v>1816969920</v>
      </c>
      <c r="L54" s="8">
        <f>if(J53&gt;='Prestige Patterns'!$B$28,if(J53/(H53+1)&gt;('Prestige Patterns'!$B$27+1),L53+1,L53),L53)</f>
        <v>1</v>
      </c>
      <c r="N54" s="12">
        <f t="shared" si="1"/>
        <v>5345894.4</v>
      </c>
      <c r="O54" s="9">
        <f>'Prestige Patterns'!$B$4*E54</f>
        <v>6780</v>
      </c>
      <c r="P54" s="12">
        <f t="shared" si="4"/>
        <v>512</v>
      </c>
      <c r="Q54" s="11"/>
      <c r="R54" s="11"/>
      <c r="S54" s="9">
        <v>53.0</v>
      </c>
      <c r="T54" s="11"/>
    </row>
    <row r="55" ht="15.75" customHeight="1">
      <c r="A55" s="7"/>
      <c r="B55" s="7"/>
      <c r="C55" s="7">
        <f>(S55*'Prestige Patterns'!$B$20)/60</f>
        <v>27</v>
      </c>
      <c r="D55" s="8">
        <f>if(L54=L55,N54*'Prestige Patterns'!$B$20+D54-F55,0)</f>
        <v>178447631.8</v>
      </c>
      <c r="E55" s="9">
        <f t="shared" si="2"/>
        <v>342</v>
      </c>
      <c r="F55" s="10">
        <f>'Prestige Patterns'!$B$5*('Prestige Patterns'!$B$6^E54-'Prestige Patterns'!$B$6^(E54+G55))/(1-'Prestige Patterns'!$B$6)</f>
        <v>192259350.7</v>
      </c>
      <c r="G55" s="13">
        <f>floor(LOG('Prestige Patterns'!$B$6^(E54) - (D54*(1-'Prestige Patterns'!$B$6)/'Prestige Patterns'!$B$5),'Prestige Patterns'!$B$6)-E54,1)</f>
        <v>3</v>
      </c>
      <c r="H55" s="12">
        <f t="shared" si="3"/>
        <v>54</v>
      </c>
      <c r="I55" s="11">
        <f>1+H55*'Prestige Patterns'!$B$25</f>
        <v>1.54</v>
      </c>
      <c r="J55" s="12">
        <f>floor((K55/'Prestige Patterns'!$B$22)^'Prestige Patterns'!$B$23,1)-H54</f>
        <v>86</v>
      </c>
      <c r="K55" s="8">
        <f>K54+N54*'Prestige Patterns'!$B$20</f>
        <v>1977346752</v>
      </c>
      <c r="L55" s="8">
        <f>if(J54&gt;='Prestige Patterns'!$B$28,if(J54/(H54+1)&gt;('Prestige Patterns'!$B$27+1),L54+1,L54),L54)</f>
        <v>1</v>
      </c>
      <c r="N55" s="12">
        <f t="shared" si="1"/>
        <v>5393203.2</v>
      </c>
      <c r="O55" s="9">
        <f>'Prestige Patterns'!$B$4*E55</f>
        <v>6840</v>
      </c>
      <c r="P55" s="12">
        <f t="shared" si="4"/>
        <v>512</v>
      </c>
      <c r="Q55" s="11"/>
      <c r="R55" s="11"/>
      <c r="S55" s="9">
        <v>54.0</v>
      </c>
      <c r="T55" s="11"/>
    </row>
    <row r="56" ht="15.75" customHeight="1">
      <c r="A56" s="7"/>
      <c r="B56" s="7"/>
      <c r="C56" s="7">
        <f>(S56*'Prestige Patterns'!$B$20)/60</f>
        <v>27.5</v>
      </c>
      <c r="D56" s="8">
        <f>if(L55=L56,N55*'Prestige Patterns'!$B$20+D55-F56,0)</f>
        <v>0</v>
      </c>
      <c r="E56" s="9">
        <f t="shared" si="2"/>
        <v>1</v>
      </c>
      <c r="F56" s="10">
        <f>'Prestige Patterns'!$B$5*('Prestige Patterns'!$B$6^E55-'Prestige Patterns'!$B$6^(E55+G56))/(1-'Prestige Patterns'!$B$6)</f>
        <v>144728524.4</v>
      </c>
      <c r="G56" s="13">
        <f>floor(LOG('Prestige Patterns'!$B$6^(E55) - (D55*(1-'Prestige Patterns'!$B$6)/'Prestige Patterns'!$B$5),'Prestige Patterns'!$B$6)-E55,1)</f>
        <v>2</v>
      </c>
      <c r="H56" s="12">
        <f t="shared" si="3"/>
        <v>140</v>
      </c>
      <c r="I56" s="11">
        <f>1+H56*'Prestige Patterns'!$B$25</f>
        <v>2.4</v>
      </c>
      <c r="J56" s="12">
        <f>floor((K56/'Prestige Patterns'!$B$22)^'Prestige Patterns'!$B$23,1)-H55</f>
        <v>92</v>
      </c>
      <c r="K56" s="8">
        <f>K55+N55*'Prestige Patterns'!$B$20</f>
        <v>2139142848</v>
      </c>
      <c r="L56" s="8">
        <f>if(J55&gt;='Prestige Patterns'!$B$28,if(J55/(H55+1)&gt;('Prestige Patterns'!$B$27+1),L55+1,L55),L55)</f>
        <v>2</v>
      </c>
      <c r="N56" s="12">
        <f t="shared" si="1"/>
        <v>24576</v>
      </c>
      <c r="O56" s="9">
        <f>'Prestige Patterns'!$B$4*E56</f>
        <v>20</v>
      </c>
      <c r="P56" s="12">
        <f t="shared" si="4"/>
        <v>512</v>
      </c>
      <c r="Q56" s="11"/>
      <c r="R56" s="11"/>
      <c r="S56" s="9">
        <v>55.0</v>
      </c>
      <c r="T56" s="11"/>
    </row>
    <row r="57" ht="15.75" customHeight="1">
      <c r="A57" s="7"/>
      <c r="B57" s="7"/>
      <c r="C57" s="7">
        <f>(S57*'Prestige Patterns'!$B$20)/60</f>
        <v>28</v>
      </c>
      <c r="D57" s="8">
        <f>if(L56=L57,N56*'Prestige Patterns'!$B$20+D56-F57,0)</f>
        <v>737280</v>
      </c>
      <c r="E57" s="9">
        <f t="shared" si="2"/>
        <v>1</v>
      </c>
      <c r="F57" s="10">
        <f>'Prestige Patterns'!$B$5*('Prestige Patterns'!$B$6^E56-'Prestige Patterns'!$B$6^(E56+G57))/(1-'Prestige Patterns'!$B$6)</f>
        <v>0</v>
      </c>
      <c r="G57" s="13">
        <f>floor(LOG('Prestige Patterns'!$B$6^(E56) - (D56*(1-'Prestige Patterns'!$B$6)/'Prestige Patterns'!$B$5),'Prestige Patterns'!$B$6)-E56,1)</f>
        <v>0</v>
      </c>
      <c r="H57" s="12">
        <f t="shared" si="3"/>
        <v>140</v>
      </c>
      <c r="I57" s="11">
        <f>1+H57*'Prestige Patterns'!$B$25</f>
        <v>2.4</v>
      </c>
      <c r="J57" s="12">
        <f>floor((K57/'Prestige Patterns'!$B$22)^'Prestige Patterns'!$B$23,1)-H56</f>
        <v>6</v>
      </c>
      <c r="K57" s="8">
        <f>K56+N56*'Prestige Patterns'!$B$20</f>
        <v>2139880128</v>
      </c>
      <c r="L57" s="8">
        <f>if(J56&gt;='Prestige Patterns'!$B$28,if(J56/(H56+1)&gt;('Prestige Patterns'!$B$27+1),L56+1,L56),L56)</f>
        <v>2</v>
      </c>
      <c r="N57" s="12">
        <f t="shared" si="1"/>
        <v>24576</v>
      </c>
      <c r="O57" s="9">
        <f>'Prestige Patterns'!$B$4*E57</f>
        <v>20</v>
      </c>
      <c r="P57" s="12">
        <f t="shared" si="4"/>
        <v>512</v>
      </c>
      <c r="Q57" s="11"/>
      <c r="R57" s="11"/>
      <c r="S57" s="9">
        <v>56.0</v>
      </c>
      <c r="T57" s="11"/>
    </row>
    <row r="58" ht="15.75" customHeight="1">
      <c r="A58" s="7"/>
      <c r="B58" s="7"/>
      <c r="C58" s="7">
        <f>(S58*'Prestige Patterns'!$B$20)/60</f>
        <v>28.5</v>
      </c>
      <c r="D58" s="8">
        <f>if(L57=L58,N57*'Prestige Patterns'!$B$20+D57-F58,0)</f>
        <v>740994.0149</v>
      </c>
      <c r="E58" s="9">
        <f t="shared" si="2"/>
        <v>187</v>
      </c>
      <c r="F58" s="10">
        <f>'Prestige Patterns'!$B$5*('Prestige Patterns'!$B$6^E57-'Prestige Patterns'!$B$6^(E57+G58))/(1-'Prestige Patterns'!$B$6)</f>
        <v>733565.9851</v>
      </c>
      <c r="G58" s="13">
        <f>floor(LOG('Prestige Patterns'!$B$6^(E57) - (D57*(1-'Prestige Patterns'!$B$6)/'Prestige Patterns'!$B$5),'Prestige Patterns'!$B$6)-E57,1)</f>
        <v>186</v>
      </c>
      <c r="H58" s="12">
        <f t="shared" si="3"/>
        <v>140</v>
      </c>
      <c r="I58" s="11">
        <f>1+H58*'Prestige Patterns'!$B$25</f>
        <v>2.4</v>
      </c>
      <c r="J58" s="12">
        <f>floor((K58/'Prestige Patterns'!$B$22)^'Prestige Patterns'!$B$23,1)-H57</f>
        <v>6</v>
      </c>
      <c r="K58" s="8">
        <f>K57+N57*'Prestige Patterns'!$B$20</f>
        <v>2140617408</v>
      </c>
      <c r="L58" s="8">
        <f>if(J57&gt;='Prestige Patterns'!$B$28,if(J57/(H57+1)&gt;('Prestige Patterns'!$B$27+1),L57+1,L57),L57)</f>
        <v>2</v>
      </c>
      <c r="N58" s="12">
        <f t="shared" si="1"/>
        <v>143616</v>
      </c>
      <c r="O58" s="9">
        <f>'Prestige Patterns'!$B$4*E58</f>
        <v>3740</v>
      </c>
      <c r="P58" s="12">
        <f t="shared" si="4"/>
        <v>16</v>
      </c>
      <c r="Q58" s="11"/>
      <c r="R58" s="11"/>
      <c r="S58" s="9">
        <v>57.0</v>
      </c>
      <c r="T58" s="11"/>
    </row>
    <row r="59" ht="15.75" customHeight="1">
      <c r="A59" s="7"/>
      <c r="B59" s="7"/>
      <c r="C59" s="7">
        <f>(S59*'Prestige Patterns'!$B$20)/60</f>
        <v>29</v>
      </c>
      <c r="D59" s="8">
        <f>if(L58=L59,N58*'Prestige Patterns'!$B$20+D58-F59,0)</f>
        <v>4330547.212</v>
      </c>
      <c r="E59" s="9">
        <f t="shared" si="2"/>
        <v>201</v>
      </c>
      <c r="F59" s="10">
        <f>'Prestige Patterns'!$B$5*('Prestige Patterns'!$B$6^E58-'Prestige Patterns'!$B$6^(E58+G59))/(1-'Prestige Patterns'!$B$6)</f>
        <v>718926.8034</v>
      </c>
      <c r="G59" s="13">
        <f>floor(LOG('Prestige Patterns'!$B$6^(E58) - (D58*(1-'Prestige Patterns'!$B$6)/'Prestige Patterns'!$B$5),'Prestige Patterns'!$B$6)-E58,1)</f>
        <v>14</v>
      </c>
      <c r="H59" s="12">
        <f t="shared" si="3"/>
        <v>140</v>
      </c>
      <c r="I59" s="11">
        <f>1+H59*'Prestige Patterns'!$B$25</f>
        <v>2.4</v>
      </c>
      <c r="J59" s="12">
        <f>floor((K59/'Prestige Patterns'!$B$22)^'Prestige Patterns'!$B$23,1)-H58</f>
        <v>6</v>
      </c>
      <c r="K59" s="8">
        <f>K58+N58*'Prestige Patterns'!$B$20</f>
        <v>2144925888</v>
      </c>
      <c r="L59" s="8">
        <f>if(J58&gt;='Prestige Patterns'!$B$28,if(J58/(H58+1)&gt;('Prestige Patterns'!$B$27+1),L58+1,L58),L58)</f>
        <v>2</v>
      </c>
      <c r="N59" s="12">
        <f t="shared" si="1"/>
        <v>617472</v>
      </c>
      <c r="O59" s="9">
        <f>'Prestige Patterns'!$B$4*E59</f>
        <v>4020</v>
      </c>
      <c r="P59" s="12">
        <f t="shared" si="4"/>
        <v>64</v>
      </c>
      <c r="Q59" s="11"/>
      <c r="R59" s="11"/>
      <c r="S59" s="9">
        <v>58.0</v>
      </c>
      <c r="T59" s="11"/>
    </row>
    <row r="60" ht="15.75" customHeight="1">
      <c r="A60" s="7"/>
      <c r="B60" s="7"/>
      <c r="C60" s="7">
        <f>(S60*'Prestige Patterns'!$B$20)/60</f>
        <v>29.5</v>
      </c>
      <c r="D60" s="8">
        <f>if(L59=L60,N59*'Prestige Patterns'!$B$20+D59-F60,0)</f>
        <v>18612995.41</v>
      </c>
      <c r="E60" s="9">
        <f t="shared" si="2"/>
        <v>229</v>
      </c>
      <c r="F60" s="10">
        <f>'Prestige Patterns'!$B$5*('Prestige Patterns'!$B$6^E59-'Prestige Patterns'!$B$6^(E59+G60))/(1-'Prestige Patterns'!$B$6)</f>
        <v>4241711.806</v>
      </c>
      <c r="G60" s="13">
        <f>floor(LOG('Prestige Patterns'!$B$6^(E59) - (D59*(1-'Prestige Patterns'!$B$6)/'Prestige Patterns'!$B$5),'Prestige Patterns'!$B$6)-E59,1)</f>
        <v>28</v>
      </c>
      <c r="H60" s="12">
        <f t="shared" si="3"/>
        <v>140</v>
      </c>
      <c r="I60" s="11">
        <f>1+H60*'Prestige Patterns'!$B$25</f>
        <v>2.4</v>
      </c>
      <c r="J60" s="12">
        <f>floor((K60/'Prestige Patterns'!$B$22)^'Prestige Patterns'!$B$23,1)-H59</f>
        <v>7</v>
      </c>
      <c r="K60" s="8">
        <f>K59+N59*'Prestige Patterns'!$B$20</f>
        <v>2163450048</v>
      </c>
      <c r="L60" s="8">
        <f>if(J59&gt;='Prestige Patterns'!$B$28,if(J59/(H59+1)&gt;('Prestige Patterns'!$B$27+1),L59+1,L59),L59)</f>
        <v>2</v>
      </c>
      <c r="N60" s="12">
        <f t="shared" si="1"/>
        <v>703488</v>
      </c>
      <c r="O60" s="9">
        <f>'Prestige Patterns'!$B$4*E60</f>
        <v>4580</v>
      </c>
      <c r="P60" s="12">
        <f t="shared" si="4"/>
        <v>64</v>
      </c>
      <c r="Q60" s="11"/>
      <c r="R60" s="11"/>
      <c r="S60" s="9">
        <v>59.0</v>
      </c>
      <c r="T60" s="11"/>
    </row>
    <row r="61" ht="15.75" customHeight="1">
      <c r="A61" s="7"/>
      <c r="B61" s="7"/>
      <c r="C61" s="7">
        <f>(S61*'Prestige Patterns'!$B$20)/60</f>
        <v>30</v>
      </c>
      <c r="D61" s="8">
        <f>if(L60=L61,N60*'Prestige Patterns'!$B$20+D60-F61,0)</f>
        <v>21973460.03</v>
      </c>
      <c r="E61" s="9">
        <f t="shared" si="2"/>
        <v>258</v>
      </c>
      <c r="F61" s="10">
        <f>'Prestige Patterns'!$B$5*('Prestige Patterns'!$B$6^E60-'Prestige Patterns'!$B$6^(E60+G61))/(1-'Prestige Patterns'!$B$6)</f>
        <v>17744175.38</v>
      </c>
      <c r="G61" s="13">
        <f>floor(LOG('Prestige Patterns'!$B$6^(E60) - (D60*(1-'Prestige Patterns'!$B$6)/'Prestige Patterns'!$B$5),'Prestige Patterns'!$B$6)-E60,1)</f>
        <v>29</v>
      </c>
      <c r="H61" s="12">
        <f t="shared" si="3"/>
        <v>140</v>
      </c>
      <c r="I61" s="11">
        <f>1+H61*'Prestige Patterns'!$B$25</f>
        <v>2.4</v>
      </c>
      <c r="J61" s="12">
        <f>floor((K61/'Prestige Patterns'!$B$22)^'Prestige Patterns'!$B$23,1)-H60</f>
        <v>7</v>
      </c>
      <c r="K61" s="8">
        <f>K60+N60*'Prestige Patterns'!$B$20</f>
        <v>2184554688</v>
      </c>
      <c r="L61" s="8">
        <f>if(J60&gt;='Prestige Patterns'!$B$28,if(J60/(H60+1)&gt;('Prestige Patterns'!$B$27+1),L60+1,L60),L60)</f>
        <v>2</v>
      </c>
      <c r="N61" s="12">
        <f t="shared" si="1"/>
        <v>792576</v>
      </c>
      <c r="O61" s="9">
        <f>'Prestige Patterns'!$B$4*E61</f>
        <v>5160</v>
      </c>
      <c r="P61" s="12">
        <f t="shared" si="4"/>
        <v>64</v>
      </c>
      <c r="Q61" s="11"/>
      <c r="R61" s="11"/>
      <c r="S61" s="9">
        <v>60.0</v>
      </c>
      <c r="T61" s="11"/>
    </row>
    <row r="62" ht="15.75" customHeight="1">
      <c r="A62" s="7"/>
      <c r="B62" s="7"/>
      <c r="C62" s="7">
        <f>(S62*'Prestige Patterns'!$B$20)/60</f>
        <v>30.5</v>
      </c>
      <c r="D62" s="8">
        <f>if(L61=L62,N61*'Prestige Patterns'!$B$20+D61-F62,0)</f>
        <v>24992484.51</v>
      </c>
      <c r="E62" s="9">
        <f t="shared" si="2"/>
        <v>271</v>
      </c>
      <c r="F62" s="10">
        <f>'Prestige Patterns'!$B$5*('Prestige Patterns'!$B$6^E61-'Prestige Patterns'!$B$6^(E61+G62))/(1-'Prestige Patterns'!$B$6)</f>
        <v>20758255.52</v>
      </c>
      <c r="G62" s="13">
        <f>floor(LOG('Prestige Patterns'!$B$6^(E61) - (D61*(1-'Prestige Patterns'!$B$6)/'Prestige Patterns'!$B$5),'Prestige Patterns'!$B$6)-E61,1)</f>
        <v>13</v>
      </c>
      <c r="H62" s="12">
        <f t="shared" si="3"/>
        <v>140</v>
      </c>
      <c r="I62" s="11">
        <f>1+H62*'Prestige Patterns'!$B$25</f>
        <v>2.4</v>
      </c>
      <c r="J62" s="12">
        <f>floor((K62/'Prestige Patterns'!$B$22)^'Prestige Patterns'!$B$23,1)-H61</f>
        <v>8</v>
      </c>
      <c r="K62" s="8">
        <f>K61+N61*'Prestige Patterns'!$B$20</f>
        <v>2208331968</v>
      </c>
      <c r="L62" s="8">
        <f>if(J61&gt;='Prestige Patterns'!$B$28,if(J61/(H61+1)&gt;('Prestige Patterns'!$B$27+1),L61+1,L61),L61)</f>
        <v>2</v>
      </c>
      <c r="N62" s="12">
        <f t="shared" si="1"/>
        <v>832512</v>
      </c>
      <c r="O62" s="9">
        <f>'Prestige Patterns'!$B$4*E62</f>
        <v>5420</v>
      </c>
      <c r="P62" s="12">
        <f t="shared" si="4"/>
        <v>64</v>
      </c>
      <c r="Q62" s="11"/>
      <c r="R62" s="11"/>
      <c r="S62" s="9">
        <v>61.0</v>
      </c>
      <c r="T62" s="11"/>
    </row>
    <row r="63" ht="15.75" customHeight="1">
      <c r="A63" s="7"/>
      <c r="B63" s="7"/>
      <c r="C63" s="7">
        <f>(S63*'Prestige Patterns'!$B$20)/60</f>
        <v>31</v>
      </c>
      <c r="D63" s="8">
        <f>if(L62=L63,N62*'Prestige Patterns'!$B$20+D62-F63,0)</f>
        <v>25600946</v>
      </c>
      <c r="E63" s="9">
        <f t="shared" si="2"/>
        <v>280</v>
      </c>
      <c r="F63" s="10">
        <f>'Prestige Patterns'!$B$5*('Prestige Patterns'!$B$6^E62-'Prestige Patterns'!$B$6^(E62+G63))/(1-'Prestige Patterns'!$B$6)</f>
        <v>24366898.51</v>
      </c>
      <c r="G63" s="13">
        <f>floor(LOG('Prestige Patterns'!$B$6^(E62) - (D62*(1-'Prestige Patterns'!$B$6)/'Prestige Patterns'!$B$5),'Prestige Patterns'!$B$6)-E62,1)</f>
        <v>9</v>
      </c>
      <c r="H63" s="12">
        <f t="shared" si="3"/>
        <v>140</v>
      </c>
      <c r="I63" s="11">
        <f>1+H63*'Prestige Patterns'!$B$25</f>
        <v>2.4</v>
      </c>
      <c r="J63" s="12">
        <f>floor((K63/'Prestige Patterns'!$B$22)^'Prestige Patterns'!$B$23,1)-H62</f>
        <v>9</v>
      </c>
      <c r="K63" s="8">
        <f>K62+N62*'Prestige Patterns'!$B$20</f>
        <v>2233307328</v>
      </c>
      <c r="L63" s="8">
        <f>if(J62&gt;='Prestige Patterns'!$B$28,if(J62/(H62+1)&gt;('Prestige Patterns'!$B$27+1),L62+1,L62),L62)</f>
        <v>2</v>
      </c>
      <c r="N63" s="12">
        <f t="shared" si="1"/>
        <v>860160</v>
      </c>
      <c r="O63" s="9">
        <f>'Prestige Patterns'!$B$4*E63</f>
        <v>5600</v>
      </c>
      <c r="P63" s="12">
        <f t="shared" si="4"/>
        <v>64</v>
      </c>
      <c r="Q63" s="11"/>
      <c r="R63" s="11"/>
      <c r="S63" s="9">
        <v>62.0</v>
      </c>
      <c r="T63" s="11"/>
    </row>
    <row r="64" ht="15.75" customHeight="1">
      <c r="A64" s="7"/>
      <c r="B64" s="7"/>
      <c r="C64" s="7">
        <f>(S64*'Prestige Patterns'!$B$20)/60</f>
        <v>31.5</v>
      </c>
      <c r="D64" s="8">
        <f>if(L63=L64,N63*'Prestige Patterns'!$B$20+D63-F64,0)</f>
        <v>28087558.42</v>
      </c>
      <c r="E64" s="9">
        <f t="shared" si="2"/>
        <v>286</v>
      </c>
      <c r="F64" s="10">
        <f>'Prestige Patterns'!$B$5*('Prestige Patterns'!$B$6^E63-'Prestige Patterns'!$B$6^(E63+G64))/(1-'Prestige Patterns'!$B$6)</f>
        <v>23318187.59</v>
      </c>
      <c r="G64" s="13">
        <f>floor(LOG('Prestige Patterns'!$B$6^(E63) - (D63*(1-'Prestige Patterns'!$B$6)/'Prestige Patterns'!$B$5),'Prestige Patterns'!$B$6)-E63,1)</f>
        <v>6</v>
      </c>
      <c r="H64" s="12">
        <f t="shared" si="3"/>
        <v>140</v>
      </c>
      <c r="I64" s="11">
        <f>1+H64*'Prestige Patterns'!$B$25</f>
        <v>2.4</v>
      </c>
      <c r="J64" s="12">
        <f>floor((K64/'Prestige Patterns'!$B$22)^'Prestige Patterns'!$B$23,1)-H63</f>
        <v>10</v>
      </c>
      <c r="K64" s="8">
        <f>K63+N63*'Prestige Patterns'!$B$20</f>
        <v>2259112128</v>
      </c>
      <c r="L64" s="8">
        <f>if(J63&gt;='Prestige Patterns'!$B$28,if(J63/(H63+1)&gt;('Prestige Patterns'!$B$27+1),L63+1,L63),L63)</f>
        <v>2</v>
      </c>
      <c r="N64" s="12">
        <f t="shared" si="1"/>
        <v>878592</v>
      </c>
      <c r="O64" s="9">
        <f>'Prestige Patterns'!$B$4*E64</f>
        <v>5720</v>
      </c>
      <c r="P64" s="12">
        <f t="shared" si="4"/>
        <v>64</v>
      </c>
      <c r="Q64" s="11"/>
      <c r="R64" s="11"/>
      <c r="S64" s="9">
        <v>63.0</v>
      </c>
      <c r="T64" s="11"/>
    </row>
    <row r="65" ht="15.75" customHeight="1">
      <c r="A65" s="7"/>
      <c r="B65" s="7"/>
      <c r="C65" s="7">
        <f>(S65*'Prestige Patterns'!$B$20)/60</f>
        <v>32</v>
      </c>
      <c r="D65" s="8">
        <f>if(L64=L65,N64*'Prestige Patterns'!$B$20+D64-F65,0)</f>
        <v>29060069.6</v>
      </c>
      <c r="E65" s="9">
        <f t="shared" si="2"/>
        <v>291</v>
      </c>
      <c r="F65" s="10">
        <f>'Prestige Patterns'!$B$5*('Prestige Patterns'!$B$6^E64-'Prestige Patterns'!$B$6^(E64+G65))/(1-'Prestige Patterns'!$B$6)</f>
        <v>25385248.81</v>
      </c>
      <c r="G65" s="13">
        <f>floor(LOG('Prestige Patterns'!$B$6^(E64) - (D64*(1-'Prestige Patterns'!$B$6)/'Prestige Patterns'!$B$5),'Prestige Patterns'!$B$6)-E64,1)</f>
        <v>5</v>
      </c>
      <c r="H65" s="12">
        <f t="shared" si="3"/>
        <v>140</v>
      </c>
      <c r="I65" s="11">
        <f>1+H65*'Prestige Patterns'!$B$25</f>
        <v>2.4</v>
      </c>
      <c r="J65" s="12">
        <f>floor((K65/'Prestige Patterns'!$B$22)^'Prestige Patterns'!$B$23,1)-H64</f>
        <v>11</v>
      </c>
      <c r="K65" s="8">
        <f>K64+N64*'Prestige Patterns'!$B$20</f>
        <v>2285469888</v>
      </c>
      <c r="L65" s="8">
        <f>if(J64&gt;='Prestige Patterns'!$B$28,if(J64/(H64+1)&gt;('Prestige Patterns'!$B$27+1),L64+1,L64),L64)</f>
        <v>2</v>
      </c>
      <c r="N65" s="12">
        <f t="shared" si="1"/>
        <v>893952</v>
      </c>
      <c r="O65" s="9">
        <f>'Prestige Patterns'!$B$4*E65</f>
        <v>5820</v>
      </c>
      <c r="P65" s="12">
        <f t="shared" si="4"/>
        <v>64</v>
      </c>
      <c r="Q65" s="11"/>
      <c r="R65" s="11"/>
      <c r="S65" s="9">
        <v>64.0</v>
      </c>
      <c r="T65" s="11"/>
    </row>
    <row r="66" ht="15.75" customHeight="1">
      <c r="A66" s="7"/>
      <c r="B66" s="7"/>
      <c r="C66" s="7">
        <f>(S66*'Prestige Patterns'!$B$20)/60</f>
        <v>32.5</v>
      </c>
      <c r="D66" s="8">
        <f>if(L65=L66,N65*'Prestige Patterns'!$B$20+D65-F66,0)</f>
        <v>30606846.46</v>
      </c>
      <c r="E66" s="9">
        <f t="shared" si="2"/>
        <v>295</v>
      </c>
      <c r="F66" s="10">
        <f>'Prestige Patterns'!$B$5*('Prestige Patterns'!$B$6^E65-'Prestige Patterns'!$B$6^(E65+G66))/(1-'Prestige Patterns'!$B$6)</f>
        <v>25271783.14</v>
      </c>
      <c r="G66" s="13">
        <f>floor(LOG('Prestige Patterns'!$B$6^(E65) - (D65*(1-'Prestige Patterns'!$B$6)/'Prestige Patterns'!$B$5),'Prestige Patterns'!$B$6)-E65,1)</f>
        <v>4</v>
      </c>
      <c r="H66" s="12">
        <f t="shared" si="3"/>
        <v>140</v>
      </c>
      <c r="I66" s="11">
        <f>1+H66*'Prestige Patterns'!$B$25</f>
        <v>2.4</v>
      </c>
      <c r="J66" s="12">
        <f>floor((K66/'Prestige Patterns'!$B$22)^'Prestige Patterns'!$B$23,1)-H65</f>
        <v>12</v>
      </c>
      <c r="K66" s="8">
        <f>K65+N65*'Prestige Patterns'!$B$20</f>
        <v>2312288448</v>
      </c>
      <c r="L66" s="8">
        <f>if(J65&gt;='Prestige Patterns'!$B$28,if(J65/(H65+1)&gt;('Prestige Patterns'!$B$27+1),L65+1,L65),L65)</f>
        <v>2</v>
      </c>
      <c r="N66" s="12">
        <f t="shared" si="1"/>
        <v>906240</v>
      </c>
      <c r="O66" s="9">
        <f>'Prestige Patterns'!$B$4*E66</f>
        <v>5900</v>
      </c>
      <c r="P66" s="12">
        <f t="shared" si="4"/>
        <v>64</v>
      </c>
      <c r="Q66" s="11"/>
      <c r="R66" s="11"/>
      <c r="S66" s="9">
        <v>65.0</v>
      </c>
      <c r="T66" s="11"/>
    </row>
    <row r="67" ht="15.75" customHeight="1">
      <c r="A67" s="7"/>
      <c r="B67" s="7"/>
      <c r="C67" s="7">
        <f>(S67*'Prestige Patterns'!$B$20)/60</f>
        <v>33</v>
      </c>
      <c r="D67" s="8">
        <f>if(L66=L67,N66*'Prestige Patterns'!$B$20+D66-F67,0)</f>
        <v>35326362.2</v>
      </c>
      <c r="E67" s="9">
        <f t="shared" si="2"/>
        <v>298</v>
      </c>
      <c r="F67" s="10">
        <f>'Prestige Patterns'!$B$5*('Prestige Patterns'!$B$6^E66-'Prestige Patterns'!$B$6^(E66+G67))/(1-'Prestige Patterns'!$B$6)</f>
        <v>22467684.27</v>
      </c>
      <c r="G67" s="13">
        <f>floor(LOG('Prestige Patterns'!$B$6^(E66) - (D66*(1-'Prestige Patterns'!$B$6)/'Prestige Patterns'!$B$5),'Prestige Patterns'!$B$6)-E66,1)</f>
        <v>3</v>
      </c>
      <c r="H67" s="12">
        <f t="shared" si="3"/>
        <v>140</v>
      </c>
      <c r="I67" s="11">
        <f>1+H67*'Prestige Patterns'!$B$25</f>
        <v>2.4</v>
      </c>
      <c r="J67" s="12">
        <f>floor((K67/'Prestige Patterns'!$B$22)^'Prestige Patterns'!$B$23,1)-H66</f>
        <v>12</v>
      </c>
      <c r="K67" s="8">
        <f>K66+N66*'Prestige Patterns'!$B$20</f>
        <v>2339475648</v>
      </c>
      <c r="L67" s="8">
        <f>if(J66&gt;='Prestige Patterns'!$B$28,if(J66/(H66+1)&gt;('Prestige Patterns'!$B$27+1),L66+1,L66),L66)</f>
        <v>2</v>
      </c>
      <c r="N67" s="12">
        <f t="shared" si="1"/>
        <v>915456</v>
      </c>
      <c r="O67" s="9">
        <f>'Prestige Patterns'!$B$4*E67</f>
        <v>5960</v>
      </c>
      <c r="P67" s="12">
        <f t="shared" si="4"/>
        <v>64</v>
      </c>
      <c r="Q67" s="11"/>
      <c r="R67" s="11"/>
      <c r="S67" s="9">
        <v>66.0</v>
      </c>
      <c r="T67" s="11"/>
    </row>
    <row r="68" ht="15.75" customHeight="1">
      <c r="A68" s="7"/>
      <c r="B68" s="7"/>
      <c r="C68" s="7">
        <f>(S68*'Prestige Patterns'!$B$20)/60</f>
        <v>33.5</v>
      </c>
      <c r="D68" s="8">
        <f>if(L67=L68,N67*'Prestige Patterns'!$B$20+D67-F68,0)</f>
        <v>36780889.2</v>
      </c>
      <c r="E68" s="9">
        <f t="shared" si="2"/>
        <v>301</v>
      </c>
      <c r="F68" s="10">
        <f>'Prestige Patterns'!$B$5*('Prestige Patterns'!$B$6^E67-'Prestige Patterns'!$B$6^(E67+G68))/(1-'Prestige Patterns'!$B$6)</f>
        <v>26009153</v>
      </c>
      <c r="G68" s="13">
        <f>floor(LOG('Prestige Patterns'!$B$6^(E67) - (D67*(1-'Prestige Patterns'!$B$6)/'Prestige Patterns'!$B$5),'Prestige Patterns'!$B$6)-E67,1)</f>
        <v>3</v>
      </c>
      <c r="H68" s="12">
        <f t="shared" si="3"/>
        <v>140</v>
      </c>
      <c r="I68" s="11">
        <f>1+H68*'Prestige Patterns'!$B$25</f>
        <v>2.4</v>
      </c>
      <c r="J68" s="12">
        <f>floor((K68/'Prestige Patterns'!$B$22)^'Prestige Patterns'!$B$23,1)-H67</f>
        <v>13</v>
      </c>
      <c r="K68" s="8">
        <f>K67+N67*'Prestige Patterns'!$B$20</f>
        <v>2366939328</v>
      </c>
      <c r="L68" s="8">
        <f>if(J67&gt;='Prestige Patterns'!$B$28,if(J67/(H67+1)&gt;('Prestige Patterns'!$B$27+1),L67+1,L67),L67)</f>
        <v>2</v>
      </c>
      <c r="N68" s="12">
        <f t="shared" si="1"/>
        <v>7397376</v>
      </c>
      <c r="O68" s="9">
        <f>'Prestige Patterns'!$B$4*E68</f>
        <v>6020</v>
      </c>
      <c r="P68" s="12">
        <f t="shared" si="4"/>
        <v>512</v>
      </c>
      <c r="Q68" s="11"/>
      <c r="R68" s="11"/>
      <c r="S68" s="9">
        <v>67.0</v>
      </c>
      <c r="T68" s="11"/>
    </row>
    <row r="69" ht="15.75" customHeight="1">
      <c r="A69" s="7"/>
      <c r="B69" s="7"/>
      <c r="C69" s="7">
        <f>(S69*'Prestige Patterns'!$B$20)/60</f>
        <v>34</v>
      </c>
      <c r="D69" s="8">
        <f>if(L68=L69,N68*'Prestige Patterns'!$B$20+D68-F69,0)</f>
        <v>228593323.5</v>
      </c>
      <c r="E69" s="9">
        <f t="shared" si="2"/>
        <v>304</v>
      </c>
      <c r="F69" s="10">
        <f>'Prestige Patterns'!$B$5*('Prestige Patterns'!$B$6^E68-'Prestige Patterns'!$B$6^(E68+G69))/(1-'Prestige Patterns'!$B$6)</f>
        <v>30108845.74</v>
      </c>
      <c r="G69" s="13">
        <f>floor(LOG('Prestige Patterns'!$B$6^(E68) - (D68*(1-'Prestige Patterns'!$B$6)/'Prestige Patterns'!$B$5),'Prestige Patterns'!$B$6)-E68,1)</f>
        <v>3</v>
      </c>
      <c r="H69" s="12">
        <f t="shared" si="3"/>
        <v>140</v>
      </c>
      <c r="I69" s="11">
        <f>1+H69*'Prestige Patterns'!$B$25</f>
        <v>2.4</v>
      </c>
      <c r="J69" s="12">
        <f>floor((K69/'Prestige Patterns'!$B$22)^'Prestige Patterns'!$B$23,1)-H68</f>
        <v>20</v>
      </c>
      <c r="K69" s="8">
        <f>K68+N68*'Prestige Patterns'!$B$20</f>
        <v>2588860608</v>
      </c>
      <c r="L69" s="8">
        <f>if(J68&gt;='Prestige Patterns'!$B$28,if(J68/(H68+1)&gt;('Prestige Patterns'!$B$27+1),L68+1,L68),L68)</f>
        <v>2</v>
      </c>
      <c r="N69" s="12">
        <f t="shared" si="1"/>
        <v>7471104</v>
      </c>
      <c r="O69" s="9">
        <f>'Prestige Patterns'!$B$4*E69</f>
        <v>6080</v>
      </c>
      <c r="P69" s="12">
        <f t="shared" si="4"/>
        <v>512</v>
      </c>
      <c r="Q69" s="11"/>
      <c r="R69" s="11"/>
      <c r="S69" s="9">
        <v>68.0</v>
      </c>
      <c r="T69" s="11"/>
    </row>
    <row r="70" ht="15.75" customHeight="1">
      <c r="A70" s="7"/>
      <c r="B70" s="7"/>
      <c r="C70" s="7">
        <f>(S70*'Prestige Patterns'!$B$20)/60</f>
        <v>34.5</v>
      </c>
      <c r="D70" s="8">
        <f>if(L69=L70,N69*'Prestige Patterns'!$B$20+D69-F70,0)</f>
        <v>236039538.4</v>
      </c>
      <c r="E70" s="9">
        <f t="shared" si="2"/>
        <v>318</v>
      </c>
      <c r="F70" s="10">
        <f>'Prestige Patterns'!$B$5*('Prestige Patterns'!$B$6^E69-'Prestige Patterns'!$B$6^(E69+G70))/(1-'Prestige Patterns'!$B$6)</f>
        <v>216686905.1</v>
      </c>
      <c r="G70" s="13">
        <f>floor(LOG('Prestige Patterns'!$B$6^(E69) - (D69*(1-'Prestige Patterns'!$B$6)/'Prestige Patterns'!$B$5),'Prestige Patterns'!$B$6)-E69,1)</f>
        <v>14</v>
      </c>
      <c r="H70" s="12">
        <f t="shared" si="3"/>
        <v>140</v>
      </c>
      <c r="I70" s="11">
        <f>1+H70*'Prestige Patterns'!$B$25</f>
        <v>2.4</v>
      </c>
      <c r="J70" s="12">
        <f>floor((K70/'Prestige Patterns'!$B$22)^'Prestige Patterns'!$B$23,1)-H69</f>
        <v>27</v>
      </c>
      <c r="K70" s="8">
        <f>K69+N69*'Prestige Patterns'!$B$20</f>
        <v>2812993728</v>
      </c>
      <c r="L70" s="8">
        <f>if(J69&gt;='Prestige Patterns'!$B$28,if(J69/(H69+1)&gt;('Prestige Patterns'!$B$27+1),L69+1,L69),L69)</f>
        <v>2</v>
      </c>
      <c r="N70" s="12">
        <f t="shared" si="1"/>
        <v>7815168</v>
      </c>
      <c r="O70" s="9">
        <f>'Prestige Patterns'!$B$4*E70</f>
        <v>6360</v>
      </c>
      <c r="P70" s="12">
        <f t="shared" si="4"/>
        <v>512</v>
      </c>
      <c r="Q70" s="11"/>
      <c r="R70" s="11"/>
      <c r="S70" s="9">
        <v>69.0</v>
      </c>
      <c r="T70" s="11"/>
    </row>
    <row r="71" ht="15.75" customHeight="1">
      <c r="A71" s="7"/>
      <c r="B71" s="7"/>
      <c r="C71" s="7">
        <f>(S71*'Prestige Patterns'!$B$20)/60</f>
        <v>35</v>
      </c>
      <c r="D71" s="8">
        <f>if(L70=L71,N70*'Prestige Patterns'!$B$20+D70-F71,0)</f>
        <v>261459129.8</v>
      </c>
      <c r="E71" s="9">
        <f t="shared" si="2"/>
        <v>326</v>
      </c>
      <c r="F71" s="10">
        <f>'Prestige Patterns'!$B$5*('Prestige Patterns'!$B$6^E70-'Prestige Patterns'!$B$6^(E70+G71))/(1-'Prestige Patterns'!$B$6)</f>
        <v>209035448.5</v>
      </c>
      <c r="G71" s="13">
        <f>floor(LOG('Prestige Patterns'!$B$6^(E70) - (D70*(1-'Prestige Patterns'!$B$6)/'Prestige Patterns'!$B$5),'Prestige Patterns'!$B$6)-E70,1)</f>
        <v>8</v>
      </c>
      <c r="H71" s="12">
        <f t="shared" si="3"/>
        <v>140</v>
      </c>
      <c r="I71" s="11">
        <f>1+H71*'Prestige Patterns'!$B$25</f>
        <v>2.4</v>
      </c>
      <c r="J71" s="12">
        <f>floor((K71/'Prestige Patterns'!$B$22)^'Prestige Patterns'!$B$23,1)-H70</f>
        <v>34</v>
      </c>
      <c r="K71" s="8">
        <f>K70+N70*'Prestige Patterns'!$B$20</f>
        <v>3047448768</v>
      </c>
      <c r="L71" s="8">
        <f>if(J70&gt;='Prestige Patterns'!$B$28,if(J70/(H70+1)&gt;('Prestige Patterns'!$B$27+1),L70+1,L70),L70)</f>
        <v>2</v>
      </c>
      <c r="N71" s="12">
        <f t="shared" si="1"/>
        <v>8011776</v>
      </c>
      <c r="O71" s="9">
        <f>'Prestige Patterns'!$B$4*E71</f>
        <v>6520</v>
      </c>
      <c r="P71" s="12">
        <f t="shared" si="4"/>
        <v>512</v>
      </c>
      <c r="Q71" s="11"/>
      <c r="R71" s="11"/>
      <c r="S71" s="9">
        <v>70.0</v>
      </c>
      <c r="T71" s="11"/>
    </row>
    <row r="72" ht="15.75" customHeight="1">
      <c r="A72" s="7"/>
      <c r="B72" s="7"/>
      <c r="C72" s="7">
        <f>(S72*'Prestige Patterns'!$B$20)/60</f>
        <v>35.5</v>
      </c>
      <c r="D72" s="8">
        <f>if(L71=L72,N71*'Prestige Patterns'!$B$20+D71-F72,0)</f>
        <v>281822607.8</v>
      </c>
      <c r="E72" s="9">
        <f t="shared" si="2"/>
        <v>332</v>
      </c>
      <c r="F72" s="10">
        <f>'Prestige Patterns'!$B$5*('Prestige Patterns'!$B$6^E71-'Prestige Patterns'!$B$6^(E71+G72))/(1-'Prestige Patterns'!$B$6)</f>
        <v>219989802.1</v>
      </c>
      <c r="G72" s="13">
        <f>floor(LOG('Prestige Patterns'!$B$6^(E71) - (D71*(1-'Prestige Patterns'!$B$6)/'Prestige Patterns'!$B$5),'Prestige Patterns'!$B$6)-E71,1)</f>
        <v>6</v>
      </c>
      <c r="H72" s="12">
        <f t="shared" si="3"/>
        <v>140</v>
      </c>
      <c r="I72" s="11">
        <f>1+H72*'Prestige Patterns'!$B$25</f>
        <v>2.4</v>
      </c>
      <c r="J72" s="12">
        <f>floor((K72/'Prestige Patterns'!$B$22)^'Prestige Patterns'!$B$23,1)-H71</f>
        <v>41</v>
      </c>
      <c r="K72" s="8">
        <f>K71+N71*'Prestige Patterns'!$B$20</f>
        <v>3287802048</v>
      </c>
      <c r="L72" s="8">
        <f>if(J71&gt;='Prestige Patterns'!$B$28,if(J71/(H71+1)&gt;('Prestige Patterns'!$B$27+1),L71+1,L71),L71)</f>
        <v>2</v>
      </c>
      <c r="N72" s="12">
        <f t="shared" si="1"/>
        <v>8159232</v>
      </c>
      <c r="O72" s="9">
        <f>'Prestige Patterns'!$B$4*E72</f>
        <v>6640</v>
      </c>
      <c r="P72" s="12">
        <f t="shared" si="4"/>
        <v>512</v>
      </c>
      <c r="Q72" s="11"/>
      <c r="R72" s="11"/>
      <c r="S72" s="9">
        <v>71.0</v>
      </c>
      <c r="T72" s="11"/>
    </row>
    <row r="73" ht="15.75" customHeight="1">
      <c r="A73" s="7"/>
      <c r="B73" s="7"/>
      <c r="C73" s="7">
        <f>(S73*'Prestige Patterns'!$B$20)/60</f>
        <v>36</v>
      </c>
      <c r="D73" s="8">
        <f>if(L72=L73,N72*'Prestige Patterns'!$B$20+D72-F73,0)</f>
        <v>287108576.5</v>
      </c>
      <c r="E73" s="9">
        <f t="shared" si="2"/>
        <v>337</v>
      </c>
      <c r="F73" s="10">
        <f>'Prestige Patterns'!$B$5*('Prestige Patterns'!$B$6^E72-'Prestige Patterns'!$B$6^(E72+G73))/(1-'Prestige Patterns'!$B$6)</f>
        <v>239490991.3</v>
      </c>
      <c r="G73" s="13">
        <f>floor(LOG('Prestige Patterns'!$B$6^(E72) - (D72*(1-'Prestige Patterns'!$B$6)/'Prestige Patterns'!$B$5),'Prestige Patterns'!$B$6)-E72,1)</f>
        <v>5</v>
      </c>
      <c r="H73" s="12">
        <f t="shared" si="3"/>
        <v>140</v>
      </c>
      <c r="I73" s="11">
        <f>1+H73*'Prestige Patterns'!$B$25</f>
        <v>2.4</v>
      </c>
      <c r="J73" s="12">
        <f>floor((K73/'Prestige Patterns'!$B$22)^'Prestige Patterns'!$B$23,1)-H72</f>
        <v>47</v>
      </c>
      <c r="K73" s="8">
        <f>K72+N72*'Prestige Patterns'!$B$20</f>
        <v>3532579008</v>
      </c>
      <c r="L73" s="8">
        <f>if(J72&gt;='Prestige Patterns'!$B$28,if(J72/(H72+1)&gt;('Prestige Patterns'!$B$27+1),L72+1,L72),L72)</f>
        <v>2</v>
      </c>
      <c r="N73" s="12">
        <f t="shared" si="1"/>
        <v>8282112</v>
      </c>
      <c r="O73" s="9">
        <f>'Prestige Patterns'!$B$4*E73</f>
        <v>6740</v>
      </c>
      <c r="P73" s="12">
        <f t="shared" si="4"/>
        <v>512</v>
      </c>
      <c r="Q73" s="11"/>
      <c r="R73" s="11"/>
      <c r="S73" s="9">
        <v>72.0</v>
      </c>
      <c r="T73" s="11"/>
    </row>
    <row r="74" ht="15.75" customHeight="1">
      <c r="A74" s="7"/>
      <c r="B74" s="7"/>
      <c r="C74" s="7">
        <f>(S74*'Prestige Patterns'!$B$20)/60</f>
        <v>36.5</v>
      </c>
      <c r="D74" s="8">
        <f>if(L73=L74,N73*'Prestige Patterns'!$B$20+D73-F74,0)</f>
        <v>297151409.6</v>
      </c>
      <c r="E74" s="9">
        <f t="shared" si="2"/>
        <v>341</v>
      </c>
      <c r="F74" s="10">
        <f>'Prestige Patterns'!$B$5*('Prestige Patterns'!$B$6^E73-'Prestige Patterns'!$B$6^(E73+G74))/(1-'Prestige Patterns'!$B$6)</f>
        <v>238420526.9</v>
      </c>
      <c r="G74" s="13">
        <f>floor(LOG('Prestige Patterns'!$B$6^(E73) - (D73*(1-'Prestige Patterns'!$B$6)/'Prestige Patterns'!$B$5),'Prestige Patterns'!$B$6)-E73,1)</f>
        <v>4</v>
      </c>
      <c r="H74" s="12">
        <f t="shared" si="3"/>
        <v>140</v>
      </c>
      <c r="I74" s="11">
        <f>1+H74*'Prestige Patterns'!$B$25</f>
        <v>2.4</v>
      </c>
      <c r="J74" s="12">
        <f>floor((K74/'Prestige Patterns'!$B$22)^'Prestige Patterns'!$B$23,1)-H73</f>
        <v>54</v>
      </c>
      <c r="K74" s="8">
        <f>K73+N73*'Prestige Patterns'!$B$20</f>
        <v>3781042368</v>
      </c>
      <c r="L74" s="8">
        <f>if(J73&gt;='Prestige Patterns'!$B$28,if(J73/(H73+1)&gt;('Prestige Patterns'!$B$27+1),L73+1,L73),L73)</f>
        <v>2</v>
      </c>
      <c r="N74" s="12">
        <f t="shared" si="1"/>
        <v>8380416</v>
      </c>
      <c r="O74" s="9">
        <f>'Prestige Patterns'!$B$4*E74</f>
        <v>6820</v>
      </c>
      <c r="P74" s="12">
        <f t="shared" si="4"/>
        <v>512</v>
      </c>
      <c r="Q74" s="11"/>
      <c r="R74" s="11"/>
      <c r="S74" s="9">
        <v>73.0</v>
      </c>
      <c r="T74" s="11"/>
    </row>
    <row r="75" ht="15.75" customHeight="1">
      <c r="A75" s="7"/>
      <c r="B75" s="7"/>
      <c r="C75" s="7">
        <f>(S75*'Prestige Patterns'!$B$20)/60</f>
        <v>37</v>
      </c>
      <c r="D75" s="8">
        <f>if(L74=L75,N74*'Prestige Patterns'!$B$20+D74-F75,0)</f>
        <v>258762249</v>
      </c>
      <c r="E75" s="9">
        <f t="shared" si="2"/>
        <v>345</v>
      </c>
      <c r="F75" s="10">
        <f>'Prestige Patterns'!$B$5*('Prestige Patterns'!$B$6^E74-'Prestige Patterns'!$B$6^(E74+G75))/(1-'Prestige Patterns'!$B$6)</f>
        <v>289801640.6</v>
      </c>
      <c r="G75" s="13">
        <f>floor(LOG('Prestige Patterns'!$B$6^(E74) - (D74*(1-'Prestige Patterns'!$B$6)/'Prestige Patterns'!$B$5),'Prestige Patterns'!$B$6)-E74,1)</f>
        <v>4</v>
      </c>
      <c r="H75" s="12">
        <f t="shared" si="3"/>
        <v>140</v>
      </c>
      <c r="I75" s="11">
        <f>1+H75*'Prestige Patterns'!$B$25</f>
        <v>2.4</v>
      </c>
      <c r="J75" s="12">
        <f>floor((K75/'Prestige Patterns'!$B$22)^'Prestige Patterns'!$B$23,1)-H74</f>
        <v>60</v>
      </c>
      <c r="K75" s="8">
        <f>K74+N74*'Prestige Patterns'!$B$20</f>
        <v>4032454848</v>
      </c>
      <c r="L75" s="8">
        <f>if(J74&gt;='Prestige Patterns'!$B$28,if(J74/(H74+1)&gt;('Prestige Patterns'!$B$27+1),L74+1,L74),L74)</f>
        <v>2</v>
      </c>
      <c r="N75" s="12">
        <f t="shared" si="1"/>
        <v>8478720</v>
      </c>
      <c r="O75" s="9">
        <f>'Prestige Patterns'!$B$4*E75</f>
        <v>6900</v>
      </c>
      <c r="P75" s="12">
        <f t="shared" si="4"/>
        <v>512</v>
      </c>
      <c r="Q75" s="11"/>
      <c r="R75" s="11"/>
      <c r="S75" s="9">
        <v>74.0</v>
      </c>
      <c r="T75" s="11"/>
    </row>
    <row r="76" ht="15.75" customHeight="1">
      <c r="A76" s="7"/>
      <c r="B76" s="7"/>
      <c r="C76" s="7">
        <f>(S76*'Prestige Patterns'!$B$20)/60</f>
        <v>37.5</v>
      </c>
      <c r="D76" s="8">
        <f>if(L75=L76,N75*'Prestige Patterns'!$B$20+D75-F76,0)</f>
        <v>255477931.2</v>
      </c>
      <c r="E76" s="9">
        <f t="shared" si="2"/>
        <v>348</v>
      </c>
      <c r="F76" s="10">
        <f>'Prestige Patterns'!$B$5*('Prestige Patterns'!$B$6^E75-'Prestige Patterns'!$B$6^(E75+G76))/(1-'Prestige Patterns'!$B$6)</f>
        <v>257645917.7</v>
      </c>
      <c r="G76" s="13">
        <f>floor(LOG('Prestige Patterns'!$B$6^(E75) - (D75*(1-'Prestige Patterns'!$B$6)/'Prestige Patterns'!$B$5),'Prestige Patterns'!$B$6)-E75,1)</f>
        <v>3</v>
      </c>
      <c r="H76" s="12">
        <f t="shared" si="3"/>
        <v>140</v>
      </c>
      <c r="I76" s="11">
        <f>1+H76*'Prestige Patterns'!$B$25</f>
        <v>2.4</v>
      </c>
      <c r="J76" s="12">
        <f>floor((K76/'Prestige Patterns'!$B$22)^'Prestige Patterns'!$B$23,1)-H75</f>
        <v>67</v>
      </c>
      <c r="K76" s="8">
        <f>K75+N75*'Prestige Patterns'!$B$20</f>
        <v>4286816448</v>
      </c>
      <c r="L76" s="8">
        <f>if(J75&gt;='Prestige Patterns'!$B$28,if(J75/(H75+1)&gt;('Prestige Patterns'!$B$27+1),L75+1,L75),L75)</f>
        <v>2</v>
      </c>
      <c r="N76" s="12">
        <f t="shared" si="1"/>
        <v>8552448</v>
      </c>
      <c r="O76" s="9">
        <f>'Prestige Patterns'!$B$4*E76</f>
        <v>6960</v>
      </c>
      <c r="P76" s="12">
        <f t="shared" si="4"/>
        <v>512</v>
      </c>
      <c r="Q76" s="11"/>
      <c r="R76" s="11"/>
      <c r="S76" s="9">
        <v>75.0</v>
      </c>
      <c r="T76" s="11"/>
    </row>
    <row r="77" ht="15.75" customHeight="1">
      <c r="A77" s="7"/>
      <c r="B77" s="7"/>
      <c r="C77" s="7">
        <f>(S77*'Prestige Patterns'!$B$20)/60</f>
        <v>38</v>
      </c>
      <c r="D77" s="8">
        <f>if(L76=L77,N76*'Prestige Patterns'!$B$20+D76-F77,0)</f>
        <v>318101306.6</v>
      </c>
      <c r="E77" s="9">
        <f t="shared" si="2"/>
        <v>350</v>
      </c>
      <c r="F77" s="10">
        <f>'Prestige Patterns'!$B$5*('Prestige Patterns'!$B$6^E76-'Prestige Patterns'!$B$6^(E76+G77))/(1-'Prestige Patterns'!$B$6)</f>
        <v>193950064.7</v>
      </c>
      <c r="G77" s="13">
        <f>floor(LOG('Prestige Patterns'!$B$6^(E76) - (D76*(1-'Prestige Patterns'!$B$6)/'Prestige Patterns'!$B$5),'Prestige Patterns'!$B$6)-E76,1)</f>
        <v>2</v>
      </c>
      <c r="H77" s="12">
        <f t="shared" si="3"/>
        <v>140</v>
      </c>
      <c r="I77" s="11">
        <f>1+H77*'Prestige Patterns'!$B$25</f>
        <v>2.4</v>
      </c>
      <c r="J77" s="12">
        <f>floor((K77/'Prestige Patterns'!$B$22)^'Prestige Patterns'!$B$23,1)-H76</f>
        <v>73</v>
      </c>
      <c r="K77" s="8">
        <f>K76+N76*'Prestige Patterns'!$B$20</f>
        <v>4543389888</v>
      </c>
      <c r="L77" s="8">
        <f>if(J76&gt;='Prestige Patterns'!$B$28,if(J76/(H76+1)&gt;('Prestige Patterns'!$B$27+1),L76+1,L76),L76)</f>
        <v>2</v>
      </c>
      <c r="N77" s="12">
        <f t="shared" si="1"/>
        <v>8601600</v>
      </c>
      <c r="O77" s="9">
        <f>'Prestige Patterns'!$B$4*E77</f>
        <v>7000</v>
      </c>
      <c r="P77" s="12">
        <f t="shared" si="4"/>
        <v>512</v>
      </c>
      <c r="Q77" s="11"/>
      <c r="R77" s="11"/>
      <c r="S77" s="9">
        <v>76.0</v>
      </c>
      <c r="T77" s="11"/>
    </row>
    <row r="78" ht="15.75" customHeight="1">
      <c r="A78" s="7"/>
      <c r="B78" s="7"/>
      <c r="C78" s="7">
        <f>(S78*'Prestige Patterns'!$B$20)/60</f>
        <v>38.5</v>
      </c>
      <c r="D78" s="8">
        <f>if(L77=L78,N77*'Prestige Patterns'!$B$20+D77-F78,0)</f>
        <v>362319360.3</v>
      </c>
      <c r="E78" s="9">
        <f t="shared" si="2"/>
        <v>352</v>
      </c>
      <c r="F78" s="10">
        <f>'Prestige Patterns'!$B$5*('Prestige Patterns'!$B$6^E77-'Prestige Patterns'!$B$6^(E77+G78))/(1-'Prestige Patterns'!$B$6)</f>
        <v>213829946.3</v>
      </c>
      <c r="G78" s="13">
        <f>floor(LOG('Prestige Patterns'!$B$6^(E77) - (D77*(1-'Prestige Patterns'!$B$6)/'Prestige Patterns'!$B$5),'Prestige Patterns'!$B$6)-E77,1)</f>
        <v>2</v>
      </c>
      <c r="H78" s="12">
        <f t="shared" si="3"/>
        <v>140</v>
      </c>
      <c r="I78" s="11">
        <f>1+H78*'Prestige Patterns'!$B$25</f>
        <v>2.4</v>
      </c>
      <c r="J78" s="12">
        <f>floor((K78/'Prestige Patterns'!$B$22)^'Prestige Patterns'!$B$23,1)-H77</f>
        <v>79</v>
      </c>
      <c r="K78" s="8">
        <f>K77+N77*'Prestige Patterns'!$B$20</f>
        <v>4801437888</v>
      </c>
      <c r="L78" s="8">
        <f>if(J77&gt;='Prestige Patterns'!$B$28,if(J77/(H77+1)&gt;('Prestige Patterns'!$B$27+1),L77+1,L77),L77)</f>
        <v>2</v>
      </c>
      <c r="N78" s="12">
        <f t="shared" si="1"/>
        <v>8650752</v>
      </c>
      <c r="O78" s="9">
        <f>'Prestige Patterns'!$B$4*E78</f>
        <v>7040</v>
      </c>
      <c r="P78" s="12">
        <f t="shared" si="4"/>
        <v>512</v>
      </c>
      <c r="Q78" s="11"/>
      <c r="R78" s="11"/>
      <c r="S78" s="9">
        <v>77.0</v>
      </c>
      <c r="T78" s="11"/>
    </row>
    <row r="79" ht="15.75" customHeight="1">
      <c r="A79" s="7"/>
      <c r="B79" s="7"/>
      <c r="C79" s="7">
        <f>(S79*'Prestige Patterns'!$B$20)/60</f>
        <v>39</v>
      </c>
      <c r="D79" s="8">
        <f>if(L78=L79,N78*'Prestige Patterns'!$B$20+D78-F79,0)</f>
        <v>386094404.5</v>
      </c>
      <c r="E79" s="9">
        <f t="shared" si="2"/>
        <v>354</v>
      </c>
      <c r="F79" s="10">
        <f>'Prestige Patterns'!$B$5*('Prestige Patterns'!$B$6^E78-'Prestige Patterns'!$B$6^(E78+G79))/(1-'Prestige Patterns'!$B$6)</f>
        <v>235747515.8</v>
      </c>
      <c r="G79" s="13">
        <f>floor(LOG('Prestige Patterns'!$B$6^(E78) - (D78*(1-'Prestige Patterns'!$B$6)/'Prestige Patterns'!$B$5),'Prestige Patterns'!$B$6)-E78,1)</f>
        <v>2</v>
      </c>
      <c r="H79" s="12">
        <f t="shared" si="3"/>
        <v>140</v>
      </c>
      <c r="I79" s="11">
        <f>1+H79*'Prestige Patterns'!$B$25</f>
        <v>2.4</v>
      </c>
      <c r="J79" s="12">
        <f>floor((K79/'Prestige Patterns'!$B$22)^'Prestige Patterns'!$B$23,1)-H78</f>
        <v>84</v>
      </c>
      <c r="K79" s="8">
        <f>K78+N78*'Prestige Patterns'!$B$20</f>
        <v>5060960448</v>
      </c>
      <c r="L79" s="8">
        <f>if(J78&gt;='Prestige Patterns'!$B$28,if(J78/(H78+1)&gt;('Prestige Patterns'!$B$27+1),L78+1,L78),L78)</f>
        <v>2</v>
      </c>
      <c r="N79" s="12">
        <f t="shared" si="1"/>
        <v>8699904</v>
      </c>
      <c r="O79" s="9">
        <f>'Prestige Patterns'!$B$4*E79</f>
        <v>7080</v>
      </c>
      <c r="P79" s="12">
        <f t="shared" si="4"/>
        <v>512</v>
      </c>
      <c r="Q79" s="11"/>
      <c r="R79" s="11"/>
      <c r="S79" s="9">
        <v>78.0</v>
      </c>
      <c r="T79" s="11"/>
    </row>
    <row r="80" ht="15.75" customHeight="1">
      <c r="A80" s="7"/>
      <c r="B80" s="7"/>
      <c r="C80" s="7">
        <f>(S80*'Prestige Patterns'!$B$20)/60</f>
        <v>39.5</v>
      </c>
      <c r="D80" s="8">
        <f>if(L79=L80,N79*'Prestige Patterns'!$B$20+D79-F80,0)</f>
        <v>387179888.3</v>
      </c>
      <c r="E80" s="9">
        <f t="shared" si="2"/>
        <v>356</v>
      </c>
      <c r="F80" s="10">
        <f>'Prestige Patterns'!$B$5*('Prestige Patterns'!$B$6^E79-'Prestige Patterns'!$B$6^(E79+G80))/(1-'Prestige Patterns'!$B$6)</f>
        <v>259911636.1</v>
      </c>
      <c r="G80" s="13">
        <f>floor(LOG('Prestige Patterns'!$B$6^(E79) - (D79*(1-'Prestige Patterns'!$B$6)/'Prestige Patterns'!$B$5),'Prestige Patterns'!$B$6)-E79,1)</f>
        <v>2</v>
      </c>
      <c r="H80" s="12">
        <f t="shared" si="3"/>
        <v>140</v>
      </c>
      <c r="I80" s="11">
        <f>1+H80*'Prestige Patterns'!$B$25</f>
        <v>2.4</v>
      </c>
      <c r="J80" s="12">
        <f>floor((K80/'Prestige Patterns'!$B$22)^'Prestige Patterns'!$B$23,1)-H79</f>
        <v>90</v>
      </c>
      <c r="K80" s="8">
        <f>K79+N79*'Prestige Patterns'!$B$20</f>
        <v>5321957568</v>
      </c>
      <c r="L80" s="8">
        <f>if(J79&gt;='Prestige Patterns'!$B$28,if(J79/(H79+1)&gt;('Prestige Patterns'!$B$27+1),L79+1,L79),L79)</f>
        <v>2</v>
      </c>
      <c r="N80" s="12">
        <f t="shared" si="1"/>
        <v>8749056</v>
      </c>
      <c r="O80" s="9">
        <f>'Prestige Patterns'!$B$4*E80</f>
        <v>7120</v>
      </c>
      <c r="P80" s="12">
        <f t="shared" si="4"/>
        <v>512</v>
      </c>
      <c r="Q80" s="11"/>
      <c r="R80" s="11"/>
      <c r="S80" s="9">
        <v>79.0</v>
      </c>
      <c r="T80" s="11"/>
    </row>
    <row r="81" ht="15.75" customHeight="1">
      <c r="A81" s="7"/>
      <c r="B81" s="7"/>
      <c r="C81" s="7">
        <f>(S81*'Prestige Patterns'!$B$20)/60</f>
        <v>40</v>
      </c>
      <c r="D81" s="8">
        <f>if(L80=L81,N80*'Prestige Patterns'!$B$20+D80-F81,0)</f>
        <v>363098989.5</v>
      </c>
      <c r="E81" s="9">
        <f t="shared" si="2"/>
        <v>358</v>
      </c>
      <c r="F81" s="10">
        <f>'Prestige Patterns'!$B$5*('Prestige Patterns'!$B$6^E80-'Prestige Patterns'!$B$6^(E80+G81))/(1-'Prestige Patterns'!$B$6)</f>
        <v>286552578.9</v>
      </c>
      <c r="G81" s="13">
        <f>floor(LOG('Prestige Patterns'!$B$6^(E80) - (D80*(1-'Prestige Patterns'!$B$6)/'Prestige Patterns'!$B$5),'Prestige Patterns'!$B$6)-E80,1)</f>
        <v>2</v>
      </c>
      <c r="H81" s="12">
        <f t="shared" si="3"/>
        <v>140</v>
      </c>
      <c r="I81" s="11">
        <f>1+H81*'Prestige Patterns'!$B$25</f>
        <v>2.4</v>
      </c>
      <c r="J81" s="12">
        <f>floor((K81/'Prestige Patterns'!$B$22)^'Prestige Patterns'!$B$23,1)-H80</f>
        <v>96</v>
      </c>
      <c r="K81" s="8">
        <f>K80+N80*'Prestige Patterns'!$B$20</f>
        <v>5584429248</v>
      </c>
      <c r="L81" s="8">
        <f>if(J80&gt;='Prestige Patterns'!$B$28,if(J80/(H80+1)&gt;('Prestige Patterns'!$B$27+1),L80+1,L80),L80)</f>
        <v>2</v>
      </c>
      <c r="N81" s="12">
        <f t="shared" si="1"/>
        <v>8798208</v>
      </c>
      <c r="O81" s="9">
        <f>'Prestige Patterns'!$B$4*E81</f>
        <v>7160</v>
      </c>
      <c r="P81" s="12">
        <f t="shared" si="4"/>
        <v>512</v>
      </c>
      <c r="Q81" s="11"/>
      <c r="R81" s="11"/>
      <c r="S81" s="9">
        <v>80.0</v>
      </c>
      <c r="T81" s="11"/>
    </row>
    <row r="82" ht="15.75" customHeight="1">
      <c r="A82" s="7"/>
      <c r="B82" s="7"/>
      <c r="C82" s="7">
        <f>(S82*'Prestige Patterns'!$B$20)/60</f>
        <v>40.5</v>
      </c>
      <c r="D82" s="8">
        <f>if(L81=L82,N81*'Prestige Patterns'!$B$20+D81-F82,0)</f>
        <v>311121011.3</v>
      </c>
      <c r="E82" s="9">
        <f t="shared" si="2"/>
        <v>360</v>
      </c>
      <c r="F82" s="10">
        <f>'Prestige Patterns'!$B$5*('Prestige Patterns'!$B$6^E81-'Prestige Patterns'!$B$6^(E81+G82))/(1-'Prestige Patterns'!$B$6)</f>
        <v>315924218.2</v>
      </c>
      <c r="G82" s="13">
        <f>floor(LOG('Prestige Patterns'!$B$6^(E81) - (D81*(1-'Prestige Patterns'!$B$6)/'Prestige Patterns'!$B$5),'Prestige Patterns'!$B$6)-E81,1)</f>
        <v>2</v>
      </c>
      <c r="H82" s="12">
        <f t="shared" si="3"/>
        <v>140</v>
      </c>
      <c r="I82" s="11">
        <f>1+H82*'Prestige Patterns'!$B$25</f>
        <v>2.4</v>
      </c>
      <c r="J82" s="12">
        <f>floor((K82/'Prestige Patterns'!$B$22)^'Prestige Patterns'!$B$23,1)-H81</f>
        <v>101</v>
      </c>
      <c r="K82" s="8">
        <f>K81+N81*'Prestige Patterns'!$B$20</f>
        <v>5848375488</v>
      </c>
      <c r="L82" s="8">
        <f>if(J81&gt;='Prestige Patterns'!$B$28,if(J81/(H81+1)&gt;('Prestige Patterns'!$B$27+1),L81+1,L81),L81)</f>
        <v>2</v>
      </c>
      <c r="N82" s="12">
        <f t="shared" si="1"/>
        <v>8847360</v>
      </c>
      <c r="O82" s="9">
        <f>'Prestige Patterns'!$B$4*E82</f>
        <v>7200</v>
      </c>
      <c r="P82" s="12">
        <f t="shared" si="4"/>
        <v>512</v>
      </c>
      <c r="Q82" s="11"/>
      <c r="R82" s="11"/>
      <c r="S82" s="9">
        <v>81.0</v>
      </c>
      <c r="T82" s="11"/>
    </row>
    <row r="83" ht="15.75" customHeight="1">
      <c r="A83" s="7"/>
      <c r="B83" s="7"/>
      <c r="C83" s="7">
        <f>(S83*'Prestige Patterns'!$B$20)/60</f>
        <v>41</v>
      </c>
      <c r="D83" s="8">
        <f>if(L82=L83,N82*'Prestige Patterns'!$B$20+D82-F83,0)</f>
        <v>406636225.7</v>
      </c>
      <c r="E83" s="9">
        <f t="shared" si="2"/>
        <v>361</v>
      </c>
      <c r="F83" s="10">
        <f>'Prestige Patterns'!$B$5*('Prestige Patterns'!$B$6^E82-'Prestige Patterns'!$B$6^(E82+G83))/(1-'Prestige Patterns'!$B$6)</f>
        <v>169905585.6</v>
      </c>
      <c r="G83" s="13">
        <f>floor(LOG('Prestige Patterns'!$B$6^(E82) - (D82*(1-'Prestige Patterns'!$B$6)/'Prestige Patterns'!$B$5),'Prestige Patterns'!$B$6)-E82,1)</f>
        <v>1</v>
      </c>
      <c r="H83" s="12">
        <f t="shared" si="3"/>
        <v>140</v>
      </c>
      <c r="I83" s="11">
        <f>1+H83*'Prestige Patterns'!$B$25</f>
        <v>2.4</v>
      </c>
      <c r="J83" s="12">
        <f>floor((K83/'Prestige Patterns'!$B$22)^'Prestige Patterns'!$B$23,1)-H82</f>
        <v>107</v>
      </c>
      <c r="K83" s="8">
        <f>K82+N82*'Prestige Patterns'!$B$20</f>
        <v>6113796288</v>
      </c>
      <c r="L83" s="8">
        <f>if(J82&gt;='Prestige Patterns'!$B$28,if(J82/(H82+1)&gt;('Prestige Patterns'!$B$27+1),L82+1,L82),L82)</f>
        <v>2</v>
      </c>
      <c r="N83" s="12">
        <f t="shared" si="1"/>
        <v>8871936</v>
      </c>
      <c r="O83" s="9">
        <f>'Prestige Patterns'!$B$4*E83</f>
        <v>7220</v>
      </c>
      <c r="P83" s="12">
        <f t="shared" si="4"/>
        <v>512</v>
      </c>
      <c r="Q83" s="11"/>
      <c r="R83" s="11"/>
      <c r="S83" s="9">
        <v>82.0</v>
      </c>
      <c r="T83" s="11"/>
    </row>
    <row r="84" ht="15.75" customHeight="1">
      <c r="A84" s="7"/>
      <c r="B84" s="7"/>
      <c r="C84" s="7">
        <f>(S84*'Prestige Patterns'!$B$20)/60</f>
        <v>41.5</v>
      </c>
      <c r="D84" s="8">
        <f>if(L83=L84,N83*'Prestige Patterns'!$B$20+D83-F84,0)</f>
        <v>307072532.6</v>
      </c>
      <c r="E84" s="9">
        <f t="shared" si="2"/>
        <v>363</v>
      </c>
      <c r="F84" s="10">
        <f>'Prestige Patterns'!$B$5*('Prestige Patterns'!$B$6^E83-'Prestige Patterns'!$B$6^(E83+G84))/(1-'Prestige Patterns'!$B$6)</f>
        <v>365721773.1</v>
      </c>
      <c r="G84" s="13">
        <f>floor(LOG('Prestige Patterns'!$B$6^(E83) - (D83*(1-'Prestige Patterns'!$B$6)/'Prestige Patterns'!$B$5),'Prestige Patterns'!$B$6)-E83,1)</f>
        <v>2</v>
      </c>
      <c r="H84" s="12">
        <f t="shared" si="3"/>
        <v>140</v>
      </c>
      <c r="I84" s="11">
        <f>1+H84*'Prestige Patterns'!$B$25</f>
        <v>2.4</v>
      </c>
      <c r="J84" s="12">
        <f>floor((K84/'Prestige Patterns'!$B$22)^'Prestige Patterns'!$B$23,1)-H83</f>
        <v>112</v>
      </c>
      <c r="K84" s="8">
        <f>K83+N83*'Prestige Patterns'!$B$20</f>
        <v>6379954368</v>
      </c>
      <c r="L84" s="8">
        <f>if(J83&gt;='Prestige Patterns'!$B$28,if(J83/(H83+1)&gt;('Prestige Patterns'!$B$27+1),L83+1,L83),L83)</f>
        <v>2</v>
      </c>
      <c r="N84" s="12">
        <f t="shared" si="1"/>
        <v>8921088</v>
      </c>
      <c r="O84" s="9">
        <f>'Prestige Patterns'!$B$4*E84</f>
        <v>7260</v>
      </c>
      <c r="P84" s="12">
        <f t="shared" si="4"/>
        <v>512</v>
      </c>
      <c r="Q84" s="11"/>
      <c r="R84" s="11"/>
      <c r="S84" s="9">
        <v>83.0</v>
      </c>
      <c r="T84" s="11"/>
    </row>
    <row r="85" ht="15.75" customHeight="1">
      <c r="A85" s="7"/>
      <c r="B85" s="7"/>
      <c r="C85" s="7">
        <f>(S85*'Prestige Patterns'!$B$20)/60</f>
        <v>42</v>
      </c>
      <c r="D85" s="8">
        <f>if(L84=L85,N84*'Prestige Patterns'!$B$20+D84-F85,0)</f>
        <v>378018219</v>
      </c>
      <c r="E85" s="9">
        <f t="shared" si="2"/>
        <v>364</v>
      </c>
      <c r="F85" s="10">
        <f>'Prestige Patterns'!$B$5*('Prestige Patterns'!$B$6^E84-'Prestige Patterns'!$B$6^(E84+G85))/(1-'Prestige Patterns'!$B$6)</f>
        <v>196686953.6</v>
      </c>
      <c r="G85" s="13">
        <f>floor(LOG('Prestige Patterns'!$B$6^(E84) - (D84*(1-'Prestige Patterns'!$B$6)/'Prestige Patterns'!$B$5),'Prestige Patterns'!$B$6)-E84,1)</f>
        <v>1</v>
      </c>
      <c r="H85" s="12">
        <f t="shared" si="3"/>
        <v>140</v>
      </c>
      <c r="I85" s="11">
        <f>1+H85*'Prestige Patterns'!$B$25</f>
        <v>2.4</v>
      </c>
      <c r="J85" s="12">
        <f>floor((K85/'Prestige Patterns'!$B$22)^'Prestige Patterns'!$B$23,1)-H84</f>
        <v>117</v>
      </c>
      <c r="K85" s="8">
        <f>K84+N84*'Prestige Patterns'!$B$20</f>
        <v>6647587008</v>
      </c>
      <c r="L85" s="8">
        <f>if(J84&gt;='Prestige Patterns'!$B$28,if(J84/(H84+1)&gt;('Prestige Patterns'!$B$27+1),L84+1,L84),L84)</f>
        <v>2</v>
      </c>
      <c r="N85" s="12">
        <f t="shared" si="1"/>
        <v>8945664</v>
      </c>
      <c r="O85" s="9">
        <f>'Prestige Patterns'!$B$4*E85</f>
        <v>7280</v>
      </c>
      <c r="P85" s="12">
        <f t="shared" si="4"/>
        <v>512</v>
      </c>
      <c r="Q85" s="11"/>
      <c r="R85" s="11"/>
      <c r="S85" s="9">
        <v>84.0</v>
      </c>
      <c r="T85" s="11"/>
    </row>
    <row r="86" ht="15.75" customHeight="1">
      <c r="A86" s="7"/>
      <c r="B86" s="7"/>
      <c r="C86" s="7">
        <f>(S86*'Prestige Patterns'!$B$20)/60</f>
        <v>42.5</v>
      </c>
      <c r="D86" s="8">
        <f>if(L85=L86,N85*'Prestige Patterns'!$B$20+D85-F86,0)</f>
        <v>439866837.8</v>
      </c>
      <c r="E86" s="9">
        <f t="shared" si="2"/>
        <v>365</v>
      </c>
      <c r="F86" s="10">
        <f>'Prestige Patterns'!$B$5*('Prestige Patterns'!$B$6^E85-'Prestige Patterns'!$B$6^(E85+G86))/(1-'Prestige Patterns'!$B$6)</f>
        <v>206521301.2</v>
      </c>
      <c r="G86" s="13">
        <f>floor(LOG('Prestige Patterns'!$B$6^(E85) - (D85*(1-'Prestige Patterns'!$B$6)/'Prestige Patterns'!$B$5),'Prestige Patterns'!$B$6)-E85,1)</f>
        <v>1</v>
      </c>
      <c r="H86" s="12">
        <f t="shared" si="3"/>
        <v>140</v>
      </c>
      <c r="I86" s="11">
        <f>1+H86*'Prestige Patterns'!$B$25</f>
        <v>2.4</v>
      </c>
      <c r="J86" s="12">
        <f>floor((K86/'Prestige Patterns'!$B$22)^'Prestige Patterns'!$B$23,1)-H85</f>
        <v>122</v>
      </c>
      <c r="K86" s="8">
        <f>K85+N85*'Prestige Patterns'!$B$20</f>
        <v>6915956928</v>
      </c>
      <c r="L86" s="8">
        <f>if(J85&gt;='Prestige Patterns'!$B$28,if(J85/(H85+1)&gt;('Prestige Patterns'!$B$27+1),L85+1,L85),L85)</f>
        <v>2</v>
      </c>
      <c r="N86" s="12">
        <f t="shared" si="1"/>
        <v>8970240</v>
      </c>
      <c r="O86" s="9">
        <f>'Prestige Patterns'!$B$4*E86</f>
        <v>7300</v>
      </c>
      <c r="P86" s="12">
        <f t="shared" si="4"/>
        <v>512</v>
      </c>
      <c r="Q86" s="11"/>
      <c r="R86" s="11"/>
      <c r="S86" s="9">
        <v>85.0</v>
      </c>
      <c r="T86" s="11"/>
    </row>
    <row r="87" ht="15.75" customHeight="1">
      <c r="A87" s="7"/>
      <c r="B87" s="7"/>
      <c r="C87" s="7">
        <f>(S87*'Prestige Patterns'!$B$20)/60</f>
        <v>43</v>
      </c>
      <c r="D87" s="8">
        <f>if(L86=L87,N86*'Prestige Patterns'!$B$20+D86-F87,0)</f>
        <v>492126671.5</v>
      </c>
      <c r="E87" s="9">
        <f t="shared" si="2"/>
        <v>366</v>
      </c>
      <c r="F87" s="10">
        <f>'Prestige Patterns'!$B$5*('Prestige Patterns'!$B$6^E86-'Prestige Patterns'!$B$6^(E86+G87))/(1-'Prestige Patterns'!$B$6)</f>
        <v>216847366.3</v>
      </c>
      <c r="G87" s="13">
        <f>floor(LOG('Prestige Patterns'!$B$6^(E86) - (D86*(1-'Prestige Patterns'!$B$6)/'Prestige Patterns'!$B$5),'Prestige Patterns'!$B$6)-E86,1)</f>
        <v>1</v>
      </c>
      <c r="H87" s="12">
        <f t="shared" si="3"/>
        <v>140</v>
      </c>
      <c r="I87" s="11">
        <f>1+H87*'Prestige Patterns'!$B$25</f>
        <v>2.4</v>
      </c>
      <c r="J87" s="12">
        <f>floor((K87/'Prestige Patterns'!$B$22)^'Prestige Patterns'!$B$23,1)-H86</f>
        <v>128</v>
      </c>
      <c r="K87" s="8">
        <f>K86+N86*'Prestige Patterns'!$B$20</f>
        <v>7185064128</v>
      </c>
      <c r="L87" s="8">
        <f>if(J86&gt;='Prestige Patterns'!$B$28,if(J86/(H86+1)&gt;('Prestige Patterns'!$B$27+1),L86+1,L86),L86)</f>
        <v>2</v>
      </c>
      <c r="N87" s="12">
        <f t="shared" si="1"/>
        <v>8994816</v>
      </c>
      <c r="O87" s="9">
        <f>'Prestige Patterns'!$B$4*E87</f>
        <v>7320</v>
      </c>
      <c r="P87" s="12">
        <f t="shared" si="4"/>
        <v>512</v>
      </c>
      <c r="Q87" s="11"/>
      <c r="R87" s="11"/>
      <c r="S87" s="9">
        <v>86.0</v>
      </c>
      <c r="T87" s="11"/>
    </row>
    <row r="88" ht="15.75" customHeight="1">
      <c r="A88" s="7"/>
      <c r="B88" s="7"/>
      <c r="C88" s="7">
        <f>(S88*'Prestige Patterns'!$B$20)/60</f>
        <v>43.5</v>
      </c>
      <c r="D88" s="8">
        <f>if(L87=L88,N87*'Prestige Patterns'!$B$20+D87-F88,0)</f>
        <v>295207195.5</v>
      </c>
      <c r="E88" s="9">
        <f t="shared" si="2"/>
        <v>368</v>
      </c>
      <c r="F88" s="10">
        <f>'Prestige Patterns'!$B$5*('Prestige Patterns'!$B$6^E87-'Prestige Patterns'!$B$6^(E87+G88))/(1-'Prestige Patterns'!$B$6)</f>
        <v>466763956</v>
      </c>
      <c r="G88" s="13">
        <f>floor(LOG('Prestige Patterns'!$B$6^(E87) - (D87*(1-'Prestige Patterns'!$B$6)/'Prestige Patterns'!$B$5),'Prestige Patterns'!$B$6)-E87,1)</f>
        <v>2</v>
      </c>
      <c r="H88" s="12">
        <f t="shared" si="3"/>
        <v>140</v>
      </c>
      <c r="I88" s="11">
        <f>1+H88*'Prestige Patterns'!$B$25</f>
        <v>2.4</v>
      </c>
      <c r="J88" s="12">
        <f>floor((K88/'Prestige Patterns'!$B$22)^'Prestige Patterns'!$B$23,1)-H87</f>
        <v>133</v>
      </c>
      <c r="K88" s="8">
        <f>K87+N87*'Prestige Patterns'!$B$20</f>
        <v>7454908608</v>
      </c>
      <c r="L88" s="8">
        <f>if(J87&gt;='Prestige Patterns'!$B$28,if(J87/(H87+1)&gt;('Prestige Patterns'!$B$27+1),L87+1,L87),L87)</f>
        <v>2</v>
      </c>
      <c r="N88" s="12">
        <f t="shared" si="1"/>
        <v>9043968</v>
      </c>
      <c r="O88" s="9">
        <f>'Prestige Patterns'!$B$4*E88</f>
        <v>7360</v>
      </c>
      <c r="P88" s="12">
        <f t="shared" si="4"/>
        <v>512</v>
      </c>
      <c r="Q88" s="11"/>
      <c r="R88" s="11"/>
      <c r="S88" s="9">
        <v>87.0</v>
      </c>
      <c r="T88" s="11"/>
    </row>
    <row r="89" ht="15.75" customHeight="1">
      <c r="A89" s="7"/>
      <c r="B89" s="7"/>
      <c r="C89" s="7">
        <f>(S89*'Prestige Patterns'!$B$20)/60</f>
        <v>44</v>
      </c>
      <c r="D89" s="8">
        <f>if(L88=L89,N88*'Prestige Patterns'!$B$20+D88-F89,0)</f>
        <v>315498303.1</v>
      </c>
      <c r="E89" s="9">
        <f t="shared" si="2"/>
        <v>369</v>
      </c>
      <c r="F89" s="10">
        <f>'Prestige Patterns'!$B$5*('Prestige Patterns'!$B$6^E88-'Prestige Patterns'!$B$6^(E88+G89))/(1-'Prestige Patterns'!$B$6)</f>
        <v>251027932.4</v>
      </c>
      <c r="G89" s="13">
        <f>floor(LOG('Prestige Patterns'!$B$6^(E88) - (D88*(1-'Prestige Patterns'!$B$6)/'Prestige Patterns'!$B$5),'Prestige Patterns'!$B$6)-E88,1)</f>
        <v>1</v>
      </c>
      <c r="H89" s="12">
        <f t="shared" si="3"/>
        <v>140</v>
      </c>
      <c r="I89" s="11">
        <f>1+H89*'Prestige Patterns'!$B$25</f>
        <v>2.4</v>
      </c>
      <c r="J89" s="12">
        <f>floor((K89/'Prestige Patterns'!$B$22)^'Prestige Patterns'!$B$23,1)-H88</f>
        <v>137</v>
      </c>
      <c r="K89" s="8">
        <f>K88+N88*'Prestige Patterns'!$B$20</f>
        <v>7726227648</v>
      </c>
      <c r="L89" s="8">
        <f>if(J88&gt;='Prestige Patterns'!$B$28,if(J88/(H88+1)&gt;('Prestige Patterns'!$B$27+1),L88+1,L88),L88)</f>
        <v>2</v>
      </c>
      <c r="N89" s="12">
        <f t="shared" si="1"/>
        <v>9068544</v>
      </c>
      <c r="O89" s="9">
        <f>'Prestige Patterns'!$B$4*E89</f>
        <v>7380</v>
      </c>
      <c r="P89" s="12">
        <f t="shared" si="4"/>
        <v>512</v>
      </c>
      <c r="Q89" s="11"/>
      <c r="R89" s="11"/>
      <c r="S89" s="9">
        <v>88.0</v>
      </c>
      <c r="T89" s="11"/>
    </row>
    <row r="90" ht="15.75" customHeight="1">
      <c r="A90" s="7"/>
      <c r="B90" s="7"/>
      <c r="C90" s="7">
        <f>(S90*'Prestige Patterns'!$B$20)/60</f>
        <v>44.5</v>
      </c>
      <c r="D90" s="8">
        <f>if(L89=L90,N89*'Prestige Patterns'!$B$20+D89-F90,0)</f>
        <v>323975294</v>
      </c>
      <c r="E90" s="9">
        <f t="shared" si="2"/>
        <v>370</v>
      </c>
      <c r="F90" s="10">
        <f>'Prestige Patterns'!$B$5*('Prestige Patterns'!$B$6^E89-'Prestige Patterns'!$B$6^(E89+G90))/(1-'Prestige Patterns'!$B$6)</f>
        <v>263579329</v>
      </c>
      <c r="G90" s="13">
        <f>floor(LOG('Prestige Patterns'!$B$6^(E89) - (D89*(1-'Prestige Patterns'!$B$6)/'Prestige Patterns'!$B$5),'Prestige Patterns'!$B$6)-E89,1)</f>
        <v>1</v>
      </c>
      <c r="H90" s="12">
        <f t="shared" si="3"/>
        <v>140</v>
      </c>
      <c r="I90" s="11">
        <f>1+H90*'Prestige Patterns'!$B$25</f>
        <v>2.4</v>
      </c>
      <c r="J90" s="12">
        <f>floor((K90/'Prestige Patterns'!$B$22)^'Prestige Patterns'!$B$23,1)-H89</f>
        <v>142</v>
      </c>
      <c r="K90" s="8">
        <f>K89+N89*'Prestige Patterns'!$B$20</f>
        <v>7998283968</v>
      </c>
      <c r="L90" s="8">
        <f>if(J89&gt;='Prestige Patterns'!$B$28,if(J89/(H89+1)&gt;('Prestige Patterns'!$B$27+1),L89+1,L89),L89)</f>
        <v>2</v>
      </c>
      <c r="N90" s="12">
        <f t="shared" si="1"/>
        <v>9093120</v>
      </c>
      <c r="O90" s="9">
        <f>'Prestige Patterns'!$B$4*E90</f>
        <v>7400</v>
      </c>
      <c r="P90" s="12">
        <f t="shared" si="4"/>
        <v>512</v>
      </c>
      <c r="Q90" s="11"/>
      <c r="R90" s="11"/>
      <c r="S90" s="9">
        <v>89.0</v>
      </c>
      <c r="T90" s="11"/>
    </row>
    <row r="91" ht="15.75" customHeight="1">
      <c r="A91" s="7"/>
      <c r="B91" s="7"/>
      <c r="C91" s="7">
        <f>(S91*'Prestige Patterns'!$B$20)/60</f>
        <v>45</v>
      </c>
      <c r="D91" s="8">
        <f>if(L90=L91,N90*'Prestige Patterns'!$B$20+D90-F91,0)</f>
        <v>320010598.5</v>
      </c>
      <c r="E91" s="9">
        <f t="shared" si="2"/>
        <v>371</v>
      </c>
      <c r="F91" s="10">
        <f>'Prestige Patterns'!$B$5*('Prestige Patterns'!$B$6^E90-'Prestige Patterns'!$B$6^(E90+G91))/(1-'Prestige Patterns'!$B$6)</f>
        <v>276758295.5</v>
      </c>
      <c r="G91" s="13">
        <f>floor(LOG('Prestige Patterns'!$B$6^(E90) - (D90*(1-'Prestige Patterns'!$B$6)/'Prestige Patterns'!$B$5),'Prestige Patterns'!$B$6)-E90,1)</f>
        <v>1</v>
      </c>
      <c r="H91" s="12">
        <f t="shared" si="3"/>
        <v>140</v>
      </c>
      <c r="I91" s="11">
        <f>1+H91*'Prestige Patterns'!$B$25</f>
        <v>2.4</v>
      </c>
      <c r="J91" s="12">
        <f>floor((K91/'Prestige Patterns'!$B$22)^'Prestige Patterns'!$B$23,1)-H90</f>
        <v>147</v>
      </c>
      <c r="K91" s="8">
        <f>K90+N90*'Prestige Patterns'!$B$20</f>
        <v>8271077568</v>
      </c>
      <c r="L91" s="8">
        <f>if(J90&gt;='Prestige Patterns'!$B$28,if(J90/(H90+1)&gt;('Prestige Patterns'!$B$27+1),L90+1,L90),L90)</f>
        <v>2</v>
      </c>
      <c r="N91" s="12">
        <f t="shared" si="1"/>
        <v>9117696</v>
      </c>
      <c r="O91" s="9">
        <f>'Prestige Patterns'!$B$4*E91</f>
        <v>7420</v>
      </c>
      <c r="P91" s="12">
        <f t="shared" si="4"/>
        <v>512</v>
      </c>
      <c r="Q91" s="11"/>
      <c r="R91" s="11"/>
      <c r="S91" s="9">
        <v>90.0</v>
      </c>
      <c r="T91" s="11"/>
    </row>
    <row r="92" ht="15.75" customHeight="1">
      <c r="A92" s="7"/>
      <c r="B92" s="7"/>
      <c r="C92" s="7">
        <f>(S92*'Prestige Patterns'!$B$20)/60</f>
        <v>45.5</v>
      </c>
      <c r="D92" s="8">
        <f>if(L91=L92,N91*'Prestige Patterns'!$B$20+D91-F92,0)</f>
        <v>302945268.2</v>
      </c>
      <c r="E92" s="9">
        <f t="shared" si="2"/>
        <v>372</v>
      </c>
      <c r="F92" s="10">
        <f>'Prestige Patterns'!$B$5*('Prestige Patterns'!$B$6^E91-'Prestige Patterns'!$B$6^(E91+G92))/(1-'Prestige Patterns'!$B$6)</f>
        <v>290596210.3</v>
      </c>
      <c r="G92" s="13">
        <f>floor(LOG('Prestige Patterns'!$B$6^(E91) - (D91*(1-'Prestige Patterns'!$B$6)/'Prestige Patterns'!$B$5),'Prestige Patterns'!$B$6)-E91,1)</f>
        <v>1</v>
      </c>
      <c r="H92" s="12">
        <f t="shared" si="3"/>
        <v>140</v>
      </c>
      <c r="I92" s="11">
        <f>1+H92*'Prestige Patterns'!$B$25</f>
        <v>2.4</v>
      </c>
      <c r="J92" s="12">
        <f>floor((K92/'Prestige Patterns'!$B$22)^'Prestige Patterns'!$B$23,1)-H91</f>
        <v>152</v>
      </c>
      <c r="K92" s="8">
        <f>K91+N91*'Prestige Patterns'!$B$20</f>
        <v>8544608448</v>
      </c>
      <c r="L92" s="8">
        <f>if(J91&gt;='Prestige Patterns'!$B$28,if(J91/(H91+1)&gt;('Prestige Patterns'!$B$27+1),L91+1,L91),L91)</f>
        <v>2</v>
      </c>
      <c r="N92" s="12">
        <f t="shared" si="1"/>
        <v>9142272</v>
      </c>
      <c r="O92" s="9">
        <f>'Prestige Patterns'!$B$4*E92</f>
        <v>7440</v>
      </c>
      <c r="P92" s="12">
        <f t="shared" si="4"/>
        <v>512</v>
      </c>
      <c r="Q92" s="11"/>
      <c r="R92" s="11"/>
      <c r="S92" s="9">
        <v>91.0</v>
      </c>
      <c r="T92" s="11"/>
    </row>
    <row r="93" ht="15.75" customHeight="1">
      <c r="A93" s="7"/>
      <c r="B93" s="7"/>
      <c r="C93" s="7">
        <f>(S93*'Prestige Patterns'!$B$20)/60</f>
        <v>46</v>
      </c>
      <c r="D93" s="8">
        <f>if(L92=L93,N92*'Prestige Patterns'!$B$20+D92-F93,0)</f>
        <v>577213428.2</v>
      </c>
      <c r="E93" s="9">
        <f t="shared" si="2"/>
        <v>372</v>
      </c>
      <c r="F93" s="10">
        <f>'Prestige Patterns'!$B$5*('Prestige Patterns'!$B$6^E92-'Prestige Patterns'!$B$6^(E92+G93))/(1-'Prestige Patterns'!$B$6)</f>
        <v>0</v>
      </c>
      <c r="G93" s="13">
        <f>floor(LOG('Prestige Patterns'!$B$6^(E92) - (D92*(1-'Prestige Patterns'!$B$6)/'Prestige Patterns'!$B$5),'Prestige Patterns'!$B$6)-E92,1)</f>
        <v>0</v>
      </c>
      <c r="H93" s="12">
        <f t="shared" si="3"/>
        <v>140</v>
      </c>
      <c r="I93" s="11">
        <f>1+H93*'Prestige Patterns'!$B$25</f>
        <v>2.4</v>
      </c>
      <c r="J93" s="12">
        <f>floor((K93/'Prestige Patterns'!$B$22)^'Prestige Patterns'!$B$23,1)-H92</f>
        <v>156</v>
      </c>
      <c r="K93" s="8">
        <f>K92+N92*'Prestige Patterns'!$B$20</f>
        <v>8818876608</v>
      </c>
      <c r="L93" s="8">
        <f>if(J92&gt;='Prestige Patterns'!$B$28,if(J92/(H92+1)&gt;('Prestige Patterns'!$B$27+1),L92+1,L92),L92)</f>
        <v>2</v>
      </c>
      <c r="N93" s="12">
        <f t="shared" si="1"/>
        <v>9142272</v>
      </c>
      <c r="O93" s="9">
        <f>'Prestige Patterns'!$B$4*E93</f>
        <v>7440</v>
      </c>
      <c r="P93" s="12">
        <f t="shared" si="4"/>
        <v>512</v>
      </c>
      <c r="Q93" s="11"/>
      <c r="R93" s="11"/>
      <c r="S93" s="9">
        <v>92.0</v>
      </c>
      <c r="T93" s="11"/>
    </row>
    <row r="94" ht="15.75" customHeight="1">
      <c r="A94" s="7"/>
      <c r="B94" s="7"/>
      <c r="C94" s="7">
        <f>(S94*'Prestige Patterns'!$B$20)/60</f>
        <v>46.5</v>
      </c>
      <c r="D94" s="8">
        <f>if(L93=L94,N93*'Prestige Patterns'!$B$20+D93-F94,0)</f>
        <v>546355567.4</v>
      </c>
      <c r="E94" s="9">
        <f t="shared" si="2"/>
        <v>373</v>
      </c>
      <c r="F94" s="10">
        <f>'Prestige Patterns'!$B$5*('Prestige Patterns'!$B$6^E93-'Prestige Patterns'!$B$6^(E93+G94))/(1-'Prestige Patterns'!$B$6)</f>
        <v>305126020.8</v>
      </c>
      <c r="G94" s="13">
        <f>floor(LOG('Prestige Patterns'!$B$6^(E93) - (D93*(1-'Prestige Patterns'!$B$6)/'Prestige Patterns'!$B$5),'Prestige Patterns'!$B$6)-E93,1)</f>
        <v>1</v>
      </c>
      <c r="H94" s="12">
        <f t="shared" si="3"/>
        <v>140</v>
      </c>
      <c r="I94" s="11">
        <f>1+H94*'Prestige Patterns'!$B$25</f>
        <v>2.4</v>
      </c>
      <c r="J94" s="12">
        <f>floor((K94/'Prestige Patterns'!$B$22)^'Prestige Patterns'!$B$23,1)-H93</f>
        <v>161</v>
      </c>
      <c r="K94" s="8">
        <f>K93+N93*'Prestige Patterns'!$B$20</f>
        <v>9093144768</v>
      </c>
      <c r="L94" s="8">
        <f>if(J93&gt;='Prestige Patterns'!$B$28,if(J93/(H93+1)&gt;('Prestige Patterns'!$B$27+1),L93+1,L93),L93)</f>
        <v>2</v>
      </c>
      <c r="N94" s="12">
        <f t="shared" si="1"/>
        <v>9166848</v>
      </c>
      <c r="O94" s="9">
        <f>'Prestige Patterns'!$B$4*E94</f>
        <v>7460</v>
      </c>
      <c r="P94" s="12">
        <f t="shared" si="4"/>
        <v>512</v>
      </c>
      <c r="Q94" s="11"/>
      <c r="R94" s="11"/>
      <c r="S94" s="9">
        <v>93.0</v>
      </c>
      <c r="T94" s="11"/>
    </row>
    <row r="95" ht="15.75" customHeight="1">
      <c r="A95" s="7"/>
      <c r="B95" s="7"/>
      <c r="C95" s="7">
        <f>(S95*'Prestige Patterns'!$B$20)/60</f>
        <v>47</v>
      </c>
      <c r="D95" s="8">
        <f>if(L94=L95,N94*'Prestige Patterns'!$B$20+D94-F95,0)</f>
        <v>500978685.6</v>
      </c>
      <c r="E95" s="9">
        <f t="shared" si="2"/>
        <v>374</v>
      </c>
      <c r="F95" s="10">
        <f>'Prestige Patterns'!$B$5*('Prestige Patterns'!$B$6^E94-'Prestige Patterns'!$B$6^(E94+G95))/(1-'Prestige Patterns'!$B$6)</f>
        <v>320382321.8</v>
      </c>
      <c r="G95" s="13">
        <f>floor(LOG('Prestige Patterns'!$B$6^(E94) - (D94*(1-'Prestige Patterns'!$B$6)/'Prestige Patterns'!$B$5),'Prestige Patterns'!$B$6)-E94,1)</f>
        <v>1</v>
      </c>
      <c r="H95" s="12">
        <f t="shared" si="3"/>
        <v>140</v>
      </c>
      <c r="I95" s="11">
        <f>1+H95*'Prestige Patterns'!$B$25</f>
        <v>2.4</v>
      </c>
      <c r="J95" s="12">
        <f>floor((K95/'Prestige Patterns'!$B$22)^'Prestige Patterns'!$B$23,1)-H94</f>
        <v>166</v>
      </c>
      <c r="K95" s="8">
        <f>K94+N94*'Prestige Patterns'!$B$20</f>
        <v>9368150208</v>
      </c>
      <c r="L95" s="8">
        <f>if(J94&gt;='Prestige Patterns'!$B$28,if(J94/(H94+1)&gt;('Prestige Patterns'!$B$27+1),L94+1,L94),L94)</f>
        <v>2</v>
      </c>
      <c r="N95" s="12">
        <f t="shared" si="1"/>
        <v>9191424</v>
      </c>
      <c r="O95" s="9">
        <f>'Prestige Patterns'!$B$4*E95</f>
        <v>7480</v>
      </c>
      <c r="P95" s="12">
        <f t="shared" si="4"/>
        <v>512</v>
      </c>
      <c r="Q95" s="11"/>
      <c r="R95" s="11"/>
      <c r="S95" s="9">
        <v>94.0</v>
      </c>
      <c r="T95" s="11"/>
    </row>
    <row r="96" ht="15.75" customHeight="1">
      <c r="A96" s="7"/>
      <c r="B96" s="7"/>
      <c r="C96" s="7">
        <f>(S96*'Prestige Patterns'!$B$20)/60</f>
        <v>47.5</v>
      </c>
      <c r="D96" s="8">
        <f>if(L95=L96,N95*'Prestige Patterns'!$B$20+D95-F96,0)</f>
        <v>440319967.7</v>
      </c>
      <c r="E96" s="9">
        <f t="shared" si="2"/>
        <v>375</v>
      </c>
      <c r="F96" s="10">
        <f>'Prestige Patterns'!$B$5*('Prestige Patterns'!$B$6^E95-'Prestige Patterns'!$B$6^(E95+G96))/(1-'Prestige Patterns'!$B$6)</f>
        <v>336401437.9</v>
      </c>
      <c r="G96" s="13">
        <f>floor(LOG('Prestige Patterns'!$B$6^(E95) - (D95*(1-'Prestige Patterns'!$B$6)/'Prestige Patterns'!$B$5),'Prestige Patterns'!$B$6)-E95,1)</f>
        <v>1</v>
      </c>
      <c r="H96" s="12">
        <f t="shared" si="3"/>
        <v>140</v>
      </c>
      <c r="I96" s="11">
        <f>1+H96*'Prestige Patterns'!$B$25</f>
        <v>2.4</v>
      </c>
      <c r="J96" s="12">
        <f>floor((K96/'Prestige Patterns'!$B$22)^'Prestige Patterns'!$B$23,1)-H95</f>
        <v>170</v>
      </c>
      <c r="K96" s="8">
        <f>K95+N95*'Prestige Patterns'!$B$20</f>
        <v>9643892928</v>
      </c>
      <c r="L96" s="8">
        <f>if(J95&gt;='Prestige Patterns'!$B$28,if(J95/(H95+1)&gt;('Prestige Patterns'!$B$27+1),L95+1,L95),L95)</f>
        <v>2</v>
      </c>
      <c r="N96" s="12">
        <f t="shared" si="1"/>
        <v>9216000</v>
      </c>
      <c r="O96" s="9">
        <f>'Prestige Patterns'!$B$4*E96</f>
        <v>7500</v>
      </c>
      <c r="P96" s="12">
        <f t="shared" si="4"/>
        <v>512</v>
      </c>
      <c r="Q96" s="11"/>
      <c r="R96" s="11"/>
      <c r="S96" s="9">
        <v>95.0</v>
      </c>
      <c r="T96" s="11"/>
    </row>
    <row r="97" ht="15.75" customHeight="1">
      <c r="A97" s="7"/>
      <c r="B97" s="7"/>
      <c r="C97" s="7">
        <f>(S97*'Prestige Patterns'!$B$20)/60</f>
        <v>48</v>
      </c>
      <c r="D97" s="8">
        <f>if(L96=L97,N96*'Prestige Patterns'!$B$20+D96-F97,0)</f>
        <v>363578457.9</v>
      </c>
      <c r="E97" s="9">
        <f t="shared" si="2"/>
        <v>376</v>
      </c>
      <c r="F97" s="10">
        <f>'Prestige Patterns'!$B$5*('Prestige Patterns'!$B$6^E96-'Prestige Patterns'!$B$6^(E96+G97))/(1-'Prestige Patterns'!$B$6)</f>
        <v>353221509.8</v>
      </c>
      <c r="G97" s="13">
        <f>floor(LOG('Prestige Patterns'!$B$6^(E96) - (D96*(1-'Prestige Patterns'!$B$6)/'Prestige Patterns'!$B$5),'Prestige Patterns'!$B$6)-E96,1)</f>
        <v>1</v>
      </c>
      <c r="H97" s="12">
        <f t="shared" si="3"/>
        <v>140</v>
      </c>
      <c r="I97" s="11">
        <f>1+H97*'Prestige Patterns'!$B$25</f>
        <v>2.4</v>
      </c>
      <c r="J97" s="12">
        <f>floor((K97/'Prestige Patterns'!$B$22)^'Prestige Patterns'!$B$23,1)-H96</f>
        <v>174</v>
      </c>
      <c r="K97" s="8">
        <f>K96+N96*'Prestige Patterns'!$B$20</f>
        <v>9920372928</v>
      </c>
      <c r="L97" s="8">
        <f>if(J96&gt;='Prestige Patterns'!$B$28,if(J96/(H96+1)&gt;('Prestige Patterns'!$B$27+1),L96+1,L96),L96)</f>
        <v>2</v>
      </c>
      <c r="N97" s="12">
        <f t="shared" si="1"/>
        <v>9240576</v>
      </c>
      <c r="O97" s="9">
        <f>'Prestige Patterns'!$B$4*E97</f>
        <v>7520</v>
      </c>
      <c r="P97" s="12">
        <f t="shared" si="4"/>
        <v>512</v>
      </c>
      <c r="Q97" s="11"/>
      <c r="R97" s="11"/>
      <c r="S97" s="9">
        <v>96.0</v>
      </c>
      <c r="T97" s="11"/>
    </row>
    <row r="98" ht="15.75" customHeight="1">
      <c r="A98" s="7"/>
      <c r="B98" s="7"/>
      <c r="C98" s="7">
        <f>(S98*'Prestige Patterns'!$B$20)/60</f>
        <v>48.5</v>
      </c>
      <c r="D98" s="8">
        <f>if(L97=L98,N97*'Prestige Patterns'!$B$20+D97-F98,0)</f>
        <v>640795737.9</v>
      </c>
      <c r="E98" s="9">
        <f t="shared" si="2"/>
        <v>376</v>
      </c>
      <c r="F98" s="10">
        <f>'Prestige Patterns'!$B$5*('Prestige Patterns'!$B$6^E97-'Prestige Patterns'!$B$6^(E97+G98))/(1-'Prestige Patterns'!$B$6)</f>
        <v>0</v>
      </c>
      <c r="G98" s="13">
        <f>floor(LOG('Prestige Patterns'!$B$6^(E97) - (D97*(1-'Prestige Patterns'!$B$6)/'Prestige Patterns'!$B$5),'Prestige Patterns'!$B$6)-E97,1)</f>
        <v>0</v>
      </c>
      <c r="H98" s="12">
        <f t="shared" si="3"/>
        <v>140</v>
      </c>
      <c r="I98" s="11">
        <f>1+H98*'Prestige Patterns'!$B$25</f>
        <v>2.4</v>
      </c>
      <c r="J98" s="12">
        <f>floor((K98/'Prestige Patterns'!$B$22)^'Prestige Patterns'!$B$23,1)-H97</f>
        <v>179</v>
      </c>
      <c r="K98" s="8">
        <f>K97+N97*'Prestige Patterns'!$B$20</f>
        <v>10197590208</v>
      </c>
      <c r="L98" s="8">
        <f>if(J97&gt;='Prestige Patterns'!$B$28,if(J97/(H97+1)&gt;('Prestige Patterns'!$B$27+1),L97+1,L97),L97)</f>
        <v>2</v>
      </c>
      <c r="N98" s="12">
        <f t="shared" si="1"/>
        <v>9240576</v>
      </c>
      <c r="O98" s="9">
        <f>'Prestige Patterns'!$B$4*E98</f>
        <v>7520</v>
      </c>
      <c r="P98" s="12">
        <f t="shared" si="4"/>
        <v>512</v>
      </c>
      <c r="Q98" s="11"/>
      <c r="R98" s="11"/>
      <c r="S98" s="9">
        <v>97.0</v>
      </c>
      <c r="T98" s="11"/>
    </row>
    <row r="99" ht="15.75" customHeight="1">
      <c r="A99" s="7"/>
      <c r="B99" s="7"/>
      <c r="C99" s="7">
        <f>(S99*'Prestige Patterns'!$B$20)/60</f>
        <v>49</v>
      </c>
      <c r="D99" s="8">
        <f>if(L98=L99,N98*'Prestige Patterns'!$B$20+D98-F99,0)</f>
        <v>547130432.6</v>
      </c>
      <c r="E99" s="9">
        <f t="shared" si="2"/>
        <v>377</v>
      </c>
      <c r="F99" s="10">
        <f>'Prestige Patterns'!$B$5*('Prestige Patterns'!$B$6^E98-'Prestige Patterns'!$B$6^(E98+G99))/(1-'Prestige Patterns'!$B$6)</f>
        <v>370882585.3</v>
      </c>
      <c r="G99" s="13">
        <f>floor(LOG('Prestige Patterns'!$B$6^(E98) - (D98*(1-'Prestige Patterns'!$B$6)/'Prestige Patterns'!$B$5),'Prestige Patterns'!$B$6)-E98,1)</f>
        <v>1</v>
      </c>
      <c r="H99" s="12">
        <f t="shared" si="3"/>
        <v>140</v>
      </c>
      <c r="I99" s="11">
        <f>1+H99*'Prestige Patterns'!$B$25</f>
        <v>2.4</v>
      </c>
      <c r="J99" s="12">
        <f>floor((K99/'Prestige Patterns'!$B$22)^'Prestige Patterns'!$B$23,1)-H98</f>
        <v>183</v>
      </c>
      <c r="K99" s="8">
        <f>K98+N98*'Prestige Patterns'!$B$20</f>
        <v>10474807488</v>
      </c>
      <c r="L99" s="8">
        <f>if(J98&gt;='Prestige Patterns'!$B$28,if(J98/(H98+1)&gt;('Prestige Patterns'!$B$27+1),L98+1,L98),L98)</f>
        <v>2</v>
      </c>
      <c r="N99" s="12">
        <f t="shared" si="1"/>
        <v>9265152</v>
      </c>
      <c r="O99" s="9">
        <f>'Prestige Patterns'!$B$4*E99</f>
        <v>7540</v>
      </c>
      <c r="P99" s="12">
        <f t="shared" si="4"/>
        <v>512</v>
      </c>
      <c r="Q99" s="11"/>
      <c r="R99" s="11"/>
      <c r="S99" s="9">
        <v>98.0</v>
      </c>
      <c r="T99" s="11"/>
    </row>
    <row r="100" ht="15.75" customHeight="1">
      <c r="A100" s="7"/>
      <c r="B100" s="7"/>
      <c r="C100" s="7">
        <f>(S100*'Prestige Patterns'!$B$20)/60</f>
        <v>49.5</v>
      </c>
      <c r="D100" s="8">
        <f>if(L99=L100,N99*'Prestige Patterns'!$B$20+D99-F100,0)</f>
        <v>435658278</v>
      </c>
      <c r="E100" s="9">
        <f t="shared" si="2"/>
        <v>378</v>
      </c>
      <c r="F100" s="10">
        <f>'Prestige Patterns'!$B$5*('Prestige Patterns'!$B$6^E99-'Prestige Patterns'!$B$6^(E99+G100))/(1-'Prestige Patterns'!$B$6)</f>
        <v>389426714.6</v>
      </c>
      <c r="G100" s="13">
        <f>floor(LOG('Prestige Patterns'!$B$6^(E99) - (D99*(1-'Prestige Patterns'!$B$6)/'Prestige Patterns'!$B$5),'Prestige Patterns'!$B$6)-E99,1)</f>
        <v>1</v>
      </c>
      <c r="H100" s="12">
        <f t="shared" si="3"/>
        <v>140</v>
      </c>
      <c r="I100" s="11">
        <f>1+H100*'Prestige Patterns'!$B$25</f>
        <v>2.4</v>
      </c>
      <c r="J100" s="12">
        <f>floor((K100/'Prestige Patterns'!$B$22)^'Prestige Patterns'!$B$23,1)-H99</f>
        <v>187</v>
      </c>
      <c r="K100" s="8">
        <f>K99+N99*'Prestige Patterns'!$B$20</f>
        <v>10752762048</v>
      </c>
      <c r="L100" s="8">
        <f>if(J99&gt;='Prestige Patterns'!$B$28,if(J99/(H99+1)&gt;('Prestige Patterns'!$B$27+1),L99+1,L99),L99)</f>
        <v>2</v>
      </c>
      <c r="N100" s="12">
        <f t="shared" si="1"/>
        <v>9289728</v>
      </c>
      <c r="O100" s="9">
        <f>'Prestige Patterns'!$B$4*E100</f>
        <v>7560</v>
      </c>
      <c r="P100" s="12">
        <f t="shared" si="4"/>
        <v>512</v>
      </c>
      <c r="Q100" s="11"/>
      <c r="R100" s="11"/>
      <c r="S100" s="9">
        <v>99.0</v>
      </c>
      <c r="T100" s="11"/>
    </row>
    <row r="101" ht="15.75" customHeight="1">
      <c r="A101" s="7"/>
      <c r="B101" s="7"/>
      <c r="C101" s="7">
        <f>(S101*'Prestige Patterns'!$B$20)/60</f>
        <v>50</v>
      </c>
      <c r="D101" s="8">
        <f>if(L100=L101,N100*'Prestige Patterns'!$B$20+D100-F101,0)</f>
        <v>305452067.7</v>
      </c>
      <c r="E101" s="9">
        <f t="shared" si="2"/>
        <v>379</v>
      </c>
      <c r="F101" s="10">
        <f>'Prestige Patterns'!$B$5*('Prestige Patterns'!$B$6^E100-'Prestige Patterns'!$B$6^(E100+G101))/(1-'Prestige Patterns'!$B$6)</f>
        <v>408898050.3</v>
      </c>
      <c r="G101" s="13">
        <f>floor(LOG('Prestige Patterns'!$B$6^(E100) - (D100*(1-'Prestige Patterns'!$B$6)/'Prestige Patterns'!$B$5),'Prestige Patterns'!$B$6)-E100,1)</f>
        <v>1</v>
      </c>
      <c r="H101" s="12">
        <f t="shared" si="3"/>
        <v>140</v>
      </c>
      <c r="I101" s="11">
        <f>1+H101*'Prestige Patterns'!$B$25</f>
        <v>2.4</v>
      </c>
      <c r="J101" s="12">
        <f>floor((K101/'Prestige Patterns'!$B$22)^'Prestige Patterns'!$B$23,1)-H100</f>
        <v>192</v>
      </c>
      <c r="K101" s="8">
        <f>K100+N100*'Prestige Patterns'!$B$20</f>
        <v>11031453888</v>
      </c>
      <c r="L101" s="8">
        <f>if(J100&gt;='Prestige Patterns'!$B$28,if(J100/(H100+1)&gt;('Prestige Patterns'!$B$27+1),L100+1,L100),L100)</f>
        <v>2</v>
      </c>
      <c r="N101" s="12">
        <f t="shared" si="1"/>
        <v>9314304</v>
      </c>
      <c r="O101" s="9">
        <f>'Prestige Patterns'!$B$4*E101</f>
        <v>7580</v>
      </c>
      <c r="P101" s="12">
        <f t="shared" si="4"/>
        <v>512</v>
      </c>
      <c r="Q101" s="11"/>
      <c r="R101" s="11"/>
      <c r="S101" s="9">
        <v>100.0</v>
      </c>
      <c r="T101" s="11"/>
    </row>
    <row r="102" ht="15.75" customHeight="1">
      <c r="A102" s="7"/>
      <c r="B102" s="7"/>
      <c r="C102" s="7">
        <f>(S102*'Prestige Patterns'!$B$20)/60</f>
        <v>50.5</v>
      </c>
      <c r="D102" s="8">
        <f>if(L101=L102,N101*'Prestige Patterns'!$B$20+D101-F102,0)</f>
        <v>584881187.7</v>
      </c>
      <c r="E102" s="9">
        <f t="shared" si="2"/>
        <v>379</v>
      </c>
      <c r="F102" s="10">
        <f>'Prestige Patterns'!$B$5*('Prestige Patterns'!$B$6^E101-'Prestige Patterns'!$B$6^(E101+G102))/(1-'Prestige Patterns'!$B$6)</f>
        <v>0</v>
      </c>
      <c r="G102" s="13">
        <f>floor(LOG('Prestige Patterns'!$B$6^(E101) - (D101*(1-'Prestige Patterns'!$B$6)/'Prestige Patterns'!$B$5),'Prestige Patterns'!$B$6)-E101,1)</f>
        <v>0</v>
      </c>
      <c r="H102" s="12">
        <f t="shared" si="3"/>
        <v>140</v>
      </c>
      <c r="I102" s="11">
        <f>1+H102*'Prestige Patterns'!$B$25</f>
        <v>2.4</v>
      </c>
      <c r="J102" s="12">
        <f>floor((K102/'Prestige Patterns'!$B$22)^'Prestige Patterns'!$B$23,1)-H101</f>
        <v>196</v>
      </c>
      <c r="K102" s="8">
        <f>K101+N101*'Prestige Patterns'!$B$20</f>
        <v>11310883008</v>
      </c>
      <c r="L102" s="8">
        <f>if(J101&gt;='Prestige Patterns'!$B$28,if(J101/(H101+1)&gt;('Prestige Patterns'!$B$27+1),L101+1,L101),L101)</f>
        <v>2</v>
      </c>
      <c r="N102" s="12">
        <f t="shared" si="1"/>
        <v>9314304</v>
      </c>
      <c r="O102" s="9">
        <f>'Prestige Patterns'!$B$4*E102</f>
        <v>7580</v>
      </c>
      <c r="P102" s="12">
        <f t="shared" si="4"/>
        <v>512</v>
      </c>
      <c r="Q102" s="11"/>
      <c r="R102" s="11"/>
      <c r="S102" s="9">
        <v>101.0</v>
      </c>
      <c r="T102" s="11"/>
    </row>
    <row r="103" ht="15.75" customHeight="1">
      <c r="A103" s="7"/>
      <c r="B103" s="7"/>
      <c r="C103" s="7">
        <f>(S103*'Prestige Patterns'!$B$20)/60</f>
        <v>51</v>
      </c>
      <c r="D103" s="8">
        <f>if(L102=L103,N102*'Prestige Patterns'!$B$20+D102-F103,0)</f>
        <v>434967354.9</v>
      </c>
      <c r="E103" s="9">
        <f t="shared" si="2"/>
        <v>380</v>
      </c>
      <c r="F103" s="10">
        <f>'Prestige Patterns'!$B$5*('Prestige Patterns'!$B$6^E102-'Prestige Patterns'!$B$6^(E102+G103))/(1-'Prestige Patterns'!$B$6)</f>
        <v>429342952.8</v>
      </c>
      <c r="G103" s="13">
        <f>floor(LOG('Prestige Patterns'!$B$6^(E102) - (D102*(1-'Prestige Patterns'!$B$6)/'Prestige Patterns'!$B$5),'Prestige Patterns'!$B$6)-E102,1)</f>
        <v>1</v>
      </c>
      <c r="H103" s="12">
        <f t="shared" si="3"/>
        <v>140</v>
      </c>
      <c r="I103" s="11">
        <f>1+H103*'Prestige Patterns'!$B$25</f>
        <v>2.4</v>
      </c>
      <c r="J103" s="12">
        <f>floor((K103/'Prestige Patterns'!$B$22)^'Prestige Patterns'!$B$23,1)-H102</f>
        <v>200</v>
      </c>
      <c r="K103" s="8">
        <f>K102+N102*'Prestige Patterns'!$B$20</f>
        <v>11590312128</v>
      </c>
      <c r="L103" s="8">
        <f>if(J102&gt;='Prestige Patterns'!$B$28,if(J102/(H102+1)&gt;('Prestige Patterns'!$B$27+1),L102+1,L102),L102)</f>
        <v>2</v>
      </c>
      <c r="N103" s="12">
        <f t="shared" si="1"/>
        <v>9338880</v>
      </c>
      <c r="O103" s="9">
        <f>'Prestige Patterns'!$B$4*E103</f>
        <v>7600</v>
      </c>
      <c r="P103" s="12">
        <f t="shared" si="4"/>
        <v>512</v>
      </c>
      <c r="Q103" s="11"/>
      <c r="R103" s="11"/>
      <c r="S103" s="9">
        <v>102.0</v>
      </c>
      <c r="T103" s="11"/>
    </row>
    <row r="104" ht="15.75" customHeight="1">
      <c r="A104" s="7"/>
      <c r="B104" s="7"/>
      <c r="C104" s="7">
        <f>(S104*'Prestige Patterns'!$B$20)/60</f>
        <v>51.5</v>
      </c>
      <c r="D104" s="8">
        <f>if(L103=L104,N103*'Prestige Patterns'!$B$20+D103-F104,0)</f>
        <v>715133754.9</v>
      </c>
      <c r="E104" s="9">
        <f t="shared" si="2"/>
        <v>380</v>
      </c>
      <c r="F104" s="10">
        <f>'Prestige Patterns'!$B$5*('Prestige Patterns'!$B$6^E103-'Prestige Patterns'!$B$6^(E103+G104))/(1-'Prestige Patterns'!$B$6)</f>
        <v>0</v>
      </c>
      <c r="G104" s="13">
        <f>floor(LOG('Prestige Patterns'!$B$6^(E103) - (D103*(1-'Prestige Patterns'!$B$6)/'Prestige Patterns'!$B$5),'Prestige Patterns'!$B$6)-E103,1)</f>
        <v>0</v>
      </c>
      <c r="H104" s="12">
        <f t="shared" si="3"/>
        <v>140</v>
      </c>
      <c r="I104" s="11">
        <f>1+H104*'Prestige Patterns'!$B$25</f>
        <v>2.4</v>
      </c>
      <c r="J104" s="12">
        <f>floor((K104/'Prestige Patterns'!$B$22)^'Prestige Patterns'!$B$23,1)-H103</f>
        <v>204</v>
      </c>
      <c r="K104" s="8">
        <f>K103+N103*'Prestige Patterns'!$B$20</f>
        <v>11870478528</v>
      </c>
      <c r="L104" s="8">
        <f>if(J103&gt;='Prestige Patterns'!$B$28,if(J103/(H103+1)&gt;('Prestige Patterns'!$B$27+1),L103+1,L103),L103)</f>
        <v>2</v>
      </c>
      <c r="N104" s="12">
        <f t="shared" si="1"/>
        <v>9338880</v>
      </c>
      <c r="O104" s="9">
        <f>'Prestige Patterns'!$B$4*E104</f>
        <v>7600</v>
      </c>
      <c r="P104" s="12">
        <f t="shared" si="4"/>
        <v>512</v>
      </c>
      <c r="Q104" s="11"/>
      <c r="R104" s="11"/>
      <c r="S104" s="9">
        <v>103.0</v>
      </c>
      <c r="T104" s="11"/>
    </row>
    <row r="105" ht="15.75" customHeight="1">
      <c r="A105" s="7"/>
      <c r="B105" s="7"/>
      <c r="C105" s="7">
        <f>(S105*'Prestige Patterns'!$B$20)/60</f>
        <v>52</v>
      </c>
      <c r="D105" s="8">
        <f>if(L104=L105,N104*'Prestige Patterns'!$B$20+D104-F105,0)</f>
        <v>544490054.4</v>
      </c>
      <c r="E105" s="9">
        <f t="shared" si="2"/>
        <v>381</v>
      </c>
      <c r="F105" s="10">
        <f>'Prestige Patterns'!$B$5*('Prestige Patterns'!$B$6^E104-'Prestige Patterns'!$B$6^(E104+G105))/(1-'Prestige Patterns'!$B$6)</f>
        <v>450810100.5</v>
      </c>
      <c r="G105" s="13">
        <f>floor(LOG('Prestige Patterns'!$B$6^(E104) - (D104*(1-'Prestige Patterns'!$B$6)/'Prestige Patterns'!$B$5),'Prestige Patterns'!$B$6)-E104,1)</f>
        <v>1</v>
      </c>
      <c r="H105" s="12">
        <f t="shared" si="3"/>
        <v>140</v>
      </c>
      <c r="I105" s="11">
        <f>1+H105*'Prestige Patterns'!$B$25</f>
        <v>2.4</v>
      </c>
      <c r="J105" s="12">
        <f>floor((K105/'Prestige Patterns'!$B$22)^'Prestige Patterns'!$B$23,1)-H104</f>
        <v>208</v>
      </c>
      <c r="K105" s="8">
        <f>K104+N104*'Prestige Patterns'!$B$20</f>
        <v>12150644928</v>
      </c>
      <c r="L105" s="8">
        <f>if(J104&gt;='Prestige Patterns'!$B$28,if(J104/(H104+1)&gt;('Prestige Patterns'!$B$27+1),L104+1,L104),L104)</f>
        <v>2</v>
      </c>
      <c r="N105" s="12">
        <f t="shared" si="1"/>
        <v>9363456</v>
      </c>
      <c r="O105" s="9">
        <f>'Prestige Patterns'!$B$4*E105</f>
        <v>7620</v>
      </c>
      <c r="P105" s="12">
        <f t="shared" si="4"/>
        <v>512</v>
      </c>
      <c r="Q105" s="11"/>
      <c r="R105" s="11"/>
      <c r="S105" s="9">
        <v>104.0</v>
      </c>
      <c r="T105" s="11"/>
    </row>
    <row r="106" ht="15.75" customHeight="1">
      <c r="A106" s="7"/>
      <c r="B106" s="7"/>
      <c r="C106" s="7">
        <f>(S106*'Prestige Patterns'!$B$20)/60</f>
        <v>52.5</v>
      </c>
      <c r="D106" s="8">
        <f>if(L105=L106,N105*'Prestige Patterns'!$B$20+D105-F106,0)</f>
        <v>352043128.9</v>
      </c>
      <c r="E106" s="9">
        <f t="shared" si="2"/>
        <v>382</v>
      </c>
      <c r="F106" s="10">
        <f>'Prestige Patterns'!$B$5*('Prestige Patterns'!$B$6^E105-'Prestige Patterns'!$B$6^(E105+G106))/(1-'Prestige Patterns'!$B$6)</f>
        <v>473350605.5</v>
      </c>
      <c r="G106" s="13">
        <f>floor(LOG('Prestige Patterns'!$B$6^(E105) - (D105*(1-'Prestige Patterns'!$B$6)/'Prestige Patterns'!$B$5),'Prestige Patterns'!$B$6)-E105,1)</f>
        <v>1</v>
      </c>
      <c r="H106" s="12">
        <f t="shared" si="3"/>
        <v>140</v>
      </c>
      <c r="I106" s="11">
        <f>1+H106*'Prestige Patterns'!$B$25</f>
        <v>2.4</v>
      </c>
      <c r="J106" s="12">
        <f>floor((K106/'Prestige Patterns'!$B$22)^'Prestige Patterns'!$B$23,1)-H105</f>
        <v>212</v>
      </c>
      <c r="K106" s="8">
        <f>K105+N105*'Prestige Patterns'!$B$20</f>
        <v>12431548608</v>
      </c>
      <c r="L106" s="8">
        <f>if(J105&gt;='Prestige Patterns'!$B$28,if(J105/(H105+1)&gt;('Prestige Patterns'!$B$27+1),L105+1,L105),L105)</f>
        <v>2</v>
      </c>
      <c r="N106" s="12">
        <f t="shared" si="1"/>
        <v>9388032</v>
      </c>
      <c r="O106" s="9">
        <f>'Prestige Patterns'!$B$4*E106</f>
        <v>7640</v>
      </c>
      <c r="P106" s="12">
        <f t="shared" si="4"/>
        <v>512</v>
      </c>
      <c r="Q106" s="11"/>
      <c r="R106" s="11"/>
      <c r="S106" s="9">
        <v>105.0</v>
      </c>
      <c r="T106" s="11"/>
    </row>
    <row r="107" ht="15.75" customHeight="1">
      <c r="A107" s="7"/>
      <c r="B107" s="7"/>
      <c r="C107" s="7">
        <f>(S107*'Prestige Patterns'!$B$20)/60</f>
        <v>53</v>
      </c>
      <c r="D107" s="8">
        <f>if(L106=L107,N106*'Prestige Patterns'!$B$20+D106-F107,0)</f>
        <v>0</v>
      </c>
      <c r="E107" s="9">
        <f t="shared" si="2"/>
        <v>1</v>
      </c>
      <c r="F107" s="10">
        <f>'Prestige Patterns'!$B$5*('Prestige Patterns'!$B$6^E106-'Prestige Patterns'!$B$6^(E106+G107))/(1-'Prestige Patterns'!$B$6)</f>
        <v>0</v>
      </c>
      <c r="G107" s="13">
        <f>floor(LOG('Prestige Patterns'!$B$6^(E106) - (D106*(1-'Prestige Patterns'!$B$6)/'Prestige Patterns'!$B$5),'Prestige Patterns'!$B$6)-E106,1)</f>
        <v>0</v>
      </c>
      <c r="H107" s="12">
        <f t="shared" si="3"/>
        <v>352</v>
      </c>
      <c r="I107" s="11">
        <f>1+H107*'Prestige Patterns'!$B$25</f>
        <v>4.52</v>
      </c>
      <c r="J107" s="12">
        <f>floor((K107/'Prestige Patterns'!$B$22)^'Prestige Patterns'!$B$23,1)-H106</f>
        <v>216</v>
      </c>
      <c r="K107" s="8">
        <f>K106+N106*'Prestige Patterns'!$B$20</f>
        <v>12713189568</v>
      </c>
      <c r="L107" s="8">
        <f>if(J106&gt;='Prestige Patterns'!$B$28,if(J106/(H106+1)&gt;('Prestige Patterns'!$B$27+1),L106+1,L106),L106)</f>
        <v>3</v>
      </c>
      <c r="N107" s="12">
        <f t="shared" si="1"/>
        <v>46284.8</v>
      </c>
      <c r="O107" s="9">
        <f>'Prestige Patterns'!$B$4*E107</f>
        <v>20</v>
      </c>
      <c r="P107" s="12">
        <f t="shared" si="4"/>
        <v>512</v>
      </c>
      <c r="Q107" s="11"/>
      <c r="R107" s="11"/>
      <c r="S107" s="9">
        <v>106.0</v>
      </c>
      <c r="T107" s="11"/>
    </row>
    <row r="108" ht="15.75" customHeight="1">
      <c r="A108" s="7"/>
      <c r="B108" s="7"/>
      <c r="C108" s="7">
        <f>(S108*'Prestige Patterns'!$B$20)/60</f>
        <v>53.5</v>
      </c>
      <c r="D108" s="8">
        <f>if(L107=L108,N107*'Prestige Patterns'!$B$20+D107-F108,0)</f>
        <v>1388544</v>
      </c>
      <c r="E108" s="9">
        <f t="shared" si="2"/>
        <v>1</v>
      </c>
      <c r="F108" s="10">
        <f>'Prestige Patterns'!$B$5*('Prestige Patterns'!$B$6^E107-'Prestige Patterns'!$B$6^(E107+G108))/(1-'Prestige Patterns'!$B$6)</f>
        <v>0</v>
      </c>
      <c r="G108" s="13">
        <f>floor(LOG('Prestige Patterns'!$B$6^(E107) - (D107*(1-'Prestige Patterns'!$B$6)/'Prestige Patterns'!$B$5),'Prestige Patterns'!$B$6)-E107,1)</f>
        <v>0</v>
      </c>
      <c r="H108" s="12">
        <f t="shared" si="3"/>
        <v>352</v>
      </c>
      <c r="I108" s="11">
        <f>1+H108*'Prestige Patterns'!$B$25</f>
        <v>4.52</v>
      </c>
      <c r="J108" s="12">
        <f>floor((K108/'Prestige Patterns'!$B$22)^'Prestige Patterns'!$B$23,1)-H107</f>
        <v>4</v>
      </c>
      <c r="K108" s="8">
        <f>K107+N107*'Prestige Patterns'!$B$20</f>
        <v>12714578112</v>
      </c>
      <c r="L108" s="8">
        <f>if(J107&gt;='Prestige Patterns'!$B$28,if(J107/(H107+1)&gt;('Prestige Patterns'!$B$27+1),L107+1,L107),L107)</f>
        <v>3</v>
      </c>
      <c r="N108" s="12">
        <f t="shared" si="1"/>
        <v>46284.8</v>
      </c>
      <c r="O108" s="9">
        <f>'Prestige Patterns'!$B$4*E108</f>
        <v>20</v>
      </c>
      <c r="P108" s="12">
        <f t="shared" si="4"/>
        <v>512</v>
      </c>
      <c r="Q108" s="11"/>
      <c r="R108" s="11"/>
      <c r="S108" s="9">
        <v>107.0</v>
      </c>
      <c r="T108" s="11"/>
    </row>
    <row r="109" ht="15.75" customHeight="1">
      <c r="A109" s="7"/>
      <c r="B109" s="7"/>
      <c r="C109" s="7">
        <f>(S109*'Prestige Patterns'!$B$20)/60</f>
        <v>54</v>
      </c>
      <c r="D109" s="8">
        <f>if(L108=L109,N108*'Prestige Patterns'!$B$20+D108-F109,0)</f>
        <v>1393765.535</v>
      </c>
      <c r="E109" s="9">
        <f t="shared" si="2"/>
        <v>200</v>
      </c>
      <c r="F109" s="10">
        <f>'Prestige Patterns'!$B$5*('Prestige Patterns'!$B$6^E108-'Prestige Patterns'!$B$6^(E108+G109))/(1-'Prestige Patterns'!$B$6)</f>
        <v>1383322.465</v>
      </c>
      <c r="G109" s="13">
        <f>floor(LOG('Prestige Patterns'!$B$6^(E108) - (D108*(1-'Prestige Patterns'!$B$6)/'Prestige Patterns'!$B$5),'Prestige Patterns'!$B$6)-E108,1)</f>
        <v>199</v>
      </c>
      <c r="H109" s="12">
        <f t="shared" si="3"/>
        <v>352</v>
      </c>
      <c r="I109" s="11">
        <f>1+H109*'Prestige Patterns'!$B$25</f>
        <v>4.52</v>
      </c>
      <c r="J109" s="12">
        <f>floor((K109/'Prestige Patterns'!$B$22)^'Prestige Patterns'!$B$23,1)-H108</f>
        <v>4</v>
      </c>
      <c r="K109" s="8">
        <f>K108+N108*'Prestige Patterns'!$B$20</f>
        <v>12715966656</v>
      </c>
      <c r="L109" s="8">
        <f>if(J108&gt;='Prestige Patterns'!$B$28,if(J108/(H108+1)&gt;('Prestige Patterns'!$B$27+1),L108+1,L108),L108)</f>
        <v>3</v>
      </c>
      <c r="N109" s="12">
        <f t="shared" si="1"/>
        <v>1157120</v>
      </c>
      <c r="O109" s="9">
        <f>'Prestige Patterns'!$B$4*E109</f>
        <v>4000</v>
      </c>
      <c r="P109" s="12">
        <f t="shared" si="4"/>
        <v>64</v>
      </c>
      <c r="Q109" s="11"/>
      <c r="R109" s="11"/>
      <c r="S109" s="9">
        <v>108.0</v>
      </c>
      <c r="T109" s="11"/>
    </row>
    <row r="110" ht="15.75" customHeight="1">
      <c r="A110" s="7"/>
      <c r="B110" s="7"/>
      <c r="C110" s="7">
        <f>(S110*'Prestige Patterns'!$B$20)/60</f>
        <v>54.5</v>
      </c>
      <c r="D110" s="8">
        <f>if(L109=L110,N109*'Prestige Patterns'!$B$20+D109-F110,0)</f>
        <v>34751721.82</v>
      </c>
      <c r="E110" s="9">
        <f t="shared" si="2"/>
        <v>214</v>
      </c>
      <c r="F110" s="10">
        <f>'Prestige Patterns'!$B$5*('Prestige Patterns'!$B$6^E109-'Prestige Patterns'!$B$6^(E109+G110))/(1-'Prestige Patterns'!$B$6)</f>
        <v>1355643.71</v>
      </c>
      <c r="G110" s="13">
        <f>floor(LOG('Prestige Patterns'!$B$6^(E109) - (D109*(1-'Prestige Patterns'!$B$6)/'Prestige Patterns'!$B$5),'Prestige Patterns'!$B$6)-E109,1)</f>
        <v>14</v>
      </c>
      <c r="H110" s="12">
        <f t="shared" si="3"/>
        <v>352</v>
      </c>
      <c r="I110" s="11">
        <f>1+H110*'Prestige Patterns'!$B$25</f>
        <v>4.52</v>
      </c>
      <c r="J110" s="12">
        <f>floor((K110/'Prestige Patterns'!$B$22)^'Prestige Patterns'!$B$23,1)-H109</f>
        <v>5</v>
      </c>
      <c r="K110" s="8">
        <f>K109+N109*'Prestige Patterns'!$B$20</f>
        <v>12750680256</v>
      </c>
      <c r="L110" s="8">
        <f>if(J109&gt;='Prestige Patterns'!$B$28,if(J109/(H109+1)&gt;('Prestige Patterns'!$B$27+1),L109+1,L109),L109)</f>
        <v>3</v>
      </c>
      <c r="N110" s="12">
        <f t="shared" si="1"/>
        <v>1238118.4</v>
      </c>
      <c r="O110" s="9">
        <f>'Prestige Patterns'!$B$4*E110</f>
        <v>4280</v>
      </c>
      <c r="P110" s="12">
        <f t="shared" si="4"/>
        <v>64</v>
      </c>
      <c r="Q110" s="11"/>
      <c r="R110" s="11"/>
      <c r="S110" s="9">
        <v>109.0</v>
      </c>
      <c r="T110" s="11"/>
    </row>
    <row r="111" ht="15.75" customHeight="1">
      <c r="A111" s="7"/>
      <c r="B111" s="7"/>
      <c r="C111" s="7">
        <f>(S111*'Prestige Patterns'!$B$20)/60</f>
        <v>55</v>
      </c>
      <c r="D111" s="8">
        <f>if(L110=L111,N110*'Prestige Patterns'!$B$20+D110-F111,0)</f>
        <v>38273573.5</v>
      </c>
      <c r="E111" s="9">
        <f t="shared" si="2"/>
        <v>267</v>
      </c>
      <c r="F111" s="10">
        <f>'Prestige Patterns'!$B$5*('Prestige Patterns'!$B$6^E110-'Prestige Patterns'!$B$6^(E110+G111))/(1-'Prestige Patterns'!$B$6)</f>
        <v>33621700.33</v>
      </c>
      <c r="G111" s="13">
        <f>floor(LOG('Prestige Patterns'!$B$6^(E110) - (D110*(1-'Prestige Patterns'!$B$6)/'Prestige Patterns'!$B$5),'Prestige Patterns'!$B$6)-E110,1)</f>
        <v>53</v>
      </c>
      <c r="H111" s="12">
        <f t="shared" si="3"/>
        <v>352</v>
      </c>
      <c r="I111" s="11">
        <f>1+H111*'Prestige Patterns'!$B$25</f>
        <v>4.52</v>
      </c>
      <c r="J111" s="12">
        <f>floor((K111/'Prestige Patterns'!$B$22)^'Prestige Patterns'!$B$23,1)-H110</f>
        <v>5</v>
      </c>
      <c r="K111" s="8">
        <f>K110+N110*'Prestige Patterns'!$B$20</f>
        <v>12787823808</v>
      </c>
      <c r="L111" s="8">
        <f>if(J110&gt;='Prestige Patterns'!$B$28,if(J110/(H110+1)&gt;('Prestige Patterns'!$B$27+1),L110+1,L110),L110)</f>
        <v>3</v>
      </c>
      <c r="N111" s="12">
        <f t="shared" si="1"/>
        <v>1544755.2</v>
      </c>
      <c r="O111" s="9">
        <f>'Prestige Patterns'!$B$4*E111</f>
        <v>5340</v>
      </c>
      <c r="P111" s="12">
        <f t="shared" si="4"/>
        <v>64</v>
      </c>
      <c r="Q111" s="11"/>
      <c r="R111" s="11"/>
      <c r="S111" s="9">
        <v>110.0</v>
      </c>
      <c r="T111" s="11"/>
    </row>
    <row r="112" ht="15.75" customHeight="1">
      <c r="A112" s="7"/>
      <c r="B112" s="7"/>
      <c r="C112" s="7">
        <f>(S112*'Prestige Patterns'!$B$20)/60</f>
        <v>55.5</v>
      </c>
      <c r="D112" s="8">
        <f>if(L111=L112,N111*'Prestige Patterns'!$B$20+D111-F112,0)</f>
        <v>48985181.1</v>
      </c>
      <c r="E112" s="9">
        <f t="shared" si="2"/>
        <v>281</v>
      </c>
      <c r="F112" s="10">
        <f>'Prestige Patterns'!$B$5*('Prestige Patterns'!$B$6^E111-'Prestige Patterns'!$B$6^(E111+G112))/(1-'Prestige Patterns'!$B$6)</f>
        <v>35631048.4</v>
      </c>
      <c r="G112" s="13">
        <f>floor(LOG('Prestige Patterns'!$B$6^(E111) - (D111*(1-'Prestige Patterns'!$B$6)/'Prestige Patterns'!$B$5),'Prestige Patterns'!$B$6)-E111,1)</f>
        <v>14</v>
      </c>
      <c r="H112" s="12">
        <f t="shared" si="3"/>
        <v>352</v>
      </c>
      <c r="I112" s="11">
        <f>1+H112*'Prestige Patterns'!$B$25</f>
        <v>4.52</v>
      </c>
      <c r="J112" s="12">
        <f>floor((K112/'Prestige Patterns'!$B$22)^'Prestige Patterns'!$B$23,1)-H111</f>
        <v>6</v>
      </c>
      <c r="K112" s="8">
        <f>K111+N111*'Prestige Patterns'!$B$20</f>
        <v>12834166464</v>
      </c>
      <c r="L112" s="8">
        <f>if(J111&gt;='Prestige Patterns'!$B$28,if(J111/(H111+1)&gt;('Prestige Patterns'!$B$27+1),L111+1,L111),L111)</f>
        <v>3</v>
      </c>
      <c r="N112" s="12">
        <f t="shared" si="1"/>
        <v>1625753.6</v>
      </c>
      <c r="O112" s="9">
        <f>'Prestige Patterns'!$B$4*E112</f>
        <v>5620</v>
      </c>
      <c r="P112" s="12">
        <f t="shared" si="4"/>
        <v>64</v>
      </c>
      <c r="Q112" s="11"/>
      <c r="R112" s="11"/>
      <c r="S112" s="9">
        <v>111.0</v>
      </c>
      <c r="T112" s="11"/>
    </row>
    <row r="113" ht="15.75" customHeight="1">
      <c r="A113" s="7"/>
      <c r="B113" s="7"/>
      <c r="C113" s="7">
        <f>(S113*'Prestige Patterns'!$B$20)/60</f>
        <v>56</v>
      </c>
      <c r="D113" s="8">
        <f>if(L112=L113,N112*'Prestige Patterns'!$B$20+D112-F113,0)</f>
        <v>52482533.6</v>
      </c>
      <c r="E113" s="9">
        <f t="shared" si="2"/>
        <v>291</v>
      </c>
      <c r="F113" s="10">
        <f>'Prestige Patterns'!$B$5*('Prestige Patterns'!$B$6^E112-'Prestige Patterns'!$B$6^(E112+G113))/(1-'Prestige Patterns'!$B$6)</f>
        <v>45275255.5</v>
      </c>
      <c r="G113" s="13">
        <f>floor(LOG('Prestige Patterns'!$B$6^(E112) - (D112*(1-'Prestige Patterns'!$B$6)/'Prestige Patterns'!$B$5),'Prestige Patterns'!$B$6)-E112,1)</f>
        <v>10</v>
      </c>
      <c r="H113" s="12">
        <f t="shared" si="3"/>
        <v>352</v>
      </c>
      <c r="I113" s="11">
        <f>1+H113*'Prestige Patterns'!$B$25</f>
        <v>4.52</v>
      </c>
      <c r="J113" s="12">
        <f>floor((K113/'Prestige Patterns'!$B$22)^'Prestige Patterns'!$B$23,1)-H112</f>
        <v>6</v>
      </c>
      <c r="K113" s="8">
        <f>K112+N112*'Prestige Patterns'!$B$20</f>
        <v>12882939072</v>
      </c>
      <c r="L113" s="8">
        <f>if(J112&gt;='Prestige Patterns'!$B$28,if(J112/(H112+1)&gt;('Prestige Patterns'!$B$27+1),L112+1,L112),L112)</f>
        <v>3</v>
      </c>
      <c r="N113" s="12">
        <f t="shared" si="1"/>
        <v>1683609.6</v>
      </c>
      <c r="O113" s="9">
        <f>'Prestige Patterns'!$B$4*E113</f>
        <v>5820</v>
      </c>
      <c r="P113" s="12">
        <f t="shared" si="4"/>
        <v>64</v>
      </c>
      <c r="Q113" s="11"/>
      <c r="R113" s="11"/>
      <c r="S113" s="9">
        <v>112.0</v>
      </c>
      <c r="T113" s="11"/>
    </row>
    <row r="114" ht="15.75" customHeight="1">
      <c r="A114" s="7"/>
      <c r="B114" s="7"/>
      <c r="C114" s="7">
        <f>(S114*'Prestige Patterns'!$B$20)/60</f>
        <v>56.5</v>
      </c>
      <c r="D114" s="8">
        <f>if(L113=L114,N113*'Prestige Patterns'!$B$20+D113-F114,0)</f>
        <v>55251354.2</v>
      </c>
      <c r="E114" s="9">
        <f t="shared" si="2"/>
        <v>298</v>
      </c>
      <c r="F114" s="10">
        <f>'Prestige Patterns'!$B$5*('Prestige Patterns'!$B$6^E113-'Prestige Patterns'!$B$6^(E113+G114))/(1-'Prestige Patterns'!$B$6)</f>
        <v>47739467.41</v>
      </c>
      <c r="G114" s="13">
        <f>floor(LOG('Prestige Patterns'!$B$6^(E113) - (D113*(1-'Prestige Patterns'!$B$6)/'Prestige Patterns'!$B$5),'Prestige Patterns'!$B$6)-E113,1)</f>
        <v>7</v>
      </c>
      <c r="H114" s="12">
        <f t="shared" si="3"/>
        <v>352</v>
      </c>
      <c r="I114" s="11">
        <f>1+H114*'Prestige Patterns'!$B$25</f>
        <v>4.52</v>
      </c>
      <c r="J114" s="12">
        <f>floor((K114/'Prestige Patterns'!$B$22)^'Prestige Patterns'!$B$23,1)-H113</f>
        <v>7</v>
      </c>
      <c r="K114" s="8">
        <f>K113+N113*'Prestige Patterns'!$B$20</f>
        <v>12933447360</v>
      </c>
      <c r="L114" s="8">
        <f>if(J113&gt;='Prestige Patterns'!$B$28,if(J113/(H113+1)&gt;('Prestige Patterns'!$B$27+1),L113+1,L113),L113)</f>
        <v>3</v>
      </c>
      <c r="N114" s="12">
        <f t="shared" si="1"/>
        <v>1724108.8</v>
      </c>
      <c r="O114" s="9">
        <f>'Prestige Patterns'!$B$4*E114</f>
        <v>5960</v>
      </c>
      <c r="P114" s="12">
        <f t="shared" si="4"/>
        <v>64</v>
      </c>
      <c r="Q114" s="11"/>
      <c r="R114" s="11"/>
      <c r="S114" s="9">
        <v>113.0</v>
      </c>
      <c r="T114" s="11"/>
    </row>
    <row r="115" ht="15.75" customHeight="1">
      <c r="A115" s="7"/>
      <c r="B115" s="7"/>
      <c r="C115" s="7">
        <f>(S115*'Prestige Patterns'!$B$20)/60</f>
        <v>57</v>
      </c>
      <c r="D115" s="8">
        <f>if(L114=L115,N114*'Prestige Patterns'!$B$20+D114-F115,0)</f>
        <v>61386358.53</v>
      </c>
      <c r="E115" s="9">
        <f t="shared" si="2"/>
        <v>303</v>
      </c>
      <c r="F115" s="10">
        <f>'Prestige Patterns'!$B$5*('Prestige Patterns'!$B$6^E114-'Prestige Patterns'!$B$6^(E114+G115))/(1-'Prestige Patterns'!$B$6)</f>
        <v>45588259.67</v>
      </c>
      <c r="G115" s="13">
        <f>floor(LOG('Prestige Patterns'!$B$6^(E114) - (D114*(1-'Prestige Patterns'!$B$6)/'Prestige Patterns'!$B$5),'Prestige Patterns'!$B$6)-E114,1)</f>
        <v>5</v>
      </c>
      <c r="H115" s="12">
        <f t="shared" si="3"/>
        <v>352</v>
      </c>
      <c r="I115" s="11">
        <f>1+H115*'Prestige Patterns'!$B$25</f>
        <v>4.52</v>
      </c>
      <c r="J115" s="12">
        <f>floor((K115/'Prestige Patterns'!$B$22)^'Prestige Patterns'!$B$23,1)-H114</f>
        <v>8</v>
      </c>
      <c r="K115" s="8">
        <f>K114+N114*'Prestige Patterns'!$B$20</f>
        <v>12985170624</v>
      </c>
      <c r="L115" s="8">
        <f>if(J114&gt;='Prestige Patterns'!$B$28,if(J114/(H114+1)&gt;('Prestige Patterns'!$B$27+1),L114+1,L114),L114)</f>
        <v>3</v>
      </c>
      <c r="N115" s="12">
        <f t="shared" si="1"/>
        <v>14024294.4</v>
      </c>
      <c r="O115" s="9">
        <f>'Prestige Patterns'!$B$4*E115</f>
        <v>6060</v>
      </c>
      <c r="P115" s="12">
        <f t="shared" si="4"/>
        <v>512</v>
      </c>
      <c r="Q115" s="11"/>
      <c r="R115" s="11"/>
      <c r="S115" s="9">
        <v>114.0</v>
      </c>
      <c r="T115" s="11"/>
    </row>
    <row r="116" ht="15.75" customHeight="1">
      <c r="A116" s="7"/>
      <c r="B116" s="7"/>
      <c r="C116" s="7">
        <f>(S116*'Prestige Patterns'!$B$20)/60</f>
        <v>57.5</v>
      </c>
      <c r="D116" s="8">
        <f>if(L115=L116,N115*'Prestige Patterns'!$B$20+D115-F116,0)</f>
        <v>423931735.3</v>
      </c>
      <c r="E116" s="9">
        <f t="shared" si="2"/>
        <v>308</v>
      </c>
      <c r="F116" s="10">
        <f>'Prestige Patterns'!$B$5*('Prestige Patterns'!$B$6^E115-'Prestige Patterns'!$B$6^(E115+G116))/(1-'Prestige Patterns'!$B$6)</f>
        <v>58183455.28</v>
      </c>
      <c r="G116" s="13">
        <f>floor(LOG('Prestige Patterns'!$B$6^(E115) - (D115*(1-'Prestige Patterns'!$B$6)/'Prestige Patterns'!$B$5),'Prestige Patterns'!$B$6)-E115,1)</f>
        <v>5</v>
      </c>
      <c r="H116" s="12">
        <f t="shared" si="3"/>
        <v>352</v>
      </c>
      <c r="I116" s="11">
        <f>1+H116*'Prestige Patterns'!$B$25</f>
        <v>4.52</v>
      </c>
      <c r="J116" s="12">
        <f>floor((K116/'Prestige Patterns'!$B$22)^'Prestige Patterns'!$B$23,1)-H115</f>
        <v>14</v>
      </c>
      <c r="K116" s="8">
        <f>K115+N115*'Prestige Patterns'!$B$20</f>
        <v>13405899456</v>
      </c>
      <c r="L116" s="8">
        <f>if(J115&gt;='Prestige Patterns'!$B$28,if(J115/(H115+1)&gt;('Prestige Patterns'!$B$27+1),L115+1,L115),L115)</f>
        <v>3</v>
      </c>
      <c r="N116" s="12">
        <f t="shared" si="1"/>
        <v>14255718.4</v>
      </c>
      <c r="O116" s="9">
        <f>'Prestige Patterns'!$B$4*E116</f>
        <v>6160</v>
      </c>
      <c r="P116" s="12">
        <f t="shared" si="4"/>
        <v>512</v>
      </c>
      <c r="Q116" s="11"/>
      <c r="R116" s="11"/>
      <c r="S116" s="9">
        <v>115.0</v>
      </c>
      <c r="T116" s="11"/>
    </row>
    <row r="117" ht="15.75" customHeight="1">
      <c r="A117" s="7"/>
      <c r="B117" s="7"/>
      <c r="C117" s="7">
        <f>(S117*'Prestige Patterns'!$B$20)/60</f>
        <v>58</v>
      </c>
      <c r="D117" s="8">
        <f>if(L116=L117,N116*'Prestige Patterns'!$B$20+D116-F117,0)</f>
        <v>441192306.1</v>
      </c>
      <c r="E117" s="9">
        <f t="shared" si="2"/>
        <v>327</v>
      </c>
      <c r="F117" s="10">
        <f>'Prestige Patterns'!$B$5*('Prestige Patterns'!$B$6^E116-'Prestige Patterns'!$B$6^(E116+G117))/(1-'Prestige Patterns'!$B$6)</f>
        <v>410410981.1</v>
      </c>
      <c r="G117" s="13">
        <f>floor(LOG('Prestige Patterns'!$B$6^(E116) - (D116*(1-'Prestige Patterns'!$B$6)/'Prestige Patterns'!$B$5),'Prestige Patterns'!$B$6)-E116,1)</f>
        <v>19</v>
      </c>
      <c r="H117" s="12">
        <f t="shared" si="3"/>
        <v>352</v>
      </c>
      <c r="I117" s="11">
        <f>1+H117*'Prestige Patterns'!$B$25</f>
        <v>4.52</v>
      </c>
      <c r="J117" s="12">
        <f>floor((K117/'Prestige Patterns'!$B$22)^'Prestige Patterns'!$B$23,1)-H116</f>
        <v>19</v>
      </c>
      <c r="K117" s="8">
        <f>K116+N116*'Prestige Patterns'!$B$20</f>
        <v>13833571008</v>
      </c>
      <c r="L117" s="8">
        <f>if(J116&gt;='Prestige Patterns'!$B$28,if(J116/(H116+1)&gt;('Prestige Patterns'!$B$27+1),L116+1,L116),L116)</f>
        <v>3</v>
      </c>
      <c r="N117" s="12">
        <f t="shared" si="1"/>
        <v>15135129.6</v>
      </c>
      <c r="O117" s="9">
        <f>'Prestige Patterns'!$B$4*E117</f>
        <v>6540</v>
      </c>
      <c r="P117" s="12">
        <f t="shared" si="4"/>
        <v>512</v>
      </c>
      <c r="Q117" s="11"/>
      <c r="R117" s="11"/>
      <c r="S117" s="9">
        <v>116.0</v>
      </c>
      <c r="T117" s="11"/>
    </row>
    <row r="118" ht="15.75" customHeight="1">
      <c r="A118" s="7"/>
      <c r="B118" s="7"/>
      <c r="C118" s="7">
        <f>(S118*'Prestige Patterns'!$B$20)/60</f>
        <v>58.5</v>
      </c>
      <c r="D118" s="8">
        <f>if(L117=L118,N117*'Prestige Patterns'!$B$20+D117-F118,0)</f>
        <v>468107744.5</v>
      </c>
      <c r="E118" s="9">
        <f t="shared" si="2"/>
        <v>337</v>
      </c>
      <c r="F118" s="10">
        <f>'Prestige Patterns'!$B$5*('Prestige Patterns'!$B$6^E117-'Prestige Patterns'!$B$6^(E117+G118))/(1-'Prestige Patterns'!$B$6)</f>
        <v>427138449.7</v>
      </c>
      <c r="G118" s="13">
        <f>floor(LOG('Prestige Patterns'!$B$6^(E117) - (D117*(1-'Prestige Patterns'!$B$6)/'Prestige Patterns'!$B$5),'Prestige Patterns'!$B$6)-E117,1)</f>
        <v>10</v>
      </c>
      <c r="H118" s="12">
        <f t="shared" si="3"/>
        <v>352</v>
      </c>
      <c r="I118" s="11">
        <f>1+H118*'Prestige Patterns'!$B$25</f>
        <v>4.52</v>
      </c>
      <c r="J118" s="12">
        <f>floor((K118/'Prestige Patterns'!$B$22)^'Prestige Patterns'!$B$23,1)-H117</f>
        <v>25</v>
      </c>
      <c r="K118" s="8">
        <f>K117+N117*'Prestige Patterns'!$B$20</f>
        <v>14287624896</v>
      </c>
      <c r="L118" s="8">
        <f>if(J117&gt;='Prestige Patterns'!$B$28,if(J117/(H117+1)&gt;('Prestige Patterns'!$B$27+1),L117+1,L117),L117)</f>
        <v>3</v>
      </c>
      <c r="N118" s="12">
        <f t="shared" si="1"/>
        <v>15597977.6</v>
      </c>
      <c r="O118" s="9">
        <f>'Prestige Patterns'!$B$4*E118</f>
        <v>6740</v>
      </c>
      <c r="P118" s="12">
        <f t="shared" si="4"/>
        <v>512</v>
      </c>
      <c r="Q118" s="11"/>
      <c r="R118" s="11"/>
      <c r="S118" s="9">
        <v>117.0</v>
      </c>
      <c r="T118" s="11"/>
    </row>
    <row r="119" ht="15.75" customHeight="1">
      <c r="A119" s="7"/>
      <c r="B119" s="7"/>
      <c r="C119" s="7">
        <f>(S119*'Prestige Patterns'!$B$20)/60</f>
        <v>59</v>
      </c>
      <c r="D119" s="8">
        <f>if(L118=L119,N118*'Prestige Patterns'!$B$20+D118-F119,0)</f>
        <v>485660611.4</v>
      </c>
      <c r="E119" s="9">
        <f t="shared" si="2"/>
        <v>344</v>
      </c>
      <c r="F119" s="10">
        <f>'Prestige Patterns'!$B$5*('Prestige Patterns'!$B$6^E118-'Prestige Patterns'!$B$6^(E118+G119))/(1-'Prestige Patterns'!$B$6)</f>
        <v>450386461.1</v>
      </c>
      <c r="G119" s="13">
        <f>floor(LOG('Prestige Patterns'!$B$6^(E118) - (D118*(1-'Prestige Patterns'!$B$6)/'Prestige Patterns'!$B$5),'Prestige Patterns'!$B$6)-E118,1)</f>
        <v>7</v>
      </c>
      <c r="H119" s="12">
        <f t="shared" si="3"/>
        <v>352</v>
      </c>
      <c r="I119" s="11">
        <f>1+H119*'Prestige Patterns'!$B$25</f>
        <v>4.52</v>
      </c>
      <c r="J119" s="12">
        <f>floor((K119/'Prestige Patterns'!$B$22)^'Prestige Patterns'!$B$23,1)-H118</f>
        <v>32</v>
      </c>
      <c r="K119" s="8">
        <f>K118+N118*'Prestige Patterns'!$B$20</f>
        <v>14755564224</v>
      </c>
      <c r="L119" s="8">
        <f>if(J118&gt;='Prestige Patterns'!$B$28,if(J118/(H118+1)&gt;('Prestige Patterns'!$B$27+1),L118+1,L118),L118)</f>
        <v>3</v>
      </c>
      <c r="N119" s="12">
        <f t="shared" si="1"/>
        <v>15921971.2</v>
      </c>
      <c r="O119" s="9">
        <f>'Prestige Patterns'!$B$4*E119</f>
        <v>6880</v>
      </c>
      <c r="P119" s="12">
        <f t="shared" si="4"/>
        <v>512</v>
      </c>
      <c r="Q119" s="11"/>
      <c r="R119" s="11"/>
      <c r="S119" s="9">
        <v>118.0</v>
      </c>
      <c r="T119" s="11"/>
    </row>
    <row r="120" ht="15.75" customHeight="1">
      <c r="A120" s="7"/>
      <c r="B120" s="7"/>
      <c r="C120" s="7">
        <f>(S120*'Prestige Patterns'!$B$20)/60</f>
        <v>59.5</v>
      </c>
      <c r="D120" s="8">
        <f>if(L119=L120,N119*'Prestige Patterns'!$B$20+D119-F120,0)</f>
        <v>533228335.6</v>
      </c>
      <c r="E120" s="9">
        <f t="shared" si="2"/>
        <v>349</v>
      </c>
      <c r="F120" s="10">
        <f>'Prestige Patterns'!$B$5*('Prestige Patterns'!$B$6^E119-'Prestige Patterns'!$B$6^(E119+G120))/(1-'Prestige Patterns'!$B$6)</f>
        <v>430091411.8</v>
      </c>
      <c r="G120" s="13">
        <f>floor(LOG('Prestige Patterns'!$B$6^(E119) - (D119*(1-'Prestige Patterns'!$B$6)/'Prestige Patterns'!$B$5),'Prestige Patterns'!$B$6)-E119,1)</f>
        <v>5</v>
      </c>
      <c r="H120" s="12">
        <f t="shared" si="3"/>
        <v>352</v>
      </c>
      <c r="I120" s="11">
        <f>1+H120*'Prestige Patterns'!$B$25</f>
        <v>4.52</v>
      </c>
      <c r="J120" s="12">
        <f>floor((K120/'Prestige Patterns'!$B$22)^'Prestige Patterns'!$B$23,1)-H119</f>
        <v>38</v>
      </c>
      <c r="K120" s="8">
        <f>K119+N119*'Prestige Patterns'!$B$20</f>
        <v>15233223360</v>
      </c>
      <c r="L120" s="8">
        <f>if(J119&gt;='Prestige Patterns'!$B$28,if(J119/(H119+1)&gt;('Prestige Patterns'!$B$27+1),L119+1,L119),L119)</f>
        <v>3</v>
      </c>
      <c r="N120" s="12">
        <f t="shared" si="1"/>
        <v>16153395.2</v>
      </c>
      <c r="O120" s="9">
        <f>'Prestige Patterns'!$B$4*E120</f>
        <v>6980</v>
      </c>
      <c r="P120" s="12">
        <f t="shared" si="4"/>
        <v>512</v>
      </c>
      <c r="Q120" s="11"/>
      <c r="R120" s="11"/>
      <c r="S120" s="9">
        <v>119.0</v>
      </c>
      <c r="T120" s="11"/>
    </row>
    <row r="121" ht="15.75" customHeight="1">
      <c r="A121" s="7"/>
      <c r="B121" s="7"/>
      <c r="C121" s="7">
        <f>(S121*'Prestige Patterns'!$B$20)/60</f>
        <v>60</v>
      </c>
      <c r="D121" s="8">
        <f>if(L120=L121,N120*'Prestige Patterns'!$B$20+D120-F121,0)</f>
        <v>589661180.1</v>
      </c>
      <c r="E121" s="9">
        <f t="shared" si="2"/>
        <v>353</v>
      </c>
      <c r="F121" s="10">
        <f>'Prestige Patterns'!$B$5*('Prestige Patterns'!$B$6^E120-'Prestige Patterns'!$B$6^(E120+G121))/(1-'Prestige Patterns'!$B$6)</f>
        <v>428169011.5</v>
      </c>
      <c r="G121" s="13">
        <f>floor(LOG('Prestige Patterns'!$B$6^(E120) - (D120*(1-'Prestige Patterns'!$B$6)/'Prestige Patterns'!$B$5),'Prestige Patterns'!$B$6)-E120,1)</f>
        <v>4</v>
      </c>
      <c r="H121" s="12">
        <f t="shared" si="3"/>
        <v>352</v>
      </c>
      <c r="I121" s="11">
        <f>1+H121*'Prestige Patterns'!$B$25</f>
        <v>4.52</v>
      </c>
      <c r="J121" s="12">
        <f>floor((K121/'Prestige Patterns'!$B$22)^'Prestige Patterns'!$B$23,1)-H120</f>
        <v>44</v>
      </c>
      <c r="K121" s="8">
        <f>K120+N120*'Prestige Patterns'!$B$20</f>
        <v>15717825216</v>
      </c>
      <c r="L121" s="8">
        <f>if(J120&gt;='Prestige Patterns'!$B$28,if(J120/(H120+1)&gt;('Prestige Patterns'!$B$27+1),L120+1,L120),L120)</f>
        <v>3</v>
      </c>
      <c r="N121" s="12">
        <f t="shared" si="1"/>
        <v>16338534.4</v>
      </c>
      <c r="O121" s="9">
        <f>'Prestige Patterns'!$B$4*E121</f>
        <v>7060</v>
      </c>
      <c r="P121" s="12">
        <f t="shared" si="4"/>
        <v>512</v>
      </c>
      <c r="Q121" s="11"/>
      <c r="R121" s="11"/>
      <c r="S121" s="9">
        <v>120.0</v>
      </c>
      <c r="T121" s="11"/>
    </row>
    <row r="122" ht="15.75" customHeight="1">
      <c r="A122" s="7"/>
      <c r="B122" s="7"/>
      <c r="C122" s="7">
        <f>(S122*'Prestige Patterns'!$B$20)/60</f>
        <v>60.5</v>
      </c>
      <c r="D122" s="8">
        <f>if(L121=L122,N121*'Prestige Patterns'!$B$20+D121-F122,0)</f>
        <v>559375102.6</v>
      </c>
      <c r="E122" s="9">
        <f t="shared" si="2"/>
        <v>357</v>
      </c>
      <c r="F122" s="10">
        <f>'Prestige Patterns'!$B$5*('Prestige Patterns'!$B$6^E121-'Prestige Patterns'!$B$6^(E121+G122))/(1-'Prestige Patterns'!$B$6)</f>
        <v>520442109.5</v>
      </c>
      <c r="G122" s="13">
        <f>floor(LOG('Prestige Patterns'!$B$6^(E121) - (D121*(1-'Prestige Patterns'!$B$6)/'Prestige Patterns'!$B$5),'Prestige Patterns'!$B$6)-E121,1)</f>
        <v>4</v>
      </c>
      <c r="H122" s="12">
        <f t="shared" si="3"/>
        <v>352</v>
      </c>
      <c r="I122" s="11">
        <f>1+H122*'Prestige Patterns'!$B$25</f>
        <v>4.52</v>
      </c>
      <c r="J122" s="12">
        <f>floor((K122/'Prestige Patterns'!$B$22)^'Prestige Patterns'!$B$23,1)-H121</f>
        <v>50</v>
      </c>
      <c r="K122" s="8">
        <f>K121+N121*'Prestige Patterns'!$B$20</f>
        <v>16207981248</v>
      </c>
      <c r="L122" s="8">
        <f>if(J121&gt;='Prestige Patterns'!$B$28,if(J121/(H121+1)&gt;('Prestige Patterns'!$B$27+1),L121+1,L121),L121)</f>
        <v>3</v>
      </c>
      <c r="N122" s="12">
        <f t="shared" si="1"/>
        <v>16523673.6</v>
      </c>
      <c r="O122" s="9">
        <f>'Prestige Patterns'!$B$4*E122</f>
        <v>7140</v>
      </c>
      <c r="P122" s="12">
        <f t="shared" si="4"/>
        <v>512</v>
      </c>
      <c r="Q122" s="11"/>
      <c r="R122" s="11"/>
      <c r="S122" s="9">
        <v>121.0</v>
      </c>
      <c r="T122" s="11"/>
    </row>
    <row r="123" ht="15.75" customHeight="1">
      <c r="A123" s="7"/>
      <c r="B123" s="7"/>
      <c r="C123" s="7">
        <f>(S123*'Prestige Patterns'!$B$20)/60</f>
        <v>61</v>
      </c>
      <c r="D123" s="8">
        <f>if(L122=L123,N122*'Prestige Patterns'!$B$20+D122-F123,0)</f>
        <v>592390259.3</v>
      </c>
      <c r="E123" s="9">
        <f t="shared" si="2"/>
        <v>360</v>
      </c>
      <c r="F123" s="10">
        <f>'Prestige Patterns'!$B$5*('Prestige Patterns'!$B$6^E122-'Prestige Patterns'!$B$6^(E122+G123))/(1-'Prestige Patterns'!$B$6)</f>
        <v>462695051.3</v>
      </c>
      <c r="G123" s="13">
        <f>floor(LOG('Prestige Patterns'!$B$6^(E122) - (D122*(1-'Prestige Patterns'!$B$6)/'Prestige Patterns'!$B$5),'Prestige Patterns'!$B$6)-E122,1)</f>
        <v>3</v>
      </c>
      <c r="H123" s="12">
        <f t="shared" si="3"/>
        <v>352</v>
      </c>
      <c r="I123" s="11">
        <f>1+H123*'Prestige Patterns'!$B$25</f>
        <v>4.52</v>
      </c>
      <c r="J123" s="12">
        <f>floor((K123/'Prestige Patterns'!$B$22)^'Prestige Patterns'!$B$23,1)-H122</f>
        <v>56</v>
      </c>
      <c r="K123" s="8">
        <f>K122+N122*'Prestige Patterns'!$B$20</f>
        <v>16703691456</v>
      </c>
      <c r="L123" s="8">
        <f>if(J122&gt;='Prestige Patterns'!$B$28,if(J122/(H122+1)&gt;('Prestige Patterns'!$B$27+1),L122+1,L122),L122)</f>
        <v>3</v>
      </c>
      <c r="N123" s="12">
        <f t="shared" si="1"/>
        <v>16662528</v>
      </c>
      <c r="O123" s="9">
        <f>'Prestige Patterns'!$B$4*E123</f>
        <v>7200</v>
      </c>
      <c r="P123" s="12">
        <f t="shared" si="4"/>
        <v>512</v>
      </c>
      <c r="Q123" s="11"/>
      <c r="R123" s="11"/>
      <c r="S123" s="9">
        <v>122.0</v>
      </c>
      <c r="T123" s="11"/>
    </row>
    <row r="124" ht="15.75" customHeight="1">
      <c r="A124" s="7"/>
      <c r="B124" s="7"/>
      <c r="C124" s="7">
        <f>(S124*'Prestige Patterns'!$B$20)/60</f>
        <v>61.5</v>
      </c>
      <c r="D124" s="8">
        <f>if(L123=L124,N123*'Prestige Patterns'!$B$20+D123-F124,0)</f>
        <v>556638740.6</v>
      </c>
      <c r="E124" s="9">
        <f t="shared" si="2"/>
        <v>363</v>
      </c>
      <c r="F124" s="10">
        <f>'Prestige Patterns'!$B$5*('Prestige Patterns'!$B$6^E123-'Prestige Patterns'!$B$6^(E123+G124))/(1-'Prestige Patterns'!$B$6)</f>
        <v>535627358.7</v>
      </c>
      <c r="G124" s="13">
        <f>floor(LOG('Prestige Patterns'!$B$6^(E123) - (D123*(1-'Prestige Patterns'!$B$6)/'Prestige Patterns'!$B$5),'Prestige Patterns'!$B$6)-E123,1)</f>
        <v>3</v>
      </c>
      <c r="H124" s="12">
        <f t="shared" si="3"/>
        <v>352</v>
      </c>
      <c r="I124" s="11">
        <f>1+H124*'Prestige Patterns'!$B$25</f>
        <v>4.52</v>
      </c>
      <c r="J124" s="12">
        <f>floor((K124/'Prestige Patterns'!$B$22)^'Prestige Patterns'!$B$23,1)-H123</f>
        <v>62</v>
      </c>
      <c r="K124" s="8">
        <f>K123+N123*'Prestige Patterns'!$B$20</f>
        <v>17203567296</v>
      </c>
      <c r="L124" s="8">
        <f>if(J123&gt;='Prestige Patterns'!$B$28,if(J123/(H123+1)&gt;('Prestige Patterns'!$B$27+1),L123+1,L123),L123)</f>
        <v>3</v>
      </c>
      <c r="N124" s="12">
        <f t="shared" si="1"/>
        <v>16801382.4</v>
      </c>
      <c r="O124" s="9">
        <f>'Prestige Patterns'!$B$4*E124</f>
        <v>7260</v>
      </c>
      <c r="P124" s="12">
        <f t="shared" si="4"/>
        <v>512</v>
      </c>
      <c r="Q124" s="11"/>
      <c r="R124" s="11"/>
      <c r="S124" s="9">
        <v>123.0</v>
      </c>
      <c r="T124" s="11"/>
    </row>
    <row r="125" ht="15.75" customHeight="1">
      <c r="A125" s="7"/>
      <c r="B125" s="7"/>
      <c r="C125" s="7">
        <f>(S125*'Prestige Patterns'!$B$20)/60</f>
        <v>62</v>
      </c>
      <c r="D125" s="8">
        <f>if(L124=L125,N124*'Prestige Patterns'!$B$20+D124-F125,0)</f>
        <v>657471957.8</v>
      </c>
      <c r="E125" s="9">
        <f t="shared" si="2"/>
        <v>365</v>
      </c>
      <c r="F125" s="10">
        <f>'Prestige Patterns'!$B$5*('Prestige Patterns'!$B$6^E124-'Prestige Patterns'!$B$6^(E124+G125))/(1-'Prestige Patterns'!$B$6)</f>
        <v>403208254.8</v>
      </c>
      <c r="G125" s="13">
        <f>floor(LOG('Prestige Patterns'!$B$6^(E124) - (D124*(1-'Prestige Patterns'!$B$6)/'Prestige Patterns'!$B$5),'Prestige Patterns'!$B$6)-E124,1)</f>
        <v>2</v>
      </c>
      <c r="H125" s="12">
        <f t="shared" si="3"/>
        <v>352</v>
      </c>
      <c r="I125" s="11">
        <f>1+H125*'Prestige Patterns'!$B$25</f>
        <v>4.52</v>
      </c>
      <c r="J125" s="12">
        <f>floor((K125/'Prestige Patterns'!$B$22)^'Prestige Patterns'!$B$23,1)-H124</f>
        <v>68</v>
      </c>
      <c r="K125" s="8">
        <f>K124+N124*'Prestige Patterns'!$B$20</f>
        <v>17707608768</v>
      </c>
      <c r="L125" s="8">
        <f>if(J124&gt;='Prestige Patterns'!$B$28,if(J124/(H124+1)&gt;('Prestige Patterns'!$B$27+1),L124+1,L124),L124)</f>
        <v>3</v>
      </c>
      <c r="N125" s="12">
        <f t="shared" si="1"/>
        <v>16893952</v>
      </c>
      <c r="O125" s="9">
        <f>'Prestige Patterns'!$B$4*E125</f>
        <v>7300</v>
      </c>
      <c r="P125" s="12">
        <f t="shared" si="4"/>
        <v>512</v>
      </c>
      <c r="Q125" s="11"/>
      <c r="R125" s="11"/>
      <c r="S125" s="9">
        <v>124.0</v>
      </c>
      <c r="T125" s="11"/>
    </row>
    <row r="126" ht="15.75" customHeight="1">
      <c r="A126" s="7"/>
      <c r="B126" s="7"/>
      <c r="C126" s="7">
        <f>(S126*'Prestige Patterns'!$B$20)/60</f>
        <v>62.5</v>
      </c>
      <c r="D126" s="8">
        <f>if(L125=L126,N125*'Prestige Patterns'!$B$20+D125-F126,0)</f>
        <v>719753416.8</v>
      </c>
      <c r="E126" s="9">
        <f t="shared" si="2"/>
        <v>367</v>
      </c>
      <c r="F126" s="10">
        <f>'Prestige Patterns'!$B$5*('Prestige Patterns'!$B$6^E125-'Prestige Patterns'!$B$6^(E125+G126))/(1-'Prestige Patterns'!$B$6)</f>
        <v>444537100.9</v>
      </c>
      <c r="G126" s="13">
        <f>floor(LOG('Prestige Patterns'!$B$6^(E125) - (D125*(1-'Prestige Patterns'!$B$6)/'Prestige Patterns'!$B$5),'Prestige Patterns'!$B$6)-E125,1)</f>
        <v>2</v>
      </c>
      <c r="H126" s="12">
        <f t="shared" si="3"/>
        <v>352</v>
      </c>
      <c r="I126" s="11">
        <f>1+H126*'Prestige Patterns'!$B$25</f>
        <v>4.52</v>
      </c>
      <c r="J126" s="12">
        <f>floor((K126/'Prestige Patterns'!$B$22)^'Prestige Patterns'!$B$23,1)-H125</f>
        <v>74</v>
      </c>
      <c r="K126" s="8">
        <f>K125+N125*'Prestige Patterns'!$B$20</f>
        <v>18214427328</v>
      </c>
      <c r="L126" s="8">
        <f>if(J125&gt;='Prestige Patterns'!$B$28,if(J125/(H125+1)&gt;('Prestige Patterns'!$B$27+1),L125+1,L125),L125)</f>
        <v>3</v>
      </c>
      <c r="N126" s="12">
        <f t="shared" si="1"/>
        <v>16986521.6</v>
      </c>
      <c r="O126" s="9">
        <f>'Prestige Patterns'!$B$4*E126</f>
        <v>7340</v>
      </c>
      <c r="P126" s="12">
        <f t="shared" si="4"/>
        <v>512</v>
      </c>
      <c r="Q126" s="11"/>
      <c r="R126" s="11"/>
      <c r="S126" s="9">
        <v>125.0</v>
      </c>
      <c r="T126" s="11"/>
    </row>
    <row r="127" ht="15.75" customHeight="1">
      <c r="A127" s="7"/>
      <c r="B127" s="7"/>
      <c r="C127" s="7">
        <f>(S127*'Prestige Patterns'!$B$20)/60</f>
        <v>63</v>
      </c>
      <c r="D127" s="8">
        <f>if(L126=L127,N126*'Prestige Patterns'!$B$20+D126-F127,0)</f>
        <v>739246911.1</v>
      </c>
      <c r="E127" s="9">
        <f t="shared" si="2"/>
        <v>369</v>
      </c>
      <c r="F127" s="10">
        <f>'Prestige Patterns'!$B$5*('Prestige Patterns'!$B$6^E126-'Prestige Patterns'!$B$6^(E126+G127))/(1-'Prestige Patterns'!$B$6)</f>
        <v>490102153.8</v>
      </c>
      <c r="G127" s="13">
        <f>floor(LOG('Prestige Patterns'!$B$6^(E126) - (D126*(1-'Prestige Patterns'!$B$6)/'Prestige Patterns'!$B$5),'Prestige Patterns'!$B$6)-E126,1)</f>
        <v>2</v>
      </c>
      <c r="H127" s="12">
        <f t="shared" si="3"/>
        <v>352</v>
      </c>
      <c r="I127" s="11">
        <f>1+H127*'Prestige Patterns'!$B$25</f>
        <v>4.52</v>
      </c>
      <c r="J127" s="12">
        <f>floor((K127/'Prestige Patterns'!$B$22)^'Prestige Patterns'!$B$23,1)-H126</f>
        <v>80</v>
      </c>
      <c r="K127" s="8">
        <f>K126+N126*'Prestige Patterns'!$B$20</f>
        <v>18724022976</v>
      </c>
      <c r="L127" s="8">
        <f>if(J126&gt;='Prestige Patterns'!$B$28,if(J126/(H126+1)&gt;('Prestige Patterns'!$B$27+1),L126+1,L126),L126)</f>
        <v>3</v>
      </c>
      <c r="N127" s="12">
        <f t="shared" si="1"/>
        <v>17079091.2</v>
      </c>
      <c r="O127" s="9">
        <f>'Prestige Patterns'!$B$4*E127</f>
        <v>7380</v>
      </c>
      <c r="P127" s="12">
        <f t="shared" si="4"/>
        <v>512</v>
      </c>
      <c r="Q127" s="11"/>
      <c r="R127" s="11"/>
      <c r="S127" s="9">
        <v>126.0</v>
      </c>
      <c r="T127" s="11"/>
    </row>
    <row r="128" ht="15.75" customHeight="1">
      <c r="A128" s="7"/>
      <c r="B128" s="7"/>
      <c r="C128" s="7">
        <f>(S128*'Prestige Patterns'!$B$20)/60</f>
        <v>63.5</v>
      </c>
      <c r="D128" s="8">
        <f>if(L127=L128,N127*'Prestige Patterns'!$B$20+D127-F128,0)</f>
        <v>711282022.5</v>
      </c>
      <c r="E128" s="9">
        <f t="shared" si="2"/>
        <v>371</v>
      </c>
      <c r="F128" s="10">
        <f>'Prestige Patterns'!$B$5*('Prestige Patterns'!$B$6^E127-'Prestige Patterns'!$B$6^(E127+G128))/(1-'Prestige Patterns'!$B$6)</f>
        <v>540337624.5</v>
      </c>
      <c r="G128" s="13">
        <f>floor(LOG('Prestige Patterns'!$B$6^(E127) - (D127*(1-'Prestige Patterns'!$B$6)/'Prestige Patterns'!$B$5),'Prestige Patterns'!$B$6)-E127,1)</f>
        <v>2</v>
      </c>
      <c r="H128" s="12">
        <f t="shared" si="3"/>
        <v>352</v>
      </c>
      <c r="I128" s="11">
        <f>1+H128*'Prestige Patterns'!$B$25</f>
        <v>4.52</v>
      </c>
      <c r="J128" s="12">
        <f>floor((K128/'Prestige Patterns'!$B$22)^'Prestige Patterns'!$B$23,1)-H127</f>
        <v>86</v>
      </c>
      <c r="K128" s="8">
        <f>K127+N127*'Prestige Patterns'!$B$20</f>
        <v>19236395712</v>
      </c>
      <c r="L128" s="8">
        <f>if(J127&gt;='Prestige Patterns'!$B$28,if(J127/(H127+1)&gt;('Prestige Patterns'!$B$27+1),L127+1,L127),L127)</f>
        <v>3</v>
      </c>
      <c r="N128" s="12">
        <f t="shared" si="1"/>
        <v>17171660.8</v>
      </c>
      <c r="O128" s="9">
        <f>'Prestige Patterns'!$B$4*E128</f>
        <v>7420</v>
      </c>
      <c r="P128" s="12">
        <f t="shared" si="4"/>
        <v>512</v>
      </c>
      <c r="Q128" s="11"/>
      <c r="R128" s="11"/>
      <c r="S128" s="9">
        <v>127.0</v>
      </c>
      <c r="T128" s="11"/>
    </row>
    <row r="129" ht="15.75" customHeight="1">
      <c r="A129" s="7"/>
      <c r="B129" s="7"/>
      <c r="C129" s="7">
        <f>(S129*'Prestige Patterns'!$B$20)/60</f>
        <v>64</v>
      </c>
      <c r="D129" s="8">
        <f>if(L128=L129,N128*'Prestige Patterns'!$B$20+D128-F129,0)</f>
        <v>630709615.4</v>
      </c>
      <c r="E129" s="9">
        <f t="shared" si="2"/>
        <v>373</v>
      </c>
      <c r="F129" s="10">
        <f>'Prestige Patterns'!$B$5*('Prestige Patterns'!$B$6^E128-'Prestige Patterns'!$B$6^(E128+G129))/(1-'Prestige Patterns'!$B$6)</f>
        <v>595722231.1</v>
      </c>
      <c r="G129" s="13">
        <f>floor(LOG('Prestige Patterns'!$B$6^(E128) - (D128*(1-'Prestige Patterns'!$B$6)/'Prestige Patterns'!$B$5),'Prestige Patterns'!$B$6)-E128,1)</f>
        <v>2</v>
      </c>
      <c r="H129" s="12">
        <f t="shared" si="3"/>
        <v>352</v>
      </c>
      <c r="I129" s="11">
        <f>1+H129*'Prestige Patterns'!$B$25</f>
        <v>4.52</v>
      </c>
      <c r="J129" s="12">
        <f>floor((K129/'Prestige Patterns'!$B$22)^'Prestige Patterns'!$B$23,1)-H128</f>
        <v>92</v>
      </c>
      <c r="K129" s="8">
        <f>K128+N128*'Prestige Patterns'!$B$20</f>
        <v>19751545536</v>
      </c>
      <c r="L129" s="8">
        <f>if(J128&gt;='Prestige Patterns'!$B$28,if(J128/(H128+1)&gt;('Prestige Patterns'!$B$27+1),L128+1,L128),L128)</f>
        <v>3</v>
      </c>
      <c r="N129" s="12">
        <f t="shared" si="1"/>
        <v>17264230.4</v>
      </c>
      <c r="O129" s="9">
        <f>'Prestige Patterns'!$B$4*E129</f>
        <v>7460</v>
      </c>
      <c r="P129" s="12">
        <f t="shared" si="4"/>
        <v>512</v>
      </c>
      <c r="Q129" s="11"/>
      <c r="R129" s="11"/>
      <c r="S129" s="9">
        <v>128.0</v>
      </c>
      <c r="T129" s="11"/>
    </row>
    <row r="130" ht="15.75" customHeight="1">
      <c r="A130" s="7"/>
      <c r="B130" s="7"/>
      <c r="C130" s="7">
        <f>(S130*'Prestige Patterns'!$B$20)/60</f>
        <v>64.5</v>
      </c>
      <c r="D130" s="8">
        <f>if(L129=L130,N129*'Prestige Patterns'!$B$20+D129-F130,0)</f>
        <v>828254205.6</v>
      </c>
      <c r="E130" s="9">
        <f t="shared" si="2"/>
        <v>374</v>
      </c>
      <c r="F130" s="10">
        <f>'Prestige Patterns'!$B$5*('Prestige Patterns'!$B$6^E129-'Prestige Patterns'!$B$6^(E129+G130))/(1-'Prestige Patterns'!$B$6)</f>
        <v>320382321.8</v>
      </c>
      <c r="G130" s="13">
        <f>floor(LOG('Prestige Patterns'!$B$6^(E129) - (D129*(1-'Prestige Patterns'!$B$6)/'Prestige Patterns'!$B$5),'Prestige Patterns'!$B$6)-E129,1)</f>
        <v>1</v>
      </c>
      <c r="H130" s="12">
        <f t="shared" si="3"/>
        <v>352</v>
      </c>
      <c r="I130" s="11">
        <f>1+H130*'Prestige Patterns'!$B$25</f>
        <v>4.52</v>
      </c>
      <c r="J130" s="12">
        <f>floor((K130/'Prestige Patterns'!$B$22)^'Prestige Patterns'!$B$23,1)-H129</f>
        <v>98</v>
      </c>
      <c r="K130" s="8">
        <f>K129+N129*'Prestige Patterns'!$B$20</f>
        <v>20269472448</v>
      </c>
      <c r="L130" s="8">
        <f>if(J129&gt;='Prestige Patterns'!$B$28,if(J129/(H129+1)&gt;('Prestige Patterns'!$B$27+1),L129+1,L129),L129)</f>
        <v>3</v>
      </c>
      <c r="N130" s="12">
        <f t="shared" si="1"/>
        <v>17310515.2</v>
      </c>
      <c r="O130" s="9">
        <f>'Prestige Patterns'!$B$4*E130</f>
        <v>7480</v>
      </c>
      <c r="P130" s="12">
        <f t="shared" si="4"/>
        <v>512</v>
      </c>
      <c r="Q130" s="11"/>
      <c r="R130" s="11"/>
      <c r="S130" s="9">
        <v>129.0</v>
      </c>
      <c r="T130" s="11"/>
    </row>
    <row r="131" ht="15.75" customHeight="1">
      <c r="A131" s="7"/>
      <c r="B131" s="7"/>
      <c r="C131" s="7">
        <f>(S131*'Prestige Patterns'!$B$20)/60</f>
        <v>65</v>
      </c>
      <c r="D131" s="8">
        <f>if(L130=L131,N130*'Prestige Patterns'!$B$20+D130-F131,0)</f>
        <v>657946713.9</v>
      </c>
      <c r="E131" s="9">
        <f t="shared" si="2"/>
        <v>376</v>
      </c>
      <c r="F131" s="10">
        <f>'Prestige Patterns'!$B$5*('Prestige Patterns'!$B$6^E130-'Prestige Patterns'!$B$6^(E130+G131))/(1-'Prestige Patterns'!$B$6)</f>
        <v>689622947.7</v>
      </c>
      <c r="G131" s="13">
        <f>floor(LOG('Prestige Patterns'!$B$6^(E130) - (D130*(1-'Prestige Patterns'!$B$6)/'Prestige Patterns'!$B$5),'Prestige Patterns'!$B$6)-E130,1)</f>
        <v>2</v>
      </c>
      <c r="H131" s="12">
        <f t="shared" si="3"/>
        <v>352</v>
      </c>
      <c r="I131" s="11">
        <f>1+H131*'Prestige Patterns'!$B$25</f>
        <v>4.52</v>
      </c>
      <c r="J131" s="12">
        <f>floor((K131/'Prestige Patterns'!$B$22)^'Prestige Patterns'!$B$23,1)-H130</f>
        <v>103</v>
      </c>
      <c r="K131" s="8">
        <f>K130+N130*'Prestige Patterns'!$B$20</f>
        <v>20788787904</v>
      </c>
      <c r="L131" s="8">
        <f>if(J130&gt;='Prestige Patterns'!$B$28,if(J130/(H130+1)&gt;('Prestige Patterns'!$B$27+1),L130+1,L130),L130)</f>
        <v>3</v>
      </c>
      <c r="N131" s="12">
        <f t="shared" si="1"/>
        <v>17403084.8</v>
      </c>
      <c r="O131" s="9">
        <f>'Prestige Patterns'!$B$4*E131</f>
        <v>7520</v>
      </c>
      <c r="P131" s="12">
        <f t="shared" si="4"/>
        <v>512</v>
      </c>
      <c r="Q131" s="11"/>
      <c r="R131" s="11"/>
      <c r="S131" s="9">
        <v>130.0</v>
      </c>
      <c r="T131" s="11"/>
    </row>
    <row r="132" ht="15.75" customHeight="1">
      <c r="A132" s="7"/>
      <c r="B132" s="7"/>
      <c r="C132" s="7">
        <f>(S132*'Prestige Patterns'!$B$20)/60</f>
        <v>65.5</v>
      </c>
      <c r="D132" s="8">
        <f>if(L131=L132,N131*'Prestige Patterns'!$B$20+D131-F132,0)</f>
        <v>809156672.6</v>
      </c>
      <c r="E132" s="9">
        <f t="shared" si="2"/>
        <v>377</v>
      </c>
      <c r="F132" s="10">
        <f>'Prestige Patterns'!$B$5*('Prestige Patterns'!$B$6^E131-'Prestige Patterns'!$B$6^(E131+G132))/(1-'Prestige Patterns'!$B$6)</f>
        <v>370882585.3</v>
      </c>
      <c r="G132" s="13">
        <f>floor(LOG('Prestige Patterns'!$B$6^(E131) - (D131*(1-'Prestige Patterns'!$B$6)/'Prestige Patterns'!$B$5),'Prestige Patterns'!$B$6)-E131,1)</f>
        <v>1</v>
      </c>
      <c r="H132" s="12">
        <f t="shared" si="3"/>
        <v>352</v>
      </c>
      <c r="I132" s="11">
        <f>1+H132*'Prestige Patterns'!$B$25</f>
        <v>4.52</v>
      </c>
      <c r="J132" s="12">
        <f>floor((K132/'Prestige Patterns'!$B$22)^'Prestige Patterns'!$B$23,1)-H131</f>
        <v>109</v>
      </c>
      <c r="K132" s="8">
        <f>K131+N131*'Prestige Patterns'!$B$20</f>
        <v>21310880448</v>
      </c>
      <c r="L132" s="8">
        <f>if(J131&gt;='Prestige Patterns'!$B$28,if(J131/(H131+1)&gt;('Prestige Patterns'!$B$27+1),L131+1,L131),L131)</f>
        <v>3</v>
      </c>
      <c r="N132" s="12">
        <f t="shared" si="1"/>
        <v>17449369.6</v>
      </c>
      <c r="O132" s="9">
        <f>'Prestige Patterns'!$B$4*E132</f>
        <v>7540</v>
      </c>
      <c r="P132" s="12">
        <f t="shared" si="4"/>
        <v>512</v>
      </c>
      <c r="Q132" s="11"/>
      <c r="R132" s="11"/>
      <c r="S132" s="9">
        <v>131.0</v>
      </c>
      <c r="T132" s="11"/>
    </row>
    <row r="133" ht="15.75" customHeight="1">
      <c r="A133" s="7"/>
      <c r="B133" s="7"/>
      <c r="C133" s="7">
        <f>(S133*'Prestige Patterns'!$B$20)/60</f>
        <v>66</v>
      </c>
      <c r="D133" s="8">
        <f>if(L132=L133,N132*'Prestige Patterns'!$B$20+D132-F133,0)</f>
        <v>534312995.7</v>
      </c>
      <c r="E133" s="9">
        <f t="shared" si="2"/>
        <v>379</v>
      </c>
      <c r="F133" s="10">
        <f>'Prestige Patterns'!$B$5*('Prestige Patterns'!$B$6^E132-'Prestige Patterns'!$B$6^(E132+G133))/(1-'Prestige Patterns'!$B$6)</f>
        <v>798324764.9</v>
      </c>
      <c r="G133" s="13">
        <f>floor(LOG('Prestige Patterns'!$B$6^(E132) - (D132*(1-'Prestige Patterns'!$B$6)/'Prestige Patterns'!$B$5),'Prestige Patterns'!$B$6)-E132,1)</f>
        <v>2</v>
      </c>
      <c r="H133" s="12">
        <f t="shared" si="3"/>
        <v>352</v>
      </c>
      <c r="I133" s="11">
        <f>1+H133*'Prestige Patterns'!$B$25</f>
        <v>4.52</v>
      </c>
      <c r="J133" s="12">
        <f>floor((K133/'Prestige Patterns'!$B$22)^'Prestige Patterns'!$B$23,1)-H132</f>
        <v>115</v>
      </c>
      <c r="K133" s="8">
        <f>K132+N132*'Prestige Patterns'!$B$20</f>
        <v>21834361536</v>
      </c>
      <c r="L133" s="8">
        <f>if(J132&gt;='Prestige Patterns'!$B$28,if(J132/(H132+1)&gt;('Prestige Patterns'!$B$27+1),L132+1,L132),L132)</f>
        <v>3</v>
      </c>
      <c r="N133" s="12">
        <f t="shared" si="1"/>
        <v>17541939.2</v>
      </c>
      <c r="O133" s="9">
        <f>'Prestige Patterns'!$B$4*E133</f>
        <v>7580</v>
      </c>
      <c r="P133" s="12">
        <f t="shared" si="4"/>
        <v>512</v>
      </c>
      <c r="Q133" s="11"/>
      <c r="R133" s="11"/>
      <c r="S133" s="9">
        <v>132.0</v>
      </c>
      <c r="T133" s="11"/>
    </row>
    <row r="134" ht="15.75" customHeight="1">
      <c r="A134" s="7"/>
      <c r="B134" s="7"/>
      <c r="C134" s="7">
        <f>(S134*'Prestige Patterns'!$B$20)/60</f>
        <v>66.5</v>
      </c>
      <c r="D134" s="8">
        <f>if(L133=L134,N133*'Prestige Patterns'!$B$20+D133-F134,0)</f>
        <v>631228218.9</v>
      </c>
      <c r="E134" s="9">
        <f t="shared" si="2"/>
        <v>380</v>
      </c>
      <c r="F134" s="10">
        <f>'Prestige Patterns'!$B$5*('Prestige Patterns'!$B$6^E133-'Prestige Patterns'!$B$6^(E133+G134))/(1-'Prestige Patterns'!$B$6)</f>
        <v>429342952.8</v>
      </c>
      <c r="G134" s="13">
        <f>floor(LOG('Prestige Patterns'!$B$6^(E133) - (D133*(1-'Prestige Patterns'!$B$6)/'Prestige Patterns'!$B$5),'Prestige Patterns'!$B$6)-E133,1)</f>
        <v>1</v>
      </c>
      <c r="H134" s="12">
        <f t="shared" si="3"/>
        <v>352</v>
      </c>
      <c r="I134" s="11">
        <f>1+H134*'Prestige Patterns'!$B$25</f>
        <v>4.52</v>
      </c>
      <c r="J134" s="12">
        <f>floor((K134/'Prestige Patterns'!$B$22)^'Prestige Patterns'!$B$23,1)-H133</f>
        <v>120</v>
      </c>
      <c r="K134" s="8">
        <f>K133+N133*'Prestige Patterns'!$B$20</f>
        <v>22360619712</v>
      </c>
      <c r="L134" s="8">
        <f>if(J133&gt;='Prestige Patterns'!$B$28,if(J133/(H133+1)&gt;('Prestige Patterns'!$B$27+1),L133+1,L133),L133)</f>
        <v>3</v>
      </c>
      <c r="N134" s="12">
        <f t="shared" si="1"/>
        <v>17588224</v>
      </c>
      <c r="O134" s="9">
        <f>'Prestige Patterns'!$B$4*E134</f>
        <v>7600</v>
      </c>
      <c r="P134" s="12">
        <f t="shared" si="4"/>
        <v>512</v>
      </c>
      <c r="Q134" s="11"/>
      <c r="R134" s="11"/>
      <c r="S134" s="9">
        <v>133.0</v>
      </c>
      <c r="T134" s="11"/>
    </row>
    <row r="135" ht="15.75" customHeight="1">
      <c r="A135" s="7"/>
      <c r="B135" s="7"/>
      <c r="C135" s="7">
        <f>(S135*'Prestige Patterns'!$B$20)/60</f>
        <v>67</v>
      </c>
      <c r="D135" s="8">
        <f>if(L134=L135,N134*'Prestige Patterns'!$B$20+D134-F135,0)</f>
        <v>708064838.4</v>
      </c>
      <c r="E135" s="9">
        <f t="shared" si="2"/>
        <v>381</v>
      </c>
      <c r="F135" s="10">
        <f>'Prestige Patterns'!$B$5*('Prestige Patterns'!$B$6^E134-'Prestige Patterns'!$B$6^(E134+G135))/(1-'Prestige Patterns'!$B$6)</f>
        <v>450810100.5</v>
      </c>
      <c r="G135" s="13">
        <f>floor(LOG('Prestige Patterns'!$B$6^(E134) - (D134*(1-'Prestige Patterns'!$B$6)/'Prestige Patterns'!$B$5),'Prestige Patterns'!$B$6)-E134,1)</f>
        <v>1</v>
      </c>
      <c r="H135" s="12">
        <f t="shared" si="3"/>
        <v>352</v>
      </c>
      <c r="I135" s="11">
        <f>1+H135*'Prestige Patterns'!$B$25</f>
        <v>4.52</v>
      </c>
      <c r="J135" s="12">
        <f>floor((K135/'Prestige Patterns'!$B$22)^'Prestige Patterns'!$B$23,1)-H134</f>
        <v>126</v>
      </c>
      <c r="K135" s="8">
        <f>K134+N134*'Prestige Patterns'!$B$20</f>
        <v>22888266432</v>
      </c>
      <c r="L135" s="8">
        <f>if(J134&gt;='Prestige Patterns'!$B$28,if(J134/(H134+1)&gt;('Prestige Patterns'!$B$27+1),L134+1,L134),L134)</f>
        <v>3</v>
      </c>
      <c r="N135" s="12">
        <f t="shared" si="1"/>
        <v>17634508.8</v>
      </c>
      <c r="O135" s="9">
        <f>'Prestige Patterns'!$B$4*E135</f>
        <v>7620</v>
      </c>
      <c r="P135" s="12">
        <f t="shared" si="4"/>
        <v>512</v>
      </c>
      <c r="Q135" s="11"/>
      <c r="R135" s="11"/>
      <c r="S135" s="9">
        <v>134.0</v>
      </c>
      <c r="T135" s="11"/>
    </row>
    <row r="136" ht="15.75" customHeight="1">
      <c r="A136" s="7"/>
      <c r="B136" s="7"/>
      <c r="C136" s="7">
        <f>(S136*'Prestige Patterns'!$B$20)/60</f>
        <v>67.5</v>
      </c>
      <c r="D136" s="8">
        <f>if(L135=L136,N135*'Prestige Patterns'!$B$20+D135-F136,0)</f>
        <v>763749496.9</v>
      </c>
      <c r="E136" s="9">
        <f t="shared" si="2"/>
        <v>382</v>
      </c>
      <c r="F136" s="10">
        <f>'Prestige Patterns'!$B$5*('Prestige Patterns'!$B$6^E135-'Prestige Patterns'!$B$6^(E135+G136))/(1-'Prestige Patterns'!$B$6)</f>
        <v>473350605.5</v>
      </c>
      <c r="G136" s="13">
        <f>floor(LOG('Prestige Patterns'!$B$6^(E135) - (D135*(1-'Prestige Patterns'!$B$6)/'Prestige Patterns'!$B$5),'Prestige Patterns'!$B$6)-E135,1)</f>
        <v>1</v>
      </c>
      <c r="H136" s="12">
        <f t="shared" si="3"/>
        <v>352</v>
      </c>
      <c r="I136" s="11">
        <f>1+H136*'Prestige Patterns'!$B$25</f>
        <v>4.52</v>
      </c>
      <c r="J136" s="12">
        <f>floor((K136/'Prestige Patterns'!$B$22)^'Prestige Patterns'!$B$23,1)-H135</f>
        <v>131</v>
      </c>
      <c r="K136" s="8">
        <f>K135+N135*'Prestige Patterns'!$B$20</f>
        <v>23417301696</v>
      </c>
      <c r="L136" s="8">
        <f>if(J135&gt;='Prestige Patterns'!$B$28,if(J135/(H135+1)&gt;('Prestige Patterns'!$B$27+1),L135+1,L135),L135)</f>
        <v>3</v>
      </c>
      <c r="N136" s="12">
        <f t="shared" si="1"/>
        <v>17680793.6</v>
      </c>
      <c r="O136" s="9">
        <f>'Prestige Patterns'!$B$4*E136</f>
        <v>7640</v>
      </c>
      <c r="P136" s="12">
        <f t="shared" si="4"/>
        <v>512</v>
      </c>
      <c r="Q136" s="11"/>
      <c r="R136" s="11"/>
      <c r="S136" s="9">
        <v>135.0</v>
      </c>
      <c r="T136" s="11"/>
    </row>
    <row r="137" ht="15.75" customHeight="1">
      <c r="A137" s="7"/>
      <c r="B137" s="7"/>
      <c r="C137" s="7">
        <f>(S137*'Prestige Patterns'!$B$20)/60</f>
        <v>68</v>
      </c>
      <c r="D137" s="8">
        <f>if(L136=L137,N136*'Prestige Patterns'!$B$20+D136-F137,0)</f>
        <v>797155169.2</v>
      </c>
      <c r="E137" s="9">
        <f t="shared" si="2"/>
        <v>383</v>
      </c>
      <c r="F137" s="10">
        <f>'Prestige Patterns'!$B$5*('Prestige Patterns'!$B$6^E136-'Prestige Patterns'!$B$6^(E136+G137))/(1-'Prestige Patterns'!$B$6)</f>
        <v>497018135.8</v>
      </c>
      <c r="G137" s="13">
        <f>floor(LOG('Prestige Patterns'!$B$6^(E136) - (D136*(1-'Prestige Patterns'!$B$6)/'Prestige Patterns'!$B$5),'Prestige Patterns'!$B$6)-E136,1)</f>
        <v>1</v>
      </c>
      <c r="H137" s="12">
        <f t="shared" si="3"/>
        <v>352</v>
      </c>
      <c r="I137" s="11">
        <f>1+H137*'Prestige Patterns'!$B$25</f>
        <v>4.52</v>
      </c>
      <c r="J137" s="12">
        <f>floor((K137/'Prestige Patterns'!$B$22)^'Prestige Patterns'!$B$23,1)-H136</f>
        <v>137</v>
      </c>
      <c r="K137" s="8">
        <f>K136+N136*'Prestige Patterns'!$B$20</f>
        <v>23947725504</v>
      </c>
      <c r="L137" s="8">
        <f>if(J136&gt;='Prestige Patterns'!$B$28,if(J136/(H136+1)&gt;('Prestige Patterns'!$B$27+1),L136+1,L136),L136)</f>
        <v>3</v>
      </c>
      <c r="N137" s="12">
        <f t="shared" si="1"/>
        <v>17727078.4</v>
      </c>
      <c r="O137" s="9">
        <f>'Prestige Patterns'!$B$4*E137</f>
        <v>7660</v>
      </c>
      <c r="P137" s="12">
        <f t="shared" si="4"/>
        <v>512</v>
      </c>
      <c r="Q137" s="11"/>
      <c r="R137" s="11"/>
      <c r="S137" s="9">
        <v>136.0</v>
      </c>
      <c r="T137" s="11"/>
    </row>
    <row r="138" ht="15.75" customHeight="1">
      <c r="A138" s="7"/>
      <c r="B138" s="7"/>
      <c r="C138" s="7">
        <f>(S138*'Prestige Patterns'!$B$20)/60</f>
        <v>68.5</v>
      </c>
      <c r="D138" s="8">
        <f>if(L137=L138,N137*'Prestige Patterns'!$B$20+D137-F138,0)</f>
        <v>807098478.7</v>
      </c>
      <c r="E138" s="9">
        <f t="shared" si="2"/>
        <v>384</v>
      </c>
      <c r="F138" s="10">
        <f>'Prestige Patterns'!$B$5*('Prestige Patterns'!$B$6^E137-'Prestige Patterns'!$B$6^(E137+G138))/(1-'Prestige Patterns'!$B$6)</f>
        <v>521869042.5</v>
      </c>
      <c r="G138" s="13">
        <f>floor(LOG('Prestige Patterns'!$B$6^(E137) - (D137*(1-'Prestige Patterns'!$B$6)/'Prestige Patterns'!$B$5),'Prestige Patterns'!$B$6)-E137,1)</f>
        <v>1</v>
      </c>
      <c r="H138" s="12">
        <f t="shared" si="3"/>
        <v>352</v>
      </c>
      <c r="I138" s="11">
        <f>1+H138*'Prestige Patterns'!$B$25</f>
        <v>4.52</v>
      </c>
      <c r="J138" s="12">
        <f>floor((K138/'Prestige Patterns'!$B$22)^'Prestige Patterns'!$B$23,1)-H137</f>
        <v>142</v>
      </c>
      <c r="K138" s="8">
        <f>K137+N137*'Prestige Patterns'!$B$20</f>
        <v>24479537856</v>
      </c>
      <c r="L138" s="8">
        <f>if(J137&gt;='Prestige Patterns'!$B$28,if(J137/(H137+1)&gt;('Prestige Patterns'!$B$27+1),L137+1,L137),L137)</f>
        <v>3</v>
      </c>
      <c r="N138" s="12">
        <f t="shared" si="1"/>
        <v>17773363.2</v>
      </c>
      <c r="O138" s="9">
        <f>'Prestige Patterns'!$B$4*E138</f>
        <v>7680</v>
      </c>
      <c r="P138" s="12">
        <f t="shared" si="4"/>
        <v>512</v>
      </c>
      <c r="Q138" s="11"/>
      <c r="R138" s="11"/>
      <c r="S138" s="9">
        <v>137.0</v>
      </c>
      <c r="T138" s="11"/>
    </row>
    <row r="139" ht="15.75" customHeight="1">
      <c r="A139" s="7"/>
      <c r="B139" s="7"/>
      <c r="C139" s="7">
        <f>(S139*'Prestige Patterns'!$B$20)/60</f>
        <v>69</v>
      </c>
      <c r="D139" s="8">
        <f>if(L138=L139,N138*'Prestige Patterns'!$B$20+D138-F139,0)</f>
        <v>792336880</v>
      </c>
      <c r="E139" s="9">
        <f t="shared" si="2"/>
        <v>385</v>
      </c>
      <c r="F139" s="10">
        <f>'Prestige Patterns'!$B$5*('Prestige Patterns'!$B$6^E138-'Prestige Patterns'!$B$6^(E138+G139))/(1-'Prestige Patterns'!$B$6)</f>
        <v>547962494.7</v>
      </c>
      <c r="G139" s="13">
        <f>floor(LOG('Prestige Patterns'!$B$6^(E138) - (D138*(1-'Prestige Patterns'!$B$6)/'Prestige Patterns'!$B$5),'Prestige Patterns'!$B$6)-E138,1)</f>
        <v>1</v>
      </c>
      <c r="H139" s="12">
        <f t="shared" si="3"/>
        <v>352</v>
      </c>
      <c r="I139" s="11">
        <f>1+H139*'Prestige Patterns'!$B$25</f>
        <v>4.52</v>
      </c>
      <c r="J139" s="12">
        <f>floor((K139/'Prestige Patterns'!$B$22)^'Prestige Patterns'!$B$23,1)-H138</f>
        <v>148</v>
      </c>
      <c r="K139" s="8">
        <f>K138+N138*'Prestige Patterns'!$B$20</f>
        <v>25012738752</v>
      </c>
      <c r="L139" s="8">
        <f>if(J138&gt;='Prestige Patterns'!$B$28,if(J138/(H138+1)&gt;('Prestige Patterns'!$B$27+1),L138+1,L138),L138)</f>
        <v>3</v>
      </c>
      <c r="N139" s="12">
        <f t="shared" si="1"/>
        <v>17819648</v>
      </c>
      <c r="O139" s="9">
        <f>'Prestige Patterns'!$B$4*E139</f>
        <v>7700</v>
      </c>
      <c r="P139" s="12">
        <f t="shared" si="4"/>
        <v>512</v>
      </c>
      <c r="Q139" s="11"/>
      <c r="R139" s="11"/>
      <c r="S139" s="9">
        <v>138.0</v>
      </c>
      <c r="T139" s="11"/>
    </row>
    <row r="140" ht="15.75" customHeight="1">
      <c r="A140" s="7"/>
      <c r="B140" s="7"/>
      <c r="C140" s="7">
        <f>(S140*'Prestige Patterns'!$B$20)/60</f>
        <v>69.5</v>
      </c>
      <c r="D140" s="8">
        <f>if(L139=L140,N139*'Prestige Patterns'!$B$20+D139-F140,0)</f>
        <v>751565700.6</v>
      </c>
      <c r="E140" s="9">
        <f t="shared" si="2"/>
        <v>386</v>
      </c>
      <c r="F140" s="10">
        <f>'Prestige Patterns'!$B$5*('Prestige Patterns'!$B$6^E139-'Prestige Patterns'!$B$6^(E139+G140))/(1-'Prestige Patterns'!$B$6)</f>
        <v>575360619.4</v>
      </c>
      <c r="G140" s="13">
        <f>floor(LOG('Prestige Patterns'!$B$6^(E139) - (D139*(1-'Prestige Patterns'!$B$6)/'Prestige Patterns'!$B$5),'Prestige Patterns'!$B$6)-E139,1)</f>
        <v>1</v>
      </c>
      <c r="H140" s="12">
        <f t="shared" si="3"/>
        <v>352</v>
      </c>
      <c r="I140" s="11">
        <f>1+H140*'Prestige Patterns'!$B$25</f>
        <v>4.52</v>
      </c>
      <c r="J140" s="12">
        <f>floor((K140/'Prestige Patterns'!$B$22)^'Prestige Patterns'!$B$23,1)-H139</f>
        <v>153</v>
      </c>
      <c r="K140" s="8">
        <f>K139+N139*'Prestige Patterns'!$B$20</f>
        <v>25547328192</v>
      </c>
      <c r="L140" s="8">
        <f>if(J139&gt;='Prestige Patterns'!$B$28,if(J139/(H139+1)&gt;('Prestige Patterns'!$B$27+1),L139+1,L139),L139)</f>
        <v>3</v>
      </c>
      <c r="N140" s="12">
        <f t="shared" si="1"/>
        <v>17865932.8</v>
      </c>
      <c r="O140" s="9">
        <f>'Prestige Patterns'!$B$4*E140</f>
        <v>7720</v>
      </c>
      <c r="P140" s="12">
        <f t="shared" si="4"/>
        <v>512</v>
      </c>
      <c r="Q140" s="11"/>
      <c r="R140" s="11"/>
      <c r="S140" s="9">
        <v>139.0</v>
      </c>
      <c r="T140" s="11"/>
    </row>
    <row r="141" ht="15.75" customHeight="1">
      <c r="A141" s="7"/>
      <c r="B141" s="7"/>
      <c r="C141" s="7">
        <f>(S141*'Prestige Patterns'!$B$20)/60</f>
        <v>70</v>
      </c>
      <c r="D141" s="8">
        <f>if(L140=L141,N140*'Prestige Patterns'!$B$20+D140-F141,0)</f>
        <v>683415034.2</v>
      </c>
      <c r="E141" s="9">
        <f t="shared" si="2"/>
        <v>387</v>
      </c>
      <c r="F141" s="10">
        <f>'Prestige Patterns'!$B$5*('Prestige Patterns'!$B$6^E140-'Prestige Patterns'!$B$6^(E140+G141))/(1-'Prestige Patterns'!$B$6)</f>
        <v>604128650.4</v>
      </c>
      <c r="G141" s="13">
        <f>floor(LOG('Prestige Patterns'!$B$6^(E140) - (D140*(1-'Prestige Patterns'!$B$6)/'Prestige Patterns'!$B$5),'Prestige Patterns'!$B$6)-E140,1)</f>
        <v>1</v>
      </c>
      <c r="H141" s="12">
        <f t="shared" si="3"/>
        <v>352</v>
      </c>
      <c r="I141" s="11">
        <f>1+H141*'Prestige Patterns'!$B$25</f>
        <v>4.52</v>
      </c>
      <c r="J141" s="12">
        <f>floor((K141/'Prestige Patterns'!$B$22)^'Prestige Patterns'!$B$23,1)-H140</f>
        <v>158</v>
      </c>
      <c r="K141" s="8">
        <f>K140+N140*'Prestige Patterns'!$B$20</f>
        <v>26083306176</v>
      </c>
      <c r="L141" s="8">
        <f>if(J140&gt;='Prestige Patterns'!$B$28,if(J140/(H140+1)&gt;('Prestige Patterns'!$B$27+1),L140+1,L140),L140)</f>
        <v>3</v>
      </c>
      <c r="N141" s="12">
        <f t="shared" si="1"/>
        <v>17912217.6</v>
      </c>
      <c r="O141" s="9">
        <f>'Prestige Patterns'!$B$4*E141</f>
        <v>7740</v>
      </c>
      <c r="P141" s="12">
        <f t="shared" si="4"/>
        <v>512</v>
      </c>
      <c r="Q141" s="11"/>
      <c r="R141" s="11"/>
      <c r="S141" s="9">
        <v>140.0</v>
      </c>
      <c r="T141" s="11"/>
    </row>
    <row r="142" ht="15.75" customHeight="1">
      <c r="A142" s="7"/>
      <c r="B142" s="7"/>
      <c r="C142" s="7">
        <f>(S142*'Prestige Patterns'!$B$20)/60</f>
        <v>70.5</v>
      </c>
      <c r="D142" s="8">
        <f>if(L141=L142,N141*'Prestige Patterns'!$B$20+D141-F142,0)</f>
        <v>586446479.3</v>
      </c>
      <c r="E142" s="9">
        <f t="shared" si="2"/>
        <v>388</v>
      </c>
      <c r="F142" s="10">
        <f>'Prestige Patterns'!$B$5*('Prestige Patterns'!$B$6^E141-'Prestige Patterns'!$B$6^(E141+G142))/(1-'Prestige Patterns'!$B$6)</f>
        <v>634335082.9</v>
      </c>
      <c r="G142" s="13">
        <f>floor(LOG('Prestige Patterns'!$B$6^(E141) - (D141*(1-'Prestige Patterns'!$B$6)/'Prestige Patterns'!$B$5),'Prestige Patterns'!$B$6)-E141,1)</f>
        <v>1</v>
      </c>
      <c r="H142" s="12">
        <f t="shared" si="3"/>
        <v>352</v>
      </c>
      <c r="I142" s="11">
        <f>1+H142*'Prestige Patterns'!$B$25</f>
        <v>4.52</v>
      </c>
      <c r="J142" s="12">
        <f>floor((K142/'Prestige Patterns'!$B$22)^'Prestige Patterns'!$B$23,1)-H141</f>
        <v>163</v>
      </c>
      <c r="K142" s="8">
        <f>K141+N141*'Prestige Patterns'!$B$20</f>
        <v>26620672704</v>
      </c>
      <c r="L142" s="8">
        <f>if(J141&gt;='Prestige Patterns'!$B$28,if(J141/(H141+1)&gt;('Prestige Patterns'!$B$27+1),L141+1,L141),L141)</f>
        <v>3</v>
      </c>
      <c r="N142" s="12">
        <f t="shared" si="1"/>
        <v>17958502.4</v>
      </c>
      <c r="O142" s="9">
        <f>'Prestige Patterns'!$B$4*E142</f>
        <v>7760</v>
      </c>
      <c r="P142" s="12">
        <f t="shared" si="4"/>
        <v>512</v>
      </c>
      <c r="Q142" s="11"/>
      <c r="R142" s="11"/>
      <c r="S142" s="9">
        <v>141.0</v>
      </c>
      <c r="T142" s="11"/>
    </row>
    <row r="143" ht="15.75" customHeight="1">
      <c r="A143" s="7"/>
      <c r="B143" s="7"/>
      <c r="C143" s="7">
        <f>(S143*'Prestige Patterns'!$B$20)/60</f>
        <v>71</v>
      </c>
      <c r="D143" s="8">
        <f>if(L142=L143,N142*'Prestige Patterns'!$B$20+D142-F143,0)</f>
        <v>1125201551</v>
      </c>
      <c r="E143" s="9">
        <f t="shared" si="2"/>
        <v>388</v>
      </c>
      <c r="F143" s="10">
        <f>'Prestige Patterns'!$B$5*('Prestige Patterns'!$B$6^E142-'Prestige Patterns'!$B$6^(E142+G143))/(1-'Prestige Patterns'!$B$6)</f>
        <v>0</v>
      </c>
      <c r="G143" s="13">
        <f>floor(LOG('Prestige Patterns'!$B$6^(E142) - (D142*(1-'Prestige Patterns'!$B$6)/'Prestige Patterns'!$B$5),'Prestige Patterns'!$B$6)-E142,1)</f>
        <v>0</v>
      </c>
      <c r="H143" s="12">
        <f t="shared" si="3"/>
        <v>352</v>
      </c>
      <c r="I143" s="11">
        <f>1+H143*'Prestige Patterns'!$B$25</f>
        <v>4.52</v>
      </c>
      <c r="J143" s="12">
        <f>floor((K143/'Prestige Patterns'!$B$22)^'Prestige Patterns'!$B$23,1)-H142</f>
        <v>169</v>
      </c>
      <c r="K143" s="8">
        <f>K142+N142*'Prestige Patterns'!$B$20</f>
        <v>27159427776</v>
      </c>
      <c r="L143" s="8">
        <f>if(J142&gt;='Prestige Patterns'!$B$28,if(J142/(H142+1)&gt;('Prestige Patterns'!$B$27+1),L142+1,L142),L142)</f>
        <v>3</v>
      </c>
      <c r="N143" s="12">
        <f t="shared" si="1"/>
        <v>17958502.4</v>
      </c>
      <c r="O143" s="9">
        <f>'Prestige Patterns'!$B$4*E143</f>
        <v>7760</v>
      </c>
      <c r="P143" s="12">
        <f t="shared" si="4"/>
        <v>512</v>
      </c>
      <c r="Q143" s="11"/>
      <c r="R143" s="11"/>
      <c r="S143" s="9">
        <v>142.0</v>
      </c>
      <c r="T143" s="11"/>
    </row>
    <row r="144" ht="15.75" customHeight="1">
      <c r="A144" s="7"/>
      <c r="B144" s="7"/>
      <c r="C144" s="7">
        <f>(S144*'Prestige Patterns'!$B$20)/60</f>
        <v>71.5</v>
      </c>
      <c r="D144" s="8">
        <f>if(L143=L144,N143*'Prestige Patterns'!$B$20+D143-F144,0)</f>
        <v>997904786.3</v>
      </c>
      <c r="E144" s="9">
        <f t="shared" si="2"/>
        <v>389</v>
      </c>
      <c r="F144" s="10">
        <f>'Prestige Patterns'!$B$5*('Prestige Patterns'!$B$6^E143-'Prestige Patterns'!$B$6^(E143+G144))/(1-'Prestige Patterns'!$B$6)</f>
        <v>666051837</v>
      </c>
      <c r="G144" s="13">
        <f>floor(LOG('Prestige Patterns'!$B$6^(E143) - (D143*(1-'Prestige Patterns'!$B$6)/'Prestige Patterns'!$B$5),'Prestige Patterns'!$B$6)-E143,1)</f>
        <v>1</v>
      </c>
      <c r="H144" s="12">
        <f t="shared" si="3"/>
        <v>352</v>
      </c>
      <c r="I144" s="11">
        <f>1+H144*'Prestige Patterns'!$B$25</f>
        <v>4.52</v>
      </c>
      <c r="J144" s="12">
        <f>floor((K144/'Prestige Patterns'!$B$22)^'Prestige Patterns'!$B$23,1)-H143</f>
        <v>174</v>
      </c>
      <c r="K144" s="8">
        <f>K143+N143*'Prestige Patterns'!$B$20</f>
        <v>27698182848</v>
      </c>
      <c r="L144" s="8">
        <f>if(J143&gt;='Prestige Patterns'!$B$28,if(J143/(H143+1)&gt;('Prestige Patterns'!$B$27+1),L143+1,L143),L143)</f>
        <v>3</v>
      </c>
      <c r="N144" s="12">
        <f t="shared" si="1"/>
        <v>18004787.2</v>
      </c>
      <c r="O144" s="9">
        <f>'Prestige Patterns'!$B$4*E144</f>
        <v>7780</v>
      </c>
      <c r="P144" s="12">
        <f t="shared" si="4"/>
        <v>512</v>
      </c>
      <c r="Q144" s="11"/>
      <c r="R144" s="11"/>
      <c r="S144" s="9">
        <v>143.0</v>
      </c>
      <c r="T144" s="11"/>
    </row>
    <row r="145" ht="15.75" customHeight="1">
      <c r="A145" s="7"/>
      <c r="B145" s="7"/>
      <c r="C145" s="7">
        <f>(S145*'Prestige Patterns'!$B$20)/60</f>
        <v>72</v>
      </c>
      <c r="D145" s="8">
        <f>if(L144=L145,N144*'Prestige Patterns'!$B$20+D144-F145,0)</f>
        <v>838693973.4</v>
      </c>
      <c r="E145" s="9">
        <f t="shared" si="2"/>
        <v>390</v>
      </c>
      <c r="F145" s="10">
        <f>'Prestige Patterns'!$B$5*('Prestige Patterns'!$B$6^E144-'Prestige Patterns'!$B$6^(E144+G145))/(1-'Prestige Patterns'!$B$6)</f>
        <v>699354428.9</v>
      </c>
      <c r="G145" s="13">
        <f>floor(LOG('Prestige Patterns'!$B$6^(E144) - (D144*(1-'Prestige Patterns'!$B$6)/'Prestige Patterns'!$B$5),'Prestige Patterns'!$B$6)-E144,1)</f>
        <v>1</v>
      </c>
      <c r="H145" s="12">
        <f t="shared" si="3"/>
        <v>352</v>
      </c>
      <c r="I145" s="11">
        <f>1+H145*'Prestige Patterns'!$B$25</f>
        <v>4.52</v>
      </c>
      <c r="J145" s="12">
        <f>floor((K145/'Prestige Patterns'!$B$22)^'Prestige Patterns'!$B$23,1)-H144</f>
        <v>179</v>
      </c>
      <c r="K145" s="8">
        <f>K144+N144*'Prestige Patterns'!$B$20</f>
        <v>28238326464</v>
      </c>
      <c r="L145" s="8">
        <f>if(J144&gt;='Prestige Patterns'!$B$28,if(J144/(H144+1)&gt;('Prestige Patterns'!$B$27+1),L144+1,L144),L144)</f>
        <v>3</v>
      </c>
      <c r="N145" s="12">
        <f t="shared" si="1"/>
        <v>18051072</v>
      </c>
      <c r="O145" s="9">
        <f>'Prestige Patterns'!$B$4*E145</f>
        <v>7800</v>
      </c>
      <c r="P145" s="12">
        <f t="shared" si="4"/>
        <v>512</v>
      </c>
      <c r="Q145" s="11"/>
      <c r="R145" s="11"/>
      <c r="S145" s="9">
        <v>144.0</v>
      </c>
      <c r="T145" s="11"/>
    </row>
    <row r="146" ht="15.75" customHeight="1">
      <c r="A146" s="7"/>
      <c r="B146" s="7"/>
      <c r="C146" s="7">
        <f>(S146*'Prestige Patterns'!$B$20)/60</f>
        <v>72.5</v>
      </c>
      <c r="D146" s="8">
        <f>if(L145=L146,N145*'Prestige Patterns'!$B$20+D145-F146,0)</f>
        <v>645903983.1</v>
      </c>
      <c r="E146" s="9">
        <f t="shared" si="2"/>
        <v>391</v>
      </c>
      <c r="F146" s="10">
        <f>'Prestige Patterns'!$B$5*('Prestige Patterns'!$B$6^E145-'Prestige Patterns'!$B$6^(E145+G146))/(1-'Prestige Patterns'!$B$6)</f>
        <v>734322150.3</v>
      </c>
      <c r="G146" s="13">
        <f>floor(LOG('Prestige Patterns'!$B$6^(E145) - (D145*(1-'Prestige Patterns'!$B$6)/'Prestige Patterns'!$B$5),'Prestige Patterns'!$B$6)-E145,1)</f>
        <v>1</v>
      </c>
      <c r="H146" s="12">
        <f t="shared" si="3"/>
        <v>352</v>
      </c>
      <c r="I146" s="11">
        <f>1+H146*'Prestige Patterns'!$B$25</f>
        <v>4.52</v>
      </c>
      <c r="J146" s="12">
        <f>floor((K146/'Prestige Patterns'!$B$22)^'Prestige Patterns'!$B$23,1)-H145</f>
        <v>184</v>
      </c>
      <c r="K146" s="8">
        <f>K145+N145*'Prestige Patterns'!$B$20</f>
        <v>28779858624</v>
      </c>
      <c r="L146" s="8">
        <f>if(J145&gt;='Prestige Patterns'!$B$28,if(J145/(H145+1)&gt;('Prestige Patterns'!$B$27+1),L145+1,L145),L145)</f>
        <v>3</v>
      </c>
      <c r="N146" s="12">
        <f t="shared" si="1"/>
        <v>18097356.8</v>
      </c>
      <c r="O146" s="9">
        <f>'Prestige Patterns'!$B$4*E146</f>
        <v>7820</v>
      </c>
      <c r="P146" s="12">
        <f t="shared" si="4"/>
        <v>512</v>
      </c>
      <c r="Q146" s="11"/>
      <c r="R146" s="11"/>
      <c r="S146" s="9">
        <v>145.0</v>
      </c>
      <c r="T146" s="11"/>
    </row>
    <row r="147" ht="15.75" customHeight="1">
      <c r="A147" s="7"/>
      <c r="B147" s="7"/>
      <c r="C147" s="7">
        <f>(S147*'Prestige Patterns'!$B$20)/60</f>
        <v>73</v>
      </c>
      <c r="D147" s="8">
        <f>if(L146=L147,N146*'Prestige Patterns'!$B$20+D146-F147,0)</f>
        <v>1188824687</v>
      </c>
      <c r="E147" s="9">
        <f t="shared" si="2"/>
        <v>391</v>
      </c>
      <c r="F147" s="10">
        <f>'Prestige Patterns'!$B$5*('Prestige Patterns'!$B$6^E146-'Prestige Patterns'!$B$6^(E146+G147))/(1-'Prestige Patterns'!$B$6)</f>
        <v>0</v>
      </c>
      <c r="G147" s="13">
        <f>floor(LOG('Prestige Patterns'!$B$6^(E146) - (D146*(1-'Prestige Patterns'!$B$6)/'Prestige Patterns'!$B$5),'Prestige Patterns'!$B$6)-E146,1)</f>
        <v>0</v>
      </c>
      <c r="H147" s="12">
        <f t="shared" si="3"/>
        <v>352</v>
      </c>
      <c r="I147" s="11">
        <f>1+H147*'Prestige Patterns'!$B$25</f>
        <v>4.52</v>
      </c>
      <c r="J147" s="12">
        <f>floor((K147/'Prestige Patterns'!$B$22)^'Prestige Patterns'!$B$23,1)-H146</f>
        <v>189</v>
      </c>
      <c r="K147" s="8">
        <f>K146+N146*'Prestige Patterns'!$B$20</f>
        <v>29322779328</v>
      </c>
      <c r="L147" s="8">
        <f>if(J146&gt;='Prestige Patterns'!$B$28,if(J146/(H146+1)&gt;('Prestige Patterns'!$B$27+1),L146+1,L146),L146)</f>
        <v>3</v>
      </c>
      <c r="N147" s="12">
        <f t="shared" si="1"/>
        <v>18097356.8</v>
      </c>
      <c r="O147" s="9">
        <f>'Prestige Patterns'!$B$4*E147</f>
        <v>7820</v>
      </c>
      <c r="P147" s="12">
        <f t="shared" si="4"/>
        <v>512</v>
      </c>
      <c r="Q147" s="11"/>
      <c r="R147" s="11"/>
      <c r="S147" s="9">
        <v>146.0</v>
      </c>
      <c r="T147" s="11"/>
    </row>
    <row r="148" ht="15.75" customHeight="1">
      <c r="A148" s="7"/>
      <c r="B148" s="7"/>
      <c r="C148" s="7">
        <f>(S148*'Prestige Patterns'!$B$20)/60</f>
        <v>73.5</v>
      </c>
      <c r="D148" s="8">
        <f>if(L147=L148,N147*'Prestige Patterns'!$B$20+D147-F148,0)</f>
        <v>960707133.2</v>
      </c>
      <c r="E148" s="9">
        <f t="shared" si="2"/>
        <v>392</v>
      </c>
      <c r="F148" s="10">
        <f>'Prestige Patterns'!$B$5*('Prestige Patterns'!$B$6^E147-'Prestige Patterns'!$B$6^(E147+G148))/(1-'Prestige Patterns'!$B$6)</f>
        <v>771038257.8</v>
      </c>
      <c r="G148" s="13">
        <f>floor(LOG('Prestige Patterns'!$B$6^(E147) - (D147*(1-'Prestige Patterns'!$B$6)/'Prestige Patterns'!$B$5),'Prestige Patterns'!$B$6)-E147,1)</f>
        <v>1</v>
      </c>
      <c r="H148" s="12">
        <f t="shared" si="3"/>
        <v>352</v>
      </c>
      <c r="I148" s="11">
        <f>1+H148*'Prestige Patterns'!$B$25</f>
        <v>4.52</v>
      </c>
      <c r="J148" s="12">
        <f>floor((K148/'Prestige Patterns'!$B$22)^'Prestige Patterns'!$B$23,1)-H147</f>
        <v>194</v>
      </c>
      <c r="K148" s="8">
        <f>K147+N147*'Prestige Patterns'!$B$20</f>
        <v>29865700032</v>
      </c>
      <c r="L148" s="8">
        <f>if(J147&gt;='Prestige Patterns'!$B$28,if(J147/(H147+1)&gt;('Prestige Patterns'!$B$27+1),L147+1,L147),L147)</f>
        <v>3</v>
      </c>
      <c r="N148" s="12">
        <f t="shared" si="1"/>
        <v>18143641.6</v>
      </c>
      <c r="O148" s="9">
        <f>'Prestige Patterns'!$B$4*E148</f>
        <v>7840</v>
      </c>
      <c r="P148" s="12">
        <f t="shared" si="4"/>
        <v>512</v>
      </c>
      <c r="Q148" s="11"/>
      <c r="R148" s="11"/>
      <c r="S148" s="9">
        <v>147.0</v>
      </c>
      <c r="T148" s="11"/>
    </row>
    <row r="149" ht="15.75" customHeight="1">
      <c r="A149" s="7"/>
      <c r="B149" s="7"/>
      <c r="C149" s="7">
        <f>(S149*'Prestige Patterns'!$B$20)/60</f>
        <v>74</v>
      </c>
      <c r="D149" s="8">
        <f>if(L148=L149,N148*'Prestige Patterns'!$B$20+D148-F149,0)</f>
        <v>695426210.5</v>
      </c>
      <c r="E149" s="9">
        <f t="shared" si="2"/>
        <v>393</v>
      </c>
      <c r="F149" s="10">
        <f>'Prestige Patterns'!$B$5*('Prestige Patterns'!$B$6^E148-'Prestige Patterns'!$B$6^(E148+G149))/(1-'Prestige Patterns'!$B$6)</f>
        <v>809590170.7</v>
      </c>
      <c r="G149" s="13">
        <f>floor(LOG('Prestige Patterns'!$B$6^(E148) - (D148*(1-'Prestige Patterns'!$B$6)/'Prestige Patterns'!$B$5),'Prestige Patterns'!$B$6)-E148,1)</f>
        <v>1</v>
      </c>
      <c r="H149" s="12">
        <f t="shared" si="3"/>
        <v>352</v>
      </c>
      <c r="I149" s="11">
        <f>1+H149*'Prestige Patterns'!$B$25</f>
        <v>4.52</v>
      </c>
      <c r="J149" s="12">
        <f>floor((K149/'Prestige Patterns'!$B$22)^'Prestige Patterns'!$B$23,1)-H148</f>
        <v>199</v>
      </c>
      <c r="K149" s="8">
        <f>K148+N148*'Prestige Patterns'!$B$20</f>
        <v>30410009280</v>
      </c>
      <c r="L149" s="8">
        <f>if(J148&gt;='Prestige Patterns'!$B$28,if(J148/(H148+1)&gt;('Prestige Patterns'!$B$27+1),L148+1,L148),L148)</f>
        <v>3</v>
      </c>
      <c r="N149" s="12">
        <f t="shared" si="1"/>
        <v>18189926.4</v>
      </c>
      <c r="O149" s="9">
        <f>'Prestige Patterns'!$B$4*E149</f>
        <v>7860</v>
      </c>
      <c r="P149" s="12">
        <f t="shared" si="4"/>
        <v>512</v>
      </c>
      <c r="Q149" s="11"/>
      <c r="R149" s="11"/>
      <c r="S149" s="9">
        <v>148.0</v>
      </c>
      <c r="T149" s="11"/>
    </row>
    <row r="150" ht="15.75" customHeight="1">
      <c r="A150" s="7"/>
      <c r="B150" s="7"/>
      <c r="C150" s="7">
        <f>(S150*'Prestige Patterns'!$B$20)/60</f>
        <v>74.5</v>
      </c>
      <c r="D150" s="8">
        <f>if(L149=L150,N149*'Prestige Patterns'!$B$20+D149-F150,0)</f>
        <v>1241124002</v>
      </c>
      <c r="E150" s="9">
        <f t="shared" si="2"/>
        <v>393</v>
      </c>
      <c r="F150" s="10">
        <f>'Prestige Patterns'!$B$5*('Prestige Patterns'!$B$6^E149-'Prestige Patterns'!$B$6^(E149+G150))/(1-'Prestige Patterns'!$B$6)</f>
        <v>0</v>
      </c>
      <c r="G150" s="13">
        <f>floor(LOG('Prestige Patterns'!$B$6^(E149) - (D149*(1-'Prestige Patterns'!$B$6)/'Prestige Patterns'!$B$5),'Prestige Patterns'!$B$6)-E149,1)</f>
        <v>0</v>
      </c>
      <c r="H150" s="12">
        <f t="shared" si="3"/>
        <v>352</v>
      </c>
      <c r="I150" s="11">
        <f>1+H150*'Prestige Patterns'!$B$25</f>
        <v>4.52</v>
      </c>
      <c r="J150" s="12">
        <f>floor((K150/'Prestige Patterns'!$B$22)^'Prestige Patterns'!$B$23,1)-H149</f>
        <v>204</v>
      </c>
      <c r="K150" s="8">
        <f>K149+N149*'Prestige Patterns'!$B$20</f>
        <v>30955707072</v>
      </c>
      <c r="L150" s="8">
        <f>if(J149&gt;='Prestige Patterns'!$B$28,if(J149/(H149+1)&gt;('Prestige Patterns'!$B$27+1),L149+1,L149),L149)</f>
        <v>3</v>
      </c>
      <c r="N150" s="12">
        <f t="shared" si="1"/>
        <v>18189926.4</v>
      </c>
      <c r="O150" s="9">
        <f>'Prestige Patterns'!$B$4*E150</f>
        <v>7860</v>
      </c>
      <c r="P150" s="12">
        <f t="shared" si="4"/>
        <v>512</v>
      </c>
      <c r="Q150" s="11"/>
      <c r="R150" s="11"/>
      <c r="S150" s="9">
        <v>149.0</v>
      </c>
      <c r="T150" s="11"/>
    </row>
    <row r="151" ht="15.75" customHeight="1">
      <c r="A151" s="7"/>
      <c r="B151" s="7"/>
      <c r="C151" s="7">
        <f>(S151*'Prestige Patterns'!$B$20)/60</f>
        <v>75</v>
      </c>
      <c r="D151" s="8">
        <f>if(L150=L151,N150*'Prestige Patterns'!$B$20+D150-F151,0)</f>
        <v>936752115.2</v>
      </c>
      <c r="E151" s="9">
        <f t="shared" si="2"/>
        <v>394</v>
      </c>
      <c r="F151" s="10">
        <f>'Prestige Patterns'!$B$5*('Prestige Patterns'!$B$6^E150-'Prestige Patterns'!$B$6^(E150+G151))/(1-'Prestige Patterns'!$B$6)</f>
        <v>850069679.3</v>
      </c>
      <c r="G151" s="13">
        <f>floor(LOG('Prestige Patterns'!$B$6^(E150) - (D150*(1-'Prestige Patterns'!$B$6)/'Prestige Patterns'!$B$5),'Prestige Patterns'!$B$6)-E150,1)</f>
        <v>1</v>
      </c>
      <c r="H151" s="12">
        <f t="shared" si="3"/>
        <v>352</v>
      </c>
      <c r="I151" s="11">
        <f>1+H151*'Prestige Patterns'!$B$25</f>
        <v>4.52</v>
      </c>
      <c r="J151" s="12">
        <f>floor((K151/'Prestige Patterns'!$B$22)^'Prestige Patterns'!$B$23,1)-H150</f>
        <v>209</v>
      </c>
      <c r="K151" s="8">
        <f>K150+N150*'Prestige Patterns'!$B$20</f>
        <v>31501404864</v>
      </c>
      <c r="L151" s="8">
        <f>if(J150&gt;='Prestige Patterns'!$B$28,if(J150/(H150+1)&gt;('Prestige Patterns'!$B$27+1),L150+1,L150),L150)</f>
        <v>3</v>
      </c>
      <c r="N151" s="12">
        <f t="shared" si="1"/>
        <v>18236211.2</v>
      </c>
      <c r="O151" s="9">
        <f>'Prestige Patterns'!$B$4*E151</f>
        <v>7880</v>
      </c>
      <c r="P151" s="12">
        <f t="shared" si="4"/>
        <v>512</v>
      </c>
      <c r="Q151" s="11"/>
      <c r="R151" s="11"/>
      <c r="S151" s="9">
        <v>150.0</v>
      </c>
      <c r="T151" s="11"/>
    </row>
    <row r="152" ht="15.75" customHeight="1">
      <c r="A152" s="7"/>
      <c r="B152" s="7"/>
      <c r="C152" s="7">
        <f>(S152*'Prestige Patterns'!$B$20)/60</f>
        <v>75.5</v>
      </c>
      <c r="D152" s="8">
        <f>if(L151=L152,N151*'Prestige Patterns'!$B$20+D151-F152,0)</f>
        <v>591265288</v>
      </c>
      <c r="E152" s="9">
        <f t="shared" si="2"/>
        <v>395</v>
      </c>
      <c r="F152" s="10">
        <f>'Prestige Patterns'!$B$5*('Prestige Patterns'!$B$6^E151-'Prestige Patterns'!$B$6^(E151+G152))/(1-'Prestige Patterns'!$B$6)</f>
        <v>892573163.2</v>
      </c>
      <c r="G152" s="13">
        <f>floor(LOG('Prestige Patterns'!$B$6^(E151) - (D151*(1-'Prestige Patterns'!$B$6)/'Prestige Patterns'!$B$5),'Prestige Patterns'!$B$6)-E151,1)</f>
        <v>1</v>
      </c>
      <c r="H152" s="12">
        <f t="shared" si="3"/>
        <v>352</v>
      </c>
      <c r="I152" s="11">
        <f>1+H152*'Prestige Patterns'!$B$25</f>
        <v>4.52</v>
      </c>
      <c r="J152" s="12">
        <f>floor((K152/'Prestige Patterns'!$B$22)^'Prestige Patterns'!$B$23,1)-H151</f>
        <v>214</v>
      </c>
      <c r="K152" s="8">
        <f>K151+N151*'Prestige Patterns'!$B$20</f>
        <v>32048491200</v>
      </c>
      <c r="L152" s="8">
        <f>if(J151&gt;='Prestige Patterns'!$B$28,if(J151/(H151+1)&gt;('Prestige Patterns'!$B$27+1),L151+1,L151),L151)</f>
        <v>3</v>
      </c>
      <c r="N152" s="12">
        <f t="shared" si="1"/>
        <v>18282496</v>
      </c>
      <c r="O152" s="9">
        <f>'Prestige Patterns'!$B$4*E152</f>
        <v>7900</v>
      </c>
      <c r="P152" s="12">
        <f t="shared" si="4"/>
        <v>512</v>
      </c>
      <c r="Q152" s="11"/>
      <c r="R152" s="11"/>
      <c r="S152" s="9">
        <v>151.0</v>
      </c>
      <c r="T152" s="11"/>
    </row>
    <row r="153" ht="15.75" customHeight="1">
      <c r="A153" s="7"/>
      <c r="B153" s="7"/>
      <c r="C153" s="7">
        <f>(S153*'Prestige Patterns'!$B$20)/60</f>
        <v>76</v>
      </c>
      <c r="D153" s="8">
        <f>if(L152=L153,N152*'Prestige Patterns'!$B$20+D152-F153,0)</f>
        <v>1139740168</v>
      </c>
      <c r="E153" s="9">
        <f t="shared" si="2"/>
        <v>395</v>
      </c>
      <c r="F153" s="10">
        <f>'Prestige Patterns'!$B$5*('Prestige Patterns'!$B$6^E152-'Prestige Patterns'!$B$6^(E152+G153))/(1-'Prestige Patterns'!$B$6)</f>
        <v>0</v>
      </c>
      <c r="G153" s="13">
        <f>floor(LOG('Prestige Patterns'!$B$6^(E152) - (D152*(1-'Prestige Patterns'!$B$6)/'Prestige Patterns'!$B$5),'Prestige Patterns'!$B$6)-E152,1)</f>
        <v>0</v>
      </c>
      <c r="H153" s="12">
        <f t="shared" si="3"/>
        <v>352</v>
      </c>
      <c r="I153" s="11">
        <f>1+H153*'Prestige Patterns'!$B$25</f>
        <v>4.52</v>
      </c>
      <c r="J153" s="12">
        <f>floor((K153/'Prestige Patterns'!$B$22)^'Prestige Patterns'!$B$23,1)-H152</f>
        <v>218</v>
      </c>
      <c r="K153" s="8">
        <f>K152+N152*'Prestige Patterns'!$B$20</f>
        <v>32596966080</v>
      </c>
      <c r="L153" s="8">
        <f>if(J152&gt;='Prestige Patterns'!$B$28,if(J152/(H152+1)&gt;('Prestige Patterns'!$B$27+1),L152+1,L152),L152)</f>
        <v>3</v>
      </c>
      <c r="N153" s="12">
        <f t="shared" si="1"/>
        <v>18282496</v>
      </c>
      <c r="O153" s="9">
        <f>'Prestige Patterns'!$B$4*E153</f>
        <v>7900</v>
      </c>
      <c r="P153" s="12">
        <f t="shared" si="4"/>
        <v>512</v>
      </c>
      <c r="Q153" s="11"/>
      <c r="R153" s="11"/>
      <c r="S153" s="9">
        <v>152.0</v>
      </c>
      <c r="T153" s="11"/>
    </row>
    <row r="154" ht="15.75" customHeight="1">
      <c r="A154" s="7"/>
      <c r="B154" s="7"/>
      <c r="C154" s="7">
        <f>(S154*'Prestige Patterns'!$B$20)/60</f>
        <v>76.5</v>
      </c>
      <c r="D154" s="8">
        <f>if(L153=L154,N153*'Prestige Patterns'!$B$20+D153-F154,0)</f>
        <v>751013226.6</v>
      </c>
      <c r="E154" s="9">
        <f t="shared" si="2"/>
        <v>396</v>
      </c>
      <c r="F154" s="10">
        <f>'Prestige Patterns'!$B$5*('Prestige Patterns'!$B$6^E153-'Prestige Patterns'!$B$6^(E153+G154))/(1-'Prestige Patterns'!$B$6)</f>
        <v>937201821.4</v>
      </c>
      <c r="G154" s="13">
        <f>floor(LOG('Prestige Patterns'!$B$6^(E153) - (D153*(1-'Prestige Patterns'!$B$6)/'Prestige Patterns'!$B$5),'Prestige Patterns'!$B$6)-E153,1)</f>
        <v>1</v>
      </c>
      <c r="H154" s="12">
        <f t="shared" si="3"/>
        <v>352</v>
      </c>
      <c r="I154" s="11">
        <f>1+H154*'Prestige Patterns'!$B$25</f>
        <v>4.52</v>
      </c>
      <c r="J154" s="12">
        <f>floor((K154/'Prestige Patterns'!$B$22)^'Prestige Patterns'!$B$23,1)-H153</f>
        <v>223</v>
      </c>
      <c r="K154" s="8">
        <f>K153+N153*'Prestige Patterns'!$B$20</f>
        <v>33145440960</v>
      </c>
      <c r="L154" s="8">
        <f>if(J153&gt;='Prestige Patterns'!$B$28,if(J153/(H153+1)&gt;('Prestige Patterns'!$B$27+1),L153+1,L153),L153)</f>
        <v>3</v>
      </c>
      <c r="N154" s="12">
        <f t="shared" si="1"/>
        <v>18328780.8</v>
      </c>
      <c r="O154" s="9">
        <f>'Prestige Patterns'!$B$4*E154</f>
        <v>7920</v>
      </c>
      <c r="P154" s="12">
        <f t="shared" si="4"/>
        <v>512</v>
      </c>
      <c r="Q154" s="11"/>
      <c r="R154" s="11"/>
      <c r="S154" s="9">
        <v>153.0</v>
      </c>
      <c r="T154" s="11"/>
    </row>
    <row r="155" ht="15.75" customHeight="1">
      <c r="A155" s="7"/>
      <c r="B155" s="7"/>
      <c r="C155" s="7">
        <f>(S155*'Prestige Patterns'!$B$20)/60</f>
        <v>77</v>
      </c>
      <c r="D155" s="8">
        <f>if(L154=L155,N154*'Prestige Patterns'!$B$20+D154-F155,0)</f>
        <v>1300876651</v>
      </c>
      <c r="E155" s="9">
        <f t="shared" si="2"/>
        <v>396</v>
      </c>
      <c r="F155" s="10">
        <f>'Prestige Patterns'!$B$5*('Prestige Patterns'!$B$6^E154-'Prestige Patterns'!$B$6^(E154+G155))/(1-'Prestige Patterns'!$B$6)</f>
        <v>0</v>
      </c>
      <c r="G155" s="13">
        <f>floor(LOG('Prestige Patterns'!$B$6^(E154) - (D154*(1-'Prestige Patterns'!$B$6)/'Prestige Patterns'!$B$5),'Prestige Patterns'!$B$6)-E154,1)</f>
        <v>0</v>
      </c>
      <c r="H155" s="12">
        <f t="shared" si="3"/>
        <v>352</v>
      </c>
      <c r="I155" s="11">
        <f>1+H155*'Prestige Patterns'!$B$25</f>
        <v>4.52</v>
      </c>
      <c r="J155" s="12">
        <f>floor((K155/'Prestige Patterns'!$B$22)^'Prestige Patterns'!$B$23,1)-H154</f>
        <v>228</v>
      </c>
      <c r="K155" s="8">
        <f>K154+N154*'Prestige Patterns'!$B$20</f>
        <v>33695304384</v>
      </c>
      <c r="L155" s="8">
        <f>if(J154&gt;='Prestige Patterns'!$B$28,if(J154/(H154+1)&gt;('Prestige Patterns'!$B$27+1),L154+1,L154),L154)</f>
        <v>3</v>
      </c>
      <c r="N155" s="12">
        <f t="shared" si="1"/>
        <v>18328780.8</v>
      </c>
      <c r="O155" s="9">
        <f>'Prestige Patterns'!$B$4*E155</f>
        <v>7920</v>
      </c>
      <c r="P155" s="12">
        <f t="shared" si="4"/>
        <v>512</v>
      </c>
      <c r="Q155" s="11"/>
      <c r="R155" s="11"/>
      <c r="S155" s="9">
        <v>154.0</v>
      </c>
      <c r="T155" s="11"/>
    </row>
    <row r="156" ht="15.75" customHeight="1">
      <c r="A156" s="7"/>
      <c r="B156" s="7"/>
      <c r="C156" s="7">
        <f>(S156*'Prestige Patterns'!$B$20)/60</f>
        <v>77.5</v>
      </c>
      <c r="D156" s="8">
        <f>if(L155=L156,N155*'Prestige Patterns'!$B$20+D155-F156,0)</f>
        <v>866678162.1</v>
      </c>
      <c r="E156" s="9">
        <f t="shared" si="2"/>
        <v>397</v>
      </c>
      <c r="F156" s="10">
        <f>'Prestige Patterns'!$B$5*('Prestige Patterns'!$B$6^E155-'Prestige Patterns'!$B$6^(E155+G156))/(1-'Prestige Patterns'!$B$6)</f>
        <v>984061912.5</v>
      </c>
      <c r="G156" s="13">
        <f>floor(LOG('Prestige Patterns'!$B$6^(E155) - (D155*(1-'Prestige Patterns'!$B$6)/'Prestige Patterns'!$B$5),'Prestige Patterns'!$B$6)-E155,1)</f>
        <v>1</v>
      </c>
      <c r="H156" s="12">
        <f t="shared" si="3"/>
        <v>352</v>
      </c>
      <c r="I156" s="11">
        <f>1+H156*'Prestige Patterns'!$B$25</f>
        <v>4.52</v>
      </c>
      <c r="J156" s="12">
        <f>floor((K156/'Prestige Patterns'!$B$22)^'Prestige Patterns'!$B$23,1)-H155</f>
        <v>233</v>
      </c>
      <c r="K156" s="8">
        <f>K155+N155*'Prestige Patterns'!$B$20</f>
        <v>34245167808</v>
      </c>
      <c r="L156" s="8">
        <f>if(J155&gt;='Prestige Patterns'!$B$28,if(J155/(H155+1)&gt;('Prestige Patterns'!$B$27+1),L155+1,L155),L155)</f>
        <v>3</v>
      </c>
      <c r="N156" s="12">
        <f t="shared" si="1"/>
        <v>18375065.6</v>
      </c>
      <c r="O156" s="9">
        <f>'Prestige Patterns'!$B$4*E156</f>
        <v>7940</v>
      </c>
      <c r="P156" s="12">
        <f t="shared" si="4"/>
        <v>512</v>
      </c>
      <c r="Q156" s="11"/>
      <c r="R156" s="11"/>
      <c r="S156" s="9">
        <v>155.0</v>
      </c>
      <c r="T156" s="11"/>
    </row>
    <row r="157" ht="15.75" customHeight="1">
      <c r="A157" s="7"/>
      <c r="B157" s="7"/>
      <c r="C157" s="7">
        <f>(S157*'Prestige Patterns'!$B$20)/60</f>
        <v>78</v>
      </c>
      <c r="D157" s="8">
        <f>if(L156=L157,N156*'Prestige Patterns'!$B$20+D156-F157,0)</f>
        <v>1417930130</v>
      </c>
      <c r="E157" s="9">
        <f t="shared" si="2"/>
        <v>397</v>
      </c>
      <c r="F157" s="10">
        <f>'Prestige Patterns'!$B$5*('Prestige Patterns'!$B$6^E156-'Prestige Patterns'!$B$6^(E156+G157))/(1-'Prestige Patterns'!$B$6)</f>
        <v>0</v>
      </c>
      <c r="G157" s="13">
        <f>floor(LOG('Prestige Patterns'!$B$6^(E156) - (D156*(1-'Prestige Patterns'!$B$6)/'Prestige Patterns'!$B$5),'Prestige Patterns'!$B$6)-E156,1)</f>
        <v>0</v>
      </c>
      <c r="H157" s="12">
        <f t="shared" si="3"/>
        <v>352</v>
      </c>
      <c r="I157" s="11">
        <f>1+H157*'Prestige Patterns'!$B$25</f>
        <v>4.52</v>
      </c>
      <c r="J157" s="12">
        <f>floor((K157/'Prestige Patterns'!$B$22)^'Prestige Patterns'!$B$23,1)-H156</f>
        <v>237</v>
      </c>
      <c r="K157" s="8">
        <f>K156+N156*'Prestige Patterns'!$B$20</f>
        <v>34796419776</v>
      </c>
      <c r="L157" s="8">
        <f>if(J156&gt;='Prestige Patterns'!$B$28,if(J156/(H156+1)&gt;('Prestige Patterns'!$B$27+1),L156+1,L156),L156)</f>
        <v>3</v>
      </c>
      <c r="N157" s="12">
        <f t="shared" si="1"/>
        <v>18375065.6</v>
      </c>
      <c r="O157" s="9">
        <f>'Prestige Patterns'!$B$4*E157</f>
        <v>7940</v>
      </c>
      <c r="P157" s="12">
        <f t="shared" si="4"/>
        <v>512</v>
      </c>
      <c r="Q157" s="11"/>
      <c r="R157" s="11"/>
      <c r="S157" s="9">
        <v>156.0</v>
      </c>
      <c r="T157" s="11"/>
    </row>
    <row r="158" ht="15.75" customHeight="1">
      <c r="A158" s="7"/>
      <c r="B158" s="7"/>
      <c r="C158" s="7">
        <f>(S158*'Prestige Patterns'!$B$20)/60</f>
        <v>78.5</v>
      </c>
      <c r="D158" s="8">
        <f>if(L157=L158,N157*'Prestige Patterns'!$B$20+D157-F158,0)</f>
        <v>935917090</v>
      </c>
      <c r="E158" s="9">
        <f t="shared" si="2"/>
        <v>398</v>
      </c>
      <c r="F158" s="10">
        <f>'Prestige Patterns'!$B$5*('Prestige Patterns'!$B$6^E157-'Prestige Patterns'!$B$6^(E157+G158))/(1-'Prestige Patterns'!$B$6)</f>
        <v>1033265008</v>
      </c>
      <c r="G158" s="13">
        <f>floor(LOG('Prestige Patterns'!$B$6^(E157) - (D157*(1-'Prestige Patterns'!$B$6)/'Prestige Patterns'!$B$5),'Prestige Patterns'!$B$6)-E157,1)</f>
        <v>1</v>
      </c>
      <c r="H158" s="12">
        <f t="shared" si="3"/>
        <v>352</v>
      </c>
      <c r="I158" s="11">
        <f>1+H158*'Prestige Patterns'!$B$25</f>
        <v>4.52</v>
      </c>
      <c r="J158" s="12">
        <f>floor((K158/'Prestige Patterns'!$B$22)^'Prestige Patterns'!$B$23,1)-H157</f>
        <v>242</v>
      </c>
      <c r="K158" s="8">
        <f>K157+N157*'Prestige Patterns'!$B$20</f>
        <v>35347671744</v>
      </c>
      <c r="L158" s="8">
        <f>if(J157&gt;='Prestige Patterns'!$B$28,if(J157/(H157+1)&gt;('Prestige Patterns'!$B$27+1),L157+1,L157),L157)</f>
        <v>3</v>
      </c>
      <c r="N158" s="12">
        <f t="shared" si="1"/>
        <v>18421350.4</v>
      </c>
      <c r="O158" s="9">
        <f>'Prestige Patterns'!$B$4*E158</f>
        <v>7960</v>
      </c>
      <c r="P158" s="12">
        <f t="shared" si="4"/>
        <v>512</v>
      </c>
      <c r="Q158" s="11"/>
      <c r="R158" s="11"/>
      <c r="S158" s="9">
        <v>157.0</v>
      </c>
      <c r="T158" s="11"/>
    </row>
    <row r="159" ht="15.75" customHeight="1">
      <c r="A159" s="7"/>
      <c r="B159" s="7"/>
      <c r="C159" s="7">
        <f>(S159*'Prestige Patterns'!$B$20)/60</f>
        <v>79</v>
      </c>
      <c r="D159" s="8">
        <f>if(L158=L159,N158*'Prestige Patterns'!$B$20+D158-F159,0)</f>
        <v>1488557602</v>
      </c>
      <c r="E159" s="9">
        <f t="shared" si="2"/>
        <v>398</v>
      </c>
      <c r="F159" s="10">
        <f>'Prestige Patterns'!$B$5*('Prestige Patterns'!$B$6^E158-'Prestige Patterns'!$B$6^(E158+G159))/(1-'Prestige Patterns'!$B$6)</f>
        <v>0</v>
      </c>
      <c r="G159" s="13">
        <f>floor(LOG('Prestige Patterns'!$B$6^(E158) - (D158*(1-'Prestige Patterns'!$B$6)/'Prestige Patterns'!$B$5),'Prestige Patterns'!$B$6)-E158,1)</f>
        <v>0</v>
      </c>
      <c r="H159" s="12">
        <f t="shared" si="3"/>
        <v>352</v>
      </c>
      <c r="I159" s="11">
        <f>1+H159*'Prestige Patterns'!$B$25</f>
        <v>4.52</v>
      </c>
      <c r="J159" s="12">
        <f>floor((K159/'Prestige Patterns'!$B$22)^'Prestige Patterns'!$B$23,1)-H158</f>
        <v>247</v>
      </c>
      <c r="K159" s="8">
        <f>K158+N158*'Prestige Patterns'!$B$20</f>
        <v>35900312256</v>
      </c>
      <c r="L159" s="8">
        <f>if(J158&gt;='Prestige Patterns'!$B$28,if(J158/(H158+1)&gt;('Prestige Patterns'!$B$27+1),L158+1,L158),L158)</f>
        <v>3</v>
      </c>
      <c r="N159" s="12">
        <f t="shared" si="1"/>
        <v>18421350.4</v>
      </c>
      <c r="O159" s="9">
        <f>'Prestige Patterns'!$B$4*E159</f>
        <v>7960</v>
      </c>
      <c r="P159" s="12">
        <f t="shared" si="4"/>
        <v>512</v>
      </c>
      <c r="Q159" s="11"/>
      <c r="R159" s="11"/>
      <c r="S159" s="9">
        <v>158.0</v>
      </c>
      <c r="T159" s="11"/>
    </row>
    <row r="160" ht="15.75" customHeight="1">
      <c r="A160" s="7"/>
      <c r="B160" s="7"/>
      <c r="C160" s="7">
        <f>(S160*'Prestige Patterns'!$B$20)/60</f>
        <v>79.5</v>
      </c>
      <c r="D160" s="8">
        <f>if(L159=L160,N159*'Prestige Patterns'!$B$20+D159-F160,0)</f>
        <v>956269855.5</v>
      </c>
      <c r="E160" s="9">
        <f t="shared" si="2"/>
        <v>399</v>
      </c>
      <c r="F160" s="10">
        <f>'Prestige Patterns'!$B$5*('Prestige Patterns'!$B$6^E159-'Prestige Patterns'!$B$6^(E159+G160))/(1-'Prestige Patterns'!$B$6)</f>
        <v>1084928258</v>
      </c>
      <c r="G160" s="13">
        <f>floor(LOG('Prestige Patterns'!$B$6^(E159) - (D159*(1-'Prestige Patterns'!$B$6)/'Prestige Patterns'!$B$5),'Prestige Patterns'!$B$6)-E159,1)</f>
        <v>1</v>
      </c>
      <c r="H160" s="12">
        <f t="shared" si="3"/>
        <v>352</v>
      </c>
      <c r="I160" s="11">
        <f>1+H160*'Prestige Patterns'!$B$25</f>
        <v>4.52</v>
      </c>
      <c r="J160" s="12">
        <f>floor((K160/'Prestige Patterns'!$B$22)^'Prestige Patterns'!$B$23,1)-H159</f>
        <v>251</v>
      </c>
      <c r="K160" s="8">
        <f>K159+N159*'Prestige Patterns'!$B$20</f>
        <v>36452952768</v>
      </c>
      <c r="L160" s="8">
        <f>if(J159&gt;='Prestige Patterns'!$B$28,if(J159/(H159+1)&gt;('Prestige Patterns'!$B$27+1),L159+1,L159),L159)</f>
        <v>3</v>
      </c>
      <c r="N160" s="12">
        <f t="shared" si="1"/>
        <v>18467635.2</v>
      </c>
      <c r="O160" s="9">
        <f>'Prestige Patterns'!$B$4*E160</f>
        <v>7980</v>
      </c>
      <c r="P160" s="12">
        <f t="shared" si="4"/>
        <v>512</v>
      </c>
      <c r="Q160" s="11"/>
      <c r="R160" s="11"/>
      <c r="S160" s="9">
        <v>159.0</v>
      </c>
      <c r="T160" s="11"/>
    </row>
    <row r="161" ht="15.75" customHeight="1">
      <c r="A161" s="7"/>
      <c r="B161" s="7"/>
      <c r="C161" s="7">
        <f>(S161*'Prestige Patterns'!$B$20)/60</f>
        <v>80</v>
      </c>
      <c r="D161" s="8">
        <f>if(L160=L161,N160*'Prestige Patterns'!$B$20+D160-F161,0)</f>
        <v>1510298912</v>
      </c>
      <c r="E161" s="9">
        <f t="shared" si="2"/>
        <v>399</v>
      </c>
      <c r="F161" s="10">
        <f>'Prestige Patterns'!$B$5*('Prestige Patterns'!$B$6^E160-'Prestige Patterns'!$B$6^(E160+G161))/(1-'Prestige Patterns'!$B$6)</f>
        <v>0</v>
      </c>
      <c r="G161" s="13">
        <f>floor(LOG('Prestige Patterns'!$B$6^(E160) - (D160*(1-'Prestige Patterns'!$B$6)/'Prestige Patterns'!$B$5),'Prestige Patterns'!$B$6)-E160,1)</f>
        <v>0</v>
      </c>
      <c r="H161" s="12">
        <f t="shared" si="3"/>
        <v>352</v>
      </c>
      <c r="I161" s="11">
        <f>1+H161*'Prestige Patterns'!$B$25</f>
        <v>4.52</v>
      </c>
      <c r="J161" s="12">
        <f>floor((K161/'Prestige Patterns'!$B$22)^'Prestige Patterns'!$B$23,1)-H160</f>
        <v>256</v>
      </c>
      <c r="K161" s="8">
        <f>K160+N160*'Prestige Patterns'!$B$20</f>
        <v>37006981824</v>
      </c>
      <c r="L161" s="8">
        <f>if(J160&gt;='Prestige Patterns'!$B$28,if(J160/(H160+1)&gt;('Prestige Patterns'!$B$27+1),L160+1,L160),L160)</f>
        <v>3</v>
      </c>
      <c r="N161" s="12">
        <f t="shared" si="1"/>
        <v>18467635.2</v>
      </c>
      <c r="O161" s="9">
        <f>'Prestige Patterns'!$B$4*E161</f>
        <v>7980</v>
      </c>
      <c r="P161" s="12">
        <f t="shared" si="4"/>
        <v>512</v>
      </c>
      <c r="Q161" s="11"/>
      <c r="R161" s="11"/>
      <c r="S161" s="9">
        <v>160.0</v>
      </c>
      <c r="T161" s="11"/>
    </row>
    <row r="162" ht="15.75" customHeight="1">
      <c r="A162" s="7"/>
      <c r="B162" s="7"/>
      <c r="C162" s="7">
        <f>(S162*'Prestige Patterns'!$B$20)/60</f>
        <v>80.5</v>
      </c>
      <c r="D162" s="8">
        <f>if(L161=L162,N161*'Prestige Patterns'!$B$20+D161-F162,0)</f>
        <v>925153296.1</v>
      </c>
      <c r="E162" s="9">
        <f t="shared" si="2"/>
        <v>400</v>
      </c>
      <c r="F162" s="10">
        <f>'Prestige Patterns'!$B$5*('Prestige Patterns'!$B$6^E161-'Prestige Patterns'!$B$6^(E161+G162))/(1-'Prestige Patterns'!$B$6)</f>
        <v>1139174671</v>
      </c>
      <c r="G162" s="13">
        <f>floor(LOG('Prestige Patterns'!$B$6^(E161) - (D161*(1-'Prestige Patterns'!$B$6)/'Prestige Patterns'!$B$5),'Prestige Patterns'!$B$6)-E161,1)</f>
        <v>1</v>
      </c>
      <c r="H162" s="12">
        <f t="shared" si="3"/>
        <v>352</v>
      </c>
      <c r="I162" s="11">
        <f>1+H162*'Prestige Patterns'!$B$25</f>
        <v>4.52</v>
      </c>
      <c r="J162" s="12">
        <f>floor((K162/'Prestige Patterns'!$B$22)^'Prestige Patterns'!$B$23,1)-H161</f>
        <v>260</v>
      </c>
      <c r="K162" s="8">
        <f>K161+N161*'Prestige Patterns'!$B$20</f>
        <v>37561010880</v>
      </c>
      <c r="L162" s="8">
        <f>if(J161&gt;='Prestige Patterns'!$B$28,if(J161/(H161+1)&gt;('Prestige Patterns'!$B$27+1),L161+1,L161),L161)</f>
        <v>3</v>
      </c>
      <c r="N162" s="12">
        <f t="shared" si="1"/>
        <v>148111360</v>
      </c>
      <c r="O162" s="9">
        <f>'Prestige Patterns'!$B$4*E162</f>
        <v>8000</v>
      </c>
      <c r="P162" s="12">
        <f t="shared" si="4"/>
        <v>4096</v>
      </c>
      <c r="Q162" s="11"/>
      <c r="R162" s="11"/>
      <c r="S162" s="9">
        <v>161.0</v>
      </c>
      <c r="T162" s="11"/>
    </row>
    <row r="163" ht="15.75" customHeight="1">
      <c r="A163" s="7"/>
      <c r="B163" s="7"/>
      <c r="C163" s="7">
        <f>(S163*'Prestige Patterns'!$B$20)/60</f>
        <v>81</v>
      </c>
      <c r="D163" s="8">
        <f>if(L162=L163,N162*'Prestige Patterns'!$B$20+D162-F163,0)</f>
        <v>5368494096</v>
      </c>
      <c r="E163" s="9">
        <f t="shared" si="2"/>
        <v>400</v>
      </c>
      <c r="F163" s="10">
        <f>'Prestige Patterns'!$B$5*('Prestige Patterns'!$B$6^E162-'Prestige Patterns'!$B$6^(E162+G163))/(1-'Prestige Patterns'!$B$6)</f>
        <v>0</v>
      </c>
      <c r="G163" s="13">
        <f>floor(LOG('Prestige Patterns'!$B$6^(E162) - (D162*(1-'Prestige Patterns'!$B$6)/'Prestige Patterns'!$B$5),'Prestige Patterns'!$B$6)-E162,1)</f>
        <v>0</v>
      </c>
      <c r="H163" s="12">
        <f t="shared" si="3"/>
        <v>352</v>
      </c>
      <c r="I163" s="11">
        <f>1+H163*'Prestige Patterns'!$B$25</f>
        <v>4.52</v>
      </c>
      <c r="J163" s="12">
        <f>floor((K163/'Prestige Patterns'!$B$22)^'Prestige Patterns'!$B$23,1)-H162</f>
        <v>296</v>
      </c>
      <c r="K163" s="8">
        <f>K162+N162*'Prestige Patterns'!$B$20</f>
        <v>42004351680</v>
      </c>
      <c r="L163" s="8">
        <f>if(J162&gt;='Prestige Patterns'!$B$28,if(J162/(H162+1)&gt;('Prestige Patterns'!$B$27+1),L162+1,L162),L162)</f>
        <v>3</v>
      </c>
      <c r="N163" s="12">
        <f t="shared" si="1"/>
        <v>148111360</v>
      </c>
      <c r="O163" s="9">
        <f>'Prestige Patterns'!$B$4*E163</f>
        <v>8000</v>
      </c>
      <c r="P163" s="12">
        <f t="shared" si="4"/>
        <v>4096</v>
      </c>
      <c r="Q163" s="11"/>
      <c r="R163" s="11"/>
      <c r="S163" s="9">
        <v>162.0</v>
      </c>
      <c r="T163" s="11"/>
    </row>
    <row r="164" ht="15.75" customHeight="1">
      <c r="A164" s="7"/>
      <c r="B164" s="7"/>
      <c r="C164" s="7">
        <f>(S164*'Prestige Patterns'!$B$20)/60</f>
        <v>81.5</v>
      </c>
      <c r="D164" s="8">
        <f>if(L163=L164,N163*'Prestige Patterns'!$B$20+D163-F164,0)</f>
        <v>4656350404</v>
      </c>
      <c r="E164" s="9">
        <f t="shared" si="2"/>
        <v>404</v>
      </c>
      <c r="F164" s="10">
        <f>'Prestige Patterns'!$B$5*('Prestige Patterns'!$B$6^E163-'Prestige Patterns'!$B$6^(E163+G164))/(1-'Prestige Patterns'!$B$6)</f>
        <v>5155484492</v>
      </c>
      <c r="G164" s="13">
        <f>floor(LOG('Prestige Patterns'!$B$6^(E163) - (D163*(1-'Prestige Patterns'!$B$6)/'Prestige Patterns'!$B$5),'Prestige Patterns'!$B$6)-E163,1)</f>
        <v>4</v>
      </c>
      <c r="H164" s="12">
        <f t="shared" si="3"/>
        <v>352</v>
      </c>
      <c r="I164" s="11">
        <f>1+H164*'Prestige Patterns'!$B$25</f>
        <v>4.52</v>
      </c>
      <c r="J164" s="12">
        <f>floor((K164/'Prestige Patterns'!$B$22)^'Prestige Patterns'!$B$23,1)-H163</f>
        <v>329</v>
      </c>
      <c r="K164" s="8">
        <f>K163+N163*'Prestige Patterns'!$B$20</f>
        <v>46447692480</v>
      </c>
      <c r="L164" s="8">
        <f>if(J163&gt;='Prestige Patterns'!$B$28,if(J163/(H163+1)&gt;('Prestige Patterns'!$B$27+1),L163+1,L163),L163)</f>
        <v>3</v>
      </c>
      <c r="N164" s="12">
        <f t="shared" si="1"/>
        <v>149592473.6</v>
      </c>
      <c r="O164" s="9">
        <f>'Prestige Patterns'!$B$4*E164</f>
        <v>8080</v>
      </c>
      <c r="P164" s="12">
        <f t="shared" si="4"/>
        <v>4096</v>
      </c>
      <c r="Q164" s="11"/>
      <c r="R164" s="11"/>
      <c r="S164" s="9">
        <v>163.0</v>
      </c>
      <c r="T164" s="11"/>
    </row>
    <row r="165" ht="15.75" customHeight="1">
      <c r="A165" s="7"/>
      <c r="B165" s="7"/>
      <c r="C165" s="7">
        <f>(S165*'Prestige Patterns'!$B$20)/60</f>
        <v>82</v>
      </c>
      <c r="D165" s="8">
        <f>if(L164=L165,N164*'Prestige Patterns'!$B$20+D164-F165,0)</f>
        <v>4560680810</v>
      </c>
      <c r="E165" s="9">
        <f t="shared" si="2"/>
        <v>407</v>
      </c>
      <c r="F165" s="10">
        <f>'Prestige Patterns'!$B$5*('Prestige Patterns'!$B$6^E164-'Prestige Patterns'!$B$6^(E164+G165))/(1-'Prestige Patterns'!$B$6)</f>
        <v>4583443802</v>
      </c>
      <c r="G165" s="13">
        <f>floor(LOG('Prestige Patterns'!$B$6^(E164) - (D164*(1-'Prestige Patterns'!$B$6)/'Prestige Patterns'!$B$5),'Prestige Patterns'!$B$6)-E164,1)</f>
        <v>3</v>
      </c>
      <c r="H165" s="12">
        <f t="shared" si="3"/>
        <v>352</v>
      </c>
      <c r="I165" s="11">
        <f>1+H165*'Prestige Patterns'!$B$25</f>
        <v>4.52</v>
      </c>
      <c r="J165" s="12">
        <f>floor((K165/'Prestige Patterns'!$B$22)^'Prestige Patterns'!$B$23,1)-H164</f>
        <v>361</v>
      </c>
      <c r="K165" s="8">
        <f>K164+N164*'Prestige Patterns'!$B$20</f>
        <v>50935466688</v>
      </c>
      <c r="L165" s="8">
        <f>if(J164&gt;='Prestige Patterns'!$B$28,if(J164/(H164+1)&gt;('Prestige Patterns'!$B$27+1),L164+1,L164),L164)</f>
        <v>3</v>
      </c>
      <c r="N165" s="12">
        <f t="shared" si="1"/>
        <v>150703308.8</v>
      </c>
      <c r="O165" s="9">
        <f>'Prestige Patterns'!$B$4*E165</f>
        <v>8140</v>
      </c>
      <c r="P165" s="12">
        <f t="shared" si="4"/>
        <v>4096</v>
      </c>
      <c r="Q165" s="11"/>
      <c r="R165" s="11"/>
      <c r="S165" s="9">
        <v>164.0</v>
      </c>
      <c r="T165" s="11"/>
    </row>
    <row r="166" ht="15.75" customHeight="1">
      <c r="A166" s="7"/>
      <c r="B166" s="7"/>
      <c r="C166" s="7">
        <f>(S166*'Prestige Patterns'!$B$20)/60</f>
        <v>82.5</v>
      </c>
      <c r="D166" s="8">
        <f>if(L165=L166,N165*'Prestige Patterns'!$B$20+D165-F166,0)</f>
        <v>5631466443</v>
      </c>
      <c r="E166" s="9">
        <f t="shared" si="2"/>
        <v>409</v>
      </c>
      <c r="F166" s="10">
        <f>'Prestige Patterns'!$B$5*('Prestige Patterns'!$B$6^E165-'Prestige Patterns'!$B$6^(E165+G166))/(1-'Prestige Patterns'!$B$6)</f>
        <v>3450313630</v>
      </c>
      <c r="G166" s="13">
        <f>floor(LOG('Prestige Patterns'!$B$6^(E165) - (D165*(1-'Prestige Patterns'!$B$6)/'Prestige Patterns'!$B$5),'Prestige Patterns'!$B$6)-E165,1)</f>
        <v>2</v>
      </c>
      <c r="H166" s="12">
        <f t="shared" si="3"/>
        <v>352</v>
      </c>
      <c r="I166" s="11">
        <f>1+H166*'Prestige Patterns'!$B$25</f>
        <v>4.52</v>
      </c>
      <c r="J166" s="12">
        <f>floor((K166/'Prestige Patterns'!$B$22)^'Prestige Patterns'!$B$23,1)-H165</f>
        <v>392</v>
      </c>
      <c r="K166" s="8">
        <f>K165+N165*'Prestige Patterns'!$B$20</f>
        <v>55456565952</v>
      </c>
      <c r="L166" s="8">
        <f>if(J165&gt;='Prestige Patterns'!$B$28,if(J165/(H165+1)&gt;('Prestige Patterns'!$B$27+1),L165+1,L165),L165)</f>
        <v>3</v>
      </c>
      <c r="N166" s="12">
        <f t="shared" si="1"/>
        <v>151443865.6</v>
      </c>
      <c r="O166" s="9">
        <f>'Prestige Patterns'!$B$4*E166</f>
        <v>8180</v>
      </c>
      <c r="P166" s="12">
        <f t="shared" si="4"/>
        <v>4096</v>
      </c>
      <c r="Q166" s="11"/>
      <c r="R166" s="11"/>
      <c r="S166" s="9">
        <v>165.0</v>
      </c>
      <c r="T166" s="11"/>
    </row>
    <row r="167" ht="15.75" customHeight="1">
      <c r="A167" s="7"/>
      <c r="B167" s="7"/>
      <c r="C167" s="7">
        <f>(S167*'Prestige Patterns'!$B$20)/60</f>
        <v>83</v>
      </c>
      <c r="D167" s="8">
        <f>if(L166=L167,N166*'Prestige Patterns'!$B$20+D166-F167,0)</f>
        <v>6370811634</v>
      </c>
      <c r="E167" s="9">
        <f t="shared" si="2"/>
        <v>411</v>
      </c>
      <c r="F167" s="10">
        <f>'Prestige Patterns'!$B$5*('Prestige Patterns'!$B$6^E166-'Prestige Patterns'!$B$6^(E166+G167))/(1-'Prestige Patterns'!$B$6)</f>
        <v>3803970778</v>
      </c>
      <c r="G167" s="13">
        <f>floor(LOG('Prestige Patterns'!$B$6^(E166) - (D166*(1-'Prestige Patterns'!$B$6)/'Prestige Patterns'!$B$5),'Prestige Patterns'!$B$6)-E166,1)</f>
        <v>2</v>
      </c>
      <c r="H167" s="12">
        <f t="shared" si="3"/>
        <v>352</v>
      </c>
      <c r="I167" s="11">
        <f>1+H167*'Prestige Patterns'!$B$25</f>
        <v>4.52</v>
      </c>
      <c r="J167" s="12">
        <f>floor((K167/'Prestige Patterns'!$B$22)^'Prestige Patterns'!$B$23,1)-H166</f>
        <v>422</v>
      </c>
      <c r="K167" s="8">
        <f>K166+N166*'Prestige Patterns'!$B$20</f>
        <v>59999881920</v>
      </c>
      <c r="L167" s="8">
        <f>if(J166&gt;='Prestige Patterns'!$B$28,if(J166/(H166+1)&gt;('Prestige Patterns'!$B$27+1),L166+1,L166),L166)</f>
        <v>3</v>
      </c>
      <c r="N167" s="12">
        <f t="shared" si="1"/>
        <v>152184422.4</v>
      </c>
      <c r="O167" s="9">
        <f>'Prestige Patterns'!$B$4*E167</f>
        <v>8220</v>
      </c>
      <c r="P167" s="12">
        <f t="shared" si="4"/>
        <v>4096</v>
      </c>
      <c r="Q167" s="11"/>
      <c r="R167" s="11"/>
      <c r="S167" s="9">
        <v>166.0</v>
      </c>
      <c r="T167" s="11"/>
    </row>
    <row r="168" ht="15.75" customHeight="1">
      <c r="A168" s="7"/>
      <c r="B168" s="7"/>
      <c r="C168" s="7">
        <f>(S168*'Prestige Patterns'!$B$20)/60</f>
        <v>83.5</v>
      </c>
      <c r="D168" s="8">
        <f>if(L167=L168,N167*'Prestige Patterns'!$B$20+D167-F168,0)</f>
        <v>6742466523</v>
      </c>
      <c r="E168" s="9">
        <f t="shared" si="2"/>
        <v>413</v>
      </c>
      <c r="F168" s="10">
        <f>'Prestige Patterns'!$B$5*('Prestige Patterns'!$B$6^E167-'Prestige Patterns'!$B$6^(E167+G168))/(1-'Prestige Patterns'!$B$6)</f>
        <v>4193877782</v>
      </c>
      <c r="G168" s="13">
        <f>floor(LOG('Prestige Patterns'!$B$6^(E167) - (D167*(1-'Prestige Patterns'!$B$6)/'Prestige Patterns'!$B$5),'Prestige Patterns'!$B$6)-E167,1)</f>
        <v>2</v>
      </c>
      <c r="H168" s="12">
        <f t="shared" si="3"/>
        <v>352</v>
      </c>
      <c r="I168" s="11">
        <f>1+H168*'Prestige Patterns'!$B$25</f>
        <v>4.52</v>
      </c>
      <c r="J168" s="12">
        <f>floor((K168/'Prestige Patterns'!$B$22)^'Prestige Patterns'!$B$23,1)-H167</f>
        <v>451</v>
      </c>
      <c r="K168" s="8">
        <f>K167+N167*'Prestige Patterns'!$B$20</f>
        <v>64565414592</v>
      </c>
      <c r="L168" s="8">
        <f>if(J167&gt;='Prestige Patterns'!$B$28,if(J167/(H167+1)&gt;('Prestige Patterns'!$B$27+1),L167+1,L167),L167)</f>
        <v>3</v>
      </c>
      <c r="N168" s="12">
        <f t="shared" si="1"/>
        <v>152924979.2</v>
      </c>
      <c r="O168" s="9">
        <f>'Prestige Patterns'!$B$4*E168</f>
        <v>8260</v>
      </c>
      <c r="P168" s="12">
        <f t="shared" si="4"/>
        <v>4096</v>
      </c>
      <c r="Q168" s="11"/>
      <c r="R168" s="11"/>
      <c r="S168" s="9">
        <v>167.0</v>
      </c>
      <c r="T168" s="11"/>
    </row>
    <row r="169" ht="15.75" customHeight="1">
      <c r="A169" s="7"/>
      <c r="B169" s="7"/>
      <c r="C169" s="7">
        <f>(S169*'Prestige Patterns'!$B$20)/60</f>
        <v>84</v>
      </c>
      <c r="D169" s="8">
        <f>if(L168=L169,N168*'Prestige Patterns'!$B$20+D168-F169,0)</f>
        <v>6706465644</v>
      </c>
      <c r="E169" s="9">
        <f t="shared" si="2"/>
        <v>415</v>
      </c>
      <c r="F169" s="10">
        <f>'Prestige Patterns'!$B$5*('Prestige Patterns'!$B$6^E168-'Prestige Patterns'!$B$6^(E168+G169))/(1-'Prestige Patterns'!$B$6)</f>
        <v>4623750255</v>
      </c>
      <c r="G169" s="13">
        <f>floor(LOG('Prestige Patterns'!$B$6^(E168) - (D168*(1-'Prestige Patterns'!$B$6)/'Prestige Patterns'!$B$5),'Prestige Patterns'!$B$6)-E168,1)</f>
        <v>2</v>
      </c>
      <c r="H169" s="12">
        <f t="shared" si="3"/>
        <v>352</v>
      </c>
      <c r="I169" s="11">
        <f>1+H169*'Prestige Patterns'!$B$25</f>
        <v>4.52</v>
      </c>
      <c r="J169" s="12">
        <f>floor((K169/'Prestige Patterns'!$B$22)^'Prestige Patterns'!$B$23,1)-H168</f>
        <v>479</v>
      </c>
      <c r="K169" s="8">
        <f>K168+N168*'Prestige Patterns'!$B$20</f>
        <v>69153163968</v>
      </c>
      <c r="L169" s="8">
        <f>if(J168&gt;='Prestige Patterns'!$B$28,if(J168/(H168+1)&gt;('Prestige Patterns'!$B$27+1),L168+1,L168),L168)</f>
        <v>3</v>
      </c>
      <c r="N169" s="12">
        <f t="shared" si="1"/>
        <v>153665536</v>
      </c>
      <c r="O169" s="9">
        <f>'Prestige Patterns'!$B$4*E169</f>
        <v>8300</v>
      </c>
      <c r="P169" s="12">
        <f t="shared" si="4"/>
        <v>4096</v>
      </c>
      <c r="Q169" s="11"/>
      <c r="R169" s="11"/>
      <c r="S169" s="9">
        <v>168.0</v>
      </c>
      <c r="T169" s="11"/>
    </row>
    <row r="170" ht="15.75" customHeight="1">
      <c r="A170" s="7"/>
      <c r="B170" s="7"/>
      <c r="C170" s="7">
        <f>(S170*'Prestige Patterns'!$B$20)/60</f>
        <v>84.5</v>
      </c>
      <c r="D170" s="8">
        <f>if(L169=L170,N169*'Prestige Patterns'!$B$20+D169-F170,0)</f>
        <v>6218747068</v>
      </c>
      <c r="E170" s="9">
        <f t="shared" si="2"/>
        <v>417</v>
      </c>
      <c r="F170" s="10">
        <f>'Prestige Patterns'!$B$5*('Prestige Patterns'!$B$6^E169-'Prestige Patterns'!$B$6^(E169+G170))/(1-'Prestige Patterns'!$B$6)</f>
        <v>5097684656</v>
      </c>
      <c r="G170" s="13">
        <f>floor(LOG('Prestige Patterns'!$B$6^(E169) - (D169*(1-'Prestige Patterns'!$B$6)/'Prestige Patterns'!$B$5),'Prestige Patterns'!$B$6)-E169,1)</f>
        <v>2</v>
      </c>
      <c r="H170" s="12">
        <f t="shared" si="3"/>
        <v>352</v>
      </c>
      <c r="I170" s="11">
        <f>1+H170*'Prestige Patterns'!$B$25</f>
        <v>4.52</v>
      </c>
      <c r="J170" s="12">
        <f>floor((K170/'Prestige Patterns'!$B$22)^'Prestige Patterns'!$B$23,1)-H169</f>
        <v>506</v>
      </c>
      <c r="K170" s="8">
        <f>K169+N169*'Prestige Patterns'!$B$20</f>
        <v>73763130048</v>
      </c>
      <c r="L170" s="8">
        <f>if(J169&gt;='Prestige Patterns'!$B$28,if(J169/(H169+1)&gt;('Prestige Patterns'!$B$27+1),L169+1,L169),L169)</f>
        <v>3</v>
      </c>
      <c r="N170" s="12">
        <f t="shared" si="1"/>
        <v>154406092.8</v>
      </c>
      <c r="O170" s="9">
        <f>'Prestige Patterns'!$B$4*E170</f>
        <v>8340</v>
      </c>
      <c r="P170" s="12">
        <f t="shared" si="4"/>
        <v>4096</v>
      </c>
      <c r="Q170" s="11"/>
      <c r="R170" s="11"/>
      <c r="S170" s="9">
        <v>169.0</v>
      </c>
      <c r="T170" s="11"/>
    </row>
    <row r="171" ht="15.75" customHeight="1">
      <c r="A171" s="7"/>
      <c r="B171" s="7"/>
      <c r="C171" s="7">
        <f>(S171*'Prestige Patterns'!$B$20)/60</f>
        <v>85</v>
      </c>
      <c r="D171" s="8">
        <f>if(L170=L171,N170*'Prestige Patterns'!$B$20+D170-F171,0)</f>
        <v>5230732519</v>
      </c>
      <c r="E171" s="9">
        <f t="shared" si="2"/>
        <v>419</v>
      </c>
      <c r="F171" s="10">
        <f>'Prestige Patterns'!$B$5*('Prestige Patterns'!$B$6^E170-'Prestige Patterns'!$B$6^(E170+G171))/(1-'Prestige Patterns'!$B$6)</f>
        <v>5620197333</v>
      </c>
      <c r="G171" s="13">
        <f>floor(LOG('Prestige Patterns'!$B$6^(E170) - (D170*(1-'Prestige Patterns'!$B$6)/'Prestige Patterns'!$B$5),'Prestige Patterns'!$B$6)-E170,1)</f>
        <v>2</v>
      </c>
      <c r="H171" s="12">
        <f t="shared" si="3"/>
        <v>352</v>
      </c>
      <c r="I171" s="11">
        <f>1+H171*'Prestige Patterns'!$B$25</f>
        <v>4.52</v>
      </c>
      <c r="J171" s="12">
        <f>floor((K171/'Prestige Patterns'!$B$22)^'Prestige Patterns'!$B$23,1)-H170</f>
        <v>533</v>
      </c>
      <c r="K171" s="8">
        <f>K170+N170*'Prestige Patterns'!$B$20</f>
        <v>78395312832</v>
      </c>
      <c r="L171" s="8">
        <f>if(J170&gt;='Prestige Patterns'!$B$28,if(J170/(H170+1)&gt;('Prestige Patterns'!$B$27+1),L170+1,L170),L170)</f>
        <v>3</v>
      </c>
      <c r="N171" s="12">
        <f t="shared" si="1"/>
        <v>155146649.6</v>
      </c>
      <c r="O171" s="9">
        <f>'Prestige Patterns'!$B$4*E171</f>
        <v>8380</v>
      </c>
      <c r="P171" s="12">
        <f t="shared" si="4"/>
        <v>4096</v>
      </c>
      <c r="Q171" s="11"/>
      <c r="R171" s="11"/>
      <c r="S171" s="9">
        <v>170.0</v>
      </c>
      <c r="T171" s="11"/>
    </row>
    <row r="172" ht="15.75" customHeight="1">
      <c r="A172" s="7"/>
      <c r="B172" s="7"/>
      <c r="C172" s="7">
        <f>(S172*'Prestige Patterns'!$B$20)/60</f>
        <v>85.5</v>
      </c>
      <c r="D172" s="8">
        <f>if(L171=L172,N171*'Prestige Patterns'!$B$20+D171-F172,0)</f>
        <v>0</v>
      </c>
      <c r="E172" s="9">
        <f t="shared" si="2"/>
        <v>1</v>
      </c>
      <c r="F172" s="10">
        <f>'Prestige Patterns'!$B$5*('Prestige Patterns'!$B$6^E171-'Prestige Patterns'!$B$6^(E171+G172))/(1-'Prestige Patterns'!$B$6)</f>
        <v>3022569541</v>
      </c>
      <c r="G172" s="13">
        <f>floor(LOG('Prestige Patterns'!$B$6^(E171) - (D171*(1-'Prestige Patterns'!$B$6)/'Prestige Patterns'!$B$5),'Prestige Patterns'!$B$6)-E171,1)</f>
        <v>1</v>
      </c>
      <c r="H172" s="12">
        <f t="shared" si="3"/>
        <v>885</v>
      </c>
      <c r="I172" s="11">
        <f>1+H172*'Prestige Patterns'!$B$25</f>
        <v>9.85</v>
      </c>
      <c r="J172" s="12">
        <f>floor((K172/'Prestige Patterns'!$B$22)^'Prestige Patterns'!$B$23,1)-H171</f>
        <v>559</v>
      </c>
      <c r="K172" s="8">
        <f>K171+N171*'Prestige Patterns'!$B$20</f>
        <v>83049712320</v>
      </c>
      <c r="L172" s="8">
        <f>if(J171&gt;='Prestige Patterns'!$B$28,if(J171/(H171+1)&gt;('Prestige Patterns'!$B$27+1),L171+1,L171),L171)</f>
        <v>4</v>
      </c>
      <c r="N172" s="12">
        <f t="shared" si="1"/>
        <v>806912</v>
      </c>
      <c r="O172" s="9">
        <f>'Prestige Patterns'!$B$4*E172</f>
        <v>20</v>
      </c>
      <c r="P172" s="12">
        <f t="shared" si="4"/>
        <v>4096</v>
      </c>
      <c r="Q172" s="11"/>
      <c r="R172" s="11"/>
      <c r="S172" s="9">
        <v>171.0</v>
      </c>
      <c r="T172" s="11"/>
    </row>
    <row r="173" ht="15.75" customHeight="1">
      <c r="A173" s="7"/>
      <c r="B173" s="7"/>
      <c r="C173" s="7">
        <f>(S173*'Prestige Patterns'!$B$20)/60</f>
        <v>86</v>
      </c>
      <c r="D173" s="8">
        <f>if(L172=L173,N172*'Prestige Patterns'!$B$20+D172-F173,0)</f>
        <v>24207360</v>
      </c>
      <c r="E173" s="9">
        <f t="shared" si="2"/>
        <v>1</v>
      </c>
      <c r="F173" s="10">
        <f>'Prestige Patterns'!$B$5*('Prestige Patterns'!$B$6^E172-'Prestige Patterns'!$B$6^(E172+G173))/(1-'Prestige Patterns'!$B$6)</f>
        <v>0</v>
      </c>
      <c r="G173" s="13">
        <f>floor(LOG('Prestige Patterns'!$B$6^(E172) - (D172*(1-'Prestige Patterns'!$B$6)/'Prestige Patterns'!$B$5),'Prestige Patterns'!$B$6)-E172,1)</f>
        <v>0</v>
      </c>
      <c r="H173" s="12">
        <f t="shared" si="3"/>
        <v>885</v>
      </c>
      <c r="I173" s="11">
        <f>1+H173*'Prestige Patterns'!$B$25</f>
        <v>9.85</v>
      </c>
      <c r="J173" s="12">
        <f>floor((K173/'Prestige Patterns'!$B$22)^'Prestige Patterns'!$B$23,1)-H172</f>
        <v>26</v>
      </c>
      <c r="K173" s="8">
        <f>K172+N172*'Prestige Patterns'!$B$20</f>
        <v>83073919680</v>
      </c>
      <c r="L173" s="8">
        <f>if(J172&gt;='Prestige Patterns'!$B$28,if(J172/(H172+1)&gt;('Prestige Patterns'!$B$27+1),L172+1,L172),L172)</f>
        <v>4</v>
      </c>
      <c r="N173" s="12">
        <f t="shared" si="1"/>
        <v>806912</v>
      </c>
      <c r="O173" s="9">
        <f>'Prestige Patterns'!$B$4*E173</f>
        <v>20</v>
      </c>
      <c r="P173" s="12">
        <f t="shared" si="4"/>
        <v>4096</v>
      </c>
      <c r="Q173" s="11"/>
      <c r="R173" s="11"/>
      <c r="S173" s="9">
        <v>172.0</v>
      </c>
      <c r="T173" s="11"/>
    </row>
    <row r="174" ht="15.75" customHeight="1">
      <c r="A174" s="7"/>
      <c r="B174" s="7"/>
      <c r="C174" s="7">
        <f>(S174*'Prestige Patterns'!$B$20)/60</f>
        <v>86.5</v>
      </c>
      <c r="D174" s="8">
        <f>if(L173=L174,N173*'Prestige Patterns'!$B$20+D173-F174,0)</f>
        <v>24976340.03</v>
      </c>
      <c r="E174" s="9">
        <f t="shared" si="2"/>
        <v>258</v>
      </c>
      <c r="F174" s="10">
        <f>'Prestige Patterns'!$B$5*('Prestige Patterns'!$B$6^E173-'Prestige Patterns'!$B$6^(E173+G174))/(1-'Prestige Patterns'!$B$6)</f>
        <v>23438379.97</v>
      </c>
      <c r="G174" s="13">
        <f>floor(LOG('Prestige Patterns'!$B$6^(E173) - (D173*(1-'Prestige Patterns'!$B$6)/'Prestige Patterns'!$B$5),'Prestige Patterns'!$B$6)-E173,1)</f>
        <v>257</v>
      </c>
      <c r="H174" s="12">
        <f t="shared" si="3"/>
        <v>885</v>
      </c>
      <c r="I174" s="11">
        <f>1+H174*'Prestige Patterns'!$B$25</f>
        <v>9.85</v>
      </c>
      <c r="J174" s="12">
        <f>floor((K174/'Prestige Patterns'!$B$22)^'Prestige Patterns'!$B$23,1)-H173</f>
        <v>26</v>
      </c>
      <c r="K174" s="8">
        <f>K173+N173*'Prestige Patterns'!$B$20</f>
        <v>83098127040</v>
      </c>
      <c r="L174" s="8">
        <f>if(J173&gt;='Prestige Patterns'!$B$28,if(J173/(H173+1)&gt;('Prestige Patterns'!$B$27+1),L173+1,L173),L173)</f>
        <v>4</v>
      </c>
      <c r="N174" s="12">
        <f t="shared" si="1"/>
        <v>3252864</v>
      </c>
      <c r="O174" s="9">
        <f>'Prestige Patterns'!$B$4*E174</f>
        <v>5160</v>
      </c>
      <c r="P174" s="12">
        <f t="shared" si="4"/>
        <v>64</v>
      </c>
      <c r="Q174" s="11"/>
      <c r="R174" s="11"/>
      <c r="S174" s="9">
        <v>173.0</v>
      </c>
      <c r="T174" s="11"/>
    </row>
    <row r="175" ht="15.75" customHeight="1">
      <c r="A175" s="7"/>
      <c r="B175" s="7"/>
      <c r="C175" s="7">
        <f>(S175*'Prestige Patterns'!$B$20)/60</f>
        <v>87</v>
      </c>
      <c r="D175" s="8">
        <f>if(L174=L175,N174*'Prestige Patterns'!$B$20+D174-F175,0)</f>
        <v>99594168.54</v>
      </c>
      <c r="E175" s="9">
        <f t="shared" si="2"/>
        <v>272</v>
      </c>
      <c r="F175" s="10">
        <f>'Prestige Patterns'!$B$5*('Prestige Patterns'!$B$6^E174-'Prestige Patterns'!$B$6^(E174+G175))/(1-'Prestige Patterns'!$B$6)</f>
        <v>22968091.49</v>
      </c>
      <c r="G175" s="13">
        <f>floor(LOG('Prestige Patterns'!$B$6^(E174) - (D174*(1-'Prestige Patterns'!$B$6)/'Prestige Patterns'!$B$5),'Prestige Patterns'!$B$6)-E174,1)</f>
        <v>14</v>
      </c>
      <c r="H175" s="12">
        <f t="shared" si="3"/>
        <v>885</v>
      </c>
      <c r="I175" s="11">
        <f>1+H175*'Prestige Patterns'!$B$25</f>
        <v>9.85</v>
      </c>
      <c r="J175" s="12">
        <f>floor((K175/'Prestige Patterns'!$B$22)^'Prestige Patterns'!$B$23,1)-H174</f>
        <v>27</v>
      </c>
      <c r="K175" s="8">
        <f>K174+N174*'Prestige Patterns'!$B$20</f>
        <v>83195712960</v>
      </c>
      <c r="L175" s="8">
        <f>if(J174&gt;='Prestige Patterns'!$B$28,if(J174/(H174+1)&gt;('Prestige Patterns'!$B$27+1),L174+1,L174),L174)</f>
        <v>4</v>
      </c>
      <c r="N175" s="12">
        <f t="shared" si="1"/>
        <v>3429376</v>
      </c>
      <c r="O175" s="9">
        <f>'Prestige Patterns'!$B$4*E175</f>
        <v>5440</v>
      </c>
      <c r="P175" s="12">
        <f t="shared" si="4"/>
        <v>64</v>
      </c>
      <c r="Q175" s="11"/>
      <c r="R175" s="11"/>
      <c r="S175" s="9">
        <v>174.0</v>
      </c>
      <c r="T175" s="11"/>
    </row>
    <row r="176" ht="15.75" customHeight="1">
      <c r="A176" s="7"/>
      <c r="B176" s="7"/>
      <c r="C176" s="7">
        <f>(S176*'Prestige Patterns'!$B$20)/60</f>
        <v>87.5</v>
      </c>
      <c r="D176" s="8">
        <f>if(L175=L176,N175*'Prestige Patterns'!$B$20+D175-F176,0)</f>
        <v>106343166.5</v>
      </c>
      <c r="E176" s="9">
        <f t="shared" si="2"/>
        <v>295</v>
      </c>
      <c r="F176" s="10">
        <f>'Prestige Patterns'!$B$5*('Prestige Patterns'!$B$6^E175-'Prestige Patterns'!$B$6^(E175+G176))/(1-'Prestige Patterns'!$B$6)</f>
        <v>96132282.07</v>
      </c>
      <c r="G176" s="13">
        <f>floor(LOG('Prestige Patterns'!$B$6^(E175) - (D175*(1-'Prestige Patterns'!$B$6)/'Prestige Patterns'!$B$5),'Prestige Patterns'!$B$6)-E175,1)</f>
        <v>23</v>
      </c>
      <c r="H176" s="12">
        <f t="shared" si="3"/>
        <v>885</v>
      </c>
      <c r="I176" s="11">
        <f>1+H176*'Prestige Patterns'!$B$25</f>
        <v>9.85</v>
      </c>
      <c r="J176" s="12">
        <f>floor((K176/'Prestige Patterns'!$B$22)^'Prestige Patterns'!$B$23,1)-H175</f>
        <v>27</v>
      </c>
      <c r="K176" s="8">
        <f>K175+N175*'Prestige Patterns'!$B$20</f>
        <v>83298594240</v>
      </c>
      <c r="L176" s="8">
        <f>if(J175&gt;='Prestige Patterns'!$B$28,if(J175/(H175+1)&gt;('Prestige Patterns'!$B$27+1),L175+1,L175),L175)</f>
        <v>4</v>
      </c>
      <c r="N176" s="12">
        <f t="shared" si="1"/>
        <v>3719360</v>
      </c>
      <c r="O176" s="9">
        <f>'Prestige Patterns'!$B$4*E176</f>
        <v>5900</v>
      </c>
      <c r="P176" s="12">
        <f t="shared" si="4"/>
        <v>64</v>
      </c>
      <c r="Q176" s="11"/>
      <c r="R176" s="11"/>
      <c r="S176" s="9">
        <v>175.0</v>
      </c>
      <c r="T176" s="11"/>
    </row>
    <row r="177" ht="15.75" customHeight="1">
      <c r="A177" s="7"/>
      <c r="B177" s="7"/>
      <c r="C177" s="7">
        <f>(S177*'Prestige Patterns'!$B$20)/60</f>
        <v>88</v>
      </c>
      <c r="D177" s="8">
        <f>if(L176=L177,N176*'Prestige Patterns'!$B$20+D176-F177,0)</f>
        <v>116673020.1</v>
      </c>
      <c r="E177" s="9">
        <f t="shared" si="2"/>
        <v>306</v>
      </c>
      <c r="F177" s="10">
        <f>'Prestige Patterns'!$B$5*('Prestige Patterns'!$B$6^E176-'Prestige Patterns'!$B$6^(E176+G177))/(1-'Prestige Patterns'!$B$6)</f>
        <v>101250946.4</v>
      </c>
      <c r="G177" s="13">
        <f>floor(LOG('Prestige Patterns'!$B$6^(E176) - (D176*(1-'Prestige Patterns'!$B$6)/'Prestige Patterns'!$B$5),'Prestige Patterns'!$B$6)-E176,1)</f>
        <v>11</v>
      </c>
      <c r="H177" s="12">
        <f t="shared" si="3"/>
        <v>885</v>
      </c>
      <c r="I177" s="11">
        <f>1+H177*'Prestige Patterns'!$B$25</f>
        <v>9.85</v>
      </c>
      <c r="J177" s="12">
        <f>floor((K177/'Prestige Patterns'!$B$22)^'Prestige Patterns'!$B$23,1)-H176</f>
        <v>28</v>
      </c>
      <c r="K177" s="8">
        <f>K176+N176*'Prestige Patterns'!$B$20</f>
        <v>83410175040</v>
      </c>
      <c r="L177" s="8">
        <f>if(J176&gt;='Prestige Patterns'!$B$28,if(J176/(H176+1)&gt;('Prestige Patterns'!$B$27+1),L176+1,L176),L176)</f>
        <v>4</v>
      </c>
      <c r="N177" s="12">
        <f t="shared" si="1"/>
        <v>30864384</v>
      </c>
      <c r="O177" s="9">
        <f>'Prestige Patterns'!$B$4*E177</f>
        <v>6120</v>
      </c>
      <c r="P177" s="12">
        <f t="shared" si="4"/>
        <v>512</v>
      </c>
      <c r="Q177" s="11"/>
      <c r="R177" s="11"/>
      <c r="S177" s="9">
        <v>176.0</v>
      </c>
      <c r="T177" s="11"/>
    </row>
    <row r="178" ht="15.75" customHeight="1">
      <c r="A178" s="7"/>
      <c r="B178" s="7"/>
      <c r="C178" s="7">
        <f>(S178*'Prestige Patterns'!$B$20)/60</f>
        <v>88.5</v>
      </c>
      <c r="D178" s="8">
        <f>if(L177=L178,N177*'Prestige Patterns'!$B$20+D177-F178,0)</f>
        <v>926205780.6</v>
      </c>
      <c r="E178" s="9">
        <f t="shared" si="2"/>
        <v>314</v>
      </c>
      <c r="F178" s="10">
        <f>'Prestige Patterns'!$B$5*('Prestige Patterns'!$B$6^E177-'Prestige Patterns'!$B$6^(E177+G178))/(1-'Prestige Patterns'!$B$6)</f>
        <v>116398759.5</v>
      </c>
      <c r="G178" s="13">
        <f>floor(LOG('Prestige Patterns'!$B$6^(E177) - (D177*(1-'Prestige Patterns'!$B$6)/'Prestige Patterns'!$B$5),'Prestige Patterns'!$B$6)-E177,1)</f>
        <v>8</v>
      </c>
      <c r="H178" s="12">
        <f t="shared" si="3"/>
        <v>885</v>
      </c>
      <c r="I178" s="11">
        <f>1+H178*'Prestige Patterns'!$B$25</f>
        <v>9.85</v>
      </c>
      <c r="J178" s="12">
        <f>floor((K178/'Prestige Patterns'!$B$22)^'Prestige Patterns'!$B$23,1)-H177</f>
        <v>33</v>
      </c>
      <c r="K178" s="8">
        <f>K177+N177*'Prestige Patterns'!$B$20</f>
        <v>84336106560</v>
      </c>
      <c r="L178" s="8">
        <f>if(J177&gt;='Prestige Patterns'!$B$28,if(J177/(H177+1)&gt;('Prestige Patterns'!$B$27+1),L177+1,L177),L177)</f>
        <v>4</v>
      </c>
      <c r="N178" s="12">
        <f t="shared" si="1"/>
        <v>31671296</v>
      </c>
      <c r="O178" s="9">
        <f>'Prestige Patterns'!$B$4*E178</f>
        <v>6280</v>
      </c>
      <c r="P178" s="12">
        <f t="shared" si="4"/>
        <v>512</v>
      </c>
      <c r="Q178" s="11"/>
      <c r="R178" s="11"/>
      <c r="S178" s="9">
        <v>177.0</v>
      </c>
      <c r="T178" s="11"/>
    </row>
    <row r="179" ht="15.75" customHeight="1">
      <c r="A179" s="7"/>
      <c r="B179" s="7"/>
      <c r="C179" s="7">
        <f>(S179*'Prestige Patterns'!$B$20)/60</f>
        <v>89</v>
      </c>
      <c r="D179" s="8">
        <f>if(L178=L179,N178*'Prestige Patterns'!$B$20+D178-F179,0)</f>
        <v>955820637.9</v>
      </c>
      <c r="E179" s="9">
        <f t="shared" si="2"/>
        <v>340</v>
      </c>
      <c r="F179" s="10">
        <f>'Prestige Patterns'!$B$5*('Prestige Patterns'!$B$6^E178-'Prestige Patterns'!$B$6^(E178+G179))/(1-'Prestige Patterns'!$B$6)</f>
        <v>920524022.8</v>
      </c>
      <c r="G179" s="13">
        <f>floor(LOG('Prestige Patterns'!$B$6^(E178) - (D178*(1-'Prestige Patterns'!$B$6)/'Prestige Patterns'!$B$5),'Prestige Patterns'!$B$6)-E178,1)</f>
        <v>26</v>
      </c>
      <c r="H179" s="12">
        <f t="shared" si="3"/>
        <v>885</v>
      </c>
      <c r="I179" s="11">
        <f>1+H179*'Prestige Patterns'!$B$25</f>
        <v>9.85</v>
      </c>
      <c r="J179" s="12">
        <f>floor((K179/'Prestige Patterns'!$B$22)^'Prestige Patterns'!$B$23,1)-H178</f>
        <v>38</v>
      </c>
      <c r="K179" s="8">
        <f>K178+N178*'Prestige Patterns'!$B$20</f>
        <v>85286245440</v>
      </c>
      <c r="L179" s="8">
        <f>if(J178&gt;='Prestige Patterns'!$B$28,if(J178/(H178+1)&gt;('Prestige Patterns'!$B$27+1),L178+1,L178),L178)</f>
        <v>4</v>
      </c>
      <c r="N179" s="12">
        <f t="shared" si="1"/>
        <v>34293760</v>
      </c>
      <c r="O179" s="9">
        <f>'Prestige Patterns'!$B$4*E179</f>
        <v>6800</v>
      </c>
      <c r="P179" s="12">
        <f t="shared" si="4"/>
        <v>512</v>
      </c>
      <c r="Q179" s="11"/>
      <c r="R179" s="11"/>
      <c r="S179" s="9">
        <v>178.0</v>
      </c>
      <c r="T179" s="11"/>
    </row>
    <row r="180" ht="15.75" customHeight="1">
      <c r="A180" s="7"/>
      <c r="B180" s="7"/>
      <c r="C180" s="7">
        <f>(S180*'Prestige Patterns'!$B$20)/60</f>
        <v>89.5</v>
      </c>
      <c r="D180" s="8">
        <f>if(L179=L180,N179*'Prestige Patterns'!$B$20+D179-F180,0)</f>
        <v>1074892896</v>
      </c>
      <c r="E180" s="9">
        <f t="shared" si="2"/>
        <v>351</v>
      </c>
      <c r="F180" s="10">
        <f>'Prestige Patterns'!$B$5*('Prestige Patterns'!$B$6^E179-'Prestige Patterns'!$B$6^(E179+G180))/(1-'Prestige Patterns'!$B$6)</f>
        <v>909740542.2</v>
      </c>
      <c r="G180" s="13">
        <f>floor(LOG('Prestige Patterns'!$B$6^(E179) - (D179*(1-'Prestige Patterns'!$B$6)/'Prestige Patterns'!$B$5),'Prestige Patterns'!$B$6)-E179,1)</f>
        <v>11</v>
      </c>
      <c r="H180" s="12">
        <f t="shared" si="3"/>
        <v>885</v>
      </c>
      <c r="I180" s="11">
        <f>1+H180*'Prestige Patterns'!$B$25</f>
        <v>9.85</v>
      </c>
      <c r="J180" s="12">
        <f>floor((K180/'Prestige Patterns'!$B$22)^'Prestige Patterns'!$B$23,1)-H179</f>
        <v>44</v>
      </c>
      <c r="K180" s="8">
        <f>K179+N179*'Prestige Patterns'!$B$20</f>
        <v>86315058240</v>
      </c>
      <c r="L180" s="8">
        <f>if(J179&gt;='Prestige Patterns'!$B$28,if(J179/(H179+1)&gt;('Prestige Patterns'!$B$27+1),L179+1,L179),L179)</f>
        <v>4</v>
      </c>
      <c r="N180" s="12">
        <f t="shared" si="1"/>
        <v>35403264</v>
      </c>
      <c r="O180" s="9">
        <f>'Prestige Patterns'!$B$4*E180</f>
        <v>7020</v>
      </c>
      <c r="P180" s="12">
        <f t="shared" si="4"/>
        <v>512</v>
      </c>
      <c r="Q180" s="11"/>
      <c r="R180" s="11"/>
      <c r="S180" s="9">
        <v>179.0</v>
      </c>
      <c r="T180" s="11"/>
    </row>
    <row r="181" ht="15.75" customHeight="1">
      <c r="A181" s="7"/>
      <c r="B181" s="7"/>
      <c r="C181" s="7">
        <f>(S181*'Prestige Patterns'!$B$20)/60</f>
        <v>90</v>
      </c>
      <c r="D181" s="8">
        <f>if(L180=L181,N180*'Prestige Patterns'!$B$20+D180-F181,0)</f>
        <v>1091147055</v>
      </c>
      <c r="E181" s="9">
        <f t="shared" si="2"/>
        <v>359</v>
      </c>
      <c r="F181" s="10">
        <f>'Prestige Patterns'!$B$5*('Prestige Patterns'!$B$6^E180-'Prestige Patterns'!$B$6^(E180+G181))/(1-'Prestige Patterns'!$B$6)</f>
        <v>1045843761</v>
      </c>
      <c r="G181" s="13">
        <f>floor(LOG('Prestige Patterns'!$B$6^(E180) - (D180*(1-'Prestige Patterns'!$B$6)/'Prestige Patterns'!$B$5),'Prestige Patterns'!$B$6)-E180,1)</f>
        <v>8</v>
      </c>
      <c r="H181" s="12">
        <f t="shared" si="3"/>
        <v>885</v>
      </c>
      <c r="I181" s="11">
        <f>1+H181*'Prestige Patterns'!$B$25</f>
        <v>9.85</v>
      </c>
      <c r="J181" s="12">
        <f>floor((K181/'Prestige Patterns'!$B$22)^'Prestige Patterns'!$B$23,1)-H180</f>
        <v>49</v>
      </c>
      <c r="K181" s="8">
        <f>K180+N180*'Prestige Patterns'!$B$20</f>
        <v>87377156160</v>
      </c>
      <c r="L181" s="8">
        <f>if(J180&gt;='Prestige Patterns'!$B$28,if(J180/(H180+1)&gt;('Prestige Patterns'!$B$27+1),L180+1,L180),L180)</f>
        <v>4</v>
      </c>
      <c r="N181" s="12">
        <f t="shared" si="1"/>
        <v>36210176</v>
      </c>
      <c r="O181" s="9">
        <f>'Prestige Patterns'!$B$4*E181</f>
        <v>7180</v>
      </c>
      <c r="P181" s="12">
        <f t="shared" si="4"/>
        <v>512</v>
      </c>
      <c r="Q181" s="11"/>
      <c r="R181" s="11"/>
      <c r="S181" s="9">
        <v>180.0</v>
      </c>
      <c r="T181" s="11"/>
    </row>
    <row r="182" ht="15.75" customHeight="1">
      <c r="A182" s="7"/>
      <c r="B182" s="7"/>
      <c r="C182" s="7">
        <f>(S182*'Prestige Patterns'!$B$20)/60</f>
        <v>90.5</v>
      </c>
      <c r="D182" s="8">
        <f>if(L181=L182,N181*'Prestige Patterns'!$B$20+D181-F182,0)</f>
        <v>1283323179</v>
      </c>
      <c r="E182" s="9">
        <f t="shared" si="2"/>
        <v>364</v>
      </c>
      <c r="F182" s="10">
        <f>'Prestige Patterns'!$B$5*('Prestige Patterns'!$B$6^E181-'Prestige Patterns'!$B$6^(E181+G182))/(1-'Prestige Patterns'!$B$6)</f>
        <v>894129155.7</v>
      </c>
      <c r="G182" s="13">
        <f>floor(LOG('Prestige Patterns'!$B$6^(E181) - (D181*(1-'Prestige Patterns'!$B$6)/'Prestige Patterns'!$B$5),'Prestige Patterns'!$B$6)-E181,1)</f>
        <v>5</v>
      </c>
      <c r="H182" s="12">
        <f t="shared" si="3"/>
        <v>885</v>
      </c>
      <c r="I182" s="11">
        <f>1+H182*'Prestige Patterns'!$B$25</f>
        <v>9.85</v>
      </c>
      <c r="J182" s="12">
        <f>floor((K182/'Prestige Patterns'!$B$22)^'Prestige Patterns'!$B$23,1)-H181</f>
        <v>55</v>
      </c>
      <c r="K182" s="8">
        <f>K181+N181*'Prestige Patterns'!$B$20</f>
        <v>88463461440</v>
      </c>
      <c r="L182" s="8">
        <f>if(J181&gt;='Prestige Patterns'!$B$28,if(J181/(H181+1)&gt;('Prestige Patterns'!$B$27+1),L181+1,L181),L181)</f>
        <v>4</v>
      </c>
      <c r="N182" s="12">
        <f t="shared" si="1"/>
        <v>36714496</v>
      </c>
      <c r="O182" s="9">
        <f>'Prestige Patterns'!$B$4*E182</f>
        <v>7280</v>
      </c>
      <c r="P182" s="12">
        <f t="shared" si="4"/>
        <v>512</v>
      </c>
      <c r="Q182" s="11"/>
      <c r="R182" s="11"/>
      <c r="S182" s="9">
        <v>181.0</v>
      </c>
      <c r="T182" s="11"/>
    </row>
    <row r="183" ht="15.75" customHeight="1">
      <c r="A183" s="7"/>
      <c r="B183" s="7"/>
      <c r="C183" s="7">
        <f>(S183*'Prestige Patterns'!$B$20)/60</f>
        <v>91</v>
      </c>
      <c r="D183" s="8">
        <f>if(L182=L183,N182*'Prestige Patterns'!$B$20+D182-F183,0)</f>
        <v>1243597503</v>
      </c>
      <c r="E183" s="9">
        <f t="shared" si="2"/>
        <v>369</v>
      </c>
      <c r="F183" s="10">
        <f>'Prestige Patterns'!$B$5*('Prestige Patterns'!$B$6^E182-'Prestige Patterns'!$B$6^(E182+G183))/(1-'Prestige Patterns'!$B$6)</f>
        <v>1141160556</v>
      </c>
      <c r="G183" s="13">
        <f>floor(LOG('Prestige Patterns'!$B$6^(E182) - (D182*(1-'Prestige Patterns'!$B$6)/'Prestige Patterns'!$B$5),'Prestige Patterns'!$B$6)-E182,1)</f>
        <v>5</v>
      </c>
      <c r="H183" s="12">
        <f t="shared" si="3"/>
        <v>885</v>
      </c>
      <c r="I183" s="11">
        <f>1+H183*'Prestige Patterns'!$B$25</f>
        <v>9.85</v>
      </c>
      <c r="J183" s="12">
        <f>floor((K183/'Prestige Patterns'!$B$22)^'Prestige Patterns'!$B$23,1)-H182</f>
        <v>61</v>
      </c>
      <c r="K183" s="8">
        <f>K182+N182*'Prestige Patterns'!$B$20</f>
        <v>89564896320</v>
      </c>
      <c r="L183" s="8">
        <f>if(J182&gt;='Prestige Patterns'!$B$28,if(J182/(H182+1)&gt;('Prestige Patterns'!$B$27+1),L182+1,L182),L182)</f>
        <v>4</v>
      </c>
      <c r="N183" s="12">
        <f t="shared" si="1"/>
        <v>37218816</v>
      </c>
      <c r="O183" s="9">
        <f>'Prestige Patterns'!$B$4*E183</f>
        <v>7380</v>
      </c>
      <c r="P183" s="12">
        <f t="shared" si="4"/>
        <v>512</v>
      </c>
      <c r="Q183" s="11"/>
      <c r="R183" s="11"/>
      <c r="S183" s="9">
        <v>182.0</v>
      </c>
      <c r="T183" s="11"/>
    </row>
    <row r="184" ht="15.75" customHeight="1">
      <c r="A184" s="7"/>
      <c r="B184" s="7"/>
      <c r="C184" s="7">
        <f>(S184*'Prestige Patterns'!$B$20)/60</f>
        <v>91.5</v>
      </c>
      <c r="D184" s="8">
        <f>if(L183=L184,N183*'Prestige Patterns'!$B$20+D183-F184,0)</f>
        <v>1224102127</v>
      </c>
      <c r="E184" s="9">
        <f t="shared" si="2"/>
        <v>373</v>
      </c>
      <c r="F184" s="10">
        <f>'Prestige Patterns'!$B$5*('Prestige Patterns'!$B$6^E183-'Prestige Patterns'!$B$6^(E183+G184))/(1-'Prestige Patterns'!$B$6)</f>
        <v>1136059856</v>
      </c>
      <c r="G184" s="13">
        <f>floor(LOG('Prestige Patterns'!$B$6^(E183) - (D183*(1-'Prestige Patterns'!$B$6)/'Prestige Patterns'!$B$5),'Prestige Patterns'!$B$6)-E183,1)</f>
        <v>4</v>
      </c>
      <c r="H184" s="12">
        <f t="shared" si="3"/>
        <v>885</v>
      </c>
      <c r="I184" s="11">
        <f>1+H184*'Prestige Patterns'!$B$25</f>
        <v>9.85</v>
      </c>
      <c r="J184" s="12">
        <f>floor((K184/'Prestige Patterns'!$B$22)^'Prestige Patterns'!$B$23,1)-H183</f>
        <v>67</v>
      </c>
      <c r="K184" s="8">
        <f>K183+N183*'Prestige Patterns'!$B$20</f>
        <v>90681460800</v>
      </c>
      <c r="L184" s="8">
        <f>if(J183&gt;='Prestige Patterns'!$B$28,if(J183/(H183+1)&gt;('Prestige Patterns'!$B$27+1),L183+1,L183),L183)</f>
        <v>4</v>
      </c>
      <c r="N184" s="12">
        <f t="shared" si="1"/>
        <v>37622272</v>
      </c>
      <c r="O184" s="9">
        <f>'Prestige Patterns'!$B$4*E184</f>
        <v>7460</v>
      </c>
      <c r="P184" s="12">
        <f t="shared" si="4"/>
        <v>512</v>
      </c>
      <c r="Q184" s="11"/>
      <c r="R184" s="11"/>
      <c r="S184" s="9">
        <v>183.0</v>
      </c>
      <c r="T184" s="11"/>
    </row>
    <row r="185" ht="15.75" customHeight="1">
      <c r="A185" s="7"/>
      <c r="B185" s="7"/>
      <c r="C185" s="7">
        <f>(S185*'Prestige Patterns'!$B$20)/60</f>
        <v>92</v>
      </c>
      <c r="D185" s="8">
        <f>if(L184=L185,N184*'Prestige Patterns'!$B$20+D184-F185,0)</f>
        <v>1342765018</v>
      </c>
      <c r="E185" s="9">
        <f t="shared" si="2"/>
        <v>376</v>
      </c>
      <c r="F185" s="10">
        <f>'Prestige Patterns'!$B$5*('Prestige Patterns'!$B$6^E184-'Prestige Patterns'!$B$6^(E184+G185))/(1-'Prestige Patterns'!$B$6)</f>
        <v>1010005270</v>
      </c>
      <c r="G185" s="13">
        <f>floor(LOG('Prestige Patterns'!$B$6^(E184) - (D184*(1-'Prestige Patterns'!$B$6)/'Prestige Patterns'!$B$5),'Prestige Patterns'!$B$6)-E184,1)</f>
        <v>3</v>
      </c>
      <c r="H185" s="12">
        <f t="shared" si="3"/>
        <v>885</v>
      </c>
      <c r="I185" s="11">
        <f>1+H185*'Prestige Patterns'!$B$25</f>
        <v>9.85</v>
      </c>
      <c r="J185" s="12">
        <f>floor((K185/'Prestige Patterns'!$B$22)^'Prestige Patterns'!$B$23,1)-H184</f>
        <v>73</v>
      </c>
      <c r="K185" s="8">
        <f>K184+N184*'Prestige Patterns'!$B$20</f>
        <v>91810128960</v>
      </c>
      <c r="L185" s="8">
        <f>if(J184&gt;='Prestige Patterns'!$B$28,if(J184/(H184+1)&gt;('Prestige Patterns'!$B$27+1),L184+1,L184),L184)</f>
        <v>4</v>
      </c>
      <c r="N185" s="12">
        <f t="shared" si="1"/>
        <v>37924864</v>
      </c>
      <c r="O185" s="9">
        <f>'Prestige Patterns'!$B$4*E185</f>
        <v>7520</v>
      </c>
      <c r="P185" s="12">
        <f t="shared" si="4"/>
        <v>512</v>
      </c>
      <c r="Q185" s="11"/>
      <c r="R185" s="11"/>
      <c r="S185" s="9">
        <v>184.0</v>
      </c>
      <c r="T185" s="11"/>
    </row>
    <row r="186" ht="15.75" customHeight="1">
      <c r="A186" s="7"/>
      <c r="B186" s="7"/>
      <c r="C186" s="7">
        <f>(S186*'Prestige Patterns'!$B$20)/60</f>
        <v>92.5</v>
      </c>
      <c r="D186" s="8">
        <f>if(L185=L186,N185*'Prestige Patterns'!$B$20+D185-F186,0)</f>
        <v>1311303588</v>
      </c>
      <c r="E186" s="9">
        <f t="shared" si="2"/>
        <v>379</v>
      </c>
      <c r="F186" s="10">
        <f>'Prestige Patterns'!$B$5*('Prestige Patterns'!$B$6^E185-'Prestige Patterns'!$B$6^(E185+G186))/(1-'Prestige Patterns'!$B$6)</f>
        <v>1169207350</v>
      </c>
      <c r="G186" s="13">
        <f>floor(LOG('Prestige Patterns'!$B$6^(E185) - (D185*(1-'Prestige Patterns'!$B$6)/'Prestige Patterns'!$B$5),'Prestige Patterns'!$B$6)-E185,1)</f>
        <v>3</v>
      </c>
      <c r="H186" s="12">
        <f t="shared" si="3"/>
        <v>885</v>
      </c>
      <c r="I186" s="11">
        <f>1+H186*'Prestige Patterns'!$B$25</f>
        <v>9.85</v>
      </c>
      <c r="J186" s="12">
        <f>floor((K186/'Prestige Patterns'!$B$22)^'Prestige Patterns'!$B$23,1)-H185</f>
        <v>79</v>
      </c>
      <c r="K186" s="8">
        <f>K185+N185*'Prestige Patterns'!$B$20</f>
        <v>92947874880</v>
      </c>
      <c r="L186" s="8">
        <f>if(J185&gt;='Prestige Patterns'!$B$28,if(J185/(H185+1)&gt;('Prestige Patterns'!$B$27+1),L185+1,L185),L185)</f>
        <v>4</v>
      </c>
      <c r="N186" s="12">
        <f t="shared" si="1"/>
        <v>38227456</v>
      </c>
      <c r="O186" s="9">
        <f>'Prestige Patterns'!$B$4*E186</f>
        <v>7580</v>
      </c>
      <c r="P186" s="12">
        <f t="shared" si="4"/>
        <v>512</v>
      </c>
      <c r="Q186" s="11"/>
      <c r="R186" s="11"/>
      <c r="S186" s="9">
        <v>185.0</v>
      </c>
      <c r="T186" s="11"/>
    </row>
    <row r="187" ht="15.75" customHeight="1">
      <c r="A187" s="7"/>
      <c r="B187" s="7"/>
      <c r="C187" s="7">
        <f>(S187*'Prestige Patterns'!$B$20)/60</f>
        <v>93</v>
      </c>
      <c r="D187" s="8">
        <f>if(L186=L187,N186*'Prestige Patterns'!$B$20+D186-F187,0)</f>
        <v>1577974214</v>
      </c>
      <c r="E187" s="9">
        <f t="shared" si="2"/>
        <v>381</v>
      </c>
      <c r="F187" s="10">
        <f>'Prestige Patterns'!$B$5*('Prestige Patterns'!$B$6^E186-'Prestige Patterns'!$B$6^(E186+G187))/(1-'Prestige Patterns'!$B$6)</f>
        <v>880153053.3</v>
      </c>
      <c r="G187" s="13">
        <f>floor(LOG('Prestige Patterns'!$B$6^(E186) - (D186*(1-'Prestige Patterns'!$B$6)/'Prestige Patterns'!$B$5),'Prestige Patterns'!$B$6)-E186,1)</f>
        <v>2</v>
      </c>
      <c r="H187" s="12">
        <f t="shared" si="3"/>
        <v>885</v>
      </c>
      <c r="I187" s="11">
        <f>1+H187*'Prestige Patterns'!$B$25</f>
        <v>9.85</v>
      </c>
      <c r="J187" s="12">
        <f>floor((K187/'Prestige Patterns'!$B$22)^'Prestige Patterns'!$B$23,1)-H186</f>
        <v>85</v>
      </c>
      <c r="K187" s="8">
        <f>K186+N186*'Prestige Patterns'!$B$20</f>
        <v>94094698560</v>
      </c>
      <c r="L187" s="8">
        <f>if(J186&gt;='Prestige Patterns'!$B$28,if(J186/(H186+1)&gt;('Prestige Patterns'!$B$27+1),L186+1,L186),L186)</f>
        <v>4</v>
      </c>
      <c r="N187" s="12">
        <f t="shared" si="1"/>
        <v>38429184</v>
      </c>
      <c r="O187" s="9">
        <f>'Prestige Patterns'!$B$4*E187</f>
        <v>7620</v>
      </c>
      <c r="P187" s="12">
        <f t="shared" si="4"/>
        <v>512</v>
      </c>
      <c r="Q187" s="11"/>
      <c r="R187" s="11"/>
      <c r="S187" s="9">
        <v>186.0</v>
      </c>
      <c r="T187" s="11"/>
    </row>
    <row r="188" ht="15.75" customHeight="1">
      <c r="A188" s="7"/>
      <c r="B188" s="7"/>
      <c r="C188" s="7">
        <f>(S188*'Prestige Patterns'!$B$20)/60</f>
        <v>93.5</v>
      </c>
      <c r="D188" s="8">
        <f>if(L187=L188,N187*'Prestige Patterns'!$B$20+D187-F188,0)</f>
        <v>1238611951</v>
      </c>
      <c r="E188" s="9">
        <f t="shared" si="2"/>
        <v>384</v>
      </c>
      <c r="F188" s="10">
        <f>'Prestige Patterns'!$B$5*('Prestige Patterns'!$B$6^E187-'Prestige Patterns'!$B$6^(E187+G188))/(1-'Prestige Patterns'!$B$6)</f>
        <v>1492237784</v>
      </c>
      <c r="G188" s="13">
        <f>floor(LOG('Prestige Patterns'!$B$6^(E187) - (D187*(1-'Prestige Patterns'!$B$6)/'Prestige Patterns'!$B$5),'Prestige Patterns'!$B$6)-E187,1)</f>
        <v>3</v>
      </c>
      <c r="H188" s="12">
        <f t="shared" si="3"/>
        <v>885</v>
      </c>
      <c r="I188" s="11">
        <f>1+H188*'Prestige Patterns'!$B$25</f>
        <v>9.85</v>
      </c>
      <c r="J188" s="12">
        <f>floor((K188/'Prestige Patterns'!$B$22)^'Prestige Patterns'!$B$23,1)-H187</f>
        <v>90</v>
      </c>
      <c r="K188" s="8">
        <f>K187+N187*'Prestige Patterns'!$B$20</f>
        <v>95247574080</v>
      </c>
      <c r="L188" s="8">
        <f>if(J187&gt;='Prestige Patterns'!$B$28,if(J187/(H187+1)&gt;('Prestige Patterns'!$B$27+1),L187+1,L187),L187)</f>
        <v>4</v>
      </c>
      <c r="N188" s="12">
        <f t="shared" si="1"/>
        <v>38731776</v>
      </c>
      <c r="O188" s="9">
        <f>'Prestige Patterns'!$B$4*E188</f>
        <v>7680</v>
      </c>
      <c r="P188" s="12">
        <f t="shared" si="4"/>
        <v>512</v>
      </c>
      <c r="Q188" s="11"/>
      <c r="R188" s="11"/>
      <c r="S188" s="9">
        <v>187.0</v>
      </c>
      <c r="T188" s="11"/>
    </row>
    <row r="189" ht="15.75" customHeight="1">
      <c r="A189" s="7"/>
      <c r="B189" s="7"/>
      <c r="C189" s="7">
        <f>(S189*'Prestige Patterns'!$B$20)/60</f>
        <v>94</v>
      </c>
      <c r="D189" s="8">
        <f>if(L188=L189,N188*'Prestige Patterns'!$B$20+D188-F189,0)</f>
        <v>1277242117</v>
      </c>
      <c r="E189" s="9">
        <f t="shared" si="2"/>
        <v>386</v>
      </c>
      <c r="F189" s="10">
        <f>'Prestige Patterns'!$B$5*('Prestige Patterns'!$B$6^E188-'Prestige Patterns'!$B$6^(E188+G189))/(1-'Prestige Patterns'!$B$6)</f>
        <v>1123323114</v>
      </c>
      <c r="G189" s="13">
        <f>floor(LOG('Prestige Patterns'!$B$6^(E188) - (D188*(1-'Prestige Patterns'!$B$6)/'Prestige Patterns'!$B$5),'Prestige Patterns'!$B$6)-E188,1)</f>
        <v>2</v>
      </c>
      <c r="H189" s="12">
        <f t="shared" si="3"/>
        <v>885</v>
      </c>
      <c r="I189" s="11">
        <f>1+H189*'Prestige Patterns'!$B$25</f>
        <v>9.85</v>
      </c>
      <c r="J189" s="12">
        <f>floor((K189/'Prestige Patterns'!$B$22)^'Prestige Patterns'!$B$23,1)-H188</f>
        <v>96</v>
      </c>
      <c r="K189" s="8">
        <f>K188+N188*'Prestige Patterns'!$B$20</f>
        <v>96409527360</v>
      </c>
      <c r="L189" s="8">
        <f>if(J188&gt;='Prestige Patterns'!$B$28,if(J188/(H188+1)&gt;('Prestige Patterns'!$B$27+1),L188+1,L188),L188)</f>
        <v>4</v>
      </c>
      <c r="N189" s="12">
        <f t="shared" si="1"/>
        <v>38933504</v>
      </c>
      <c r="O189" s="9">
        <f>'Prestige Patterns'!$B$4*E189</f>
        <v>7720</v>
      </c>
      <c r="P189" s="12">
        <f t="shared" si="4"/>
        <v>512</v>
      </c>
      <c r="Q189" s="11"/>
      <c r="R189" s="11"/>
      <c r="S189" s="9">
        <v>188.0</v>
      </c>
      <c r="T189" s="11"/>
    </row>
    <row r="190" ht="15.75" customHeight="1">
      <c r="A190" s="7"/>
      <c r="B190" s="7"/>
      <c r="C190" s="7">
        <f>(S190*'Prestige Patterns'!$B$20)/60</f>
        <v>94.5</v>
      </c>
      <c r="D190" s="8">
        <f>if(L189=L190,N189*'Prestige Patterns'!$B$20+D189-F190,0)</f>
        <v>1206783503</v>
      </c>
      <c r="E190" s="9">
        <f t="shared" si="2"/>
        <v>388</v>
      </c>
      <c r="F190" s="10">
        <f>'Prestige Patterns'!$B$5*('Prestige Patterns'!$B$6^E189-'Prestige Patterns'!$B$6^(E189+G190))/(1-'Prestige Patterns'!$B$6)</f>
        <v>1238463733</v>
      </c>
      <c r="G190" s="13">
        <f>floor(LOG('Prestige Patterns'!$B$6^(E189) - (D189*(1-'Prestige Patterns'!$B$6)/'Prestige Patterns'!$B$5),'Prestige Patterns'!$B$6)-E189,1)</f>
        <v>2</v>
      </c>
      <c r="H190" s="12">
        <f t="shared" si="3"/>
        <v>885</v>
      </c>
      <c r="I190" s="11">
        <f>1+H190*'Prestige Patterns'!$B$25</f>
        <v>9.85</v>
      </c>
      <c r="J190" s="12">
        <f>floor((K190/'Prestige Patterns'!$B$22)^'Prestige Patterns'!$B$23,1)-H189</f>
        <v>102</v>
      </c>
      <c r="K190" s="8">
        <f>K189+N189*'Prestige Patterns'!$B$20</f>
        <v>97577532480</v>
      </c>
      <c r="L190" s="8">
        <f>if(J189&gt;='Prestige Patterns'!$B$28,if(J189/(H189+1)&gt;('Prestige Patterns'!$B$27+1),L189+1,L189),L189)</f>
        <v>4</v>
      </c>
      <c r="N190" s="12">
        <f t="shared" si="1"/>
        <v>39135232</v>
      </c>
      <c r="O190" s="9">
        <f>'Prestige Patterns'!$B$4*E190</f>
        <v>7760</v>
      </c>
      <c r="P190" s="12">
        <f t="shared" si="4"/>
        <v>512</v>
      </c>
      <c r="Q190" s="11"/>
      <c r="R190" s="11"/>
      <c r="S190" s="9">
        <v>189.0</v>
      </c>
      <c r="T190" s="11"/>
    </row>
    <row r="191" ht="15.75" customHeight="1">
      <c r="A191" s="7"/>
      <c r="B191" s="7"/>
      <c r="C191" s="7">
        <f>(S191*'Prestige Patterns'!$B$20)/60</f>
        <v>95</v>
      </c>
      <c r="D191" s="8">
        <f>if(L190=L191,N190*'Prestige Patterns'!$B$20+D190-F191,0)</f>
        <v>1714788626</v>
      </c>
      <c r="E191" s="9">
        <f t="shared" si="2"/>
        <v>389</v>
      </c>
      <c r="F191" s="10">
        <f>'Prestige Patterns'!$B$5*('Prestige Patterns'!$B$6^E190-'Prestige Patterns'!$B$6^(E190+G191))/(1-'Prestige Patterns'!$B$6)</f>
        <v>666051837</v>
      </c>
      <c r="G191" s="13">
        <f>floor(LOG('Prestige Patterns'!$B$6^(E190) - (D190*(1-'Prestige Patterns'!$B$6)/'Prestige Patterns'!$B$5),'Prestige Patterns'!$B$6)-E190,1)</f>
        <v>1</v>
      </c>
      <c r="H191" s="12">
        <f t="shared" si="3"/>
        <v>885</v>
      </c>
      <c r="I191" s="11">
        <f>1+H191*'Prestige Patterns'!$B$25</f>
        <v>9.85</v>
      </c>
      <c r="J191" s="12">
        <f>floor((K191/'Prestige Patterns'!$B$22)^'Prestige Patterns'!$B$23,1)-H190</f>
        <v>108</v>
      </c>
      <c r="K191" s="8">
        <f>K190+N190*'Prestige Patterns'!$B$20</f>
        <v>98751589440</v>
      </c>
      <c r="L191" s="8">
        <f>if(J190&gt;='Prestige Patterns'!$B$28,if(J190/(H190+1)&gt;('Prestige Patterns'!$B$27+1),L190+1,L190),L190)</f>
        <v>4</v>
      </c>
      <c r="N191" s="12">
        <f t="shared" si="1"/>
        <v>39236096</v>
      </c>
      <c r="O191" s="9">
        <f>'Prestige Patterns'!$B$4*E191</f>
        <v>7780</v>
      </c>
      <c r="P191" s="12">
        <f t="shared" si="4"/>
        <v>512</v>
      </c>
      <c r="Q191" s="11"/>
      <c r="R191" s="11"/>
      <c r="S191" s="9">
        <v>190.0</v>
      </c>
      <c r="T191" s="11"/>
    </row>
    <row r="192" ht="15.75" customHeight="1">
      <c r="A192" s="7"/>
      <c r="B192" s="7"/>
      <c r="C192" s="7">
        <f>(S192*'Prestige Patterns'!$B$20)/60</f>
        <v>95.5</v>
      </c>
      <c r="D192" s="8">
        <f>if(L191=L192,N191*'Prestige Patterns'!$B$20+D191-F192,0)</f>
        <v>1458194927</v>
      </c>
      <c r="E192" s="9">
        <f t="shared" si="2"/>
        <v>391</v>
      </c>
      <c r="F192" s="10">
        <f>'Prestige Patterns'!$B$5*('Prestige Patterns'!$B$6^E191-'Prestige Patterns'!$B$6^(E191+G192))/(1-'Prestige Patterns'!$B$6)</f>
        <v>1433676579</v>
      </c>
      <c r="G192" s="13">
        <f>floor(LOG('Prestige Patterns'!$B$6^(E191) - (D191*(1-'Prestige Patterns'!$B$6)/'Prestige Patterns'!$B$5),'Prestige Patterns'!$B$6)-E191,1)</f>
        <v>2</v>
      </c>
      <c r="H192" s="12">
        <f t="shared" si="3"/>
        <v>885</v>
      </c>
      <c r="I192" s="11">
        <f>1+H192*'Prestige Patterns'!$B$25</f>
        <v>9.85</v>
      </c>
      <c r="J192" s="12">
        <f>floor((K192/'Prestige Patterns'!$B$22)^'Prestige Patterns'!$B$23,1)-H191</f>
        <v>114</v>
      </c>
      <c r="K192" s="8">
        <f>K191+N191*'Prestige Patterns'!$B$20</f>
        <v>99928672320</v>
      </c>
      <c r="L192" s="8">
        <f>if(J191&gt;='Prestige Patterns'!$B$28,if(J191/(H191+1)&gt;('Prestige Patterns'!$B$27+1),L191+1,L191),L191)</f>
        <v>4</v>
      </c>
      <c r="N192" s="12">
        <f t="shared" si="1"/>
        <v>39437824</v>
      </c>
      <c r="O192" s="9">
        <f>'Prestige Patterns'!$B$4*E192</f>
        <v>7820</v>
      </c>
      <c r="P192" s="12">
        <f t="shared" si="4"/>
        <v>512</v>
      </c>
      <c r="Q192" s="11"/>
      <c r="R192" s="11"/>
      <c r="S192" s="9">
        <v>191.0</v>
      </c>
      <c r="T192" s="11"/>
    </row>
    <row r="193" ht="15.75" customHeight="1">
      <c r="A193" s="7"/>
      <c r="B193" s="7"/>
      <c r="C193" s="7">
        <f>(S193*'Prestige Patterns'!$B$20)/60</f>
        <v>96</v>
      </c>
      <c r="D193" s="8">
        <f>if(L192=L193,N192*'Prestige Patterns'!$B$20+D192-F193,0)</f>
        <v>1870291389</v>
      </c>
      <c r="E193" s="9">
        <f t="shared" si="2"/>
        <v>392</v>
      </c>
      <c r="F193" s="10">
        <f>'Prestige Patterns'!$B$5*('Prestige Patterns'!$B$6^E192-'Prestige Patterns'!$B$6^(E192+G193))/(1-'Prestige Patterns'!$B$6)</f>
        <v>771038257.8</v>
      </c>
      <c r="G193" s="13">
        <f>floor(LOG('Prestige Patterns'!$B$6^(E192) - (D192*(1-'Prestige Patterns'!$B$6)/'Prestige Patterns'!$B$5),'Prestige Patterns'!$B$6)-E192,1)</f>
        <v>1</v>
      </c>
      <c r="H193" s="12">
        <f t="shared" si="3"/>
        <v>885</v>
      </c>
      <c r="I193" s="11">
        <f>1+H193*'Prestige Patterns'!$B$25</f>
        <v>9.85</v>
      </c>
      <c r="J193" s="12">
        <f>floor((K193/'Prestige Patterns'!$B$22)^'Prestige Patterns'!$B$23,1)-H192</f>
        <v>120</v>
      </c>
      <c r="K193" s="8">
        <f>K192+N192*'Prestige Patterns'!$B$20</f>
        <v>101111807040</v>
      </c>
      <c r="L193" s="8">
        <f>if(J192&gt;='Prestige Patterns'!$B$28,if(J192/(H192+1)&gt;('Prestige Patterns'!$B$27+1),L192+1,L192),L192)</f>
        <v>4</v>
      </c>
      <c r="N193" s="12">
        <f t="shared" si="1"/>
        <v>39538688</v>
      </c>
      <c r="O193" s="9">
        <f>'Prestige Patterns'!$B$4*E193</f>
        <v>7840</v>
      </c>
      <c r="P193" s="12">
        <f t="shared" si="4"/>
        <v>512</v>
      </c>
      <c r="Q193" s="11"/>
      <c r="R193" s="11"/>
      <c r="S193" s="9">
        <v>192.0</v>
      </c>
      <c r="T193" s="11"/>
    </row>
    <row r="194" ht="15.75" customHeight="1">
      <c r="A194" s="7"/>
      <c r="B194" s="7"/>
      <c r="C194" s="7">
        <f>(S194*'Prestige Patterns'!$B$20)/60</f>
        <v>96.5</v>
      </c>
      <c r="D194" s="8">
        <f>if(L193=L194,N193*'Prestige Patterns'!$B$20+D193-F194,0)</f>
        <v>1396792179</v>
      </c>
      <c r="E194" s="9">
        <f t="shared" si="2"/>
        <v>394</v>
      </c>
      <c r="F194" s="10">
        <f>'Prestige Patterns'!$B$5*('Prestige Patterns'!$B$6^E193-'Prestige Patterns'!$B$6^(E193+G194))/(1-'Prestige Patterns'!$B$6)</f>
        <v>1659659850</v>
      </c>
      <c r="G194" s="13">
        <f>floor(LOG('Prestige Patterns'!$B$6^(E193) - (D193*(1-'Prestige Patterns'!$B$6)/'Prestige Patterns'!$B$5),'Prestige Patterns'!$B$6)-E193,1)</f>
        <v>2</v>
      </c>
      <c r="H194" s="12">
        <f t="shared" si="3"/>
        <v>885</v>
      </c>
      <c r="I194" s="11">
        <f>1+H194*'Prestige Patterns'!$B$25</f>
        <v>9.85</v>
      </c>
      <c r="J194" s="12">
        <f>floor((K194/'Prestige Patterns'!$B$22)^'Prestige Patterns'!$B$23,1)-H193</f>
        <v>126</v>
      </c>
      <c r="K194" s="8">
        <f>K193+N193*'Prestige Patterns'!$B$20</f>
        <v>102297967680</v>
      </c>
      <c r="L194" s="8">
        <f>if(J193&gt;='Prestige Patterns'!$B$28,if(J193/(H193+1)&gt;('Prestige Patterns'!$B$27+1),L193+1,L193),L193)</f>
        <v>4</v>
      </c>
      <c r="N194" s="12">
        <f t="shared" si="1"/>
        <v>39740416</v>
      </c>
      <c r="O194" s="9">
        <f>'Prestige Patterns'!$B$4*E194</f>
        <v>7880</v>
      </c>
      <c r="P194" s="12">
        <f t="shared" si="4"/>
        <v>512</v>
      </c>
      <c r="Q194" s="11"/>
      <c r="R194" s="11"/>
      <c r="S194" s="9">
        <v>193.0</v>
      </c>
      <c r="T194" s="11"/>
    </row>
    <row r="195" ht="15.75" customHeight="1">
      <c r="A195" s="7"/>
      <c r="B195" s="7"/>
      <c r="C195" s="7">
        <f>(S195*'Prestige Patterns'!$B$20)/60</f>
        <v>97</v>
      </c>
      <c r="D195" s="8">
        <f>if(L194=L195,N194*'Prestige Patterns'!$B$20+D194-F195,0)</f>
        <v>1696431496</v>
      </c>
      <c r="E195" s="9">
        <f t="shared" si="2"/>
        <v>395</v>
      </c>
      <c r="F195" s="10">
        <f>'Prestige Patterns'!$B$5*('Prestige Patterns'!$B$6^E194-'Prestige Patterns'!$B$6^(E194+G195))/(1-'Prestige Patterns'!$B$6)</f>
        <v>892573163.2</v>
      </c>
      <c r="G195" s="13">
        <f>floor(LOG('Prestige Patterns'!$B$6^(E194) - (D194*(1-'Prestige Patterns'!$B$6)/'Prestige Patterns'!$B$5),'Prestige Patterns'!$B$6)-E194,1)</f>
        <v>1</v>
      </c>
      <c r="H195" s="12">
        <f t="shared" si="3"/>
        <v>885</v>
      </c>
      <c r="I195" s="11">
        <f>1+H195*'Prestige Patterns'!$B$25</f>
        <v>9.85</v>
      </c>
      <c r="J195" s="12">
        <f>floor((K195/'Prestige Patterns'!$B$22)^'Prestige Patterns'!$B$23,1)-H194</f>
        <v>132</v>
      </c>
      <c r="K195" s="8">
        <f>K194+N194*'Prestige Patterns'!$B$20</f>
        <v>103490180160</v>
      </c>
      <c r="L195" s="8">
        <f>if(J194&gt;='Prestige Patterns'!$B$28,if(J194/(H194+1)&gt;('Prestige Patterns'!$B$27+1),L194+1,L194),L194)</f>
        <v>4</v>
      </c>
      <c r="N195" s="12">
        <f t="shared" si="1"/>
        <v>39841280</v>
      </c>
      <c r="O195" s="9">
        <f>'Prestige Patterns'!$B$4*E195</f>
        <v>7900</v>
      </c>
      <c r="P195" s="12">
        <f t="shared" si="4"/>
        <v>512</v>
      </c>
      <c r="Q195" s="11"/>
      <c r="R195" s="11"/>
      <c r="S195" s="9">
        <v>194.0</v>
      </c>
      <c r="T195" s="11"/>
    </row>
    <row r="196" ht="15.75" customHeight="1">
      <c r="A196" s="7"/>
      <c r="B196" s="7"/>
      <c r="C196" s="7">
        <f>(S196*'Prestige Patterns'!$B$20)/60</f>
        <v>97.5</v>
      </c>
      <c r="D196" s="8">
        <f>if(L195=L196,N195*'Prestige Patterns'!$B$20+D195-F196,0)</f>
        <v>1954468075</v>
      </c>
      <c r="E196" s="9">
        <f t="shared" si="2"/>
        <v>396</v>
      </c>
      <c r="F196" s="10">
        <f>'Prestige Patterns'!$B$5*('Prestige Patterns'!$B$6^E195-'Prestige Patterns'!$B$6^(E195+G196))/(1-'Prestige Patterns'!$B$6)</f>
        <v>937201821.4</v>
      </c>
      <c r="G196" s="13">
        <f>floor(LOG('Prestige Patterns'!$B$6^(E195) - (D195*(1-'Prestige Patterns'!$B$6)/'Prestige Patterns'!$B$5),'Prestige Patterns'!$B$6)-E195,1)</f>
        <v>1</v>
      </c>
      <c r="H196" s="12">
        <f t="shared" si="3"/>
        <v>885</v>
      </c>
      <c r="I196" s="11">
        <f>1+H196*'Prestige Patterns'!$B$25</f>
        <v>9.85</v>
      </c>
      <c r="J196" s="12">
        <f>floor((K196/'Prestige Patterns'!$B$22)^'Prestige Patterns'!$B$23,1)-H195</f>
        <v>138</v>
      </c>
      <c r="K196" s="8">
        <f>K195+N195*'Prestige Patterns'!$B$20</f>
        <v>104685418560</v>
      </c>
      <c r="L196" s="8">
        <f>if(J195&gt;='Prestige Patterns'!$B$28,if(J195/(H195+1)&gt;('Prestige Patterns'!$B$27+1),L195+1,L195),L195)</f>
        <v>4</v>
      </c>
      <c r="N196" s="12">
        <f t="shared" si="1"/>
        <v>39942144</v>
      </c>
      <c r="O196" s="9">
        <f>'Prestige Patterns'!$B$4*E196</f>
        <v>7920</v>
      </c>
      <c r="P196" s="12">
        <f t="shared" si="4"/>
        <v>512</v>
      </c>
      <c r="Q196" s="11"/>
      <c r="R196" s="11"/>
      <c r="S196" s="9">
        <v>195.0</v>
      </c>
      <c r="T196" s="11"/>
    </row>
    <row r="197" ht="15.75" customHeight="1">
      <c r="A197" s="7"/>
      <c r="B197" s="7"/>
      <c r="C197" s="7">
        <f>(S197*'Prestige Patterns'!$B$20)/60</f>
        <v>98</v>
      </c>
      <c r="D197" s="8">
        <f>if(L196=L197,N196*'Prestige Patterns'!$B$20+D196-F197,0)</f>
        <v>2168670482</v>
      </c>
      <c r="E197" s="9">
        <f t="shared" si="2"/>
        <v>397</v>
      </c>
      <c r="F197" s="10">
        <f>'Prestige Patterns'!$B$5*('Prestige Patterns'!$B$6^E196-'Prestige Patterns'!$B$6^(E196+G197))/(1-'Prestige Patterns'!$B$6)</f>
        <v>984061912.5</v>
      </c>
      <c r="G197" s="13">
        <f>floor(LOG('Prestige Patterns'!$B$6^(E196) - (D196*(1-'Prestige Patterns'!$B$6)/'Prestige Patterns'!$B$5),'Prestige Patterns'!$B$6)-E196,1)</f>
        <v>1</v>
      </c>
      <c r="H197" s="12">
        <f t="shared" si="3"/>
        <v>885</v>
      </c>
      <c r="I197" s="11">
        <f>1+H197*'Prestige Patterns'!$B$25</f>
        <v>9.85</v>
      </c>
      <c r="J197" s="12">
        <f>floor((K197/'Prestige Patterns'!$B$22)^'Prestige Patterns'!$B$23,1)-H196</f>
        <v>143</v>
      </c>
      <c r="K197" s="8">
        <f>K196+N196*'Prestige Patterns'!$B$20</f>
        <v>105883682880</v>
      </c>
      <c r="L197" s="8">
        <f>if(J196&gt;='Prestige Patterns'!$B$28,if(J196/(H196+1)&gt;('Prestige Patterns'!$B$27+1),L196+1,L196),L196)</f>
        <v>4</v>
      </c>
      <c r="N197" s="12">
        <f t="shared" si="1"/>
        <v>40043008</v>
      </c>
      <c r="O197" s="9">
        <f>'Prestige Patterns'!$B$4*E197</f>
        <v>7940</v>
      </c>
      <c r="P197" s="12">
        <f t="shared" si="4"/>
        <v>512</v>
      </c>
      <c r="Q197" s="11"/>
      <c r="R197" s="11"/>
      <c r="S197" s="9">
        <v>196.0</v>
      </c>
      <c r="T197" s="11"/>
    </row>
    <row r="198" ht="15.75" customHeight="1">
      <c r="A198" s="7"/>
      <c r="B198" s="7"/>
      <c r="C198" s="7">
        <f>(S198*'Prestige Patterns'!$B$20)/60</f>
        <v>98.5</v>
      </c>
      <c r="D198" s="8">
        <f>if(L197=L198,N197*'Prestige Patterns'!$B$20+D197-F198,0)</f>
        <v>1251767456</v>
      </c>
      <c r="E198" s="9">
        <f t="shared" si="2"/>
        <v>399</v>
      </c>
      <c r="F198" s="10">
        <f>'Prestige Patterns'!$B$5*('Prestige Patterns'!$B$6^E197-'Prestige Patterns'!$B$6^(E197+G198))/(1-'Prestige Patterns'!$B$6)</f>
        <v>2118193267</v>
      </c>
      <c r="G198" s="13">
        <f>floor(LOG('Prestige Patterns'!$B$6^(E197) - (D197*(1-'Prestige Patterns'!$B$6)/'Prestige Patterns'!$B$5),'Prestige Patterns'!$B$6)-E197,1)</f>
        <v>2</v>
      </c>
      <c r="H198" s="12">
        <f t="shared" si="3"/>
        <v>885</v>
      </c>
      <c r="I198" s="11">
        <f>1+H198*'Prestige Patterns'!$B$25</f>
        <v>9.85</v>
      </c>
      <c r="J198" s="12">
        <f>floor((K198/'Prestige Patterns'!$B$22)^'Prestige Patterns'!$B$23,1)-H197</f>
        <v>149</v>
      </c>
      <c r="K198" s="8">
        <f>K197+N197*'Prestige Patterns'!$B$20</f>
        <v>107084973120</v>
      </c>
      <c r="L198" s="8">
        <f>if(J197&gt;='Prestige Patterns'!$B$28,if(J197/(H197+1)&gt;('Prestige Patterns'!$B$27+1),L197+1,L197),L197)</f>
        <v>4</v>
      </c>
      <c r="N198" s="12">
        <f t="shared" si="1"/>
        <v>40244736</v>
      </c>
      <c r="O198" s="9">
        <f>'Prestige Patterns'!$B$4*E198</f>
        <v>7980</v>
      </c>
      <c r="P198" s="12">
        <f t="shared" si="4"/>
        <v>512</v>
      </c>
      <c r="Q198" s="11"/>
      <c r="R198" s="11"/>
      <c r="S198" s="9">
        <v>197.0</v>
      </c>
      <c r="T198" s="11"/>
    </row>
    <row r="199" ht="15.75" customHeight="1">
      <c r="A199" s="7"/>
      <c r="B199" s="7"/>
      <c r="C199" s="7">
        <f>(S199*'Prestige Patterns'!$B$20)/60</f>
        <v>99</v>
      </c>
      <c r="D199" s="8">
        <f>if(L198=L199,N198*'Prestige Patterns'!$B$20+D198-F199,0)</f>
        <v>1319934864</v>
      </c>
      <c r="E199" s="9">
        <f t="shared" si="2"/>
        <v>400</v>
      </c>
      <c r="F199" s="10">
        <f>'Prestige Patterns'!$B$5*('Prestige Patterns'!$B$6^E198-'Prestige Patterns'!$B$6^(E198+G199))/(1-'Prestige Patterns'!$B$6)</f>
        <v>1139174671</v>
      </c>
      <c r="G199" s="13">
        <f>floor(LOG('Prestige Patterns'!$B$6^(E198) - (D198*(1-'Prestige Patterns'!$B$6)/'Prestige Patterns'!$B$5),'Prestige Patterns'!$B$6)-E198,1)</f>
        <v>1</v>
      </c>
      <c r="H199" s="12">
        <f t="shared" si="3"/>
        <v>885</v>
      </c>
      <c r="I199" s="11">
        <f>1+H199*'Prestige Patterns'!$B$25</f>
        <v>9.85</v>
      </c>
      <c r="J199" s="12">
        <f>floor((K199/'Prestige Patterns'!$B$22)^'Prestige Patterns'!$B$23,1)-H198</f>
        <v>155</v>
      </c>
      <c r="K199" s="8">
        <f>K198+N198*'Prestige Patterns'!$B$20</f>
        <v>108292315200</v>
      </c>
      <c r="L199" s="8">
        <f>if(J198&gt;='Prestige Patterns'!$B$28,if(J198/(H198+1)&gt;('Prestige Patterns'!$B$27+1),L198+1,L198),L198)</f>
        <v>4</v>
      </c>
      <c r="N199" s="12">
        <f t="shared" si="1"/>
        <v>322764800</v>
      </c>
      <c r="O199" s="9">
        <f>'Prestige Patterns'!$B$4*E199</f>
        <v>8000</v>
      </c>
      <c r="P199" s="12">
        <f t="shared" si="4"/>
        <v>4096</v>
      </c>
      <c r="Q199" s="11"/>
      <c r="R199" s="11"/>
      <c r="S199" s="9">
        <v>198.0</v>
      </c>
      <c r="T199" s="11"/>
    </row>
    <row r="200" ht="15.75" customHeight="1">
      <c r="A200" s="7"/>
      <c r="B200" s="7"/>
      <c r="C200" s="7">
        <f>(S200*'Prestige Patterns'!$B$20)/60</f>
        <v>99.5</v>
      </c>
      <c r="D200" s="8">
        <f>if(L199=L200,N199*'Prestige Patterns'!$B$20+D199-F200,0)</f>
        <v>9806745459</v>
      </c>
      <c r="E200" s="9">
        <f t="shared" si="2"/>
        <v>401</v>
      </c>
      <c r="F200" s="10">
        <f>'Prestige Patterns'!$B$5*('Prestige Patterns'!$B$6^E199-'Prestige Patterns'!$B$6^(E199+G200))/(1-'Prestige Patterns'!$B$6)</f>
        <v>1196133405</v>
      </c>
      <c r="G200" s="13">
        <f>floor(LOG('Prestige Patterns'!$B$6^(E199) - (D199*(1-'Prestige Patterns'!$B$6)/'Prestige Patterns'!$B$5),'Prestige Patterns'!$B$6)-E199,1)</f>
        <v>1</v>
      </c>
      <c r="H200" s="12">
        <f t="shared" si="3"/>
        <v>885</v>
      </c>
      <c r="I200" s="11">
        <f>1+H200*'Prestige Patterns'!$B$25</f>
        <v>9.85</v>
      </c>
      <c r="J200" s="12">
        <f>floor((K200/'Prestige Patterns'!$B$22)^'Prestige Patterns'!$B$23,1)-H199</f>
        <v>201</v>
      </c>
      <c r="K200" s="8">
        <f>K199+N199*'Prestige Patterns'!$B$20</f>
        <v>117975259200</v>
      </c>
      <c r="L200" s="8">
        <f>if(J199&gt;='Prestige Patterns'!$B$28,if(J199/(H199+1)&gt;('Prestige Patterns'!$B$27+1),L199+1,L199),L199)</f>
        <v>4</v>
      </c>
      <c r="N200" s="12">
        <f t="shared" si="1"/>
        <v>323571712</v>
      </c>
      <c r="O200" s="9">
        <f>'Prestige Patterns'!$B$4*E200</f>
        <v>8020</v>
      </c>
      <c r="P200" s="12">
        <f t="shared" si="4"/>
        <v>4096</v>
      </c>
      <c r="Q200" s="11"/>
      <c r="R200" s="11"/>
      <c r="S200" s="9">
        <v>199.0</v>
      </c>
      <c r="T200" s="11"/>
    </row>
    <row r="201" ht="15.75" customHeight="1">
      <c r="A201" s="7"/>
      <c r="B201" s="7"/>
      <c r="C201" s="7">
        <f>(S201*'Prestige Patterns'!$B$20)/60</f>
        <v>100</v>
      </c>
      <c r="D201" s="8">
        <f>if(L200=L201,N200*'Prestige Patterns'!$B$20+D200-F201,0)</f>
        <v>10971101930</v>
      </c>
      <c r="E201" s="9">
        <f t="shared" si="2"/>
        <v>407</v>
      </c>
      <c r="F201" s="10">
        <f>'Prestige Patterns'!$B$5*('Prestige Patterns'!$B$6^E200-'Prestige Patterns'!$B$6^(E200+G201))/(1-'Prestige Patterns'!$B$6)</f>
        <v>8542794890</v>
      </c>
      <c r="G201" s="13">
        <f>floor(LOG('Prestige Patterns'!$B$6^(E200) - (D200*(1-'Prestige Patterns'!$B$6)/'Prestige Patterns'!$B$5),'Prestige Patterns'!$B$6)-E200,1)</f>
        <v>6</v>
      </c>
      <c r="H201" s="12">
        <f t="shared" si="3"/>
        <v>885</v>
      </c>
      <c r="I201" s="11">
        <f>1+H201*'Prestige Patterns'!$B$25</f>
        <v>9.85</v>
      </c>
      <c r="J201" s="12">
        <f>floor((K201/'Prestige Patterns'!$B$22)^'Prestige Patterns'!$B$23,1)-H200</f>
        <v>244</v>
      </c>
      <c r="K201" s="8">
        <f>K200+N200*'Prestige Patterns'!$B$20</f>
        <v>127682410560</v>
      </c>
      <c r="L201" s="8">
        <f>if(J200&gt;='Prestige Patterns'!$B$28,if(J200/(H200+1)&gt;('Prestige Patterns'!$B$27+1),L200+1,L200),L200)</f>
        <v>4</v>
      </c>
      <c r="N201" s="12">
        <f t="shared" si="1"/>
        <v>328413184</v>
      </c>
      <c r="O201" s="9">
        <f>'Prestige Patterns'!$B$4*E201</f>
        <v>8140</v>
      </c>
      <c r="P201" s="12">
        <f t="shared" si="4"/>
        <v>4096</v>
      </c>
      <c r="Q201" s="11"/>
      <c r="R201" s="11"/>
      <c r="S201" s="9">
        <v>200.0</v>
      </c>
      <c r="T201" s="11"/>
    </row>
    <row r="202" ht="15.75" customHeight="1">
      <c r="A202" s="7"/>
      <c r="B202" s="7"/>
      <c r="C202" s="7">
        <f>(S202*'Prestige Patterns'!$B$20)/60</f>
        <v>100.5</v>
      </c>
      <c r="D202" s="8">
        <f>if(L201=L202,N201*'Prestige Patterns'!$B$20+D201-F202,0)</f>
        <v>11523419001</v>
      </c>
      <c r="E202" s="9">
        <f t="shared" si="2"/>
        <v>412</v>
      </c>
      <c r="F202" s="10">
        <f>'Prestige Patterns'!$B$5*('Prestige Patterns'!$B$6^E201-'Prestige Patterns'!$B$6^(E201+G202))/(1-'Prestige Patterns'!$B$6)</f>
        <v>9300078448</v>
      </c>
      <c r="G202" s="13">
        <f>floor(LOG('Prestige Patterns'!$B$6^(E201) - (D201*(1-'Prestige Patterns'!$B$6)/'Prestige Patterns'!$B$5),'Prestige Patterns'!$B$6)-E201,1)</f>
        <v>5</v>
      </c>
      <c r="H202" s="12">
        <f t="shared" si="3"/>
        <v>885</v>
      </c>
      <c r="I202" s="11">
        <f>1+H202*'Prestige Patterns'!$B$25</f>
        <v>9.85</v>
      </c>
      <c r="J202" s="12">
        <f>floor((K202/'Prestige Patterns'!$B$22)^'Prestige Patterns'!$B$23,1)-H201</f>
        <v>287</v>
      </c>
      <c r="K202" s="8">
        <f>K201+N201*'Prestige Patterns'!$B$20</f>
        <v>137534806080</v>
      </c>
      <c r="L202" s="8">
        <f>if(J201&gt;='Prestige Patterns'!$B$28,if(J201/(H201+1)&gt;('Prestige Patterns'!$B$27+1),L201+1,L201),L201)</f>
        <v>4</v>
      </c>
      <c r="N202" s="12">
        <f t="shared" si="1"/>
        <v>332447744</v>
      </c>
      <c r="O202" s="9">
        <f>'Prestige Patterns'!$B$4*E202</f>
        <v>8240</v>
      </c>
      <c r="P202" s="12">
        <f t="shared" si="4"/>
        <v>4096</v>
      </c>
      <c r="Q202" s="11"/>
      <c r="R202" s="11"/>
      <c r="S202" s="9">
        <v>201.0</v>
      </c>
      <c r="T202" s="11"/>
    </row>
    <row r="203" ht="15.75" customHeight="1">
      <c r="A203" s="7"/>
      <c r="B203" s="7"/>
      <c r="C203" s="7">
        <f>(S203*'Prestige Patterns'!$B$20)/60</f>
        <v>101</v>
      </c>
      <c r="D203" s="8">
        <f>if(L202=L203,N202*'Prestige Patterns'!$B$20+D202-F203,0)</f>
        <v>12238341882</v>
      </c>
      <c r="E203" s="9">
        <f t="shared" si="2"/>
        <v>416</v>
      </c>
      <c r="F203" s="10">
        <f>'Prestige Patterns'!$B$5*('Prestige Patterns'!$B$6^E202-'Prestige Patterns'!$B$6^(E202+G203))/(1-'Prestige Patterns'!$B$6)</f>
        <v>9258509439</v>
      </c>
      <c r="G203" s="13">
        <f>floor(LOG('Prestige Patterns'!$B$6^(E202) - (D202*(1-'Prestige Patterns'!$B$6)/'Prestige Patterns'!$B$5),'Prestige Patterns'!$B$6)-E202,1)</f>
        <v>4</v>
      </c>
      <c r="H203" s="12">
        <f t="shared" si="3"/>
        <v>885</v>
      </c>
      <c r="I203" s="11">
        <f>1+H203*'Prestige Patterns'!$B$25</f>
        <v>9.85</v>
      </c>
      <c r="J203" s="12">
        <f>floor((K203/'Prestige Patterns'!$B$22)^'Prestige Patterns'!$B$23,1)-H202</f>
        <v>329</v>
      </c>
      <c r="K203" s="8">
        <f>K202+N202*'Prestige Patterns'!$B$20</f>
        <v>147508238400</v>
      </c>
      <c r="L203" s="8">
        <f>if(J202&gt;='Prestige Patterns'!$B$28,if(J202/(H202+1)&gt;('Prestige Patterns'!$B$27+1),L202+1,L202),L202)</f>
        <v>4</v>
      </c>
      <c r="N203" s="12">
        <f t="shared" si="1"/>
        <v>335675392</v>
      </c>
      <c r="O203" s="9">
        <f>'Prestige Patterns'!$B$4*E203</f>
        <v>8320</v>
      </c>
      <c r="P203" s="12">
        <f t="shared" si="4"/>
        <v>4096</v>
      </c>
      <c r="Q203" s="11"/>
      <c r="R203" s="11"/>
      <c r="S203" s="9">
        <v>202.0</v>
      </c>
      <c r="T203" s="11"/>
    </row>
    <row r="204" ht="15.75" customHeight="1">
      <c r="A204" s="7"/>
      <c r="B204" s="7"/>
      <c r="C204" s="7">
        <f>(S204*'Prestige Patterns'!$B$20)/60</f>
        <v>101.5</v>
      </c>
      <c r="D204" s="8">
        <f>if(L203=L204,N203*'Prestige Patterns'!$B$20+D203-F204,0)</f>
        <v>11054827554</v>
      </c>
      <c r="E204" s="9">
        <f t="shared" si="2"/>
        <v>420</v>
      </c>
      <c r="F204" s="10">
        <f>'Prestige Patterns'!$B$5*('Prestige Patterns'!$B$6^E203-'Prestige Patterns'!$B$6^(E203+G204))/(1-'Prestige Patterns'!$B$6)</f>
        <v>11253776089</v>
      </c>
      <c r="G204" s="13">
        <f>floor(LOG('Prestige Patterns'!$B$6^(E203) - (D203*(1-'Prestige Patterns'!$B$6)/'Prestige Patterns'!$B$5),'Prestige Patterns'!$B$6)-E203,1)</f>
        <v>4</v>
      </c>
      <c r="H204" s="12">
        <f t="shared" si="3"/>
        <v>885</v>
      </c>
      <c r="I204" s="11">
        <f>1+H204*'Prestige Patterns'!$B$25</f>
        <v>9.85</v>
      </c>
      <c r="J204" s="12">
        <f>floor((K204/'Prestige Patterns'!$B$22)^'Prestige Patterns'!$B$23,1)-H203</f>
        <v>370</v>
      </c>
      <c r="K204" s="8">
        <f>K203+N203*'Prestige Patterns'!$B$20</f>
        <v>157578500160</v>
      </c>
      <c r="L204" s="8">
        <f>if(J203&gt;='Prestige Patterns'!$B$28,if(J203/(H203+1)&gt;('Prestige Patterns'!$B$27+1),L203+1,L203),L203)</f>
        <v>4</v>
      </c>
      <c r="N204" s="12">
        <f t="shared" si="1"/>
        <v>338903040</v>
      </c>
      <c r="O204" s="9">
        <f>'Prestige Patterns'!$B$4*E204</f>
        <v>8400</v>
      </c>
      <c r="P204" s="12">
        <f t="shared" si="4"/>
        <v>4096</v>
      </c>
      <c r="Q204" s="11"/>
      <c r="R204" s="11"/>
      <c r="S204" s="9">
        <v>203.0</v>
      </c>
      <c r="T204" s="11"/>
    </row>
    <row r="205" ht="15.75" customHeight="1">
      <c r="A205" s="7"/>
      <c r="B205" s="7"/>
      <c r="C205" s="7">
        <f>(S205*'Prestige Patterns'!$B$20)/60</f>
        <v>102</v>
      </c>
      <c r="D205" s="8">
        <f>if(L204=L205,N204*'Prestige Patterns'!$B$20+D204-F205,0)</f>
        <v>11216835750</v>
      </c>
      <c r="E205" s="9">
        <f t="shared" si="2"/>
        <v>423</v>
      </c>
      <c r="F205" s="10">
        <f>'Prestige Patterns'!$B$5*('Prestige Patterns'!$B$6^E204-'Prestige Patterns'!$B$6^(E204+G205))/(1-'Prestige Patterns'!$B$6)</f>
        <v>10005083003</v>
      </c>
      <c r="G205" s="13">
        <f>floor(LOG('Prestige Patterns'!$B$6^(E204) - (D204*(1-'Prestige Patterns'!$B$6)/'Prestige Patterns'!$B$5),'Prestige Patterns'!$B$6)-E204,1)</f>
        <v>3</v>
      </c>
      <c r="H205" s="12">
        <f t="shared" si="3"/>
        <v>885</v>
      </c>
      <c r="I205" s="11">
        <f>1+H205*'Prestige Patterns'!$B$25</f>
        <v>9.85</v>
      </c>
      <c r="J205" s="12">
        <f>floor((K205/'Prestige Patterns'!$B$22)^'Prestige Patterns'!$B$23,1)-H204</f>
        <v>410</v>
      </c>
      <c r="K205" s="8">
        <f>K204+N204*'Prestige Patterns'!$B$20</f>
        <v>167745591360</v>
      </c>
      <c r="L205" s="8">
        <f>if(J204&gt;='Prestige Patterns'!$B$28,if(J204/(H204+1)&gt;('Prestige Patterns'!$B$27+1),L204+1,L204),L204)</f>
        <v>4</v>
      </c>
      <c r="N205" s="12">
        <f t="shared" si="1"/>
        <v>341323776</v>
      </c>
      <c r="O205" s="9">
        <f>'Prestige Patterns'!$B$4*E205</f>
        <v>8460</v>
      </c>
      <c r="P205" s="12">
        <f t="shared" si="4"/>
        <v>4096</v>
      </c>
      <c r="Q205" s="11"/>
      <c r="R205" s="11"/>
      <c r="S205" s="9">
        <v>204.0</v>
      </c>
      <c r="T205" s="11"/>
    </row>
    <row r="206" ht="15.75" customHeight="1">
      <c r="A206" s="7"/>
      <c r="B206" s="7"/>
      <c r="C206" s="7">
        <f>(S206*'Prestige Patterns'!$B$20)/60</f>
        <v>102.5</v>
      </c>
      <c r="D206" s="8">
        <f>if(L205=L206,N205*'Prestige Patterns'!$B$20+D205-F206,0)</f>
        <v>13924947084</v>
      </c>
      <c r="E206" s="9">
        <f t="shared" si="2"/>
        <v>425</v>
      </c>
      <c r="F206" s="10">
        <f>'Prestige Patterns'!$B$5*('Prestige Patterns'!$B$6^E205-'Prestige Patterns'!$B$6^(E205+G206))/(1-'Prestige Patterns'!$B$6)</f>
        <v>7531601946</v>
      </c>
      <c r="G206" s="13">
        <f>floor(LOG('Prestige Patterns'!$B$6^(E205) - (D205*(1-'Prestige Patterns'!$B$6)/'Prestige Patterns'!$B$5),'Prestige Patterns'!$B$6)-E205,1)</f>
        <v>2</v>
      </c>
      <c r="H206" s="12">
        <f t="shared" si="3"/>
        <v>885</v>
      </c>
      <c r="I206" s="11">
        <f>1+H206*'Prestige Patterns'!$B$25</f>
        <v>9.85</v>
      </c>
      <c r="J206" s="12">
        <f>floor((K206/'Prestige Patterns'!$B$22)^'Prestige Patterns'!$B$23,1)-H205</f>
        <v>449</v>
      </c>
      <c r="K206" s="8">
        <f>K205+N205*'Prestige Patterns'!$B$20</f>
        <v>177985304640</v>
      </c>
      <c r="L206" s="8">
        <f>if(J205&gt;='Prestige Patterns'!$B$28,if(J205/(H205+1)&gt;('Prestige Patterns'!$B$27+1),L205+1,L205),L205)</f>
        <v>4</v>
      </c>
      <c r="N206" s="12">
        <f t="shared" si="1"/>
        <v>342937600</v>
      </c>
      <c r="O206" s="9">
        <f>'Prestige Patterns'!$B$4*E206</f>
        <v>8500</v>
      </c>
      <c r="P206" s="12">
        <f t="shared" si="4"/>
        <v>4096</v>
      </c>
      <c r="Q206" s="11"/>
      <c r="R206" s="11"/>
      <c r="S206" s="9">
        <v>205.0</v>
      </c>
      <c r="T206" s="11"/>
    </row>
    <row r="207" ht="15.75" customHeight="1">
      <c r="A207" s="7"/>
      <c r="B207" s="7"/>
      <c r="C207" s="7">
        <f>(S207*'Prestige Patterns'!$B$20)/60</f>
        <v>103</v>
      </c>
      <c r="D207" s="8">
        <f>if(L206=L207,N206*'Prestige Patterns'!$B$20+D206-F207,0)</f>
        <v>11443772116</v>
      </c>
      <c r="E207" s="9">
        <f t="shared" si="2"/>
        <v>428</v>
      </c>
      <c r="F207" s="10">
        <f>'Prestige Patterns'!$B$5*('Prestige Patterns'!$B$6^E206-'Prestige Patterns'!$B$6^(E206+G207))/(1-'Prestige Patterns'!$B$6)</f>
        <v>12769302969</v>
      </c>
      <c r="G207" s="13">
        <f>floor(LOG('Prestige Patterns'!$B$6^(E206) - (D206*(1-'Prestige Patterns'!$B$6)/'Prestige Patterns'!$B$5),'Prestige Patterns'!$B$6)-E206,1)</f>
        <v>3</v>
      </c>
      <c r="H207" s="12">
        <f t="shared" si="3"/>
        <v>885</v>
      </c>
      <c r="I207" s="11">
        <f>1+H207*'Prestige Patterns'!$B$25</f>
        <v>9.85</v>
      </c>
      <c r="J207" s="12">
        <f>floor((K207/'Prestige Patterns'!$B$22)^'Prestige Patterns'!$B$23,1)-H206</f>
        <v>487</v>
      </c>
      <c r="K207" s="8">
        <f>K206+N206*'Prestige Patterns'!$B$20</f>
        <v>188273432640</v>
      </c>
      <c r="L207" s="8">
        <f>if(J206&gt;='Prestige Patterns'!$B$28,if(J206/(H206+1)&gt;('Prestige Patterns'!$B$27+1),L206+1,L206),L206)</f>
        <v>4</v>
      </c>
      <c r="N207" s="12">
        <f t="shared" si="1"/>
        <v>345358336</v>
      </c>
      <c r="O207" s="9">
        <f>'Prestige Patterns'!$B$4*E207</f>
        <v>8560</v>
      </c>
      <c r="P207" s="12">
        <f t="shared" si="4"/>
        <v>4096</v>
      </c>
      <c r="Q207" s="11"/>
      <c r="R207" s="11"/>
      <c r="S207" s="9">
        <v>206.0</v>
      </c>
      <c r="T207" s="11"/>
    </row>
    <row r="208" ht="15.75" customHeight="1">
      <c r="A208" s="7"/>
      <c r="B208" s="7"/>
      <c r="C208" s="7">
        <f>(S208*'Prestige Patterns'!$B$20)/60</f>
        <v>103.5</v>
      </c>
      <c r="D208" s="8">
        <f>if(L207=L208,N207*'Prestige Patterns'!$B$20+D207-F208,0)</f>
        <v>12192077496</v>
      </c>
      <c r="E208" s="9">
        <f t="shared" si="2"/>
        <v>430</v>
      </c>
      <c r="F208" s="10">
        <f>'Prestige Patterns'!$B$5*('Prestige Patterns'!$B$6^E207-'Prestige Patterns'!$B$6^(E207+G208))/(1-'Prestige Patterns'!$B$6)</f>
        <v>9612444700</v>
      </c>
      <c r="G208" s="13">
        <f>floor(LOG('Prestige Patterns'!$B$6^(E207) - (D207*(1-'Prestige Patterns'!$B$6)/'Prestige Patterns'!$B$5),'Prestige Patterns'!$B$6)-E207,1)</f>
        <v>2</v>
      </c>
      <c r="H208" s="12">
        <f t="shared" si="3"/>
        <v>885</v>
      </c>
      <c r="I208" s="11">
        <f>1+H208*'Prestige Patterns'!$B$25</f>
        <v>9.85</v>
      </c>
      <c r="J208" s="12">
        <f>floor((K208/'Prestige Patterns'!$B$22)^'Prestige Patterns'!$B$23,1)-H207</f>
        <v>524</v>
      </c>
      <c r="K208" s="8">
        <f>K207+N207*'Prestige Patterns'!$B$20</f>
        <v>198634182720</v>
      </c>
      <c r="L208" s="8">
        <f>if(J207&gt;='Prestige Patterns'!$B$28,if(J207/(H207+1)&gt;('Prestige Patterns'!$B$27+1),L207+1,L207),L207)</f>
        <v>4</v>
      </c>
      <c r="N208" s="12">
        <f t="shared" si="1"/>
        <v>346972160</v>
      </c>
      <c r="O208" s="9">
        <f>'Prestige Patterns'!$B$4*E208</f>
        <v>8600</v>
      </c>
      <c r="P208" s="12">
        <f t="shared" si="4"/>
        <v>4096</v>
      </c>
      <c r="Q208" s="11"/>
      <c r="R208" s="11"/>
      <c r="S208" s="9">
        <v>207.0</v>
      </c>
      <c r="T208" s="11"/>
    </row>
    <row r="209" ht="15.75" customHeight="1">
      <c r="A209" s="7"/>
      <c r="B209" s="7"/>
      <c r="C209" s="7">
        <f>(S209*'Prestige Patterns'!$B$20)/60</f>
        <v>104</v>
      </c>
      <c r="D209" s="8">
        <f>if(L208=L209,N208*'Prestige Patterns'!$B$20+D208-F209,0)</f>
        <v>12003522015</v>
      </c>
      <c r="E209" s="9">
        <f t="shared" si="2"/>
        <v>432</v>
      </c>
      <c r="F209" s="10">
        <f>'Prestige Patterns'!$B$5*('Prestige Patterns'!$B$6^E208-'Prestige Patterns'!$B$6^(E208+G209))/(1-'Prestige Patterns'!$B$6)</f>
        <v>10597720281</v>
      </c>
      <c r="G209" s="13">
        <f>floor(LOG('Prestige Patterns'!$B$6^(E208) - (D208*(1-'Prestige Patterns'!$B$6)/'Prestige Patterns'!$B$5),'Prestige Patterns'!$B$6)-E208,1)</f>
        <v>2</v>
      </c>
      <c r="H209" s="12">
        <f t="shared" si="3"/>
        <v>885</v>
      </c>
      <c r="I209" s="11">
        <f>1+H209*'Prestige Patterns'!$B$25</f>
        <v>9.85</v>
      </c>
      <c r="J209" s="12">
        <f>floor((K209/'Prestige Patterns'!$B$22)^'Prestige Patterns'!$B$23,1)-H208</f>
        <v>560</v>
      </c>
      <c r="K209" s="8">
        <f>K208+N208*'Prestige Patterns'!$B$20</f>
        <v>209043347520</v>
      </c>
      <c r="L209" s="8">
        <f>if(J208&gt;='Prestige Patterns'!$B$28,if(J208/(H208+1)&gt;('Prestige Patterns'!$B$27+1),L208+1,L208),L208)</f>
        <v>4</v>
      </c>
      <c r="N209" s="12">
        <f t="shared" si="1"/>
        <v>348585984</v>
      </c>
      <c r="O209" s="9">
        <f>'Prestige Patterns'!$B$4*E209</f>
        <v>8640</v>
      </c>
      <c r="P209" s="12">
        <f t="shared" si="4"/>
        <v>4096</v>
      </c>
      <c r="Q209" s="11"/>
      <c r="R209" s="11"/>
      <c r="S209" s="9">
        <v>208.0</v>
      </c>
      <c r="T209" s="11"/>
    </row>
    <row r="210" ht="15.75" customHeight="1">
      <c r="A210" s="7"/>
      <c r="B210" s="7"/>
      <c r="C210" s="7">
        <f>(S210*'Prestige Patterns'!$B$20)/60</f>
        <v>104.5</v>
      </c>
      <c r="D210" s="8">
        <f>if(L209=L210,N209*'Prestige Patterns'!$B$20+D209-F210,0)</f>
        <v>10777114925</v>
      </c>
      <c r="E210" s="9">
        <f t="shared" si="2"/>
        <v>434</v>
      </c>
      <c r="F210" s="10">
        <f>'Prestige Patterns'!$B$5*('Prestige Patterns'!$B$6^E209-'Prestige Patterns'!$B$6^(E209+G210))/(1-'Prestige Patterns'!$B$6)</f>
        <v>11683986610</v>
      </c>
      <c r="G210" s="13">
        <f>floor(LOG('Prestige Patterns'!$B$6^(E209) - (D209*(1-'Prestige Patterns'!$B$6)/'Prestige Patterns'!$B$5),'Prestige Patterns'!$B$6)-E209,1)</f>
        <v>2</v>
      </c>
      <c r="H210" s="12">
        <f t="shared" si="3"/>
        <v>885</v>
      </c>
      <c r="I210" s="11">
        <f>1+H210*'Prestige Patterns'!$B$25</f>
        <v>9.85</v>
      </c>
      <c r="J210" s="12">
        <f>floor((K210/'Prestige Patterns'!$B$22)^'Prestige Patterns'!$B$23,1)-H209</f>
        <v>596</v>
      </c>
      <c r="K210" s="8">
        <f>K209+N209*'Prestige Patterns'!$B$20</f>
        <v>219500927040</v>
      </c>
      <c r="L210" s="8">
        <f>if(J209&gt;='Prestige Patterns'!$B$28,if(J209/(H209+1)&gt;('Prestige Patterns'!$B$27+1),L209+1,L209),L209)</f>
        <v>4</v>
      </c>
      <c r="N210" s="12">
        <f t="shared" si="1"/>
        <v>350199808</v>
      </c>
      <c r="O210" s="9">
        <f>'Prestige Patterns'!$B$4*E210</f>
        <v>8680</v>
      </c>
      <c r="P210" s="12">
        <f t="shared" si="4"/>
        <v>4096</v>
      </c>
      <c r="Q210" s="11"/>
      <c r="R210" s="11"/>
      <c r="S210" s="9">
        <v>209.0</v>
      </c>
      <c r="T210" s="11"/>
    </row>
    <row r="211" ht="15.75" customHeight="1">
      <c r="A211" s="7"/>
      <c r="B211" s="7"/>
      <c r="C211" s="7">
        <f>(S211*'Prestige Patterns'!$B$20)/60</f>
        <v>105</v>
      </c>
      <c r="D211" s="8">
        <f>if(L210=L211,N210*'Prestige Patterns'!$B$20+D210-F211,0)</f>
        <v>14999404171</v>
      </c>
      <c r="E211" s="9">
        <f t="shared" si="2"/>
        <v>435</v>
      </c>
      <c r="F211" s="10">
        <f>'Prestige Patterns'!$B$5*('Prestige Patterns'!$B$6^E210-'Prestige Patterns'!$B$6^(E210+G211))/(1-'Prestige Patterns'!$B$6)</f>
        <v>6283704994</v>
      </c>
      <c r="G211" s="13">
        <f>floor(LOG('Prestige Patterns'!$B$6^(E210) - (D210*(1-'Prestige Patterns'!$B$6)/'Prestige Patterns'!$B$5),'Prestige Patterns'!$B$6)-E210,1)</f>
        <v>1</v>
      </c>
      <c r="H211" s="12">
        <f t="shared" si="3"/>
        <v>885</v>
      </c>
      <c r="I211" s="11">
        <f>1+H211*'Prestige Patterns'!$B$25</f>
        <v>9.85</v>
      </c>
      <c r="J211" s="12">
        <f>floor((K211/'Prestige Patterns'!$B$22)^'Prestige Patterns'!$B$23,1)-H210</f>
        <v>631</v>
      </c>
      <c r="K211" s="8">
        <f>K210+N210*'Prestige Patterns'!$B$20</f>
        <v>230006921280</v>
      </c>
      <c r="L211" s="8">
        <f>if(J210&gt;='Prestige Patterns'!$B$28,if(J210/(H210+1)&gt;('Prestige Patterns'!$B$27+1),L210+1,L210),L210)</f>
        <v>4</v>
      </c>
      <c r="N211" s="12">
        <f t="shared" si="1"/>
        <v>351006720</v>
      </c>
      <c r="O211" s="9">
        <f>'Prestige Patterns'!$B$4*E211</f>
        <v>8700</v>
      </c>
      <c r="P211" s="12">
        <f t="shared" si="4"/>
        <v>4096</v>
      </c>
      <c r="Q211" s="11"/>
      <c r="R211" s="11"/>
      <c r="S211" s="9">
        <v>210.0</v>
      </c>
      <c r="T211" s="11"/>
    </row>
    <row r="212" ht="15.75" customHeight="1">
      <c r="A212" s="7"/>
      <c r="B212" s="7"/>
      <c r="C212" s="7">
        <f>(S212*'Prestige Patterns'!$B$20)/60</f>
        <v>105.5</v>
      </c>
      <c r="D212" s="8">
        <f>if(L211=L212,N211*'Prestige Patterns'!$B$20+D211-F212,0)</f>
        <v>12003930772</v>
      </c>
      <c r="E212" s="9">
        <f t="shared" si="2"/>
        <v>437</v>
      </c>
      <c r="F212" s="10">
        <f>'Prestige Patterns'!$B$5*('Prestige Patterns'!$B$6^E211-'Prestige Patterns'!$B$6^(E211+G212))/(1-'Prestige Patterns'!$B$6)</f>
        <v>13525674999</v>
      </c>
      <c r="G212" s="13">
        <f>floor(LOG('Prestige Patterns'!$B$6^(E211) - (D211*(1-'Prestige Patterns'!$B$6)/'Prestige Patterns'!$B$5),'Prestige Patterns'!$B$6)-E211,1)</f>
        <v>2</v>
      </c>
      <c r="H212" s="12">
        <f t="shared" si="3"/>
        <v>885</v>
      </c>
      <c r="I212" s="11">
        <f>1+H212*'Prestige Patterns'!$B$25</f>
        <v>9.85</v>
      </c>
      <c r="J212" s="12">
        <f>floor((K212/'Prestige Patterns'!$B$22)^'Prestige Patterns'!$B$23,1)-H211</f>
        <v>665</v>
      </c>
      <c r="K212" s="8">
        <f>K211+N211*'Prestige Patterns'!$B$20</f>
        <v>240537122880</v>
      </c>
      <c r="L212" s="8">
        <f>if(J211&gt;='Prestige Patterns'!$B$28,if(J211/(H211+1)&gt;('Prestige Patterns'!$B$27+1),L211+1,L211),L211)</f>
        <v>4</v>
      </c>
      <c r="N212" s="12">
        <f t="shared" si="1"/>
        <v>352620544</v>
      </c>
      <c r="O212" s="9">
        <f>'Prestige Patterns'!$B$4*E212</f>
        <v>8740</v>
      </c>
      <c r="P212" s="12">
        <f t="shared" si="4"/>
        <v>4096</v>
      </c>
      <c r="Q212" s="11"/>
      <c r="R212" s="11"/>
      <c r="S212" s="9">
        <v>211.0</v>
      </c>
      <c r="T212" s="11"/>
    </row>
    <row r="213" ht="15.75" customHeight="1">
      <c r="A213" s="7"/>
      <c r="B213" s="7"/>
      <c r="C213" s="7">
        <f>(S213*'Prestige Patterns'!$B$20)/60</f>
        <v>106</v>
      </c>
      <c r="D213" s="8">
        <f>if(L212=L213,N212*'Prestige Patterns'!$B$20+D212-F213,0)</f>
        <v>15308373098</v>
      </c>
      <c r="E213" s="9">
        <f t="shared" si="2"/>
        <v>438</v>
      </c>
      <c r="F213" s="10">
        <f>'Prestige Patterns'!$B$5*('Prestige Patterns'!$B$6^E212-'Prestige Patterns'!$B$6^(E212+G213))/(1-'Prestige Patterns'!$B$6)</f>
        <v>7274173994</v>
      </c>
      <c r="G213" s="13">
        <f>floor(LOG('Prestige Patterns'!$B$6^(E212) - (D212*(1-'Prestige Patterns'!$B$6)/'Prestige Patterns'!$B$5),'Prestige Patterns'!$B$6)-E212,1)</f>
        <v>1</v>
      </c>
      <c r="H213" s="12">
        <f t="shared" si="3"/>
        <v>885</v>
      </c>
      <c r="I213" s="11">
        <f>1+H213*'Prestige Patterns'!$B$25</f>
        <v>9.85</v>
      </c>
      <c r="J213" s="12">
        <f>floor((K213/'Prestige Patterns'!$B$22)^'Prestige Patterns'!$B$23,1)-H212</f>
        <v>699</v>
      </c>
      <c r="K213" s="8">
        <f>K212+N212*'Prestige Patterns'!$B$20</f>
        <v>251115739200</v>
      </c>
      <c r="L213" s="8">
        <f>if(J212&gt;='Prestige Patterns'!$B$28,if(J212/(H212+1)&gt;('Prestige Patterns'!$B$27+1),L212+1,L212),L212)</f>
        <v>4</v>
      </c>
      <c r="N213" s="12">
        <f t="shared" si="1"/>
        <v>353427456</v>
      </c>
      <c r="O213" s="9">
        <f>'Prestige Patterns'!$B$4*E213</f>
        <v>8760</v>
      </c>
      <c r="P213" s="12">
        <f t="shared" si="4"/>
        <v>4096</v>
      </c>
      <c r="Q213" s="11"/>
      <c r="R213" s="11"/>
      <c r="S213" s="9">
        <v>212.0</v>
      </c>
      <c r="T213" s="11"/>
    </row>
    <row r="214" ht="15.75" customHeight="1">
      <c r="A214" s="7"/>
      <c r="B214" s="7"/>
      <c r="C214" s="7">
        <f>(S214*'Prestige Patterns'!$B$20)/60</f>
        <v>106.5</v>
      </c>
      <c r="D214" s="8">
        <f>if(L213=L214,N213*'Prestige Patterns'!$B$20+D213-F214,0)</f>
        <v>18273314085</v>
      </c>
      <c r="E214" s="9">
        <f t="shared" si="2"/>
        <v>439</v>
      </c>
      <c r="F214" s="10">
        <f>'Prestige Patterns'!$B$5*('Prestige Patterns'!$B$6^E213-'Prestige Patterns'!$B$6^(E213+G214))/(1-'Prestige Patterns'!$B$6)</f>
        <v>7637882693</v>
      </c>
      <c r="G214" s="13">
        <f>floor(LOG('Prestige Patterns'!$B$6^(E213) - (D213*(1-'Prestige Patterns'!$B$6)/'Prestige Patterns'!$B$5),'Prestige Patterns'!$B$6)-E213,1)</f>
        <v>1</v>
      </c>
      <c r="H214" s="12">
        <f t="shared" si="3"/>
        <v>885</v>
      </c>
      <c r="I214" s="11">
        <f>1+H214*'Prestige Patterns'!$B$25</f>
        <v>9.85</v>
      </c>
      <c r="J214" s="12">
        <f>floor((K214/'Prestige Patterns'!$B$22)^'Prestige Patterns'!$B$23,1)-H213</f>
        <v>732</v>
      </c>
      <c r="K214" s="8">
        <f>K213+N213*'Prestige Patterns'!$B$20</f>
        <v>261718562880</v>
      </c>
      <c r="L214" s="8">
        <f>if(J213&gt;='Prestige Patterns'!$B$28,if(J213/(H213+1)&gt;('Prestige Patterns'!$B$27+1),L213+1,L213),L213)</f>
        <v>4</v>
      </c>
      <c r="N214" s="12">
        <f t="shared" si="1"/>
        <v>354234368</v>
      </c>
      <c r="O214" s="9">
        <f>'Prestige Patterns'!$B$4*E214</f>
        <v>8780</v>
      </c>
      <c r="P214" s="12">
        <f t="shared" si="4"/>
        <v>4096</v>
      </c>
      <c r="Q214" s="11"/>
      <c r="R214" s="11"/>
      <c r="S214" s="9">
        <v>213.0</v>
      </c>
      <c r="T214" s="11"/>
    </row>
    <row r="215" ht="15.75" customHeight="1">
      <c r="A215" s="7"/>
      <c r="B215" s="7"/>
      <c r="C215" s="7">
        <f>(S215*'Prestige Patterns'!$B$20)/60</f>
        <v>107</v>
      </c>
      <c r="D215" s="8">
        <f>if(L214=L215,N214*'Prestige Patterns'!$B$20+D214-F215,0)</f>
        <v>12459802627</v>
      </c>
      <c r="E215" s="9">
        <f t="shared" si="2"/>
        <v>441</v>
      </c>
      <c r="F215" s="10">
        <f>'Prestige Patterns'!$B$5*('Prestige Patterns'!$B$6^E214-'Prestige Patterns'!$B$6^(E214+G215))/(1-'Prestige Patterns'!$B$6)</f>
        <v>16440542497</v>
      </c>
      <c r="G215" s="13">
        <f>floor(LOG('Prestige Patterns'!$B$6^(E214) - (D214*(1-'Prestige Patterns'!$B$6)/'Prestige Patterns'!$B$5),'Prestige Patterns'!$B$6)-E214,1)</f>
        <v>2</v>
      </c>
      <c r="H215" s="12">
        <f t="shared" si="3"/>
        <v>885</v>
      </c>
      <c r="I215" s="11">
        <f>1+H215*'Prestige Patterns'!$B$25</f>
        <v>9.85</v>
      </c>
      <c r="J215" s="12">
        <f>floor((K215/'Prestige Patterns'!$B$22)^'Prestige Patterns'!$B$23,1)-H214</f>
        <v>765</v>
      </c>
      <c r="K215" s="8">
        <f>K214+N214*'Prestige Patterns'!$B$20</f>
        <v>272345593920</v>
      </c>
      <c r="L215" s="8">
        <f>if(J214&gt;='Prestige Patterns'!$B$28,if(J214/(H214+1)&gt;('Prestige Patterns'!$B$27+1),L214+1,L214),L214)</f>
        <v>4</v>
      </c>
      <c r="N215" s="12">
        <f t="shared" si="1"/>
        <v>355848192</v>
      </c>
      <c r="O215" s="9">
        <f>'Prestige Patterns'!$B$4*E215</f>
        <v>8820</v>
      </c>
      <c r="P215" s="12">
        <f t="shared" si="4"/>
        <v>4096</v>
      </c>
      <c r="Q215" s="11"/>
      <c r="R215" s="11"/>
      <c r="S215" s="9">
        <v>214.0</v>
      </c>
      <c r="T215" s="11"/>
    </row>
    <row r="216" ht="15.75" customHeight="1">
      <c r="A216" s="7"/>
      <c r="B216" s="7"/>
      <c r="C216" s="7">
        <f>(S216*'Prestige Patterns'!$B$20)/60</f>
        <v>107.5</v>
      </c>
      <c r="D216" s="8">
        <f>if(L215=L216,N215*'Prestige Patterns'!$B$20+D215-F216,0)</f>
        <v>14293444435</v>
      </c>
      <c r="E216" s="9">
        <f t="shared" si="2"/>
        <v>442</v>
      </c>
      <c r="F216" s="10">
        <f>'Prestige Patterns'!$B$5*('Prestige Patterns'!$B$6^E215-'Prestige Patterns'!$B$6^(E215+G216))/(1-'Prestige Patterns'!$B$6)</f>
        <v>8841803953</v>
      </c>
      <c r="G216" s="13">
        <f>floor(LOG('Prestige Patterns'!$B$6^(E215) - (D215*(1-'Prestige Patterns'!$B$6)/'Prestige Patterns'!$B$5),'Prestige Patterns'!$B$6)-E215,1)</f>
        <v>1</v>
      </c>
      <c r="H216" s="12">
        <f t="shared" si="3"/>
        <v>885</v>
      </c>
      <c r="I216" s="11">
        <f>1+H216*'Prestige Patterns'!$B$25</f>
        <v>9.85</v>
      </c>
      <c r="J216" s="12">
        <f>floor((K216/'Prestige Patterns'!$B$22)^'Prestige Patterns'!$B$23,1)-H215</f>
        <v>797</v>
      </c>
      <c r="K216" s="8">
        <f>K215+N215*'Prestige Patterns'!$B$20</f>
        <v>283021039680</v>
      </c>
      <c r="L216" s="8">
        <f>if(J215&gt;='Prestige Patterns'!$B$28,if(J215/(H215+1)&gt;('Prestige Patterns'!$B$27+1),L215+1,L215),L215)</f>
        <v>4</v>
      </c>
      <c r="N216" s="12">
        <f t="shared" si="1"/>
        <v>356655104</v>
      </c>
      <c r="O216" s="9">
        <f>'Prestige Patterns'!$B$4*E216</f>
        <v>8840</v>
      </c>
      <c r="P216" s="12">
        <f t="shared" si="4"/>
        <v>4096</v>
      </c>
      <c r="Q216" s="11"/>
      <c r="R216" s="11"/>
      <c r="S216" s="9">
        <v>215.0</v>
      </c>
      <c r="T216" s="11"/>
    </row>
    <row r="217" ht="15.75" customHeight="1">
      <c r="A217" s="7"/>
      <c r="B217" s="7"/>
      <c r="C217" s="7">
        <f>(S217*'Prestige Patterns'!$B$20)/60</f>
        <v>108</v>
      </c>
      <c r="D217" s="8">
        <f>if(L216=L217,N216*'Prestige Patterns'!$B$20+D216-F217,0)</f>
        <v>15709203404</v>
      </c>
      <c r="E217" s="9">
        <f t="shared" si="2"/>
        <v>443</v>
      </c>
      <c r="F217" s="10">
        <f>'Prestige Patterns'!$B$5*('Prestige Patterns'!$B$6^E216-'Prestige Patterns'!$B$6^(E216+G217))/(1-'Prestige Patterns'!$B$6)</f>
        <v>9283894150</v>
      </c>
      <c r="G217" s="13">
        <f>floor(LOG('Prestige Patterns'!$B$6^(E216) - (D216*(1-'Prestige Patterns'!$B$6)/'Prestige Patterns'!$B$5),'Prestige Patterns'!$B$6)-E216,1)</f>
        <v>1</v>
      </c>
      <c r="H217" s="12">
        <f t="shared" si="3"/>
        <v>885</v>
      </c>
      <c r="I217" s="11">
        <f>1+H217*'Prestige Patterns'!$B$25</f>
        <v>9.85</v>
      </c>
      <c r="J217" s="12">
        <f>floor((K217/'Prestige Patterns'!$B$22)^'Prestige Patterns'!$B$23,1)-H216</f>
        <v>828</v>
      </c>
      <c r="K217" s="8">
        <f>K216+N216*'Prestige Patterns'!$B$20</f>
        <v>293720692800</v>
      </c>
      <c r="L217" s="8">
        <f>if(J216&gt;='Prestige Patterns'!$B$28,if(J216/(H216+1)&gt;('Prestige Patterns'!$B$27+1),L216+1,L216),L216)</f>
        <v>4</v>
      </c>
      <c r="N217" s="12">
        <f t="shared" si="1"/>
        <v>357462016</v>
      </c>
      <c r="O217" s="9">
        <f>'Prestige Patterns'!$B$4*E217</f>
        <v>8860</v>
      </c>
      <c r="P217" s="12">
        <f t="shared" si="4"/>
        <v>4096</v>
      </c>
      <c r="Q217" s="11"/>
      <c r="R217" s="11"/>
      <c r="S217" s="9">
        <v>216.0</v>
      </c>
      <c r="T217" s="11"/>
    </row>
    <row r="218" ht="15.75" customHeight="1">
      <c r="A218" s="7"/>
      <c r="B218" s="7"/>
      <c r="C218" s="7">
        <f>(S218*'Prestige Patterns'!$B$20)/60</f>
        <v>108.5</v>
      </c>
      <c r="D218" s="8">
        <f>if(L217=L218,N217*'Prestige Patterns'!$B$20+D217-F218,0)</f>
        <v>16684975026</v>
      </c>
      <c r="E218" s="9">
        <f t="shared" si="2"/>
        <v>444</v>
      </c>
      <c r="F218" s="10">
        <f>'Prestige Patterns'!$B$5*('Prestige Patterns'!$B$6^E217-'Prestige Patterns'!$B$6^(E217+G218))/(1-'Prestige Patterns'!$B$6)</f>
        <v>9748088858</v>
      </c>
      <c r="G218" s="13">
        <f>floor(LOG('Prestige Patterns'!$B$6^(E217) - (D217*(1-'Prestige Patterns'!$B$6)/'Prestige Patterns'!$B$5),'Prestige Patterns'!$B$6)-E217,1)</f>
        <v>1</v>
      </c>
      <c r="H218" s="12">
        <f t="shared" si="3"/>
        <v>885</v>
      </c>
      <c r="I218" s="11">
        <f>1+H218*'Prestige Patterns'!$B$25</f>
        <v>9.85</v>
      </c>
      <c r="J218" s="12">
        <f>floor((K218/'Prestige Patterns'!$B$22)^'Prestige Patterns'!$B$23,1)-H217</f>
        <v>859</v>
      </c>
      <c r="K218" s="8">
        <f>K217+N217*'Prestige Patterns'!$B$20</f>
        <v>304444553280</v>
      </c>
      <c r="L218" s="8">
        <f>if(J217&gt;='Prestige Patterns'!$B$28,if(J217/(H217+1)&gt;('Prestige Patterns'!$B$27+1),L217+1,L217),L217)</f>
        <v>4</v>
      </c>
      <c r="N218" s="12">
        <f t="shared" si="1"/>
        <v>358268928</v>
      </c>
      <c r="O218" s="9">
        <f>'Prestige Patterns'!$B$4*E218</f>
        <v>8880</v>
      </c>
      <c r="P218" s="12">
        <f t="shared" si="4"/>
        <v>4096</v>
      </c>
      <c r="Q218" s="11"/>
      <c r="R218" s="11"/>
      <c r="S218" s="9">
        <v>217.0</v>
      </c>
      <c r="T218" s="11"/>
    </row>
    <row r="219" ht="15.75" customHeight="1">
      <c r="A219" s="7"/>
      <c r="B219" s="7"/>
      <c r="C219" s="7">
        <f>(S219*'Prestige Patterns'!$B$20)/60</f>
        <v>109</v>
      </c>
      <c r="D219" s="8">
        <f>if(L218=L219,N218*'Prestige Patterns'!$B$20+D218-F219,0)</f>
        <v>17197549565</v>
      </c>
      <c r="E219" s="9">
        <f t="shared" si="2"/>
        <v>445</v>
      </c>
      <c r="F219" s="10">
        <f>'Prestige Patterns'!$B$5*('Prestige Patterns'!$B$6^E218-'Prestige Patterns'!$B$6^(E218+G219))/(1-'Prestige Patterns'!$B$6)</f>
        <v>10235493301</v>
      </c>
      <c r="G219" s="13">
        <f>floor(LOG('Prestige Patterns'!$B$6^(E218) - (D218*(1-'Prestige Patterns'!$B$6)/'Prestige Patterns'!$B$5),'Prestige Patterns'!$B$6)-E218,1)</f>
        <v>1</v>
      </c>
      <c r="H219" s="12">
        <f t="shared" si="3"/>
        <v>885</v>
      </c>
      <c r="I219" s="11">
        <f>1+H219*'Prestige Patterns'!$B$25</f>
        <v>9.85</v>
      </c>
      <c r="J219" s="12">
        <f>floor((K219/'Prestige Patterns'!$B$22)^'Prestige Patterns'!$B$23,1)-H218</f>
        <v>890</v>
      </c>
      <c r="K219" s="8">
        <f>K218+N218*'Prestige Patterns'!$B$20</f>
        <v>315192621120</v>
      </c>
      <c r="L219" s="8">
        <f>if(J218&gt;='Prestige Patterns'!$B$28,if(J218/(H218+1)&gt;('Prestige Patterns'!$B$27+1),L218+1,L218),L218)</f>
        <v>4</v>
      </c>
      <c r="N219" s="12">
        <f t="shared" si="1"/>
        <v>359075840</v>
      </c>
      <c r="O219" s="9">
        <f>'Prestige Patterns'!$B$4*E219</f>
        <v>8900</v>
      </c>
      <c r="P219" s="12">
        <f t="shared" si="4"/>
        <v>4096</v>
      </c>
      <c r="Q219" s="11"/>
      <c r="R219" s="11"/>
      <c r="S219" s="9">
        <v>218.0</v>
      </c>
      <c r="T219" s="11"/>
    </row>
    <row r="220" ht="15.75" customHeight="1">
      <c r="A220" s="7"/>
      <c r="B220" s="7"/>
      <c r="C220" s="7">
        <f>(S220*'Prestige Patterns'!$B$20)/60</f>
        <v>109.5</v>
      </c>
      <c r="D220" s="8">
        <f>if(L219=L220,N219*'Prestige Patterns'!$B$20+D219-F220,0)</f>
        <v>17222556799</v>
      </c>
      <c r="E220" s="9">
        <f t="shared" si="2"/>
        <v>446</v>
      </c>
      <c r="F220" s="10">
        <f>'Prestige Patterns'!$B$5*('Prestige Patterns'!$B$6^E219-'Prestige Patterns'!$B$6^(E219+G220))/(1-'Prestige Patterns'!$B$6)</f>
        <v>10747267966</v>
      </c>
      <c r="G220" s="13">
        <f>floor(LOG('Prestige Patterns'!$B$6^(E219) - (D219*(1-'Prestige Patterns'!$B$6)/'Prestige Patterns'!$B$5),'Prestige Patterns'!$B$6)-E219,1)</f>
        <v>1</v>
      </c>
      <c r="H220" s="12">
        <f t="shared" si="3"/>
        <v>885</v>
      </c>
      <c r="I220" s="11">
        <f>1+H220*'Prestige Patterns'!$B$25</f>
        <v>9.85</v>
      </c>
      <c r="J220" s="12">
        <f>floor((K220/'Prestige Patterns'!$B$22)^'Prestige Patterns'!$B$23,1)-H219</f>
        <v>920</v>
      </c>
      <c r="K220" s="8">
        <f>K219+N219*'Prestige Patterns'!$B$20</f>
        <v>325964896320</v>
      </c>
      <c r="L220" s="8">
        <f>if(J219&gt;='Prestige Patterns'!$B$28,if(J219/(H219+1)&gt;('Prestige Patterns'!$B$27+1),L219+1,L219),L219)</f>
        <v>4</v>
      </c>
      <c r="N220" s="12">
        <f t="shared" si="1"/>
        <v>359882752</v>
      </c>
      <c r="O220" s="9">
        <f>'Prestige Patterns'!$B$4*E220</f>
        <v>8920</v>
      </c>
      <c r="P220" s="12">
        <f t="shared" si="4"/>
        <v>4096</v>
      </c>
      <c r="Q220" s="11"/>
      <c r="R220" s="11"/>
      <c r="S220" s="9">
        <v>219.0</v>
      </c>
      <c r="T220" s="11"/>
    </row>
    <row r="221" ht="15.75" customHeight="1">
      <c r="A221" s="7"/>
      <c r="B221" s="7"/>
      <c r="C221" s="7">
        <f>(S221*'Prestige Patterns'!$B$20)/60</f>
        <v>110</v>
      </c>
      <c r="D221" s="8">
        <f>if(L220=L221,N220*'Prestige Patterns'!$B$20+D220-F221,0)</f>
        <v>16734407995</v>
      </c>
      <c r="E221" s="9">
        <f t="shared" si="2"/>
        <v>447</v>
      </c>
      <c r="F221" s="10">
        <f>'Prestige Patterns'!$B$5*('Prestige Patterns'!$B$6^E220-'Prestige Patterns'!$B$6^(E220+G221))/(1-'Prestige Patterns'!$B$6)</f>
        <v>11284631364</v>
      </c>
      <c r="G221" s="13">
        <f>floor(LOG('Prestige Patterns'!$B$6^(E220) - (D220*(1-'Prestige Patterns'!$B$6)/'Prestige Patterns'!$B$5),'Prestige Patterns'!$B$6)-E220,1)</f>
        <v>1</v>
      </c>
      <c r="H221" s="12">
        <f t="shared" si="3"/>
        <v>885</v>
      </c>
      <c r="I221" s="11">
        <f>1+H221*'Prestige Patterns'!$B$25</f>
        <v>9.85</v>
      </c>
      <c r="J221" s="12">
        <f>floor((K221/'Prestige Patterns'!$B$22)^'Prestige Patterns'!$B$23,1)-H220</f>
        <v>950</v>
      </c>
      <c r="K221" s="8">
        <f>K220+N220*'Prestige Patterns'!$B$20</f>
        <v>336761378880</v>
      </c>
      <c r="L221" s="8">
        <f>if(J220&gt;='Prestige Patterns'!$B$28,if(J220/(H220+1)&gt;('Prestige Patterns'!$B$27+1),L220+1,L220),L220)</f>
        <v>4</v>
      </c>
      <c r="N221" s="12">
        <f t="shared" si="1"/>
        <v>360689664</v>
      </c>
      <c r="O221" s="9">
        <f>'Prestige Patterns'!$B$4*E221</f>
        <v>8940</v>
      </c>
      <c r="P221" s="12">
        <f t="shared" si="4"/>
        <v>4096</v>
      </c>
      <c r="Q221" s="11"/>
      <c r="R221" s="11"/>
      <c r="S221" s="9">
        <v>220.0</v>
      </c>
      <c r="T221" s="11"/>
    </row>
    <row r="222" ht="15.75" customHeight="1">
      <c r="A222" s="7"/>
      <c r="B222" s="7"/>
      <c r="C222" s="7">
        <f>(S222*'Prestige Patterns'!$B$20)/60</f>
        <v>110.5</v>
      </c>
      <c r="D222" s="8">
        <f>if(L221=L222,N221*'Prestige Patterns'!$B$20+D221-F222,0)</f>
        <v>15706234983</v>
      </c>
      <c r="E222" s="9">
        <f t="shared" si="2"/>
        <v>448</v>
      </c>
      <c r="F222" s="10">
        <f>'Prestige Patterns'!$B$5*('Prestige Patterns'!$B$6^E221-'Prestige Patterns'!$B$6^(E221+G222))/(1-'Prestige Patterns'!$B$6)</f>
        <v>11848862932</v>
      </c>
      <c r="G222" s="13">
        <f>floor(LOG('Prestige Patterns'!$B$6^(E221) - (D221*(1-'Prestige Patterns'!$B$6)/'Prestige Patterns'!$B$5),'Prestige Patterns'!$B$6)-E221,1)</f>
        <v>1</v>
      </c>
      <c r="H222" s="12">
        <f t="shared" si="3"/>
        <v>885</v>
      </c>
      <c r="I222" s="11">
        <f>1+H222*'Prestige Patterns'!$B$25</f>
        <v>9.85</v>
      </c>
      <c r="J222" s="12">
        <f>floor((K222/'Prestige Patterns'!$B$22)^'Prestige Patterns'!$B$23,1)-H221</f>
        <v>979</v>
      </c>
      <c r="K222" s="8">
        <f>K221+N221*'Prestige Patterns'!$B$20</f>
        <v>347582068800</v>
      </c>
      <c r="L222" s="8">
        <f>if(J221&gt;='Prestige Patterns'!$B$28,if(J221/(H221+1)&gt;('Prestige Patterns'!$B$27+1),L221+1,L221),L221)</f>
        <v>4</v>
      </c>
      <c r="N222" s="12">
        <f t="shared" si="1"/>
        <v>361496576</v>
      </c>
      <c r="O222" s="9">
        <f>'Prestige Patterns'!$B$4*E222</f>
        <v>8960</v>
      </c>
      <c r="P222" s="12">
        <f t="shared" si="4"/>
        <v>4096</v>
      </c>
      <c r="Q222" s="11"/>
      <c r="R222" s="11"/>
      <c r="S222" s="9">
        <v>221.0</v>
      </c>
      <c r="T222" s="11"/>
    </row>
    <row r="223" ht="15.75" customHeight="1">
      <c r="A223" s="7"/>
      <c r="B223" s="7"/>
      <c r="C223" s="7">
        <f>(S223*'Prestige Patterns'!$B$20)/60</f>
        <v>111</v>
      </c>
      <c r="D223" s="8">
        <f>if(L222=L223,N222*'Prestige Patterns'!$B$20+D222-F223,0)</f>
        <v>14109826183</v>
      </c>
      <c r="E223" s="9">
        <f t="shared" si="2"/>
        <v>449</v>
      </c>
      <c r="F223" s="10">
        <f>'Prestige Patterns'!$B$5*('Prestige Patterns'!$B$6^E222-'Prestige Patterns'!$B$6^(E222+G223))/(1-'Prestige Patterns'!$B$6)</f>
        <v>12441306079</v>
      </c>
      <c r="G223" s="13">
        <f>floor(LOG('Prestige Patterns'!$B$6^(E222) - (D222*(1-'Prestige Patterns'!$B$6)/'Prestige Patterns'!$B$5),'Prestige Patterns'!$B$6)-E222,1)</f>
        <v>1</v>
      </c>
      <c r="H223" s="12">
        <f t="shared" si="3"/>
        <v>885</v>
      </c>
      <c r="I223" s="11">
        <f>1+H223*'Prestige Patterns'!$B$25</f>
        <v>9.85</v>
      </c>
      <c r="J223" s="12">
        <f>floor((K223/'Prestige Patterns'!$B$22)^'Prestige Patterns'!$B$23,1)-H222</f>
        <v>1008</v>
      </c>
      <c r="K223" s="8">
        <f>K222+N222*'Prestige Patterns'!$B$20</f>
        <v>358426966080</v>
      </c>
      <c r="L223" s="8">
        <f>if(J222&gt;='Prestige Patterns'!$B$28,if(J222/(H222+1)&gt;('Prestige Patterns'!$B$27+1),L222+1,L222),L222)</f>
        <v>4</v>
      </c>
      <c r="N223" s="12">
        <f t="shared" si="1"/>
        <v>362303488</v>
      </c>
      <c r="O223" s="9">
        <f>'Prestige Patterns'!$B$4*E223</f>
        <v>8980</v>
      </c>
      <c r="P223" s="12">
        <f t="shared" si="4"/>
        <v>4096</v>
      </c>
      <c r="Q223" s="11"/>
      <c r="R223" s="11"/>
      <c r="S223" s="9">
        <v>222.0</v>
      </c>
      <c r="T223" s="11"/>
    </row>
    <row r="224" ht="15.75" customHeight="1">
      <c r="A224" s="7"/>
      <c r="B224" s="7"/>
      <c r="C224" s="7">
        <f>(S224*'Prestige Patterns'!$B$20)/60</f>
        <v>111.5</v>
      </c>
      <c r="D224" s="8">
        <f>if(L223=L224,N223*'Prestige Patterns'!$B$20+D223-F224,0)</f>
        <v>11915559440</v>
      </c>
      <c r="E224" s="9">
        <f t="shared" si="2"/>
        <v>450</v>
      </c>
      <c r="F224" s="10">
        <f>'Prestige Patterns'!$B$5*('Prestige Patterns'!$B$6^E223-'Prestige Patterns'!$B$6^(E223+G224))/(1-'Prestige Patterns'!$B$6)</f>
        <v>13063371383</v>
      </c>
      <c r="G224" s="13">
        <f>floor(LOG('Prestige Patterns'!$B$6^(E223) - (D223*(1-'Prestige Patterns'!$B$6)/'Prestige Patterns'!$B$5),'Prestige Patterns'!$B$6)-E223,1)</f>
        <v>1</v>
      </c>
      <c r="H224" s="12">
        <f t="shared" si="3"/>
        <v>885</v>
      </c>
      <c r="I224" s="11">
        <f>1+H224*'Prestige Patterns'!$B$25</f>
        <v>9.85</v>
      </c>
      <c r="J224" s="12">
        <f>floor((K224/'Prestige Patterns'!$B$22)^'Prestige Patterns'!$B$23,1)-H223</f>
        <v>1036</v>
      </c>
      <c r="K224" s="8">
        <f>K223+N223*'Prestige Patterns'!$B$20</f>
        <v>369296070720</v>
      </c>
      <c r="L224" s="8">
        <f>if(J223&gt;='Prestige Patterns'!$B$28,if(J223/(H223+1)&gt;('Prestige Patterns'!$B$27+1),L223+1,L223),L223)</f>
        <v>4</v>
      </c>
      <c r="N224" s="12">
        <f t="shared" si="1"/>
        <v>363110400</v>
      </c>
      <c r="O224" s="9">
        <f>'Prestige Patterns'!$B$4*E224</f>
        <v>9000</v>
      </c>
      <c r="P224" s="12">
        <f t="shared" si="4"/>
        <v>4096</v>
      </c>
      <c r="Q224" s="11"/>
      <c r="R224" s="11"/>
      <c r="S224" s="9">
        <v>223.0</v>
      </c>
      <c r="T224" s="11"/>
    </row>
    <row r="225" ht="15.75" customHeight="1">
      <c r="A225" s="7"/>
      <c r="B225" s="7"/>
      <c r="C225" s="7">
        <f>(S225*'Prestige Patterns'!$B$20)/60</f>
        <v>112</v>
      </c>
      <c r="D225" s="8">
        <f>if(L224=L225,N224*'Prestige Patterns'!$B$20+D224-F225,0)</f>
        <v>22808871440</v>
      </c>
      <c r="E225" s="9">
        <f t="shared" si="2"/>
        <v>450</v>
      </c>
      <c r="F225" s="10">
        <f>'Prestige Patterns'!$B$5*('Prestige Patterns'!$B$6^E224-'Prestige Patterns'!$B$6^(E224+G225))/(1-'Prestige Patterns'!$B$6)</f>
        <v>0</v>
      </c>
      <c r="G225" s="13">
        <f>floor(LOG('Prestige Patterns'!$B$6^(E224) - (D224*(1-'Prestige Patterns'!$B$6)/'Prestige Patterns'!$B$5),'Prestige Patterns'!$B$6)-E224,1)</f>
        <v>0</v>
      </c>
      <c r="H225" s="12">
        <f t="shared" si="3"/>
        <v>885</v>
      </c>
      <c r="I225" s="11">
        <f>1+H225*'Prestige Patterns'!$B$25</f>
        <v>9.85</v>
      </c>
      <c r="J225" s="12">
        <f>floor((K225/'Prestige Patterns'!$B$22)^'Prestige Patterns'!$B$23,1)-H224</f>
        <v>1064</v>
      </c>
      <c r="K225" s="8">
        <f>K224+N224*'Prestige Patterns'!$B$20</f>
        <v>380189382720</v>
      </c>
      <c r="L225" s="8">
        <f>if(J224&gt;='Prestige Patterns'!$B$28,if(J224/(H224+1)&gt;('Prestige Patterns'!$B$27+1),L224+1,L224),L224)</f>
        <v>4</v>
      </c>
      <c r="N225" s="12">
        <f t="shared" si="1"/>
        <v>363110400</v>
      </c>
      <c r="O225" s="9">
        <f>'Prestige Patterns'!$B$4*E225</f>
        <v>9000</v>
      </c>
      <c r="P225" s="12">
        <f t="shared" si="4"/>
        <v>4096</v>
      </c>
      <c r="Q225" s="11"/>
      <c r="R225" s="11"/>
      <c r="S225" s="9">
        <v>224.0</v>
      </c>
      <c r="T225" s="11"/>
    </row>
    <row r="226" ht="15.75" customHeight="1">
      <c r="A226" s="7"/>
      <c r="B226" s="7"/>
      <c r="C226" s="7">
        <f>(S226*'Prestige Patterns'!$B$20)/60</f>
        <v>112.5</v>
      </c>
      <c r="D226" s="8">
        <f>if(L225=L226,N225*'Prestige Patterns'!$B$20+D225-F226,0)</f>
        <v>19985643488</v>
      </c>
      <c r="E226" s="9">
        <f t="shared" si="2"/>
        <v>451</v>
      </c>
      <c r="F226" s="10">
        <f>'Prestige Patterns'!$B$5*('Prestige Patterns'!$B$6^E225-'Prestige Patterns'!$B$6^(E225+G226))/(1-'Prestige Patterns'!$B$6)</f>
        <v>13716539952</v>
      </c>
      <c r="G226" s="13">
        <f>floor(LOG('Prestige Patterns'!$B$6^(E225) - (D225*(1-'Prestige Patterns'!$B$6)/'Prestige Patterns'!$B$5),'Prestige Patterns'!$B$6)-E225,1)</f>
        <v>1</v>
      </c>
      <c r="H226" s="12">
        <f t="shared" si="3"/>
        <v>885</v>
      </c>
      <c r="I226" s="11">
        <f>1+H226*'Prestige Patterns'!$B$25</f>
        <v>9.85</v>
      </c>
      <c r="J226" s="12">
        <f>floor((K226/'Prestige Patterns'!$B$22)^'Prestige Patterns'!$B$23,1)-H225</f>
        <v>1092</v>
      </c>
      <c r="K226" s="8">
        <f>K225+N225*'Prestige Patterns'!$B$20</f>
        <v>391082694720</v>
      </c>
      <c r="L226" s="8">
        <f>if(J225&gt;='Prestige Patterns'!$B$28,if(J225/(H225+1)&gt;('Prestige Patterns'!$B$27+1),L225+1,L225),L225)</f>
        <v>4</v>
      </c>
      <c r="N226" s="12">
        <f t="shared" si="1"/>
        <v>363917312</v>
      </c>
      <c r="O226" s="9">
        <f>'Prestige Patterns'!$B$4*E226</f>
        <v>9020</v>
      </c>
      <c r="P226" s="12">
        <f t="shared" si="4"/>
        <v>4096</v>
      </c>
      <c r="Q226" s="11"/>
      <c r="R226" s="11"/>
      <c r="S226" s="9">
        <v>225.0</v>
      </c>
      <c r="T226" s="11"/>
    </row>
    <row r="227" ht="15.75" customHeight="1">
      <c r="A227" s="7"/>
      <c r="B227" s="7"/>
      <c r="C227" s="7">
        <f>(S227*'Prestige Patterns'!$B$20)/60</f>
        <v>113</v>
      </c>
      <c r="D227" s="8">
        <f>if(L226=L227,N226*'Prestige Patterns'!$B$20+D226-F227,0)</f>
        <v>16500795899</v>
      </c>
      <c r="E227" s="9">
        <f t="shared" si="2"/>
        <v>452</v>
      </c>
      <c r="F227" s="10">
        <f>'Prestige Patterns'!$B$5*('Prestige Patterns'!$B$6^E226-'Prestige Patterns'!$B$6^(E226+G227))/(1-'Prestige Patterns'!$B$6)</f>
        <v>14402366950</v>
      </c>
      <c r="G227" s="13">
        <f>floor(LOG('Prestige Patterns'!$B$6^(E226) - (D226*(1-'Prestige Patterns'!$B$6)/'Prestige Patterns'!$B$5),'Prestige Patterns'!$B$6)-E226,1)</f>
        <v>1</v>
      </c>
      <c r="H227" s="12">
        <f t="shared" si="3"/>
        <v>885</v>
      </c>
      <c r="I227" s="11">
        <f>1+H227*'Prestige Patterns'!$B$25</f>
        <v>9.85</v>
      </c>
      <c r="J227" s="12">
        <f>floor((K227/'Prestige Patterns'!$B$22)^'Prestige Patterns'!$B$23,1)-H226</f>
        <v>1119</v>
      </c>
      <c r="K227" s="8">
        <f>K226+N226*'Prestige Patterns'!$B$20</f>
        <v>402000214080</v>
      </c>
      <c r="L227" s="8">
        <f>if(J226&gt;='Prestige Patterns'!$B$28,if(J226/(H226+1)&gt;('Prestige Patterns'!$B$27+1),L226+1,L226),L226)</f>
        <v>4</v>
      </c>
      <c r="N227" s="12">
        <f t="shared" si="1"/>
        <v>364724224</v>
      </c>
      <c r="O227" s="9">
        <f>'Prestige Patterns'!$B$4*E227</f>
        <v>9040</v>
      </c>
      <c r="P227" s="12">
        <f t="shared" si="4"/>
        <v>4096</v>
      </c>
      <c r="Q227" s="11"/>
      <c r="R227" s="11"/>
      <c r="S227" s="9">
        <v>226.0</v>
      </c>
      <c r="T227" s="11"/>
    </row>
    <row r="228" ht="15.75" customHeight="1">
      <c r="A228" s="7"/>
      <c r="B228" s="7"/>
      <c r="C228" s="7">
        <f>(S228*'Prestige Patterns'!$B$20)/60</f>
        <v>113.5</v>
      </c>
      <c r="D228" s="8">
        <f>if(L227=L228,N227*'Prestige Patterns'!$B$20+D227-F228,0)</f>
        <v>12320037321</v>
      </c>
      <c r="E228" s="9">
        <f t="shared" si="2"/>
        <v>453</v>
      </c>
      <c r="F228" s="10">
        <f>'Prestige Patterns'!$B$5*('Prestige Patterns'!$B$6^E227-'Prestige Patterns'!$B$6^(E227+G228))/(1-'Prestige Patterns'!$B$6)</f>
        <v>15122485297</v>
      </c>
      <c r="G228" s="13">
        <f>floor(LOG('Prestige Patterns'!$B$6^(E227) - (D227*(1-'Prestige Patterns'!$B$6)/'Prestige Patterns'!$B$5),'Prestige Patterns'!$B$6)-E227,1)</f>
        <v>1</v>
      </c>
      <c r="H228" s="12">
        <f t="shared" si="3"/>
        <v>885</v>
      </c>
      <c r="I228" s="11">
        <f>1+H228*'Prestige Patterns'!$B$25</f>
        <v>9.85</v>
      </c>
      <c r="J228" s="12">
        <f>floor((K228/'Prestige Patterns'!$B$22)^'Prestige Patterns'!$B$23,1)-H227</f>
        <v>1147</v>
      </c>
      <c r="K228" s="8">
        <f>K227+N227*'Prestige Patterns'!$B$20</f>
        <v>412941940800</v>
      </c>
      <c r="L228" s="8">
        <f>if(J227&gt;='Prestige Patterns'!$B$28,if(J227/(H227+1)&gt;('Prestige Patterns'!$B$27+1),L227+1,L227),L227)</f>
        <v>4</v>
      </c>
      <c r="N228" s="12">
        <f t="shared" si="1"/>
        <v>365531136</v>
      </c>
      <c r="O228" s="9">
        <f>'Prestige Patterns'!$B$4*E228</f>
        <v>9060</v>
      </c>
      <c r="P228" s="12">
        <f t="shared" si="4"/>
        <v>4096</v>
      </c>
      <c r="Q228" s="11"/>
      <c r="R228" s="11"/>
      <c r="S228" s="9">
        <v>227.0</v>
      </c>
      <c r="T228" s="11"/>
    </row>
    <row r="229" ht="15.75" customHeight="1">
      <c r="A229" s="7"/>
      <c r="B229" s="7"/>
      <c r="C229" s="7">
        <f>(S229*'Prestige Patterns'!$B$20)/60</f>
        <v>114</v>
      </c>
      <c r="D229" s="8">
        <f>if(L228=L229,N228*'Prestige Patterns'!$B$20+D228-F229,0)</f>
        <v>23285971401</v>
      </c>
      <c r="E229" s="9">
        <f t="shared" si="2"/>
        <v>453</v>
      </c>
      <c r="F229" s="10">
        <f>'Prestige Patterns'!$B$5*('Prestige Patterns'!$B$6^E228-'Prestige Patterns'!$B$6^(E228+G229))/(1-'Prestige Patterns'!$B$6)</f>
        <v>0</v>
      </c>
      <c r="G229" s="13">
        <f>floor(LOG('Prestige Patterns'!$B$6^(E228) - (D228*(1-'Prestige Patterns'!$B$6)/'Prestige Patterns'!$B$5),'Prestige Patterns'!$B$6)-E228,1)</f>
        <v>0</v>
      </c>
      <c r="H229" s="12">
        <f t="shared" si="3"/>
        <v>885</v>
      </c>
      <c r="I229" s="11">
        <f>1+H229*'Prestige Patterns'!$B$25</f>
        <v>9.85</v>
      </c>
      <c r="J229" s="12">
        <f>floor((K229/'Prestige Patterns'!$B$22)^'Prestige Patterns'!$B$23,1)-H228</f>
        <v>1173</v>
      </c>
      <c r="K229" s="8">
        <f>K228+N228*'Prestige Patterns'!$B$20</f>
        <v>423907874880</v>
      </c>
      <c r="L229" s="8">
        <f>if(J228&gt;='Prestige Patterns'!$B$28,if(J228/(H228+1)&gt;('Prestige Patterns'!$B$27+1),L228+1,L228),L228)</f>
        <v>4</v>
      </c>
      <c r="N229" s="12">
        <f t="shared" si="1"/>
        <v>365531136</v>
      </c>
      <c r="O229" s="9">
        <f>'Prestige Patterns'!$B$4*E229</f>
        <v>9060</v>
      </c>
      <c r="P229" s="12">
        <f t="shared" si="4"/>
        <v>4096</v>
      </c>
      <c r="Q229" s="11"/>
      <c r="R229" s="11"/>
      <c r="S229" s="9">
        <v>228.0</v>
      </c>
      <c r="T229" s="11"/>
    </row>
    <row r="230" ht="15.75" customHeight="1">
      <c r="A230" s="7"/>
      <c r="B230" s="7"/>
      <c r="C230" s="7">
        <f>(S230*'Prestige Patterns'!$B$20)/60</f>
        <v>114.5</v>
      </c>
      <c r="D230" s="8">
        <f>if(L229=L230,N229*'Prestige Patterns'!$B$20+D229-F230,0)</f>
        <v>18373295919</v>
      </c>
      <c r="E230" s="9">
        <f t="shared" si="2"/>
        <v>454</v>
      </c>
      <c r="F230" s="10">
        <f>'Prestige Patterns'!$B$5*('Prestige Patterns'!$B$6^E229-'Prestige Patterns'!$B$6^(E229+G230))/(1-'Prestige Patterns'!$B$6)</f>
        <v>15878609562</v>
      </c>
      <c r="G230" s="13">
        <f>floor(LOG('Prestige Patterns'!$B$6^(E229) - (D229*(1-'Prestige Patterns'!$B$6)/'Prestige Patterns'!$B$5),'Prestige Patterns'!$B$6)-E229,1)</f>
        <v>1</v>
      </c>
      <c r="H230" s="12">
        <f t="shared" si="3"/>
        <v>885</v>
      </c>
      <c r="I230" s="11">
        <f>1+H230*'Prestige Patterns'!$B$25</f>
        <v>9.85</v>
      </c>
      <c r="J230" s="12">
        <f>floor((K230/'Prestige Patterns'!$B$22)^'Prestige Patterns'!$B$23,1)-H229</f>
        <v>1200</v>
      </c>
      <c r="K230" s="8">
        <f>K229+N229*'Prestige Patterns'!$B$20</f>
        <v>434873808960</v>
      </c>
      <c r="L230" s="8">
        <f>if(J229&gt;='Prestige Patterns'!$B$28,if(J229/(H229+1)&gt;('Prestige Patterns'!$B$27+1),L229+1,L229),L229)</f>
        <v>4</v>
      </c>
      <c r="N230" s="12">
        <f t="shared" si="1"/>
        <v>366338048</v>
      </c>
      <c r="O230" s="9">
        <f>'Prestige Patterns'!$B$4*E230</f>
        <v>9080</v>
      </c>
      <c r="P230" s="12">
        <f t="shared" si="4"/>
        <v>4096</v>
      </c>
      <c r="Q230" s="11"/>
      <c r="R230" s="11"/>
      <c r="S230" s="9">
        <v>229.0</v>
      </c>
      <c r="T230" s="11"/>
    </row>
    <row r="231" ht="15.75" customHeight="1">
      <c r="A231" s="7"/>
      <c r="B231" s="7"/>
      <c r="C231" s="7">
        <f>(S231*'Prestige Patterns'!$B$20)/60</f>
        <v>115</v>
      </c>
      <c r="D231" s="8">
        <f>if(L230=L231,N230*'Prestige Patterns'!$B$20+D230-F231,0)</f>
        <v>12690897319</v>
      </c>
      <c r="E231" s="9">
        <f t="shared" si="2"/>
        <v>455</v>
      </c>
      <c r="F231" s="10">
        <f>'Prestige Patterns'!$B$5*('Prestige Patterns'!$B$6^E230-'Prestige Patterns'!$B$6^(E230+G231))/(1-'Prestige Patterns'!$B$6)</f>
        <v>16672540040</v>
      </c>
      <c r="G231" s="13">
        <f>floor(LOG('Prestige Patterns'!$B$6^(E230) - (D230*(1-'Prestige Patterns'!$B$6)/'Prestige Patterns'!$B$5),'Prestige Patterns'!$B$6)-E230,1)</f>
        <v>1</v>
      </c>
      <c r="H231" s="12">
        <f t="shared" si="3"/>
        <v>885</v>
      </c>
      <c r="I231" s="11">
        <f>1+H231*'Prestige Patterns'!$B$25</f>
        <v>9.85</v>
      </c>
      <c r="J231" s="12">
        <f>floor((K231/'Prestige Patterns'!$B$22)^'Prestige Patterns'!$B$23,1)-H230</f>
        <v>1226</v>
      </c>
      <c r="K231" s="8">
        <f>K230+N230*'Prestige Patterns'!$B$20</f>
        <v>445863950400</v>
      </c>
      <c r="L231" s="8">
        <f>if(J230&gt;='Prestige Patterns'!$B$28,if(J230/(H230+1)&gt;('Prestige Patterns'!$B$27+1),L230+1,L230),L230)</f>
        <v>4</v>
      </c>
      <c r="N231" s="12">
        <f t="shared" si="1"/>
        <v>367144960</v>
      </c>
      <c r="O231" s="9">
        <f>'Prestige Patterns'!$B$4*E231</f>
        <v>9100</v>
      </c>
      <c r="P231" s="12">
        <f t="shared" si="4"/>
        <v>4096</v>
      </c>
      <c r="Q231" s="11"/>
      <c r="R231" s="11"/>
      <c r="S231" s="9">
        <v>230.0</v>
      </c>
      <c r="T231" s="11"/>
    </row>
    <row r="232" ht="15.75" customHeight="1">
      <c r="A232" s="7"/>
      <c r="B232" s="7"/>
      <c r="C232" s="7">
        <f>(S232*'Prestige Patterns'!$B$20)/60</f>
        <v>115.5</v>
      </c>
      <c r="D232" s="8">
        <f>if(L231=L232,N231*'Prestige Patterns'!$B$20+D231-F232,0)</f>
        <v>23705246119</v>
      </c>
      <c r="E232" s="9">
        <f t="shared" si="2"/>
        <v>455</v>
      </c>
      <c r="F232" s="10">
        <f>'Prestige Patterns'!$B$5*('Prestige Patterns'!$B$6^E231-'Prestige Patterns'!$B$6^(E231+G232))/(1-'Prestige Patterns'!$B$6)</f>
        <v>0</v>
      </c>
      <c r="G232" s="13">
        <f>floor(LOG('Prestige Patterns'!$B$6^(E231) - (D231*(1-'Prestige Patterns'!$B$6)/'Prestige Patterns'!$B$5),'Prestige Patterns'!$B$6)-E231,1)</f>
        <v>0</v>
      </c>
      <c r="H232" s="12">
        <f t="shared" si="3"/>
        <v>885</v>
      </c>
      <c r="I232" s="11">
        <f>1+H232*'Prestige Patterns'!$B$25</f>
        <v>9.85</v>
      </c>
      <c r="J232" s="12">
        <f>floor((K232/'Prestige Patterns'!$B$22)^'Prestige Patterns'!$B$23,1)-H231</f>
        <v>1252</v>
      </c>
      <c r="K232" s="8">
        <f>K231+N231*'Prestige Patterns'!$B$20</f>
        <v>456878299200</v>
      </c>
      <c r="L232" s="8">
        <f>if(J231&gt;='Prestige Patterns'!$B$28,if(J231/(H231+1)&gt;('Prestige Patterns'!$B$27+1),L231+1,L231),L231)</f>
        <v>4</v>
      </c>
      <c r="N232" s="12">
        <f t="shared" si="1"/>
        <v>367144960</v>
      </c>
      <c r="O232" s="9">
        <f>'Prestige Patterns'!$B$4*E232</f>
        <v>9100</v>
      </c>
      <c r="P232" s="12">
        <f t="shared" si="4"/>
        <v>4096</v>
      </c>
      <c r="Q232" s="11"/>
      <c r="R232" s="11"/>
      <c r="S232" s="9">
        <v>231.0</v>
      </c>
      <c r="T232" s="11"/>
    </row>
    <row r="233" ht="15.75" customHeight="1">
      <c r="A233" s="7"/>
      <c r="B233" s="7"/>
      <c r="C233" s="7">
        <f>(S233*'Prestige Patterns'!$B$20)/60</f>
        <v>116</v>
      </c>
      <c r="D233" s="8">
        <f>if(L232=L233,N232*'Prestige Patterns'!$B$20+D232-F233,0)</f>
        <v>17213427877</v>
      </c>
      <c r="E233" s="9">
        <f t="shared" si="2"/>
        <v>456</v>
      </c>
      <c r="F233" s="10">
        <f>'Prestige Patterns'!$B$5*('Prestige Patterns'!$B$6^E232-'Prestige Patterns'!$B$6^(E232+G233))/(1-'Prestige Patterns'!$B$6)</f>
        <v>17506167042</v>
      </c>
      <c r="G233" s="13">
        <f>floor(LOG('Prestige Patterns'!$B$6^(E232) - (D232*(1-'Prestige Patterns'!$B$6)/'Prestige Patterns'!$B$5),'Prestige Patterns'!$B$6)-E232,1)</f>
        <v>1</v>
      </c>
      <c r="H233" s="12">
        <f t="shared" si="3"/>
        <v>885</v>
      </c>
      <c r="I233" s="11">
        <f>1+H233*'Prestige Patterns'!$B$25</f>
        <v>9.85</v>
      </c>
      <c r="J233" s="12">
        <f>floor((K233/'Prestige Patterns'!$B$22)^'Prestige Patterns'!$B$23,1)-H232</f>
        <v>1278</v>
      </c>
      <c r="K233" s="8">
        <f>K232+N232*'Prestige Patterns'!$B$20</f>
        <v>467892648000</v>
      </c>
      <c r="L233" s="8">
        <f>if(J232&gt;='Prestige Patterns'!$B$28,if(J232/(H232+1)&gt;('Prestige Patterns'!$B$27+1),L232+1,L232),L232)</f>
        <v>4</v>
      </c>
      <c r="N233" s="12">
        <f t="shared" si="1"/>
        <v>367951872</v>
      </c>
      <c r="O233" s="9">
        <f>'Prestige Patterns'!$B$4*E233</f>
        <v>9120</v>
      </c>
      <c r="P233" s="12">
        <f t="shared" si="4"/>
        <v>4096</v>
      </c>
      <c r="Q233" s="11"/>
      <c r="R233" s="11"/>
      <c r="S233" s="9">
        <v>232.0</v>
      </c>
      <c r="T233" s="11"/>
    </row>
    <row r="234" ht="15.75" customHeight="1">
      <c r="A234" s="7"/>
      <c r="B234" s="7"/>
      <c r="C234" s="7">
        <f>(S234*'Prestige Patterns'!$B$20)/60</f>
        <v>116.5</v>
      </c>
      <c r="D234" s="8">
        <f>if(L233=L234,N233*'Prestige Patterns'!$B$20+D233-F234,0)</f>
        <v>28251984037</v>
      </c>
      <c r="E234" s="9">
        <f t="shared" si="2"/>
        <v>456</v>
      </c>
      <c r="F234" s="10">
        <f>'Prestige Patterns'!$B$5*('Prestige Patterns'!$B$6^E233-'Prestige Patterns'!$B$6^(E233+G234))/(1-'Prestige Patterns'!$B$6)</f>
        <v>0</v>
      </c>
      <c r="G234" s="13">
        <f>floor(LOG('Prestige Patterns'!$B$6^(E233) - (D233*(1-'Prestige Patterns'!$B$6)/'Prestige Patterns'!$B$5),'Prestige Patterns'!$B$6)-E233,1)</f>
        <v>0</v>
      </c>
      <c r="H234" s="12">
        <f t="shared" si="3"/>
        <v>885</v>
      </c>
      <c r="I234" s="11">
        <f>1+H234*'Prestige Patterns'!$B$25</f>
        <v>9.85</v>
      </c>
      <c r="J234" s="12">
        <f>floor((K234/'Prestige Patterns'!$B$22)^'Prestige Patterns'!$B$23,1)-H233</f>
        <v>1303</v>
      </c>
      <c r="K234" s="8">
        <f>K233+N233*'Prestige Patterns'!$B$20</f>
        <v>478931204160</v>
      </c>
      <c r="L234" s="8">
        <f>if(J233&gt;='Prestige Patterns'!$B$28,if(J233/(H233+1)&gt;('Prestige Patterns'!$B$27+1),L233+1,L233),L233)</f>
        <v>4</v>
      </c>
      <c r="N234" s="12">
        <f t="shared" si="1"/>
        <v>367951872</v>
      </c>
      <c r="O234" s="9">
        <f>'Prestige Patterns'!$B$4*E234</f>
        <v>9120</v>
      </c>
      <c r="P234" s="12">
        <f t="shared" si="4"/>
        <v>4096</v>
      </c>
      <c r="Q234" s="11"/>
      <c r="R234" s="11"/>
      <c r="S234" s="9">
        <v>233.0</v>
      </c>
      <c r="T234" s="11"/>
    </row>
    <row r="235" ht="15.75" customHeight="1">
      <c r="A235" s="7"/>
      <c r="B235" s="7"/>
      <c r="C235" s="7">
        <f>(S235*'Prestige Patterns'!$B$20)/60</f>
        <v>117</v>
      </c>
      <c r="D235" s="8">
        <f>if(L234=L235,N234*'Prestige Patterns'!$B$20+D234-F235,0)</f>
        <v>20909064802</v>
      </c>
      <c r="E235" s="9">
        <f t="shared" si="2"/>
        <v>457</v>
      </c>
      <c r="F235" s="10">
        <f>'Prestige Patterns'!$B$5*('Prestige Patterns'!$B$6^E234-'Prestige Patterns'!$B$6^(E234+G235))/(1-'Prestige Patterns'!$B$6)</f>
        <v>18381475394</v>
      </c>
      <c r="G235" s="13">
        <f>floor(LOG('Prestige Patterns'!$B$6^(E234) - (D234*(1-'Prestige Patterns'!$B$6)/'Prestige Patterns'!$B$5),'Prestige Patterns'!$B$6)-E234,1)</f>
        <v>1</v>
      </c>
      <c r="H235" s="12">
        <f t="shared" si="3"/>
        <v>885</v>
      </c>
      <c r="I235" s="11">
        <f>1+H235*'Prestige Patterns'!$B$25</f>
        <v>9.85</v>
      </c>
      <c r="J235" s="12">
        <f>floor((K235/'Prestige Patterns'!$B$22)^'Prestige Patterns'!$B$23,1)-H234</f>
        <v>1328</v>
      </c>
      <c r="K235" s="8">
        <f>K234+N234*'Prestige Patterns'!$B$20</f>
        <v>489969760320</v>
      </c>
      <c r="L235" s="8">
        <f>if(J234&gt;='Prestige Patterns'!$B$28,if(J234/(H234+1)&gt;('Prestige Patterns'!$B$27+1),L234+1,L234),L234)</f>
        <v>4</v>
      </c>
      <c r="N235" s="12">
        <f t="shared" si="1"/>
        <v>368758784</v>
      </c>
      <c r="O235" s="9">
        <f>'Prestige Patterns'!$B$4*E235</f>
        <v>9140</v>
      </c>
      <c r="P235" s="12">
        <f t="shared" si="4"/>
        <v>4096</v>
      </c>
      <c r="Q235" s="11"/>
      <c r="R235" s="11"/>
      <c r="S235" s="9">
        <v>234.0</v>
      </c>
      <c r="T235" s="11"/>
    </row>
    <row r="236" ht="15.75" customHeight="1">
      <c r="A236" s="7"/>
      <c r="B236" s="7"/>
      <c r="C236" s="7">
        <f>(S236*'Prestige Patterns'!$B$20)/60</f>
        <v>117.5</v>
      </c>
      <c r="D236" s="8">
        <f>if(L235=L236,N235*'Prestige Patterns'!$B$20+D235-F236,0)</f>
        <v>12671279158</v>
      </c>
      <c r="E236" s="9">
        <f t="shared" si="2"/>
        <v>458</v>
      </c>
      <c r="F236" s="10">
        <f>'Prestige Patterns'!$B$5*('Prestige Patterns'!$B$6^E235-'Prestige Patterns'!$B$6^(E235+G236))/(1-'Prestige Patterns'!$B$6)</f>
        <v>19300549164</v>
      </c>
      <c r="G236" s="13">
        <f>floor(LOG('Prestige Patterns'!$B$6^(E235) - (D235*(1-'Prestige Patterns'!$B$6)/'Prestige Patterns'!$B$5),'Prestige Patterns'!$B$6)-E235,1)</f>
        <v>1</v>
      </c>
      <c r="H236" s="12">
        <f t="shared" si="3"/>
        <v>885</v>
      </c>
      <c r="I236" s="11">
        <f>1+H236*'Prestige Patterns'!$B$25</f>
        <v>9.85</v>
      </c>
      <c r="J236" s="12">
        <f>floor((K236/'Prestige Patterns'!$B$22)^'Prestige Patterns'!$B$23,1)-H235</f>
        <v>1353</v>
      </c>
      <c r="K236" s="8">
        <f>K235+N235*'Prestige Patterns'!$B$20</f>
        <v>501032523840</v>
      </c>
      <c r="L236" s="8">
        <f>if(J235&gt;='Prestige Patterns'!$B$28,if(J235/(H235+1)&gt;('Prestige Patterns'!$B$27+1),L235+1,L235),L235)</f>
        <v>4</v>
      </c>
      <c r="N236" s="12">
        <f t="shared" si="1"/>
        <v>369565696</v>
      </c>
      <c r="O236" s="9">
        <f>'Prestige Patterns'!$B$4*E236</f>
        <v>9160</v>
      </c>
      <c r="P236" s="12">
        <f t="shared" si="4"/>
        <v>4096</v>
      </c>
      <c r="Q236" s="11"/>
      <c r="R236" s="11"/>
      <c r="S236" s="9">
        <v>235.0</v>
      </c>
      <c r="T236" s="11"/>
    </row>
    <row r="237" ht="15.75" customHeight="1">
      <c r="A237" s="7"/>
      <c r="B237" s="7"/>
      <c r="C237" s="7">
        <f>(S237*'Prestige Patterns'!$B$20)/60</f>
        <v>118</v>
      </c>
      <c r="D237" s="8">
        <f>if(L236=L237,N236*'Prestige Patterns'!$B$20+D236-F237,0)</f>
        <v>0</v>
      </c>
      <c r="E237" s="9">
        <f t="shared" si="2"/>
        <v>1</v>
      </c>
      <c r="F237" s="10">
        <f>'Prestige Patterns'!$B$5*('Prestige Patterns'!$B$6^E236-'Prestige Patterns'!$B$6^(E236+G237))/(1-'Prestige Patterns'!$B$6)</f>
        <v>0</v>
      </c>
      <c r="G237" s="13">
        <f>floor(LOG('Prestige Patterns'!$B$6^(E236) - (D236*(1-'Prestige Patterns'!$B$6)/'Prestige Patterns'!$B$5),'Prestige Patterns'!$B$6)-E236,1)</f>
        <v>0</v>
      </c>
      <c r="H237" s="12">
        <f t="shared" si="3"/>
        <v>2238</v>
      </c>
      <c r="I237" s="11">
        <f>1+H237*'Prestige Patterns'!$B$25</f>
        <v>23.38</v>
      </c>
      <c r="J237" s="12">
        <f>floor((K237/'Prestige Patterns'!$B$22)^'Prestige Patterns'!$B$23,1)-H236</f>
        <v>1378</v>
      </c>
      <c r="K237" s="8">
        <f>K236+N236*'Prestige Patterns'!$B$20</f>
        <v>512119494720</v>
      </c>
      <c r="L237" s="8">
        <f>if(J236&gt;='Prestige Patterns'!$B$28,if(J236/(H236+1)&gt;('Prestige Patterns'!$B$27+1),L236+1,L236),L236)</f>
        <v>5</v>
      </c>
      <c r="N237" s="12">
        <f t="shared" si="1"/>
        <v>1915289.6</v>
      </c>
      <c r="O237" s="9">
        <f>'Prestige Patterns'!$B$4*E237</f>
        <v>20</v>
      </c>
      <c r="P237" s="12">
        <f t="shared" si="4"/>
        <v>4096</v>
      </c>
      <c r="Q237" s="11"/>
      <c r="R237" s="11"/>
      <c r="S237" s="9">
        <v>236.0</v>
      </c>
      <c r="T237" s="11"/>
    </row>
    <row r="238" ht="15.75" customHeight="1">
      <c r="A238" s="7"/>
      <c r="B238" s="7"/>
      <c r="C238" s="7">
        <f>(S238*'Prestige Patterns'!$B$20)/60</f>
        <v>118.5</v>
      </c>
      <c r="D238" s="8">
        <f>if(L237=L238,N237*'Prestige Patterns'!$B$20+D237-F238,0)</f>
        <v>57458688</v>
      </c>
      <c r="E238" s="9">
        <f t="shared" si="2"/>
        <v>1</v>
      </c>
      <c r="F238" s="10">
        <f>'Prestige Patterns'!$B$5*('Prestige Patterns'!$B$6^E237-'Prestige Patterns'!$B$6^(E237+G238))/(1-'Prestige Patterns'!$B$6)</f>
        <v>0</v>
      </c>
      <c r="G238" s="13">
        <f>floor(LOG('Prestige Patterns'!$B$6^(E237) - (D237*(1-'Prestige Patterns'!$B$6)/'Prestige Patterns'!$B$5),'Prestige Patterns'!$B$6)-E237,1)</f>
        <v>0</v>
      </c>
      <c r="H238" s="12">
        <f t="shared" si="3"/>
        <v>2238</v>
      </c>
      <c r="I238" s="11">
        <f>1+H238*'Prestige Patterns'!$B$25</f>
        <v>23.38</v>
      </c>
      <c r="J238" s="12">
        <f>floor((K238/'Prestige Patterns'!$B$22)^'Prestige Patterns'!$B$23,1)-H237</f>
        <v>25</v>
      </c>
      <c r="K238" s="8">
        <f>K237+N237*'Prestige Patterns'!$B$20</f>
        <v>512176953408</v>
      </c>
      <c r="L238" s="8">
        <f>if(J237&gt;='Prestige Patterns'!$B$28,if(J237/(H237+1)&gt;('Prestige Patterns'!$B$27+1),L237+1,L237),L237)</f>
        <v>5</v>
      </c>
      <c r="N238" s="12">
        <f t="shared" si="1"/>
        <v>1915289.6</v>
      </c>
      <c r="O238" s="9">
        <f>'Prestige Patterns'!$B$4*E238</f>
        <v>20</v>
      </c>
      <c r="P238" s="12">
        <f t="shared" si="4"/>
        <v>4096</v>
      </c>
      <c r="Q238" s="11"/>
      <c r="R238" s="11"/>
      <c r="S238" s="9">
        <v>237.0</v>
      </c>
      <c r="T238" s="11"/>
    </row>
    <row r="239" ht="15.75" customHeight="1">
      <c r="A239" s="7"/>
      <c r="B239" s="7"/>
      <c r="C239" s="7">
        <f>(S239*'Prestige Patterns'!$B$20)/60</f>
        <v>119</v>
      </c>
      <c r="D239" s="8">
        <f>if(L238=L239,N238*'Prestige Patterns'!$B$20+D238-F239,0)</f>
        <v>58510001.79</v>
      </c>
      <c r="E239" s="9">
        <f t="shared" si="2"/>
        <v>276</v>
      </c>
      <c r="F239" s="10">
        <f>'Prestige Patterns'!$B$5*('Prestige Patterns'!$B$6^E238-'Prestige Patterns'!$B$6^(E238+G239))/(1-'Prestige Patterns'!$B$6)</f>
        <v>56407374.21</v>
      </c>
      <c r="G239" s="13">
        <f>floor(LOG('Prestige Patterns'!$B$6^(E238) - (D238*(1-'Prestige Patterns'!$B$6)/'Prestige Patterns'!$B$5),'Prestige Patterns'!$B$6)-E238,1)</f>
        <v>275</v>
      </c>
      <c r="H239" s="12">
        <f t="shared" si="3"/>
        <v>2238</v>
      </c>
      <c r="I239" s="11">
        <f>1+H239*'Prestige Patterns'!$B$25</f>
        <v>23.38</v>
      </c>
      <c r="J239" s="12">
        <f>floor((K239/'Prestige Patterns'!$B$22)^'Prestige Patterns'!$B$23,1)-H238</f>
        <v>25</v>
      </c>
      <c r="K239" s="8">
        <f>K238+N238*'Prestige Patterns'!$B$20</f>
        <v>512234412096</v>
      </c>
      <c r="L239" s="8">
        <f>if(J238&gt;='Prestige Patterns'!$B$28,if(J238/(H238+1)&gt;('Prestige Patterns'!$B$27+1),L238+1,L238),L238)</f>
        <v>5</v>
      </c>
      <c r="N239" s="12">
        <f t="shared" si="1"/>
        <v>8259686.4</v>
      </c>
      <c r="O239" s="9">
        <f>'Prestige Patterns'!$B$4*E239</f>
        <v>5520</v>
      </c>
      <c r="P239" s="12">
        <f t="shared" si="4"/>
        <v>64</v>
      </c>
      <c r="Q239" s="11"/>
      <c r="R239" s="11"/>
      <c r="S239" s="9">
        <v>238.0</v>
      </c>
      <c r="T239" s="11"/>
    </row>
    <row r="240" ht="15.75" customHeight="1">
      <c r="A240" s="7"/>
      <c r="B240" s="7"/>
      <c r="C240" s="7">
        <f>(S240*'Prestige Patterns'!$B$20)/60</f>
        <v>119.5</v>
      </c>
      <c r="D240" s="8">
        <f>if(L239=L240,N239*'Prestige Patterns'!$B$20+D239-F240,0)</f>
        <v>251025143.1</v>
      </c>
      <c r="E240" s="9">
        <f t="shared" si="2"/>
        <v>290</v>
      </c>
      <c r="F240" s="10">
        <f>'Prestige Patterns'!$B$5*('Prestige Patterns'!$B$6^E239-'Prestige Patterns'!$B$6^(E239+G240))/(1-'Prestige Patterns'!$B$6)</f>
        <v>55275450.74</v>
      </c>
      <c r="G240" s="13">
        <f>floor(LOG('Prestige Patterns'!$B$6^(E239) - (D239*(1-'Prestige Patterns'!$B$6)/'Prestige Patterns'!$B$5),'Prestige Patterns'!$B$6)-E239,1)</f>
        <v>14</v>
      </c>
      <c r="H240" s="12">
        <f t="shared" si="3"/>
        <v>2238</v>
      </c>
      <c r="I240" s="11">
        <f>1+H240*'Prestige Patterns'!$B$25</f>
        <v>23.38</v>
      </c>
      <c r="J240" s="12">
        <f>floor((K240/'Prestige Patterns'!$B$22)^'Prestige Patterns'!$B$23,1)-H239</f>
        <v>25</v>
      </c>
      <c r="K240" s="8">
        <f>K239+N239*'Prestige Patterns'!$B$20</f>
        <v>512482202688</v>
      </c>
      <c r="L240" s="8">
        <f>if(J239&gt;='Prestige Patterns'!$B$28,if(J239/(H239+1)&gt;('Prestige Patterns'!$B$27+1),L239+1,L239),L239)</f>
        <v>5</v>
      </c>
      <c r="N240" s="12">
        <f t="shared" si="1"/>
        <v>8678656</v>
      </c>
      <c r="O240" s="9">
        <f>'Prestige Patterns'!$B$4*E240</f>
        <v>5800</v>
      </c>
      <c r="P240" s="12">
        <f t="shared" si="4"/>
        <v>64</v>
      </c>
      <c r="Q240" s="11"/>
      <c r="R240" s="11"/>
      <c r="S240" s="9">
        <v>239.0</v>
      </c>
      <c r="T240" s="11"/>
    </row>
    <row r="241" ht="15.75" customHeight="1">
      <c r="A241" s="7"/>
      <c r="B241" s="7"/>
      <c r="C241" s="7">
        <f>(S241*'Prestige Patterns'!$B$20)/60</f>
        <v>120</v>
      </c>
      <c r="D241" s="8">
        <f>if(L240=L241,N240*'Prestige Patterns'!$B$20+D240-F241,0)</f>
        <v>262879188.6</v>
      </c>
      <c r="E241" s="9">
        <f t="shared" si="2"/>
        <v>314</v>
      </c>
      <c r="F241" s="10">
        <f>'Prestige Patterns'!$B$5*('Prestige Patterns'!$B$6^E240-'Prestige Patterns'!$B$6^(E240+G241))/(1-'Prestige Patterns'!$B$6)</f>
        <v>248505634.4</v>
      </c>
      <c r="G241" s="13">
        <f>floor(LOG('Prestige Patterns'!$B$6^(E240) - (D240*(1-'Prestige Patterns'!$B$6)/'Prestige Patterns'!$B$5),'Prestige Patterns'!$B$6)-E240,1)</f>
        <v>24</v>
      </c>
      <c r="H241" s="12">
        <f t="shared" si="3"/>
        <v>2238</v>
      </c>
      <c r="I241" s="11">
        <f>1+H241*'Prestige Patterns'!$B$25</f>
        <v>23.38</v>
      </c>
      <c r="J241" s="12">
        <f>floor((K241/'Prestige Patterns'!$B$22)^'Prestige Patterns'!$B$23,1)-H240</f>
        <v>26</v>
      </c>
      <c r="K241" s="8">
        <f>K240+N240*'Prestige Patterns'!$B$20</f>
        <v>512742562368</v>
      </c>
      <c r="L241" s="8">
        <f>if(J240&gt;='Prestige Patterns'!$B$28,if(J240/(H240+1)&gt;('Prestige Patterns'!$B$27+1),L240+1,L240),L240)</f>
        <v>5</v>
      </c>
      <c r="N241" s="12">
        <f t="shared" si="1"/>
        <v>75175116.8</v>
      </c>
      <c r="O241" s="9">
        <f>'Prestige Patterns'!$B$4*E241</f>
        <v>6280</v>
      </c>
      <c r="P241" s="12">
        <f t="shared" si="4"/>
        <v>512</v>
      </c>
      <c r="Q241" s="11"/>
      <c r="R241" s="11"/>
      <c r="S241" s="9">
        <v>240.0</v>
      </c>
      <c r="T241" s="11"/>
    </row>
    <row r="242" ht="15.75" customHeight="1">
      <c r="A242" s="7"/>
      <c r="B242" s="7"/>
      <c r="C242" s="7">
        <f>(S242*'Prestige Patterns'!$B$20)/60</f>
        <v>120.5</v>
      </c>
      <c r="D242" s="8">
        <f>if(L241=L242,N241*'Prestige Patterns'!$B$20+D241-F242,0)</f>
        <v>2262276594</v>
      </c>
      <c r="E242" s="9">
        <f t="shared" si="2"/>
        <v>325</v>
      </c>
      <c r="F242" s="10">
        <f>'Prestige Patterns'!$B$5*('Prestige Patterns'!$B$6^E241-'Prestige Patterns'!$B$6^(E241+G242))/(1-'Prestige Patterns'!$B$6)</f>
        <v>255856098.7</v>
      </c>
      <c r="G242" s="13">
        <f>floor(LOG('Prestige Patterns'!$B$6^(E241) - (D241*(1-'Prestige Patterns'!$B$6)/'Prestige Patterns'!$B$5),'Prestige Patterns'!$B$6)-E241,1)</f>
        <v>11</v>
      </c>
      <c r="H242" s="12">
        <f t="shared" si="3"/>
        <v>2238</v>
      </c>
      <c r="I242" s="11">
        <f>1+H242*'Prestige Patterns'!$B$25</f>
        <v>23.38</v>
      </c>
      <c r="J242" s="12">
        <f>floor((K242/'Prestige Patterns'!$B$22)^'Prestige Patterns'!$B$23,1)-H241</f>
        <v>31</v>
      </c>
      <c r="K242" s="8">
        <f>K241+N241*'Prestige Patterns'!$B$20</f>
        <v>514997815872</v>
      </c>
      <c r="L242" s="8">
        <f>if(J241&gt;='Prestige Patterns'!$B$28,if(J241/(H241+1)&gt;('Prestige Patterns'!$B$27+1),L241+1,L241),L241)</f>
        <v>5</v>
      </c>
      <c r="N242" s="12">
        <f t="shared" si="1"/>
        <v>77808640</v>
      </c>
      <c r="O242" s="9">
        <f>'Prestige Patterns'!$B$4*E242</f>
        <v>6500</v>
      </c>
      <c r="P242" s="12">
        <f t="shared" si="4"/>
        <v>512</v>
      </c>
      <c r="Q242" s="11"/>
      <c r="R242" s="11"/>
      <c r="S242" s="9">
        <v>241.0</v>
      </c>
      <c r="T242" s="11"/>
    </row>
    <row r="243" ht="15.75" customHeight="1">
      <c r="A243" s="7"/>
      <c r="B243" s="7"/>
      <c r="C243" s="7">
        <f>(S243*'Prestige Patterns'!$B$20)/60</f>
        <v>121</v>
      </c>
      <c r="D243" s="8">
        <f>if(L242=L243,N242*'Prestige Patterns'!$B$20+D242-F243,0)</f>
        <v>2416945520</v>
      </c>
      <c r="E243" s="9">
        <f t="shared" si="2"/>
        <v>356</v>
      </c>
      <c r="F243" s="10">
        <f>'Prestige Patterns'!$B$5*('Prestige Patterns'!$B$6^E242-'Prestige Patterns'!$B$6^(E242+G243))/(1-'Prestige Patterns'!$B$6)</f>
        <v>2179590274</v>
      </c>
      <c r="G243" s="13">
        <f>floor(LOG('Prestige Patterns'!$B$6^(E242) - (D242*(1-'Prestige Patterns'!$B$6)/'Prestige Patterns'!$B$5),'Prestige Patterns'!$B$6)-E242,1)</f>
        <v>31</v>
      </c>
      <c r="H243" s="12">
        <f t="shared" si="3"/>
        <v>2238</v>
      </c>
      <c r="I243" s="11">
        <f>1+H243*'Prestige Patterns'!$B$25</f>
        <v>23.38</v>
      </c>
      <c r="J243" s="12">
        <f>floor((K243/'Prestige Patterns'!$B$22)^'Prestige Patterns'!$B$23,1)-H242</f>
        <v>36</v>
      </c>
      <c r="K243" s="8">
        <f>K242+N242*'Prestige Patterns'!$B$20</f>
        <v>517332075072</v>
      </c>
      <c r="L243" s="8">
        <f>if(J242&gt;='Prestige Patterns'!$B$28,if(J242/(H242+1)&gt;('Prestige Patterns'!$B$27+1),L242+1,L242),L242)</f>
        <v>5</v>
      </c>
      <c r="N243" s="12">
        <f t="shared" si="1"/>
        <v>85230387.2</v>
      </c>
      <c r="O243" s="9">
        <f>'Prestige Patterns'!$B$4*E243</f>
        <v>7120</v>
      </c>
      <c r="P243" s="12">
        <f t="shared" si="4"/>
        <v>512</v>
      </c>
      <c r="Q243" s="11"/>
      <c r="R243" s="11"/>
      <c r="S243" s="9">
        <v>242.0</v>
      </c>
      <c r="T243" s="11"/>
    </row>
    <row r="244" ht="15.75" customHeight="1">
      <c r="A244" s="7"/>
      <c r="B244" s="7"/>
      <c r="C244" s="7">
        <f>(S244*'Prestige Patterns'!$B$20)/60</f>
        <v>121.5</v>
      </c>
      <c r="D244" s="8">
        <f>if(L243=L244,N243*'Prestige Patterns'!$B$20+D243-F244,0)</f>
        <v>2748933403</v>
      </c>
      <c r="E244" s="9">
        <f t="shared" si="2"/>
        <v>368</v>
      </c>
      <c r="F244" s="10">
        <f>'Prestige Patterns'!$B$5*('Prestige Patterns'!$B$6^E243-'Prestige Patterns'!$B$6^(E243+G244))/(1-'Prestige Patterns'!$B$6)</f>
        <v>2224923733</v>
      </c>
      <c r="G244" s="13">
        <f>floor(LOG('Prestige Patterns'!$B$6^(E243) - (D243*(1-'Prestige Patterns'!$B$6)/'Prestige Patterns'!$B$5),'Prestige Patterns'!$B$6)-E243,1)</f>
        <v>12</v>
      </c>
      <c r="H244" s="12">
        <f t="shared" si="3"/>
        <v>2238</v>
      </c>
      <c r="I244" s="11">
        <f>1+H244*'Prestige Patterns'!$B$25</f>
        <v>23.38</v>
      </c>
      <c r="J244" s="12">
        <f>floor((K244/'Prestige Patterns'!$B$22)^'Prestige Patterns'!$B$23,1)-H243</f>
        <v>42</v>
      </c>
      <c r="K244" s="8">
        <f>K243+N243*'Prestige Patterns'!$B$20</f>
        <v>519888986688</v>
      </c>
      <c r="L244" s="8">
        <f>if(J243&gt;='Prestige Patterns'!$B$28,if(J243/(H243+1)&gt;('Prestige Patterns'!$B$27+1),L243+1,L243),L243)</f>
        <v>5</v>
      </c>
      <c r="N244" s="12">
        <f t="shared" si="1"/>
        <v>88103321.6</v>
      </c>
      <c r="O244" s="9">
        <f>'Prestige Patterns'!$B$4*E244</f>
        <v>7360</v>
      </c>
      <c r="P244" s="12">
        <f t="shared" si="4"/>
        <v>512</v>
      </c>
      <c r="Q244" s="11"/>
      <c r="R244" s="11"/>
      <c r="S244" s="9">
        <v>243.0</v>
      </c>
      <c r="T244" s="11"/>
    </row>
    <row r="245" ht="15.75" customHeight="1">
      <c r="A245" s="7"/>
      <c r="B245" s="7"/>
      <c r="C245" s="7">
        <f>(S245*'Prestige Patterns'!$B$20)/60</f>
        <v>122</v>
      </c>
      <c r="D245" s="8">
        <f>if(L244=L245,N244*'Prestige Patterns'!$B$20+D244-F245,0)</f>
        <v>2994939994</v>
      </c>
      <c r="E245" s="9">
        <f t="shared" si="2"/>
        <v>376</v>
      </c>
      <c r="F245" s="10">
        <f>'Prestige Patterns'!$B$5*('Prestige Patterns'!$B$6^E244-'Prestige Patterns'!$B$6^(E244+G245))/(1-'Prestige Patterns'!$B$6)</f>
        <v>2397093058</v>
      </c>
      <c r="G245" s="13">
        <f>floor(LOG('Prestige Patterns'!$B$6^(E244) - (D244*(1-'Prestige Patterns'!$B$6)/'Prestige Patterns'!$B$5),'Prestige Patterns'!$B$6)-E244,1)</f>
        <v>8</v>
      </c>
      <c r="H245" s="12">
        <f t="shared" si="3"/>
        <v>2238</v>
      </c>
      <c r="I245" s="11">
        <f>1+H245*'Prestige Patterns'!$B$25</f>
        <v>23.38</v>
      </c>
      <c r="J245" s="12">
        <f>floor((K245/'Prestige Patterns'!$B$22)^'Prestige Patterns'!$B$23,1)-H244</f>
        <v>47</v>
      </c>
      <c r="K245" s="8">
        <f>K244+N244*'Prestige Patterns'!$B$20</f>
        <v>522532086336</v>
      </c>
      <c r="L245" s="8">
        <f>if(J244&gt;='Prestige Patterns'!$B$28,if(J244/(H244+1)&gt;('Prestige Patterns'!$B$27+1),L244+1,L244),L244)</f>
        <v>5</v>
      </c>
      <c r="N245" s="12">
        <f t="shared" si="1"/>
        <v>90018611.2</v>
      </c>
      <c r="O245" s="9">
        <f>'Prestige Patterns'!$B$4*E245</f>
        <v>7520</v>
      </c>
      <c r="P245" s="12">
        <f t="shared" si="4"/>
        <v>512</v>
      </c>
      <c r="Q245" s="11"/>
      <c r="R245" s="11"/>
      <c r="S245" s="9">
        <v>244.0</v>
      </c>
      <c r="T245" s="11"/>
    </row>
    <row r="246" ht="15.75" customHeight="1">
      <c r="A246" s="7"/>
      <c r="B246" s="7"/>
      <c r="C246" s="7">
        <f>(S246*'Prestige Patterns'!$B$20)/60</f>
        <v>122.5</v>
      </c>
      <c r="D246" s="8">
        <f>if(L245=L246,N245*'Prestige Patterns'!$B$20+D245-F246,0)</f>
        <v>3172787321</v>
      </c>
      <c r="E246" s="9">
        <f t="shared" si="2"/>
        <v>382</v>
      </c>
      <c r="F246" s="10">
        <f>'Prestige Patterns'!$B$5*('Prestige Patterns'!$B$6^E245-'Prestige Patterns'!$B$6^(E245+G246))/(1-'Prestige Patterns'!$B$6)</f>
        <v>2522711009</v>
      </c>
      <c r="G246" s="13">
        <f>floor(LOG('Prestige Patterns'!$B$6^(E245) - (D245*(1-'Prestige Patterns'!$B$6)/'Prestige Patterns'!$B$5),'Prestige Patterns'!$B$6)-E245,1)</f>
        <v>6</v>
      </c>
      <c r="H246" s="12">
        <f t="shared" si="3"/>
        <v>2238</v>
      </c>
      <c r="I246" s="11">
        <f>1+H246*'Prestige Patterns'!$B$25</f>
        <v>23.38</v>
      </c>
      <c r="J246" s="12">
        <f>floor((K246/'Prestige Patterns'!$B$22)^'Prestige Patterns'!$B$23,1)-H245</f>
        <v>53</v>
      </c>
      <c r="K246" s="8">
        <f>K245+N245*'Prestige Patterns'!$B$20</f>
        <v>525232644672</v>
      </c>
      <c r="L246" s="8">
        <f>if(J245&gt;='Prestige Patterns'!$B$28,if(J245/(H245+1)&gt;('Prestige Patterns'!$B$27+1),L245+1,L245),L245)</f>
        <v>5</v>
      </c>
      <c r="N246" s="12">
        <f t="shared" si="1"/>
        <v>91455078.4</v>
      </c>
      <c r="O246" s="9">
        <f>'Prestige Patterns'!$B$4*E246</f>
        <v>7640</v>
      </c>
      <c r="P246" s="12">
        <f t="shared" si="4"/>
        <v>512</v>
      </c>
      <c r="Q246" s="11"/>
      <c r="R246" s="11"/>
      <c r="S246" s="9">
        <v>245.0</v>
      </c>
      <c r="T246" s="11"/>
    </row>
    <row r="247" ht="15.75" customHeight="1">
      <c r="A247" s="7"/>
      <c r="B247" s="7"/>
      <c r="C247" s="7">
        <f>(S247*'Prestige Patterns'!$B$20)/60</f>
        <v>123</v>
      </c>
      <c r="D247" s="8">
        <f>if(L246=L247,N246*'Prestige Patterns'!$B$20+D246-F247,0)</f>
        <v>3170100730</v>
      </c>
      <c r="E247" s="9">
        <f t="shared" si="2"/>
        <v>387</v>
      </c>
      <c r="F247" s="10">
        <f>'Prestige Patterns'!$B$5*('Prestige Patterns'!$B$6^E246-'Prestige Patterns'!$B$6^(E246+G247))/(1-'Prestige Patterns'!$B$6)</f>
        <v>2746338943</v>
      </c>
      <c r="G247" s="13">
        <f>floor(LOG('Prestige Patterns'!$B$6^(E246) - (D246*(1-'Prestige Patterns'!$B$6)/'Prestige Patterns'!$B$5),'Prestige Patterns'!$B$6)-E246,1)</f>
        <v>5</v>
      </c>
      <c r="H247" s="12">
        <f t="shared" si="3"/>
        <v>2238</v>
      </c>
      <c r="I247" s="11">
        <f>1+H247*'Prestige Patterns'!$B$25</f>
        <v>23.38</v>
      </c>
      <c r="J247" s="12">
        <f>floor((K247/'Prestige Patterns'!$B$22)^'Prestige Patterns'!$B$23,1)-H246</f>
        <v>59</v>
      </c>
      <c r="K247" s="8">
        <f>K246+N246*'Prestige Patterns'!$B$20</f>
        <v>527976297024</v>
      </c>
      <c r="L247" s="8">
        <f>if(J246&gt;='Prestige Patterns'!$B$28,if(J246/(H246+1)&gt;('Prestige Patterns'!$B$27+1),L246+1,L246),L246)</f>
        <v>5</v>
      </c>
      <c r="N247" s="12">
        <f t="shared" si="1"/>
        <v>92652134.4</v>
      </c>
      <c r="O247" s="9">
        <f>'Prestige Patterns'!$B$4*E247</f>
        <v>7740</v>
      </c>
      <c r="P247" s="12">
        <f t="shared" si="4"/>
        <v>512</v>
      </c>
      <c r="Q247" s="11"/>
      <c r="R247" s="11"/>
      <c r="S247" s="9">
        <v>246.0</v>
      </c>
      <c r="T247" s="11"/>
    </row>
    <row r="248" ht="15.75" customHeight="1">
      <c r="A248" s="7"/>
      <c r="B248" s="7"/>
      <c r="C248" s="7">
        <f>(S248*'Prestige Patterns'!$B$20)/60</f>
        <v>123.5</v>
      </c>
      <c r="D248" s="8">
        <f>if(L247=L248,N247*'Prestige Patterns'!$B$20+D247-F248,0)</f>
        <v>3215601263</v>
      </c>
      <c r="E248" s="9">
        <f t="shared" si="2"/>
        <v>391</v>
      </c>
      <c r="F248" s="10">
        <f>'Prestige Patterns'!$B$5*('Prestige Patterns'!$B$6^E247-'Prestige Patterns'!$B$6^(E247+G248))/(1-'Prestige Patterns'!$B$6)</f>
        <v>2734063499</v>
      </c>
      <c r="G248" s="13">
        <f>floor(LOG('Prestige Patterns'!$B$6^(E247) - (D247*(1-'Prestige Patterns'!$B$6)/'Prestige Patterns'!$B$5),'Prestige Patterns'!$B$6)-E247,1)</f>
        <v>4</v>
      </c>
      <c r="H248" s="12">
        <f t="shared" si="3"/>
        <v>2238</v>
      </c>
      <c r="I248" s="11">
        <f>1+H248*'Prestige Patterns'!$B$25</f>
        <v>23.38</v>
      </c>
      <c r="J248" s="12">
        <f>floor((K248/'Prestige Patterns'!$B$22)^'Prestige Patterns'!$B$23,1)-H247</f>
        <v>65</v>
      </c>
      <c r="K248" s="8">
        <f>K247+N247*'Prestige Patterns'!$B$20</f>
        <v>530755861056</v>
      </c>
      <c r="L248" s="8">
        <f>if(J247&gt;='Prestige Patterns'!$B$28,if(J247/(H247+1)&gt;('Prestige Patterns'!$B$27+1),L247+1,L247),L247)</f>
        <v>5</v>
      </c>
      <c r="N248" s="12">
        <f t="shared" si="1"/>
        <v>93609779.2</v>
      </c>
      <c r="O248" s="9">
        <f>'Prestige Patterns'!$B$4*E248</f>
        <v>7820</v>
      </c>
      <c r="P248" s="12">
        <f t="shared" si="4"/>
        <v>512</v>
      </c>
      <c r="Q248" s="11"/>
      <c r="R248" s="11"/>
      <c r="S248" s="9">
        <v>247.0</v>
      </c>
      <c r="T248" s="11"/>
    </row>
    <row r="249" ht="15.75" customHeight="1">
      <c r="A249" s="7"/>
      <c r="B249" s="7"/>
      <c r="C249" s="7">
        <f>(S249*'Prestige Patterns'!$B$20)/60</f>
        <v>124</v>
      </c>
      <c r="D249" s="8">
        <f>if(L248=L249,N248*'Prestige Patterns'!$B$20+D248-F249,0)</f>
        <v>3593196531</v>
      </c>
      <c r="E249" s="9">
        <f t="shared" si="2"/>
        <v>394</v>
      </c>
      <c r="F249" s="10">
        <f>'Prestige Patterns'!$B$5*('Prestige Patterns'!$B$6^E248-'Prestige Patterns'!$B$6^(E248+G249))/(1-'Prestige Patterns'!$B$6)</f>
        <v>2430698108</v>
      </c>
      <c r="G249" s="13">
        <f>floor(LOG('Prestige Patterns'!$B$6^(E248) - (D248*(1-'Prestige Patterns'!$B$6)/'Prestige Patterns'!$B$5),'Prestige Patterns'!$B$6)-E248,1)</f>
        <v>3</v>
      </c>
      <c r="H249" s="12">
        <f t="shared" si="3"/>
        <v>2238</v>
      </c>
      <c r="I249" s="11">
        <f>1+H249*'Prestige Patterns'!$B$25</f>
        <v>23.38</v>
      </c>
      <c r="J249" s="12">
        <f>floor((K249/'Prestige Patterns'!$B$22)^'Prestige Patterns'!$B$23,1)-H248</f>
        <v>71</v>
      </c>
      <c r="K249" s="8">
        <f>K248+N248*'Prestige Patterns'!$B$20</f>
        <v>533564154432</v>
      </c>
      <c r="L249" s="8">
        <f>if(J248&gt;='Prestige Patterns'!$B$28,if(J248/(H248+1)&gt;('Prestige Patterns'!$B$27+1),L248+1,L248),L248)</f>
        <v>5</v>
      </c>
      <c r="N249" s="12">
        <f t="shared" si="1"/>
        <v>94328012.8</v>
      </c>
      <c r="O249" s="9">
        <f>'Prestige Patterns'!$B$4*E249</f>
        <v>7880</v>
      </c>
      <c r="P249" s="12">
        <f t="shared" si="4"/>
        <v>512</v>
      </c>
      <c r="Q249" s="11"/>
      <c r="R249" s="11"/>
      <c r="S249" s="9">
        <v>248.0</v>
      </c>
      <c r="T249" s="11"/>
    </row>
    <row r="250" ht="15.75" customHeight="1">
      <c r="A250" s="7"/>
      <c r="B250" s="7"/>
      <c r="C250" s="7">
        <f>(S250*'Prestige Patterns'!$B$20)/60</f>
        <v>124.5</v>
      </c>
      <c r="D250" s="8">
        <f>if(L249=L250,N249*'Prestige Patterns'!$B$20+D249-F250,0)</f>
        <v>3609200018</v>
      </c>
      <c r="E250" s="9">
        <f t="shared" si="2"/>
        <v>397</v>
      </c>
      <c r="F250" s="10">
        <f>'Prestige Patterns'!$B$5*('Prestige Patterns'!$B$6^E249-'Prestige Patterns'!$B$6^(E249+G250))/(1-'Prestige Patterns'!$B$6)</f>
        <v>2813836897</v>
      </c>
      <c r="G250" s="13">
        <f>floor(LOG('Prestige Patterns'!$B$6^(E249) - (D249*(1-'Prestige Patterns'!$B$6)/'Prestige Patterns'!$B$5),'Prestige Patterns'!$B$6)-E249,1)</f>
        <v>3</v>
      </c>
      <c r="H250" s="12">
        <f t="shared" si="3"/>
        <v>2238</v>
      </c>
      <c r="I250" s="11">
        <f>1+H250*'Prestige Patterns'!$B$25</f>
        <v>23.38</v>
      </c>
      <c r="J250" s="12">
        <f>floor((K250/'Prestige Patterns'!$B$22)^'Prestige Patterns'!$B$23,1)-H249</f>
        <v>78</v>
      </c>
      <c r="K250" s="8">
        <f>K249+N249*'Prestige Patterns'!$B$20</f>
        <v>536393994816</v>
      </c>
      <c r="L250" s="8">
        <f>if(J249&gt;='Prestige Patterns'!$B$28,if(J249/(H249+1)&gt;('Prestige Patterns'!$B$27+1),L249+1,L249),L249)</f>
        <v>5</v>
      </c>
      <c r="N250" s="12">
        <f t="shared" si="1"/>
        <v>95046246.4</v>
      </c>
      <c r="O250" s="9">
        <f>'Prestige Patterns'!$B$4*E250</f>
        <v>7940</v>
      </c>
      <c r="P250" s="12">
        <f t="shared" si="4"/>
        <v>512</v>
      </c>
      <c r="Q250" s="11"/>
      <c r="R250" s="11"/>
      <c r="S250" s="9">
        <v>249.0</v>
      </c>
      <c r="T250" s="11"/>
    </row>
    <row r="251" ht="15.75" customHeight="1">
      <c r="A251" s="7"/>
      <c r="B251" s="7"/>
      <c r="C251" s="7">
        <f>(S251*'Prestige Patterns'!$B$20)/60</f>
        <v>125</v>
      </c>
      <c r="D251" s="8">
        <f>if(L250=L251,N250*'Prestige Patterns'!$B$20+D250-F251,0)</f>
        <v>3203219472</v>
      </c>
      <c r="E251" s="9">
        <f t="shared" si="2"/>
        <v>400</v>
      </c>
      <c r="F251" s="10">
        <f>'Prestige Patterns'!$B$5*('Prestige Patterns'!$B$6^E250-'Prestige Patterns'!$B$6^(E250+G251))/(1-'Prestige Patterns'!$B$6)</f>
        <v>3257367938</v>
      </c>
      <c r="G251" s="13">
        <f>floor(LOG('Prestige Patterns'!$B$6^(E250) - (D250*(1-'Prestige Patterns'!$B$6)/'Prestige Patterns'!$B$5),'Prestige Patterns'!$B$6)-E250,1)</f>
        <v>3</v>
      </c>
      <c r="H251" s="12">
        <f t="shared" si="3"/>
        <v>2238</v>
      </c>
      <c r="I251" s="11">
        <f>1+H251*'Prestige Patterns'!$B$25</f>
        <v>23.38</v>
      </c>
      <c r="J251" s="12">
        <f>floor((K251/'Prestige Patterns'!$B$22)^'Prestige Patterns'!$B$23,1)-H250</f>
        <v>84</v>
      </c>
      <c r="K251" s="8">
        <f>K250+N250*'Prestige Patterns'!$B$20</f>
        <v>539245382208</v>
      </c>
      <c r="L251" s="8">
        <f>if(J250&gt;='Prestige Patterns'!$B$28,if(J250/(H250+1)&gt;('Prestige Patterns'!$B$27+1),L250+1,L250),L250)</f>
        <v>5</v>
      </c>
      <c r="N251" s="12">
        <f t="shared" si="1"/>
        <v>766115840</v>
      </c>
      <c r="O251" s="9">
        <f>'Prestige Patterns'!$B$4*E251</f>
        <v>8000</v>
      </c>
      <c r="P251" s="12">
        <f t="shared" si="4"/>
        <v>4096</v>
      </c>
      <c r="Q251" s="11"/>
      <c r="R251" s="11"/>
      <c r="S251" s="9">
        <v>250.0</v>
      </c>
      <c r="T251" s="11"/>
    </row>
    <row r="252" ht="15.75" customHeight="1">
      <c r="A252" s="7"/>
      <c r="B252" s="7"/>
      <c r="C252" s="7">
        <f>(S252*'Prestige Patterns'!$B$20)/60</f>
        <v>125.5</v>
      </c>
      <c r="D252" s="8">
        <f>if(L251=L252,N251*'Prestige Patterns'!$B$20+D251-F252,0)</f>
        <v>23734621192</v>
      </c>
      <c r="E252" s="9">
        <f t="shared" si="2"/>
        <v>402</v>
      </c>
      <c r="F252" s="10">
        <f>'Prestige Patterns'!$B$5*('Prestige Patterns'!$B$6^E251-'Prestige Patterns'!$B$6^(E251+G252))/(1-'Prestige Patterns'!$B$6)</f>
        <v>2452073480</v>
      </c>
      <c r="G252" s="13">
        <f>floor(LOG('Prestige Patterns'!$B$6^(E251) - (D251*(1-'Prestige Patterns'!$B$6)/'Prestige Patterns'!$B$5),'Prestige Patterns'!$B$6)-E251,1)</f>
        <v>2</v>
      </c>
      <c r="H252" s="12">
        <f t="shared" si="3"/>
        <v>2238</v>
      </c>
      <c r="I252" s="11">
        <f>1+H252*'Prestige Patterns'!$B$25</f>
        <v>23.38</v>
      </c>
      <c r="J252" s="12">
        <f>floor((K252/'Prestige Patterns'!$B$22)^'Prestige Patterns'!$B$23,1)-H251</f>
        <v>133</v>
      </c>
      <c r="K252" s="8">
        <f>K251+N251*'Prestige Patterns'!$B$20</f>
        <v>562228857408</v>
      </c>
      <c r="L252" s="8">
        <f>if(J251&gt;='Prestige Patterns'!$B$28,if(J251/(H251+1)&gt;('Prestige Patterns'!$B$27+1),L251+1,L251),L251)</f>
        <v>5</v>
      </c>
      <c r="N252" s="12">
        <f t="shared" si="1"/>
        <v>769946419.2</v>
      </c>
      <c r="O252" s="9">
        <f>'Prestige Patterns'!$B$4*E252</f>
        <v>8040</v>
      </c>
      <c r="P252" s="12">
        <f t="shared" si="4"/>
        <v>4096</v>
      </c>
      <c r="Q252" s="11"/>
      <c r="R252" s="11"/>
      <c r="S252" s="9">
        <v>251.0</v>
      </c>
      <c r="T252" s="11"/>
    </row>
    <row r="253" ht="15.75" customHeight="1">
      <c r="A253" s="7"/>
      <c r="B253" s="7"/>
      <c r="C253" s="7">
        <f>(S253*'Prestige Patterns'!$B$20)/60</f>
        <v>126</v>
      </c>
      <c r="D253" s="8">
        <f>if(L252=L253,N252*'Prestige Patterns'!$B$20+D252-F253,0)</f>
        <v>23474246508</v>
      </c>
      <c r="E253" s="9">
        <f t="shared" si="2"/>
        <v>415</v>
      </c>
      <c r="F253" s="10">
        <f>'Prestige Patterns'!$B$5*('Prestige Patterns'!$B$6^E252-'Prestige Patterns'!$B$6^(E252+G253))/(1-'Prestige Patterns'!$B$6)</f>
        <v>23358767259</v>
      </c>
      <c r="G253" s="13">
        <f>floor(LOG('Prestige Patterns'!$B$6^(E252) - (D252*(1-'Prestige Patterns'!$B$6)/'Prestige Patterns'!$B$5),'Prestige Patterns'!$B$6)-E252,1)</f>
        <v>13</v>
      </c>
      <c r="H253" s="12">
        <f t="shared" si="3"/>
        <v>2238</v>
      </c>
      <c r="I253" s="11">
        <f>1+H253*'Prestige Patterns'!$B$25</f>
        <v>23.38</v>
      </c>
      <c r="J253" s="12">
        <f>floor((K253/'Prestige Patterns'!$B$22)^'Prestige Patterns'!$B$23,1)-H252</f>
        <v>181</v>
      </c>
      <c r="K253" s="8">
        <f>K252+N252*'Prestige Patterns'!$B$20</f>
        <v>585327249984</v>
      </c>
      <c r="L253" s="8">
        <f>if(J252&gt;='Prestige Patterns'!$B$28,if(J252/(H252+1)&gt;('Prestige Patterns'!$B$27+1),L252+1,L252),L252)</f>
        <v>5</v>
      </c>
      <c r="N253" s="12">
        <f t="shared" si="1"/>
        <v>794845184</v>
      </c>
      <c r="O253" s="9">
        <f>'Prestige Patterns'!$B$4*E253</f>
        <v>8300</v>
      </c>
      <c r="P253" s="12">
        <f t="shared" si="4"/>
        <v>4096</v>
      </c>
      <c r="Q253" s="11"/>
      <c r="R253" s="11"/>
      <c r="S253" s="9">
        <v>252.0</v>
      </c>
      <c r="T253" s="11"/>
    </row>
    <row r="254" ht="15.75" customHeight="1">
      <c r="A254" s="7"/>
      <c r="B254" s="7"/>
      <c r="C254" s="7">
        <f>(S254*'Prestige Patterns'!$B$20)/60</f>
        <v>126.5</v>
      </c>
      <c r="D254" s="8">
        <f>if(L253=L254,N253*'Prestige Patterns'!$B$20+D253-F254,0)</f>
        <v>27073069560</v>
      </c>
      <c r="E254" s="9">
        <f t="shared" si="2"/>
        <v>422</v>
      </c>
      <c r="F254" s="10">
        <f>'Prestige Patterns'!$B$5*('Prestige Patterns'!$B$6^E253-'Prestige Patterns'!$B$6^(E253+G254))/(1-'Prestige Patterns'!$B$6)</f>
        <v>20246532469</v>
      </c>
      <c r="G254" s="13">
        <f>floor(LOG('Prestige Patterns'!$B$6^(E253) - (D253*(1-'Prestige Patterns'!$B$6)/'Prestige Patterns'!$B$5),'Prestige Patterns'!$B$6)-E253,1)</f>
        <v>7</v>
      </c>
      <c r="H254" s="12">
        <f t="shared" si="3"/>
        <v>2238</v>
      </c>
      <c r="I254" s="11">
        <f>1+H254*'Prestige Patterns'!$B$25</f>
        <v>23.38</v>
      </c>
      <c r="J254" s="12">
        <f>floor((K254/'Prestige Patterns'!$B$22)^'Prestige Patterns'!$B$23,1)-H253</f>
        <v>230</v>
      </c>
      <c r="K254" s="8">
        <f>K253+N253*'Prestige Patterns'!$B$20</f>
        <v>609172605504</v>
      </c>
      <c r="L254" s="8">
        <f>if(J253&gt;='Prestige Patterns'!$B$28,if(J253/(H253+1)&gt;('Prestige Patterns'!$B$27+1),L253+1,L253),L253)</f>
        <v>5</v>
      </c>
      <c r="N254" s="12">
        <f t="shared" si="1"/>
        <v>808252211.2</v>
      </c>
      <c r="O254" s="9">
        <f>'Prestige Patterns'!$B$4*E254</f>
        <v>8440</v>
      </c>
      <c r="P254" s="12">
        <f t="shared" si="4"/>
        <v>4096</v>
      </c>
      <c r="Q254" s="11"/>
      <c r="R254" s="11"/>
      <c r="S254" s="9">
        <v>253.0</v>
      </c>
      <c r="T254" s="11"/>
    </row>
    <row r="255" ht="15.75" customHeight="1">
      <c r="A255" s="7"/>
      <c r="B255" s="7"/>
      <c r="C255" s="7">
        <f>(S255*'Prestige Patterns'!$B$20)/60</f>
        <v>127</v>
      </c>
      <c r="D255" s="8">
        <f>if(L254=L255,N254*'Prestige Patterns'!$B$20+D254-F255,0)</f>
        <v>27520728916</v>
      </c>
      <c r="E255" s="9">
        <f t="shared" si="2"/>
        <v>428</v>
      </c>
      <c r="F255" s="10">
        <f>'Prestige Patterns'!$B$5*('Prestige Patterns'!$B$6^E254-'Prestige Patterns'!$B$6^(E254+G255))/(1-'Prestige Patterns'!$B$6)</f>
        <v>23799906980</v>
      </c>
      <c r="G255" s="13">
        <f>floor(LOG('Prestige Patterns'!$B$6^(E254) - (D254*(1-'Prestige Patterns'!$B$6)/'Prestige Patterns'!$B$5),'Prestige Patterns'!$B$6)-E254,1)</f>
        <v>6</v>
      </c>
      <c r="H255" s="12">
        <f t="shared" si="3"/>
        <v>2238</v>
      </c>
      <c r="I255" s="11">
        <f>1+H255*'Prestige Patterns'!$B$25</f>
        <v>23.38</v>
      </c>
      <c r="J255" s="12">
        <f>floor((K255/'Prestige Patterns'!$B$22)^'Prestige Patterns'!$B$23,1)-H254</f>
        <v>278</v>
      </c>
      <c r="K255" s="8">
        <f>K254+N254*'Prestige Patterns'!$B$20</f>
        <v>633420171840</v>
      </c>
      <c r="L255" s="8">
        <f>if(J254&gt;='Prestige Patterns'!$B$28,if(J254/(H254+1)&gt;('Prestige Patterns'!$B$27+1),L254+1,L254),L254)</f>
        <v>5</v>
      </c>
      <c r="N255" s="12">
        <f t="shared" si="1"/>
        <v>819743948.8</v>
      </c>
      <c r="O255" s="9">
        <f>'Prestige Patterns'!$B$4*E255</f>
        <v>8560</v>
      </c>
      <c r="P255" s="12">
        <f t="shared" si="4"/>
        <v>4096</v>
      </c>
      <c r="Q255" s="11"/>
      <c r="R255" s="11"/>
      <c r="S255" s="9">
        <v>254.0</v>
      </c>
      <c r="T255" s="11"/>
    </row>
    <row r="256" ht="15.75" customHeight="1">
      <c r="A256" s="7"/>
      <c r="B256" s="7"/>
      <c r="C256" s="7">
        <f>(S256*'Prestige Patterns'!$B$20)/60</f>
        <v>127.5</v>
      </c>
      <c r="D256" s="8">
        <f>if(L255=L256,N255*'Prestige Patterns'!$B$20+D255-F256,0)</f>
        <v>26203376736</v>
      </c>
      <c r="E256" s="9">
        <f t="shared" si="2"/>
        <v>433</v>
      </c>
      <c r="F256" s="10">
        <f>'Prestige Patterns'!$B$5*('Prestige Patterns'!$B$6^E255-'Prestige Patterns'!$B$6^(E255+G256))/(1-'Prestige Patterns'!$B$6)</f>
        <v>25909670644</v>
      </c>
      <c r="G256" s="13">
        <f>floor(LOG('Prestige Patterns'!$B$6^(E255) - (D255*(1-'Prestige Patterns'!$B$6)/'Prestige Patterns'!$B$5),'Prestige Patterns'!$B$6)-E255,1)</f>
        <v>5</v>
      </c>
      <c r="H256" s="12">
        <f t="shared" si="3"/>
        <v>2238</v>
      </c>
      <c r="I256" s="11">
        <f>1+H256*'Prestige Patterns'!$B$25</f>
        <v>23.38</v>
      </c>
      <c r="J256" s="12">
        <f>floor((K256/'Prestige Patterns'!$B$22)^'Prestige Patterns'!$B$23,1)-H255</f>
        <v>327</v>
      </c>
      <c r="K256" s="8">
        <f>K255+N255*'Prestige Patterns'!$B$20</f>
        <v>658012490304</v>
      </c>
      <c r="L256" s="8">
        <f>if(J255&gt;='Prestige Patterns'!$B$28,if(J255/(H255+1)&gt;('Prestige Patterns'!$B$27+1),L255+1,L255),L255)</f>
        <v>5</v>
      </c>
      <c r="N256" s="12">
        <f t="shared" si="1"/>
        <v>829320396.8</v>
      </c>
      <c r="O256" s="9">
        <f>'Prestige Patterns'!$B$4*E256</f>
        <v>8660</v>
      </c>
      <c r="P256" s="12">
        <f t="shared" si="4"/>
        <v>4096</v>
      </c>
      <c r="Q256" s="11"/>
      <c r="R256" s="11"/>
      <c r="S256" s="9">
        <v>255.0</v>
      </c>
      <c r="T256" s="11"/>
    </row>
    <row r="257" ht="15.75" customHeight="1">
      <c r="A257" s="7"/>
      <c r="B257" s="7"/>
      <c r="C257" s="7">
        <f>(S257*'Prestige Patterns'!$B$20)/60</f>
        <v>128</v>
      </c>
      <c r="D257" s="8">
        <f>if(L256=L257,N256*'Prestige Patterns'!$B$20+D256-F257,0)</f>
        <v>25289127700</v>
      </c>
      <c r="E257" s="9">
        <f t="shared" si="2"/>
        <v>437</v>
      </c>
      <c r="F257" s="10">
        <f>'Prestige Patterns'!$B$5*('Prestige Patterns'!$B$6^E256-'Prestige Patterns'!$B$6^(E256+G257))/(1-'Prestige Patterns'!$B$6)</f>
        <v>25793860940</v>
      </c>
      <c r="G257" s="13">
        <f>floor(LOG('Prestige Patterns'!$B$6^(E256) - (D256*(1-'Prestige Patterns'!$B$6)/'Prestige Patterns'!$B$5),'Prestige Patterns'!$B$6)-E256,1)</f>
        <v>4</v>
      </c>
      <c r="H257" s="12">
        <f t="shared" si="3"/>
        <v>2238</v>
      </c>
      <c r="I257" s="11">
        <f>1+H257*'Prestige Patterns'!$B$25</f>
        <v>23.38</v>
      </c>
      <c r="J257" s="12">
        <f>floor((K257/'Prestige Patterns'!$B$22)^'Prestige Patterns'!$B$23,1)-H256</f>
        <v>375</v>
      </c>
      <c r="K257" s="8">
        <f>K256+N256*'Prestige Patterns'!$B$20</f>
        <v>682892102208</v>
      </c>
      <c r="L257" s="8">
        <f>if(J256&gt;='Prestige Patterns'!$B$28,if(J256/(H256+1)&gt;('Prestige Patterns'!$B$27+1),L256+1,L256),L256)</f>
        <v>5</v>
      </c>
      <c r="N257" s="12">
        <f t="shared" si="1"/>
        <v>836981555.2</v>
      </c>
      <c r="O257" s="9">
        <f>'Prestige Patterns'!$B$4*E257</f>
        <v>8740</v>
      </c>
      <c r="P257" s="12">
        <f t="shared" si="4"/>
        <v>4096</v>
      </c>
      <c r="Q257" s="11"/>
      <c r="R257" s="11"/>
      <c r="S257" s="9">
        <v>256.0</v>
      </c>
      <c r="T257" s="11"/>
    </row>
    <row r="258" ht="15.75" customHeight="1">
      <c r="A258" s="7"/>
      <c r="B258" s="7"/>
      <c r="C258" s="7">
        <f>(S258*'Prestige Patterns'!$B$20)/60</f>
        <v>128.5</v>
      </c>
      <c r="D258" s="8">
        <f>if(L257=L258,N257*'Prestige Patterns'!$B$20+D257-F258,0)</f>
        <v>27466740841</v>
      </c>
      <c r="E258" s="9">
        <f t="shared" si="2"/>
        <v>440</v>
      </c>
      <c r="F258" s="10">
        <f>'Prestige Patterns'!$B$5*('Prestige Patterns'!$B$6^E257-'Prestige Patterns'!$B$6^(E257+G258))/(1-'Prestige Patterns'!$B$6)</f>
        <v>22931833515</v>
      </c>
      <c r="G258" s="13">
        <f>floor(LOG('Prestige Patterns'!$B$6^(E257) - (D257*(1-'Prestige Patterns'!$B$6)/'Prestige Patterns'!$B$5),'Prestige Patterns'!$B$6)-E257,1)</f>
        <v>3</v>
      </c>
      <c r="H258" s="12">
        <f t="shared" si="3"/>
        <v>2238</v>
      </c>
      <c r="I258" s="11">
        <f>1+H258*'Prestige Patterns'!$B$25</f>
        <v>23.38</v>
      </c>
      <c r="J258" s="12">
        <f>floor((K258/'Prestige Patterns'!$B$22)^'Prestige Patterns'!$B$23,1)-H257</f>
        <v>422</v>
      </c>
      <c r="K258" s="8">
        <f>K257+N257*'Prestige Patterns'!$B$20</f>
        <v>708001548864</v>
      </c>
      <c r="L258" s="8">
        <f>if(J257&gt;='Prestige Patterns'!$B$28,if(J257/(H257+1)&gt;('Prestige Patterns'!$B$27+1),L257+1,L257),L257)</f>
        <v>5</v>
      </c>
      <c r="N258" s="12">
        <f t="shared" si="1"/>
        <v>842727424</v>
      </c>
      <c r="O258" s="9">
        <f>'Prestige Patterns'!$B$4*E258</f>
        <v>8800</v>
      </c>
      <c r="P258" s="12">
        <f t="shared" si="4"/>
        <v>4096</v>
      </c>
      <c r="Q258" s="11"/>
      <c r="R258" s="11"/>
      <c r="S258" s="9">
        <v>257.0</v>
      </c>
      <c r="T258" s="11"/>
    </row>
    <row r="259" ht="15.75" customHeight="1">
      <c r="A259" s="7"/>
      <c r="B259" s="7"/>
      <c r="C259" s="7">
        <f>(S259*'Prestige Patterns'!$B$20)/60</f>
        <v>129</v>
      </c>
      <c r="D259" s="8">
        <f>if(L258=L259,N258*'Prestige Patterns'!$B$20+D258-F259,0)</f>
        <v>26202099788</v>
      </c>
      <c r="E259" s="9">
        <f t="shared" si="2"/>
        <v>443</v>
      </c>
      <c r="F259" s="10">
        <f>'Prestige Patterns'!$B$5*('Prestige Patterns'!$B$6^E258-'Prestige Patterns'!$B$6^(E258+G259))/(1-'Prestige Patterns'!$B$6)</f>
        <v>26546463773</v>
      </c>
      <c r="G259" s="13">
        <f>floor(LOG('Prestige Patterns'!$B$6^(E258) - (D258*(1-'Prestige Patterns'!$B$6)/'Prestige Patterns'!$B$5),'Prestige Patterns'!$B$6)-E258,1)</f>
        <v>3</v>
      </c>
      <c r="H259" s="12">
        <f t="shared" si="3"/>
        <v>2238</v>
      </c>
      <c r="I259" s="11">
        <f>1+H259*'Prestige Patterns'!$B$25</f>
        <v>23.38</v>
      </c>
      <c r="J259" s="12">
        <f>floor((K259/'Prestige Patterns'!$B$22)^'Prestige Patterns'!$B$23,1)-H258</f>
        <v>469</v>
      </c>
      <c r="K259" s="8">
        <f>K258+N258*'Prestige Patterns'!$B$20</f>
        <v>733283371584</v>
      </c>
      <c r="L259" s="8">
        <f>if(J258&gt;='Prestige Patterns'!$B$28,if(J258/(H258+1)&gt;('Prestige Patterns'!$B$27+1),L258+1,L258),L258)</f>
        <v>5</v>
      </c>
      <c r="N259" s="12">
        <f t="shared" si="1"/>
        <v>848473292.8</v>
      </c>
      <c r="O259" s="9">
        <f>'Prestige Patterns'!$B$4*E259</f>
        <v>8860</v>
      </c>
      <c r="P259" s="12">
        <f t="shared" si="4"/>
        <v>4096</v>
      </c>
      <c r="Q259" s="11"/>
      <c r="R259" s="11"/>
      <c r="S259" s="9">
        <v>258.0</v>
      </c>
      <c r="T259" s="11"/>
    </row>
    <row r="260" ht="15.75" customHeight="1">
      <c r="A260" s="7"/>
      <c r="B260" s="7"/>
      <c r="C260" s="7">
        <f>(S260*'Prestige Patterns'!$B$20)/60</f>
        <v>129.5</v>
      </c>
      <c r="D260" s="8">
        <f>if(L259=L260,N259*'Prestige Patterns'!$B$20+D259-F260,0)</f>
        <v>31672716413</v>
      </c>
      <c r="E260" s="9">
        <f t="shared" si="2"/>
        <v>445</v>
      </c>
      <c r="F260" s="10">
        <f>'Prestige Patterns'!$B$5*('Prestige Patterns'!$B$6^E259-'Prestige Patterns'!$B$6^(E259+G260))/(1-'Prestige Patterns'!$B$6)</f>
        <v>19983582159</v>
      </c>
      <c r="G260" s="13">
        <f>floor(LOG('Prestige Patterns'!$B$6^(E259) - (D259*(1-'Prestige Patterns'!$B$6)/'Prestige Patterns'!$B$5),'Prestige Patterns'!$B$6)-E259,1)</f>
        <v>2</v>
      </c>
      <c r="H260" s="12">
        <f t="shared" si="3"/>
        <v>2238</v>
      </c>
      <c r="I260" s="11">
        <f>1+H260*'Prestige Patterns'!$B$25</f>
        <v>23.38</v>
      </c>
      <c r="J260" s="12">
        <f>floor((K260/'Prestige Patterns'!$B$22)^'Prestige Patterns'!$B$23,1)-H259</f>
        <v>516</v>
      </c>
      <c r="K260" s="8">
        <f>K259+N259*'Prestige Patterns'!$B$20</f>
        <v>758737570368</v>
      </c>
      <c r="L260" s="8">
        <f>if(J259&gt;='Prestige Patterns'!$B$28,if(J259/(H259+1)&gt;('Prestige Patterns'!$B$27+1),L259+1,L259),L259)</f>
        <v>5</v>
      </c>
      <c r="N260" s="12">
        <f t="shared" si="1"/>
        <v>852303872</v>
      </c>
      <c r="O260" s="9">
        <f>'Prestige Patterns'!$B$4*E260</f>
        <v>8900</v>
      </c>
      <c r="P260" s="12">
        <f t="shared" si="4"/>
        <v>4096</v>
      </c>
      <c r="Q260" s="11"/>
      <c r="R260" s="11"/>
      <c r="S260" s="9">
        <v>259.0</v>
      </c>
      <c r="T260" s="11"/>
    </row>
    <row r="261" ht="15.75" customHeight="1">
      <c r="A261" s="7"/>
      <c r="B261" s="7"/>
      <c r="C261" s="7">
        <f>(S261*'Prestige Patterns'!$B$20)/60</f>
        <v>130</v>
      </c>
      <c r="D261" s="8">
        <f>if(L260=L261,N260*'Prestige Patterns'!$B$20+D260-F261,0)</f>
        <v>35209933243</v>
      </c>
      <c r="E261" s="9">
        <f t="shared" si="2"/>
        <v>447</v>
      </c>
      <c r="F261" s="10">
        <f>'Prestige Patterns'!$B$5*('Prestige Patterns'!$B$6^E260-'Prestige Patterns'!$B$6^(E260+G261))/(1-'Prestige Patterns'!$B$6)</f>
        <v>22031899330</v>
      </c>
      <c r="G261" s="13">
        <f>floor(LOG('Prestige Patterns'!$B$6^(E260) - (D260*(1-'Prestige Patterns'!$B$6)/'Prestige Patterns'!$B$5),'Prestige Patterns'!$B$6)-E260,1)</f>
        <v>2</v>
      </c>
      <c r="H261" s="12">
        <f t="shared" si="3"/>
        <v>2238</v>
      </c>
      <c r="I261" s="11">
        <f>1+H261*'Prestige Patterns'!$B$25</f>
        <v>23.38</v>
      </c>
      <c r="J261" s="12">
        <f>floor((K261/'Prestige Patterns'!$B$22)^'Prestige Patterns'!$B$23,1)-H260</f>
        <v>562</v>
      </c>
      <c r="K261" s="8">
        <f>K260+N260*'Prestige Patterns'!$B$20</f>
        <v>784306686528</v>
      </c>
      <c r="L261" s="8">
        <f>if(J260&gt;='Prestige Patterns'!$B$28,if(J260/(H260+1)&gt;('Prestige Patterns'!$B$27+1),L260+1,L260),L260)</f>
        <v>5</v>
      </c>
      <c r="N261" s="12">
        <f t="shared" si="1"/>
        <v>856134451.2</v>
      </c>
      <c r="O261" s="9">
        <f>'Prestige Patterns'!$B$4*E261</f>
        <v>8940</v>
      </c>
      <c r="P261" s="12">
        <f t="shared" si="4"/>
        <v>4096</v>
      </c>
      <c r="Q261" s="11"/>
      <c r="R261" s="11"/>
      <c r="S261" s="9">
        <v>260.0</v>
      </c>
      <c r="T261" s="11"/>
    </row>
    <row r="262" ht="15.75" customHeight="1">
      <c r="A262" s="7"/>
      <c r="B262" s="7"/>
      <c r="C262" s="7">
        <f>(S262*'Prestige Patterns'!$B$20)/60</f>
        <v>130.5</v>
      </c>
      <c r="D262" s="8">
        <f>if(L261=L262,N261*'Prestige Patterns'!$B$20+D261-F262,0)</f>
        <v>36603797767</v>
      </c>
      <c r="E262" s="9">
        <f t="shared" si="2"/>
        <v>449</v>
      </c>
      <c r="F262" s="10">
        <f>'Prestige Patterns'!$B$5*('Prestige Patterns'!$B$6^E261-'Prestige Patterns'!$B$6^(E261+G262))/(1-'Prestige Patterns'!$B$6)</f>
        <v>24290169012</v>
      </c>
      <c r="G262" s="13">
        <f>floor(LOG('Prestige Patterns'!$B$6^(E261) - (D261*(1-'Prestige Patterns'!$B$6)/'Prestige Patterns'!$B$5),'Prestige Patterns'!$B$6)-E261,1)</f>
        <v>2</v>
      </c>
      <c r="H262" s="12">
        <f t="shared" si="3"/>
        <v>2238</v>
      </c>
      <c r="I262" s="11">
        <f>1+H262*'Prestige Patterns'!$B$25</f>
        <v>23.38</v>
      </c>
      <c r="J262" s="12">
        <f>floor((K262/'Prestige Patterns'!$B$22)^'Prestige Patterns'!$B$23,1)-H261</f>
        <v>608</v>
      </c>
      <c r="K262" s="8">
        <f>K261+N261*'Prestige Patterns'!$B$20</f>
        <v>809990720064</v>
      </c>
      <c r="L262" s="8">
        <f>if(J261&gt;='Prestige Patterns'!$B$28,if(J261/(H261+1)&gt;('Prestige Patterns'!$B$27+1),L261+1,L261),L261)</f>
        <v>5</v>
      </c>
      <c r="N262" s="12">
        <f t="shared" si="1"/>
        <v>859965030.4</v>
      </c>
      <c r="O262" s="9">
        <f>'Prestige Patterns'!$B$4*E262</f>
        <v>8980</v>
      </c>
      <c r="P262" s="12">
        <f t="shared" si="4"/>
        <v>4096</v>
      </c>
      <c r="Q262" s="11"/>
      <c r="R262" s="11"/>
      <c r="S262" s="9">
        <v>261.0</v>
      </c>
      <c r="T262" s="11"/>
    </row>
    <row r="263" ht="15.75" customHeight="1">
      <c r="A263" s="7"/>
      <c r="B263" s="7"/>
      <c r="C263" s="7">
        <f>(S263*'Prestige Patterns'!$B$20)/60</f>
        <v>131</v>
      </c>
      <c r="D263" s="8">
        <f>if(L262=L263,N262*'Prestige Patterns'!$B$20+D262-F263,0)</f>
        <v>35622837344</v>
      </c>
      <c r="E263" s="9">
        <f t="shared" si="2"/>
        <v>451</v>
      </c>
      <c r="F263" s="10">
        <f>'Prestige Patterns'!$B$5*('Prestige Patterns'!$B$6^E262-'Prestige Patterns'!$B$6^(E262+G263))/(1-'Prestige Patterns'!$B$6)</f>
        <v>26779911335</v>
      </c>
      <c r="G263" s="13">
        <f>floor(LOG('Prestige Patterns'!$B$6^(E262) - (D262*(1-'Prestige Patterns'!$B$6)/'Prestige Patterns'!$B$5),'Prestige Patterns'!$B$6)-E262,1)</f>
        <v>2</v>
      </c>
      <c r="H263" s="12">
        <f t="shared" si="3"/>
        <v>2238</v>
      </c>
      <c r="I263" s="11">
        <f>1+H263*'Prestige Patterns'!$B$25</f>
        <v>23.38</v>
      </c>
      <c r="J263" s="12">
        <f>floor((K263/'Prestige Patterns'!$B$22)^'Prestige Patterns'!$B$23,1)-H262</f>
        <v>653</v>
      </c>
      <c r="K263" s="8">
        <f>K262+N262*'Prestige Patterns'!$B$20</f>
        <v>835789670976</v>
      </c>
      <c r="L263" s="8">
        <f>if(J262&gt;='Prestige Patterns'!$B$28,if(J262/(H262+1)&gt;('Prestige Patterns'!$B$27+1),L262+1,L262),L262)</f>
        <v>5</v>
      </c>
      <c r="N263" s="12">
        <f t="shared" si="1"/>
        <v>863795609.6</v>
      </c>
      <c r="O263" s="9">
        <f>'Prestige Patterns'!$B$4*E263</f>
        <v>9020</v>
      </c>
      <c r="P263" s="12">
        <f t="shared" si="4"/>
        <v>4096</v>
      </c>
      <c r="Q263" s="11"/>
      <c r="R263" s="11"/>
      <c r="S263" s="9">
        <v>262.0</v>
      </c>
      <c r="T263" s="11"/>
    </row>
    <row r="264" ht="15.75" customHeight="1">
      <c r="A264" s="7"/>
      <c r="B264" s="7"/>
      <c r="C264" s="7">
        <f>(S264*'Prestige Patterns'!$B$20)/60</f>
        <v>131.5</v>
      </c>
      <c r="D264" s="8">
        <f>if(L263=L264,N263*'Prestige Patterns'!$B$20+D263-F264,0)</f>
        <v>32011853385</v>
      </c>
      <c r="E264" s="9">
        <f t="shared" si="2"/>
        <v>453</v>
      </c>
      <c r="F264" s="10">
        <f>'Prestige Patterns'!$B$5*('Prestige Patterns'!$B$6^E263-'Prestige Patterns'!$B$6^(E263+G264))/(1-'Prestige Patterns'!$B$6)</f>
        <v>29524852247</v>
      </c>
      <c r="G264" s="13">
        <f>floor(LOG('Prestige Patterns'!$B$6^(E263) - (D263*(1-'Prestige Patterns'!$B$6)/'Prestige Patterns'!$B$5),'Prestige Patterns'!$B$6)-E263,1)</f>
        <v>2</v>
      </c>
      <c r="H264" s="12">
        <f t="shared" si="3"/>
        <v>2238</v>
      </c>
      <c r="I264" s="11">
        <f>1+H264*'Prestige Patterns'!$B$25</f>
        <v>23.38</v>
      </c>
      <c r="J264" s="12">
        <f>floor((K264/'Prestige Patterns'!$B$22)^'Prestige Patterns'!$B$23,1)-H263</f>
        <v>697</v>
      </c>
      <c r="K264" s="8">
        <f>K263+N263*'Prestige Patterns'!$B$20</f>
        <v>861703539264</v>
      </c>
      <c r="L264" s="8">
        <f>if(J263&gt;='Prestige Patterns'!$B$28,if(J263/(H263+1)&gt;('Prestige Patterns'!$B$27+1),L263+1,L263),L263)</f>
        <v>5</v>
      </c>
      <c r="N264" s="12">
        <f t="shared" si="1"/>
        <v>867626188.8</v>
      </c>
      <c r="O264" s="9">
        <f>'Prestige Patterns'!$B$4*E264</f>
        <v>9060</v>
      </c>
      <c r="P264" s="12">
        <f t="shared" si="4"/>
        <v>4096</v>
      </c>
      <c r="Q264" s="11"/>
      <c r="R264" s="11"/>
      <c r="S264" s="9">
        <v>263.0</v>
      </c>
      <c r="T264" s="11"/>
    </row>
    <row r="265" ht="15.75" customHeight="1">
      <c r="A265" s="7"/>
      <c r="B265" s="7"/>
      <c r="C265" s="7">
        <f>(S265*'Prestige Patterns'!$B$20)/60</f>
        <v>132</v>
      </c>
      <c r="D265" s="8">
        <f>if(L264=L265,N264*'Prestige Patterns'!$B$20+D264-F265,0)</f>
        <v>42162029487</v>
      </c>
      <c r="E265" s="9">
        <f t="shared" si="2"/>
        <v>454</v>
      </c>
      <c r="F265" s="10">
        <f>'Prestige Patterns'!$B$5*('Prestige Patterns'!$B$6^E264-'Prestige Patterns'!$B$6^(E264+G265))/(1-'Prestige Patterns'!$B$6)</f>
        <v>15878609562</v>
      </c>
      <c r="G265" s="13">
        <f>floor(LOG('Prestige Patterns'!$B$6^(E264) - (D264*(1-'Prestige Patterns'!$B$6)/'Prestige Patterns'!$B$5),'Prestige Patterns'!$B$6)-E264,1)</f>
        <v>1</v>
      </c>
      <c r="H265" s="12">
        <f t="shared" si="3"/>
        <v>2238</v>
      </c>
      <c r="I265" s="11">
        <f>1+H265*'Prestige Patterns'!$B$25</f>
        <v>23.38</v>
      </c>
      <c r="J265" s="12">
        <f>floor((K265/'Prestige Patterns'!$B$22)^'Prestige Patterns'!$B$23,1)-H264</f>
        <v>741</v>
      </c>
      <c r="K265" s="8">
        <f>K264+N264*'Prestige Patterns'!$B$20</f>
        <v>887732324928</v>
      </c>
      <c r="L265" s="8">
        <f>if(J264&gt;='Prestige Patterns'!$B$28,if(J264/(H264+1)&gt;('Prestige Patterns'!$B$27+1),L264+1,L264),L264)</f>
        <v>5</v>
      </c>
      <c r="N265" s="12">
        <f t="shared" si="1"/>
        <v>869541478.4</v>
      </c>
      <c r="O265" s="9">
        <f>'Prestige Patterns'!$B$4*E265</f>
        <v>9080</v>
      </c>
      <c r="P265" s="12">
        <f t="shared" si="4"/>
        <v>4096</v>
      </c>
      <c r="Q265" s="11"/>
      <c r="R265" s="11"/>
      <c r="S265" s="9">
        <v>264.0</v>
      </c>
      <c r="T265" s="11"/>
    </row>
    <row r="266" ht="15.75" customHeight="1">
      <c r="A266" s="7"/>
      <c r="B266" s="7"/>
      <c r="C266" s="7">
        <f>(S266*'Prestige Patterns'!$B$20)/60</f>
        <v>132.5</v>
      </c>
      <c r="D266" s="8">
        <f>if(L265=L266,N265*'Prestige Patterns'!$B$20+D265-F266,0)</f>
        <v>34069566757</v>
      </c>
      <c r="E266" s="9">
        <f t="shared" si="2"/>
        <v>456</v>
      </c>
      <c r="F266" s="10">
        <f>'Prestige Patterns'!$B$5*('Prestige Patterns'!$B$6^E265-'Prestige Patterns'!$B$6^(E265+G266))/(1-'Prestige Patterns'!$B$6)</f>
        <v>34178707083</v>
      </c>
      <c r="G266" s="13">
        <f>floor(LOG('Prestige Patterns'!$B$6^(E265) - (D265*(1-'Prestige Patterns'!$B$6)/'Prestige Patterns'!$B$5),'Prestige Patterns'!$B$6)-E265,1)</f>
        <v>2</v>
      </c>
      <c r="H266" s="12">
        <f t="shared" si="3"/>
        <v>2238</v>
      </c>
      <c r="I266" s="11">
        <f>1+H266*'Prestige Patterns'!$B$25</f>
        <v>23.38</v>
      </c>
      <c r="J266" s="12">
        <f>floor((K266/'Prestige Patterns'!$B$22)^'Prestige Patterns'!$B$23,1)-H265</f>
        <v>784</v>
      </c>
      <c r="K266" s="8">
        <f>K265+N265*'Prestige Patterns'!$B$20</f>
        <v>913818569280</v>
      </c>
      <c r="L266" s="8">
        <f>if(J265&gt;='Prestige Patterns'!$B$28,if(J265/(H265+1)&gt;('Prestige Patterns'!$B$27+1),L265+1,L265),L265)</f>
        <v>5</v>
      </c>
      <c r="N266" s="12">
        <f t="shared" si="1"/>
        <v>873372057.6</v>
      </c>
      <c r="O266" s="9">
        <f>'Prestige Patterns'!$B$4*E266</f>
        <v>9120</v>
      </c>
      <c r="P266" s="12">
        <f t="shared" si="4"/>
        <v>4096</v>
      </c>
      <c r="Q266" s="11"/>
      <c r="R266" s="11"/>
      <c r="S266" s="9">
        <v>265.0</v>
      </c>
      <c r="T266" s="11"/>
    </row>
    <row r="267" ht="15.75" customHeight="1">
      <c r="A267" s="7"/>
      <c r="B267" s="7"/>
      <c r="C267" s="7">
        <f>(S267*'Prestige Patterns'!$B$20)/60</f>
        <v>133</v>
      </c>
      <c r="D267" s="8">
        <f>if(L266=L267,N266*'Prestige Patterns'!$B$20+D266-F267,0)</f>
        <v>41889253090</v>
      </c>
      <c r="E267" s="9">
        <f t="shared" si="2"/>
        <v>457</v>
      </c>
      <c r="F267" s="10">
        <f>'Prestige Patterns'!$B$5*('Prestige Patterns'!$B$6^E266-'Prestige Patterns'!$B$6^(E266+G267))/(1-'Prestige Patterns'!$B$6)</f>
        <v>18381475394</v>
      </c>
      <c r="G267" s="13">
        <f>floor(LOG('Prestige Patterns'!$B$6^(E266) - (D266*(1-'Prestige Patterns'!$B$6)/'Prestige Patterns'!$B$5),'Prestige Patterns'!$B$6)-E266,1)</f>
        <v>1</v>
      </c>
      <c r="H267" s="12">
        <f t="shared" si="3"/>
        <v>2238</v>
      </c>
      <c r="I267" s="11">
        <f>1+H267*'Prestige Patterns'!$B$25</f>
        <v>23.38</v>
      </c>
      <c r="J267" s="12">
        <f>floor((K267/'Prestige Patterns'!$B$22)^'Prestige Patterns'!$B$23,1)-H266</f>
        <v>827</v>
      </c>
      <c r="K267" s="8">
        <f>K266+N266*'Prestige Patterns'!$B$20</f>
        <v>940019731008</v>
      </c>
      <c r="L267" s="8">
        <f>if(J266&gt;='Prestige Patterns'!$B$28,if(J266/(H266+1)&gt;('Prestige Patterns'!$B$27+1),L266+1,L266),L266)</f>
        <v>5</v>
      </c>
      <c r="N267" s="12">
        <f t="shared" si="1"/>
        <v>875287347.2</v>
      </c>
      <c r="O267" s="9">
        <f>'Prestige Patterns'!$B$4*E267</f>
        <v>9140</v>
      </c>
      <c r="P267" s="12">
        <f t="shared" si="4"/>
        <v>4096</v>
      </c>
      <c r="Q267" s="11"/>
      <c r="R267" s="11"/>
      <c r="S267" s="9">
        <v>266.0</v>
      </c>
      <c r="T267" s="11"/>
    </row>
    <row r="268" ht="15.75" customHeight="1">
      <c r="A268" s="7"/>
      <c r="B268" s="7"/>
      <c r="C268" s="7">
        <f>(S268*'Prestige Patterns'!$B$20)/60</f>
        <v>133.5</v>
      </c>
      <c r="D268" s="8">
        <f>if(L267=L268,N267*'Prestige Patterns'!$B$20+D267-F268,0)</f>
        <v>28581747720</v>
      </c>
      <c r="E268" s="9">
        <f t="shared" si="2"/>
        <v>459</v>
      </c>
      <c r="F268" s="10">
        <f>'Prestige Patterns'!$B$5*('Prestige Patterns'!$B$6^E267-'Prestige Patterns'!$B$6^(E267+G268))/(1-'Prestige Patterns'!$B$6)</f>
        <v>39566125786</v>
      </c>
      <c r="G268" s="13">
        <f>floor(LOG('Prestige Patterns'!$B$6^(E267) - (D267*(1-'Prestige Patterns'!$B$6)/'Prestige Patterns'!$B$5),'Prestige Patterns'!$B$6)-E267,1)</f>
        <v>2</v>
      </c>
      <c r="H268" s="12">
        <f t="shared" si="3"/>
        <v>2238</v>
      </c>
      <c r="I268" s="11">
        <f>1+H268*'Prestige Patterns'!$B$25</f>
        <v>23.38</v>
      </c>
      <c r="J268" s="12">
        <f>floor((K268/'Prestige Patterns'!$B$22)^'Prestige Patterns'!$B$23,1)-H267</f>
        <v>870</v>
      </c>
      <c r="K268" s="8">
        <f>K267+N267*'Prestige Patterns'!$B$20</f>
        <v>966278351424</v>
      </c>
      <c r="L268" s="8">
        <f>if(J267&gt;='Prestige Patterns'!$B$28,if(J267/(H267+1)&gt;('Prestige Patterns'!$B$27+1),L267+1,L267),L267)</f>
        <v>5</v>
      </c>
      <c r="N268" s="12">
        <f t="shared" si="1"/>
        <v>879117926.4</v>
      </c>
      <c r="O268" s="9">
        <f>'Prestige Patterns'!$B$4*E268</f>
        <v>9180</v>
      </c>
      <c r="P268" s="12">
        <f t="shared" si="4"/>
        <v>4096</v>
      </c>
      <c r="Q268" s="11"/>
      <c r="R268" s="11"/>
      <c r="S268" s="9">
        <v>267.0</v>
      </c>
      <c r="T268" s="11"/>
    </row>
    <row r="269" ht="15.75" customHeight="1">
      <c r="A269" s="7"/>
      <c r="B269" s="7"/>
      <c r="C269" s="7">
        <f>(S269*'Prestige Patterns'!$B$20)/60</f>
        <v>134</v>
      </c>
      <c r="D269" s="8">
        <f>if(L268=L269,N268*'Prestige Patterns'!$B$20+D268-F269,0)</f>
        <v>33676430058</v>
      </c>
      <c r="E269" s="9">
        <f t="shared" si="2"/>
        <v>460</v>
      </c>
      <c r="F269" s="10">
        <f>'Prestige Patterns'!$B$5*('Prestige Patterns'!$B$6^E268-'Prestige Patterns'!$B$6^(E268+G269))/(1-'Prestige Patterns'!$B$6)</f>
        <v>21278855453</v>
      </c>
      <c r="G269" s="13">
        <f>floor(LOG('Prestige Patterns'!$B$6^(E268) - (D268*(1-'Prestige Patterns'!$B$6)/'Prestige Patterns'!$B$5),'Prestige Patterns'!$B$6)-E268,1)</f>
        <v>1</v>
      </c>
      <c r="H269" s="12">
        <f t="shared" si="3"/>
        <v>2238</v>
      </c>
      <c r="I269" s="11">
        <f>1+H269*'Prestige Patterns'!$B$25</f>
        <v>23.38</v>
      </c>
      <c r="J269" s="12">
        <f>floor((K269/'Prestige Patterns'!$B$22)^'Prestige Patterns'!$B$23,1)-H268</f>
        <v>912</v>
      </c>
      <c r="K269" s="8">
        <f>K268+N268*'Prestige Patterns'!$B$20</f>
        <v>992651889216</v>
      </c>
      <c r="L269" s="8">
        <f>if(J268&gt;='Prestige Patterns'!$B$28,if(J268/(H268+1)&gt;('Prestige Patterns'!$B$27+1),L268+1,L268),L268)</f>
        <v>5</v>
      </c>
      <c r="N269" s="12">
        <f t="shared" si="1"/>
        <v>881033216</v>
      </c>
      <c r="O269" s="9">
        <f>'Prestige Patterns'!$B$4*E269</f>
        <v>9200</v>
      </c>
      <c r="P269" s="12">
        <f t="shared" si="4"/>
        <v>4096</v>
      </c>
      <c r="Q269" s="11"/>
      <c r="R269" s="11"/>
      <c r="S269" s="9">
        <v>268.0</v>
      </c>
      <c r="T269" s="11"/>
    </row>
    <row r="270" ht="15.75" customHeight="1">
      <c r="A270" s="7"/>
      <c r="B270" s="7"/>
      <c r="C270" s="7">
        <f>(S270*'Prestige Patterns'!$B$20)/60</f>
        <v>134.5</v>
      </c>
      <c r="D270" s="8">
        <f>if(L269=L270,N269*'Prestige Patterns'!$B$20+D269-F270,0)</f>
        <v>37764628312</v>
      </c>
      <c r="E270" s="9">
        <f t="shared" si="2"/>
        <v>461</v>
      </c>
      <c r="F270" s="10">
        <f>'Prestige Patterns'!$B$5*('Prestige Patterns'!$B$6^E269-'Prestige Patterns'!$B$6^(E269+G270))/(1-'Prestige Patterns'!$B$6)</f>
        <v>22342798226</v>
      </c>
      <c r="G270" s="13">
        <f>floor(LOG('Prestige Patterns'!$B$6^(E269) - (D269*(1-'Prestige Patterns'!$B$6)/'Prestige Patterns'!$B$5),'Prestige Patterns'!$B$6)-E269,1)</f>
        <v>1</v>
      </c>
      <c r="H270" s="12">
        <f t="shared" si="3"/>
        <v>2238</v>
      </c>
      <c r="I270" s="11">
        <f>1+H270*'Prestige Patterns'!$B$25</f>
        <v>23.38</v>
      </c>
      <c r="J270" s="12">
        <f>floor((K270/'Prestige Patterns'!$B$22)^'Prestige Patterns'!$B$23,1)-H269</f>
        <v>954</v>
      </c>
      <c r="K270" s="8">
        <f>K269+N269*'Prestige Patterns'!$B$20</f>
        <v>1019082885696</v>
      </c>
      <c r="L270" s="8">
        <f>if(J269&gt;='Prestige Patterns'!$B$28,if(J269/(H269+1)&gt;('Prestige Patterns'!$B$27+1),L269+1,L269),L269)</f>
        <v>5</v>
      </c>
      <c r="N270" s="12">
        <f t="shared" si="1"/>
        <v>882948505.6</v>
      </c>
      <c r="O270" s="9">
        <f>'Prestige Patterns'!$B$4*E270</f>
        <v>9220</v>
      </c>
      <c r="P270" s="12">
        <f t="shared" si="4"/>
        <v>4096</v>
      </c>
      <c r="Q270" s="11"/>
      <c r="R270" s="11"/>
      <c r="S270" s="9">
        <v>269.0</v>
      </c>
      <c r="T270" s="11"/>
    </row>
    <row r="271" ht="15.75" customHeight="1">
      <c r="A271" s="7"/>
      <c r="B271" s="7"/>
      <c r="C271" s="7">
        <f>(S271*'Prestige Patterns'!$B$20)/60</f>
        <v>135</v>
      </c>
      <c r="D271" s="8">
        <f>if(L270=L271,N270*'Prestige Patterns'!$B$20+D270-F271,0)</f>
        <v>40793145343</v>
      </c>
      <c r="E271" s="9">
        <f t="shared" si="2"/>
        <v>462</v>
      </c>
      <c r="F271" s="10">
        <f>'Prestige Patterns'!$B$5*('Prestige Patterns'!$B$6^E270-'Prestige Patterns'!$B$6^(E270+G271))/(1-'Prestige Patterns'!$B$6)</f>
        <v>23459938137</v>
      </c>
      <c r="G271" s="13">
        <f>floor(LOG('Prestige Patterns'!$B$6^(E270) - (D270*(1-'Prestige Patterns'!$B$6)/'Prestige Patterns'!$B$5),'Prestige Patterns'!$B$6)-E270,1)</f>
        <v>1</v>
      </c>
      <c r="H271" s="12">
        <f t="shared" si="3"/>
        <v>2238</v>
      </c>
      <c r="I271" s="11">
        <f>1+H271*'Prestige Patterns'!$B$25</f>
        <v>23.38</v>
      </c>
      <c r="J271" s="12">
        <f>floor((K271/'Prestige Patterns'!$B$22)^'Prestige Patterns'!$B$23,1)-H270</f>
        <v>995</v>
      </c>
      <c r="K271" s="8">
        <f>K270+N270*'Prestige Patterns'!$B$20</f>
        <v>1045571340864</v>
      </c>
      <c r="L271" s="8">
        <f>if(J270&gt;='Prestige Patterns'!$B$28,if(J270/(H270+1)&gt;('Prestige Patterns'!$B$27+1),L270+1,L270),L270)</f>
        <v>5</v>
      </c>
      <c r="N271" s="12">
        <f t="shared" si="1"/>
        <v>884863795.2</v>
      </c>
      <c r="O271" s="9">
        <f>'Prestige Patterns'!$B$4*E271</f>
        <v>9240</v>
      </c>
      <c r="P271" s="12">
        <f t="shared" si="4"/>
        <v>4096</v>
      </c>
      <c r="Q271" s="11"/>
      <c r="R271" s="11"/>
      <c r="S271" s="9">
        <v>270.0</v>
      </c>
      <c r="T271" s="11"/>
    </row>
    <row r="272" ht="15.75" customHeight="1">
      <c r="A272" s="7"/>
      <c r="B272" s="7"/>
      <c r="C272" s="7">
        <f>(S272*'Prestige Patterns'!$B$20)/60</f>
        <v>135.5</v>
      </c>
      <c r="D272" s="8">
        <f>if(L271=L272,N271*'Prestige Patterns'!$B$20+D271-F272,0)</f>
        <v>42706124155</v>
      </c>
      <c r="E272" s="9">
        <f t="shared" si="2"/>
        <v>463</v>
      </c>
      <c r="F272" s="10">
        <f>'Prestige Patterns'!$B$5*('Prestige Patterns'!$B$6^E271-'Prestige Patterns'!$B$6^(E271+G272))/(1-'Prestige Patterns'!$B$6)</f>
        <v>24632935044</v>
      </c>
      <c r="G272" s="13">
        <f>floor(LOG('Prestige Patterns'!$B$6^(E271) - (D271*(1-'Prestige Patterns'!$B$6)/'Prestige Patterns'!$B$5),'Prestige Patterns'!$B$6)-E271,1)</f>
        <v>1</v>
      </c>
      <c r="H272" s="12">
        <f t="shared" si="3"/>
        <v>2238</v>
      </c>
      <c r="I272" s="11">
        <f>1+H272*'Prestige Patterns'!$B$25</f>
        <v>23.38</v>
      </c>
      <c r="J272" s="12">
        <f>floor((K272/'Prestige Patterns'!$B$22)^'Prestige Patterns'!$B$23,1)-H271</f>
        <v>1036</v>
      </c>
      <c r="K272" s="8">
        <f>K271+N271*'Prestige Patterns'!$B$20</f>
        <v>1072117254720</v>
      </c>
      <c r="L272" s="8">
        <f>if(J271&gt;='Prestige Patterns'!$B$28,if(J271/(H271+1)&gt;('Prestige Patterns'!$B$27+1),L271+1,L271),L271)</f>
        <v>5</v>
      </c>
      <c r="N272" s="12">
        <f t="shared" si="1"/>
        <v>886779084.8</v>
      </c>
      <c r="O272" s="9">
        <f>'Prestige Patterns'!$B$4*E272</f>
        <v>9260</v>
      </c>
      <c r="P272" s="12">
        <f t="shared" si="4"/>
        <v>4096</v>
      </c>
      <c r="Q272" s="11"/>
      <c r="R272" s="11"/>
      <c r="S272" s="9">
        <v>271.0</v>
      </c>
      <c r="T272" s="11"/>
    </row>
    <row r="273" ht="15.75" customHeight="1">
      <c r="A273" s="7"/>
      <c r="B273" s="7"/>
      <c r="C273" s="7">
        <f>(S273*'Prestige Patterns'!$B$20)/60</f>
        <v>136</v>
      </c>
      <c r="D273" s="8">
        <f>if(L272=L273,N272*'Prestige Patterns'!$B$20+D272-F273,0)</f>
        <v>43444914902</v>
      </c>
      <c r="E273" s="9">
        <f t="shared" si="2"/>
        <v>464</v>
      </c>
      <c r="F273" s="10">
        <f>'Prestige Patterns'!$B$5*('Prestige Patterns'!$B$6^E272-'Prestige Patterns'!$B$6^(E272+G273))/(1-'Prestige Patterns'!$B$6)</f>
        <v>25864581796</v>
      </c>
      <c r="G273" s="13">
        <f>floor(LOG('Prestige Patterns'!$B$6^(E272) - (D272*(1-'Prestige Patterns'!$B$6)/'Prestige Patterns'!$B$5),'Prestige Patterns'!$B$6)-E272,1)</f>
        <v>1</v>
      </c>
      <c r="H273" s="12">
        <f t="shared" si="3"/>
        <v>2238</v>
      </c>
      <c r="I273" s="11">
        <f>1+H273*'Prestige Patterns'!$B$25</f>
        <v>23.38</v>
      </c>
      <c r="J273" s="12">
        <f>floor((K273/'Prestige Patterns'!$B$22)^'Prestige Patterns'!$B$23,1)-H272</f>
        <v>1076</v>
      </c>
      <c r="K273" s="8">
        <f>K272+N272*'Prestige Patterns'!$B$20</f>
        <v>1098720627264</v>
      </c>
      <c r="L273" s="8">
        <f>if(J272&gt;='Prestige Patterns'!$B$28,if(J272/(H272+1)&gt;('Prestige Patterns'!$B$27+1),L272+1,L272),L272)</f>
        <v>5</v>
      </c>
      <c r="N273" s="12">
        <f t="shared" si="1"/>
        <v>888694374.4</v>
      </c>
      <c r="O273" s="9">
        <f>'Prestige Patterns'!$B$4*E273</f>
        <v>9280</v>
      </c>
      <c r="P273" s="12">
        <f t="shared" si="4"/>
        <v>4096</v>
      </c>
      <c r="Q273" s="11"/>
      <c r="R273" s="11"/>
      <c r="S273" s="9">
        <v>272.0</v>
      </c>
      <c r="T273" s="11"/>
    </row>
    <row r="274" ht="15.75" customHeight="1">
      <c r="A274" s="7"/>
      <c r="B274" s="7"/>
      <c r="C274" s="7">
        <f>(S274*'Prestige Patterns'!$B$20)/60</f>
        <v>136.5</v>
      </c>
      <c r="D274" s="8">
        <f>if(L273=L274,N273*'Prestige Patterns'!$B$20+D273-F274,0)</f>
        <v>42947935248</v>
      </c>
      <c r="E274" s="9">
        <f t="shared" si="2"/>
        <v>465</v>
      </c>
      <c r="F274" s="10">
        <f>'Prestige Patterns'!$B$5*('Prestige Patterns'!$B$6^E273-'Prestige Patterns'!$B$6^(E273+G274))/(1-'Prestige Patterns'!$B$6)</f>
        <v>27157810886</v>
      </c>
      <c r="G274" s="13">
        <f>floor(LOG('Prestige Patterns'!$B$6^(E273) - (D273*(1-'Prestige Patterns'!$B$6)/'Prestige Patterns'!$B$5),'Prestige Patterns'!$B$6)-E273,1)</f>
        <v>1</v>
      </c>
      <c r="H274" s="12">
        <f t="shared" si="3"/>
        <v>2238</v>
      </c>
      <c r="I274" s="11">
        <f>1+H274*'Prestige Patterns'!$B$25</f>
        <v>23.38</v>
      </c>
      <c r="J274" s="12">
        <f>floor((K274/'Prestige Patterns'!$B$22)^'Prestige Patterns'!$B$23,1)-H273</f>
        <v>1116</v>
      </c>
      <c r="K274" s="8">
        <f>K273+N273*'Prestige Patterns'!$B$20</f>
        <v>1125381458496</v>
      </c>
      <c r="L274" s="8">
        <f>if(J273&gt;='Prestige Patterns'!$B$28,if(J273/(H273+1)&gt;('Prestige Patterns'!$B$27+1),L273+1,L273),L273)</f>
        <v>5</v>
      </c>
      <c r="N274" s="12">
        <f t="shared" si="1"/>
        <v>890609664</v>
      </c>
      <c r="O274" s="9">
        <f>'Prestige Patterns'!$B$4*E274</f>
        <v>9300</v>
      </c>
      <c r="P274" s="12">
        <f t="shared" si="4"/>
        <v>4096</v>
      </c>
      <c r="Q274" s="11"/>
      <c r="R274" s="11"/>
      <c r="S274" s="9">
        <v>273.0</v>
      </c>
      <c r="T274" s="11"/>
    </row>
    <row r="275" ht="15.75" customHeight="1">
      <c r="A275" s="7"/>
      <c r="B275" s="7"/>
      <c r="C275" s="7">
        <f>(S275*'Prestige Patterns'!$B$20)/60</f>
        <v>137</v>
      </c>
      <c r="D275" s="8">
        <f>if(L274=L275,N274*'Prestige Patterns'!$B$20+D274-F275,0)</f>
        <v>41150523737</v>
      </c>
      <c r="E275" s="9">
        <f t="shared" si="2"/>
        <v>466</v>
      </c>
      <c r="F275" s="10">
        <f>'Prestige Patterns'!$B$5*('Prestige Patterns'!$B$6^E274-'Prestige Patterns'!$B$6^(E274+G275))/(1-'Prestige Patterns'!$B$6)</f>
        <v>28515701431</v>
      </c>
      <c r="G275" s="13">
        <f>floor(LOG('Prestige Patterns'!$B$6^(E274) - (D274*(1-'Prestige Patterns'!$B$6)/'Prestige Patterns'!$B$5),'Prestige Patterns'!$B$6)-E274,1)</f>
        <v>1</v>
      </c>
      <c r="H275" s="12">
        <f t="shared" si="3"/>
        <v>2238</v>
      </c>
      <c r="I275" s="11">
        <f>1+H275*'Prestige Patterns'!$B$25</f>
        <v>23.38</v>
      </c>
      <c r="J275" s="12">
        <f>floor((K275/'Prestige Patterns'!$B$22)^'Prestige Patterns'!$B$23,1)-H274</f>
        <v>1156</v>
      </c>
      <c r="K275" s="8">
        <f>K274+N274*'Prestige Patterns'!$B$20</f>
        <v>1152099748416</v>
      </c>
      <c r="L275" s="8">
        <f>if(J274&gt;='Prestige Patterns'!$B$28,if(J274/(H274+1)&gt;('Prestige Patterns'!$B$27+1),L274+1,L274),L274)</f>
        <v>5</v>
      </c>
      <c r="N275" s="12">
        <f t="shared" si="1"/>
        <v>892524953.6</v>
      </c>
      <c r="O275" s="9">
        <f>'Prestige Patterns'!$B$4*E275</f>
        <v>9320</v>
      </c>
      <c r="P275" s="12">
        <f t="shared" si="4"/>
        <v>4096</v>
      </c>
      <c r="Q275" s="11"/>
      <c r="R275" s="11"/>
      <c r="S275" s="9">
        <v>274.0</v>
      </c>
      <c r="T275" s="11"/>
    </row>
    <row r="276" ht="15.75" customHeight="1">
      <c r="A276" s="7"/>
      <c r="B276" s="7"/>
      <c r="C276" s="7">
        <f>(S276*'Prestige Patterns'!$B$20)/60</f>
        <v>137.5</v>
      </c>
      <c r="D276" s="8">
        <f>if(L275=L276,N275*'Prestige Patterns'!$B$20+D275-F276,0)</f>
        <v>37984785843</v>
      </c>
      <c r="E276" s="9">
        <f t="shared" si="2"/>
        <v>467</v>
      </c>
      <c r="F276" s="10">
        <f>'Prestige Patterns'!$B$5*('Prestige Patterns'!$B$6^E275-'Prestige Patterns'!$B$6^(E275+G276))/(1-'Prestige Patterns'!$B$6)</f>
        <v>29941486502</v>
      </c>
      <c r="G276" s="13">
        <f>floor(LOG('Prestige Patterns'!$B$6^(E275) - (D275*(1-'Prestige Patterns'!$B$6)/'Prestige Patterns'!$B$5),'Prestige Patterns'!$B$6)-E275,1)</f>
        <v>1</v>
      </c>
      <c r="H276" s="12">
        <f t="shared" si="3"/>
        <v>2238</v>
      </c>
      <c r="I276" s="11">
        <f>1+H276*'Prestige Patterns'!$B$25</f>
        <v>23.38</v>
      </c>
      <c r="J276" s="12">
        <f>floor((K276/'Prestige Patterns'!$B$22)^'Prestige Patterns'!$B$23,1)-H275</f>
        <v>1195</v>
      </c>
      <c r="K276" s="8">
        <f>K275+N275*'Prestige Patterns'!$B$20</f>
        <v>1178875497024</v>
      </c>
      <c r="L276" s="8">
        <f>if(J275&gt;='Prestige Patterns'!$B$28,if(J275/(H275+1)&gt;('Prestige Patterns'!$B$27+1),L275+1,L275),L275)</f>
        <v>5</v>
      </c>
      <c r="N276" s="12">
        <f t="shared" si="1"/>
        <v>894440243.2</v>
      </c>
      <c r="O276" s="9">
        <f>'Prestige Patterns'!$B$4*E276</f>
        <v>9340</v>
      </c>
      <c r="P276" s="12">
        <f t="shared" si="4"/>
        <v>4096</v>
      </c>
      <c r="Q276" s="11"/>
      <c r="R276" s="11"/>
      <c r="S276" s="9">
        <v>275.0</v>
      </c>
      <c r="T276" s="11"/>
    </row>
    <row r="277" ht="15.75" customHeight="1">
      <c r="A277" s="7"/>
      <c r="B277" s="7"/>
      <c r="C277" s="7">
        <f>(S277*'Prestige Patterns'!$B$20)/60</f>
        <v>138</v>
      </c>
      <c r="D277" s="8">
        <f>if(L276=L277,N276*'Prestige Patterns'!$B$20+D276-F277,0)</f>
        <v>33379432312</v>
      </c>
      <c r="E277" s="9">
        <f t="shared" si="2"/>
        <v>468</v>
      </c>
      <c r="F277" s="10">
        <f>'Prestige Patterns'!$B$5*('Prestige Patterns'!$B$6^E276-'Prestige Patterns'!$B$6^(E276+G277))/(1-'Prestige Patterns'!$B$6)</f>
        <v>31438560827</v>
      </c>
      <c r="G277" s="13">
        <f>floor(LOG('Prestige Patterns'!$B$6^(E276) - (D276*(1-'Prestige Patterns'!$B$6)/'Prestige Patterns'!$B$5),'Prestige Patterns'!$B$6)-E276,1)</f>
        <v>1</v>
      </c>
      <c r="H277" s="12">
        <f t="shared" si="3"/>
        <v>2238</v>
      </c>
      <c r="I277" s="11">
        <f>1+H277*'Prestige Patterns'!$B$25</f>
        <v>23.38</v>
      </c>
      <c r="J277" s="12">
        <f>floor((K277/'Prestige Patterns'!$B$22)^'Prestige Patterns'!$B$23,1)-H276</f>
        <v>1234</v>
      </c>
      <c r="K277" s="8">
        <f>K276+N276*'Prestige Patterns'!$B$20</f>
        <v>1205708704320</v>
      </c>
      <c r="L277" s="8">
        <f>if(J276&gt;='Prestige Patterns'!$B$28,if(J276/(H276+1)&gt;('Prestige Patterns'!$B$27+1),L276+1,L276),L276)</f>
        <v>5</v>
      </c>
      <c r="N277" s="12">
        <f t="shared" si="1"/>
        <v>896355532.8</v>
      </c>
      <c r="O277" s="9">
        <f>'Prestige Patterns'!$B$4*E277</f>
        <v>9360</v>
      </c>
      <c r="P277" s="12">
        <f t="shared" si="4"/>
        <v>4096</v>
      </c>
      <c r="Q277" s="11"/>
      <c r="R277" s="11"/>
      <c r="S277" s="9">
        <v>276.0</v>
      </c>
      <c r="T277" s="11"/>
    </row>
    <row r="278" ht="15.75" customHeight="1">
      <c r="A278" s="7"/>
      <c r="B278" s="7"/>
      <c r="C278" s="7">
        <f>(S278*'Prestige Patterns'!$B$20)/60</f>
        <v>138.5</v>
      </c>
      <c r="D278" s="8">
        <f>if(L277=L278,N277*'Prestige Patterns'!$B$20+D277-F278,0)</f>
        <v>27259609427</v>
      </c>
      <c r="E278" s="9">
        <f t="shared" si="2"/>
        <v>469</v>
      </c>
      <c r="F278" s="10">
        <f>'Prestige Patterns'!$B$5*('Prestige Patterns'!$B$6^E277-'Prestige Patterns'!$B$6^(E277+G278))/(1-'Prestige Patterns'!$B$6)</f>
        <v>33010488869</v>
      </c>
      <c r="G278" s="13">
        <f>floor(LOG('Prestige Patterns'!$B$6^(E277) - (D277*(1-'Prestige Patterns'!$B$6)/'Prestige Patterns'!$B$5),'Prestige Patterns'!$B$6)-E277,1)</f>
        <v>1</v>
      </c>
      <c r="H278" s="12">
        <f t="shared" si="3"/>
        <v>2238</v>
      </c>
      <c r="I278" s="11">
        <f>1+H278*'Prestige Patterns'!$B$25</f>
        <v>23.38</v>
      </c>
      <c r="J278" s="12">
        <f>floor((K278/'Prestige Patterns'!$B$22)^'Prestige Patterns'!$B$23,1)-H277</f>
        <v>1272</v>
      </c>
      <c r="K278" s="8">
        <f>K277+N277*'Prestige Patterns'!$B$20</f>
        <v>1232599370304</v>
      </c>
      <c r="L278" s="8">
        <f>if(J277&gt;='Prestige Patterns'!$B$28,if(J277/(H277+1)&gt;('Prestige Patterns'!$B$27+1),L277+1,L277),L277)</f>
        <v>5</v>
      </c>
      <c r="N278" s="12">
        <f t="shared" si="1"/>
        <v>898270822.4</v>
      </c>
      <c r="O278" s="9">
        <f>'Prestige Patterns'!$B$4*E278</f>
        <v>9380</v>
      </c>
      <c r="P278" s="12">
        <f t="shared" si="4"/>
        <v>4096</v>
      </c>
      <c r="Q278" s="11"/>
      <c r="R278" s="11"/>
      <c r="S278" s="9">
        <v>277.0</v>
      </c>
      <c r="T278" s="11"/>
    </row>
    <row r="279" ht="15.75" customHeight="1">
      <c r="A279" s="7"/>
      <c r="B279" s="7"/>
      <c r="C279" s="7">
        <f>(S279*'Prestige Patterns'!$B$20)/60</f>
        <v>139</v>
      </c>
      <c r="D279" s="8">
        <f>if(L278=L279,N278*'Prestige Patterns'!$B$20+D278-F279,0)</f>
        <v>54207734099</v>
      </c>
      <c r="E279" s="9">
        <f t="shared" si="2"/>
        <v>469</v>
      </c>
      <c r="F279" s="10">
        <f>'Prestige Patterns'!$B$5*('Prestige Patterns'!$B$6^E278-'Prestige Patterns'!$B$6^(E278+G279))/(1-'Prestige Patterns'!$B$6)</f>
        <v>0</v>
      </c>
      <c r="G279" s="13">
        <f>floor(LOG('Prestige Patterns'!$B$6^(E278) - (D278*(1-'Prestige Patterns'!$B$6)/'Prestige Patterns'!$B$5),'Prestige Patterns'!$B$6)-E278,1)</f>
        <v>0</v>
      </c>
      <c r="H279" s="12">
        <f t="shared" si="3"/>
        <v>2238</v>
      </c>
      <c r="I279" s="11">
        <f>1+H279*'Prestige Patterns'!$B$25</f>
        <v>23.38</v>
      </c>
      <c r="J279" s="12">
        <f>floor((K279/'Prestige Patterns'!$B$22)^'Prestige Patterns'!$B$23,1)-H278</f>
        <v>1311</v>
      </c>
      <c r="K279" s="8">
        <f>K278+N278*'Prestige Patterns'!$B$20</f>
        <v>1259547494976</v>
      </c>
      <c r="L279" s="8">
        <f>if(J278&gt;='Prestige Patterns'!$B$28,if(J278/(H278+1)&gt;('Prestige Patterns'!$B$27+1),L278+1,L278),L278)</f>
        <v>5</v>
      </c>
      <c r="N279" s="12">
        <f t="shared" si="1"/>
        <v>898270822.4</v>
      </c>
      <c r="O279" s="9">
        <f>'Prestige Patterns'!$B$4*E279</f>
        <v>9380</v>
      </c>
      <c r="P279" s="12">
        <f t="shared" si="4"/>
        <v>4096</v>
      </c>
      <c r="Q279" s="11"/>
      <c r="R279" s="11"/>
      <c r="S279" s="9">
        <v>278.0</v>
      </c>
      <c r="T279" s="11"/>
    </row>
    <row r="280" ht="15.75" customHeight="1">
      <c r="A280" s="7"/>
      <c r="B280" s="7"/>
      <c r="C280" s="7">
        <f>(S280*'Prestige Patterns'!$B$20)/60</f>
        <v>139.5</v>
      </c>
      <c r="D280" s="8">
        <f>if(L279=L280,N279*'Prestige Patterns'!$B$20+D279-F280,0)</f>
        <v>46494845459</v>
      </c>
      <c r="E280" s="9">
        <f t="shared" si="2"/>
        <v>470</v>
      </c>
      <c r="F280" s="10">
        <f>'Prestige Patterns'!$B$5*('Prestige Patterns'!$B$6^E279-'Prestige Patterns'!$B$6^(E279+G280))/(1-'Prestige Patterns'!$B$6)</f>
        <v>34661013312</v>
      </c>
      <c r="G280" s="13">
        <f>floor(LOG('Prestige Patterns'!$B$6^(E279) - (D279*(1-'Prestige Patterns'!$B$6)/'Prestige Patterns'!$B$5),'Prestige Patterns'!$B$6)-E279,1)</f>
        <v>1</v>
      </c>
      <c r="H280" s="12">
        <f t="shared" si="3"/>
        <v>2238</v>
      </c>
      <c r="I280" s="11">
        <f>1+H280*'Prestige Patterns'!$B$25</f>
        <v>23.38</v>
      </c>
      <c r="J280" s="12">
        <f>floor((K280/'Prestige Patterns'!$B$22)^'Prestige Patterns'!$B$23,1)-H279</f>
        <v>1348</v>
      </c>
      <c r="K280" s="8">
        <f>K279+N279*'Prestige Patterns'!$B$20</f>
        <v>1286495619648</v>
      </c>
      <c r="L280" s="8">
        <f>if(J279&gt;='Prestige Patterns'!$B$28,if(J279/(H279+1)&gt;('Prestige Patterns'!$B$27+1),L279+1,L279),L279)</f>
        <v>5</v>
      </c>
      <c r="N280" s="12">
        <f t="shared" si="1"/>
        <v>900186112</v>
      </c>
      <c r="O280" s="9">
        <f>'Prestige Patterns'!$B$4*E280</f>
        <v>9400</v>
      </c>
      <c r="P280" s="12">
        <f t="shared" si="4"/>
        <v>4096</v>
      </c>
      <c r="Q280" s="11"/>
      <c r="R280" s="11"/>
      <c r="S280" s="9">
        <v>279.0</v>
      </c>
      <c r="T280" s="11"/>
    </row>
    <row r="281" ht="15.75" customHeight="1">
      <c r="A281" s="7"/>
      <c r="B281" s="7"/>
      <c r="C281" s="7">
        <f>(S281*'Prestige Patterns'!$B$20)/60</f>
        <v>140</v>
      </c>
      <c r="D281" s="8">
        <f>if(L280=L281,N280*'Prestige Patterns'!$B$20+D280-F281,0)</f>
        <v>37106364842</v>
      </c>
      <c r="E281" s="9">
        <f t="shared" si="2"/>
        <v>471</v>
      </c>
      <c r="F281" s="10">
        <f>'Prestige Patterns'!$B$5*('Prestige Patterns'!$B$6^E280-'Prestige Patterns'!$B$6^(E280+G281))/(1-'Prestige Patterns'!$B$6)</f>
        <v>36394063978</v>
      </c>
      <c r="G281" s="13">
        <f>floor(LOG('Prestige Patterns'!$B$6^(E280) - (D280*(1-'Prestige Patterns'!$B$6)/'Prestige Patterns'!$B$5),'Prestige Patterns'!$B$6)-E280,1)</f>
        <v>1</v>
      </c>
      <c r="H281" s="12">
        <f t="shared" si="3"/>
        <v>2238</v>
      </c>
      <c r="I281" s="11">
        <f>1+H281*'Prestige Patterns'!$B$25</f>
        <v>23.38</v>
      </c>
      <c r="J281" s="12">
        <f>floor((K281/'Prestige Patterns'!$B$22)^'Prestige Patterns'!$B$23,1)-H280</f>
        <v>1386</v>
      </c>
      <c r="K281" s="8">
        <f>K280+N280*'Prestige Patterns'!$B$20</f>
        <v>1313501203008</v>
      </c>
      <c r="L281" s="8">
        <f>if(J280&gt;='Prestige Patterns'!$B$28,if(J280/(H280+1)&gt;('Prestige Patterns'!$B$27+1),L280+1,L280),L280)</f>
        <v>5</v>
      </c>
      <c r="N281" s="12">
        <f t="shared" si="1"/>
        <v>902101401.6</v>
      </c>
      <c r="O281" s="9">
        <f>'Prestige Patterns'!$B$4*E281</f>
        <v>9420</v>
      </c>
      <c r="P281" s="12">
        <f t="shared" si="4"/>
        <v>4096</v>
      </c>
      <c r="Q281" s="11"/>
      <c r="R281" s="11"/>
      <c r="S281" s="9">
        <v>280.0</v>
      </c>
      <c r="T281" s="11"/>
    </row>
    <row r="282" ht="15.75" customHeight="1">
      <c r="A282" s="7"/>
      <c r="B282" s="7"/>
      <c r="C282" s="7">
        <f>(S282*'Prestige Patterns'!$B$20)/60</f>
        <v>140.5</v>
      </c>
      <c r="D282" s="8">
        <f>if(L281=L282,N281*'Prestige Patterns'!$B$20+D281-F282,0)</f>
        <v>64169406890</v>
      </c>
      <c r="E282" s="9">
        <f t="shared" si="2"/>
        <v>471</v>
      </c>
      <c r="F282" s="10">
        <f>'Prestige Patterns'!$B$5*('Prestige Patterns'!$B$6^E281-'Prestige Patterns'!$B$6^(E281+G282))/(1-'Prestige Patterns'!$B$6)</f>
        <v>0</v>
      </c>
      <c r="G282" s="13">
        <f>floor(LOG('Prestige Patterns'!$B$6^(E281) - (D281*(1-'Prestige Patterns'!$B$6)/'Prestige Patterns'!$B$5),'Prestige Patterns'!$B$6)-E281,1)</f>
        <v>0</v>
      </c>
      <c r="H282" s="12">
        <f t="shared" si="3"/>
        <v>2238</v>
      </c>
      <c r="I282" s="11">
        <f>1+H282*'Prestige Patterns'!$B$25</f>
        <v>23.38</v>
      </c>
      <c r="J282" s="12">
        <f>floor((K282/'Prestige Patterns'!$B$22)^'Prestige Patterns'!$B$23,1)-H281</f>
        <v>1423</v>
      </c>
      <c r="K282" s="8">
        <f>K281+N281*'Prestige Patterns'!$B$20</f>
        <v>1340564245056</v>
      </c>
      <c r="L282" s="8">
        <f>if(J281&gt;='Prestige Patterns'!$B$28,if(J281/(H281+1)&gt;('Prestige Patterns'!$B$27+1),L281+1,L281),L281)</f>
        <v>5</v>
      </c>
      <c r="N282" s="12">
        <f t="shared" si="1"/>
        <v>902101401.6</v>
      </c>
      <c r="O282" s="9">
        <f>'Prestige Patterns'!$B$4*E282</f>
        <v>9420</v>
      </c>
      <c r="P282" s="12">
        <f t="shared" si="4"/>
        <v>4096</v>
      </c>
      <c r="Q282" s="11"/>
      <c r="R282" s="11"/>
      <c r="S282" s="9">
        <v>281.0</v>
      </c>
      <c r="T282" s="11"/>
    </row>
    <row r="283" ht="15.75" customHeight="1">
      <c r="A283" s="7"/>
      <c r="B283" s="7"/>
      <c r="C283" s="7">
        <f>(S283*'Prestige Patterns'!$B$20)/60</f>
        <v>141</v>
      </c>
      <c r="D283" s="8">
        <f>if(L282=L283,N282*'Prestige Patterns'!$B$20+D282-F283,0)</f>
        <v>53018681761</v>
      </c>
      <c r="E283" s="9">
        <f t="shared" si="2"/>
        <v>472</v>
      </c>
      <c r="F283" s="10">
        <f>'Prestige Patterns'!$B$5*('Prestige Patterns'!$B$6^E282-'Prestige Patterns'!$B$6^(E282+G283))/(1-'Prestige Patterns'!$B$6)</f>
        <v>38213767177</v>
      </c>
      <c r="G283" s="13">
        <f>floor(LOG('Prestige Patterns'!$B$6^(E282) - (D282*(1-'Prestige Patterns'!$B$6)/'Prestige Patterns'!$B$5),'Prestige Patterns'!$B$6)-E282,1)</f>
        <v>1</v>
      </c>
      <c r="H283" s="12">
        <f t="shared" si="3"/>
        <v>2238</v>
      </c>
      <c r="I283" s="11">
        <f>1+H283*'Prestige Patterns'!$B$25</f>
        <v>23.38</v>
      </c>
      <c r="J283" s="12">
        <f>floor((K283/'Prestige Patterns'!$B$22)^'Prestige Patterns'!$B$23,1)-H282</f>
        <v>1460</v>
      </c>
      <c r="K283" s="8">
        <f>K282+N282*'Prestige Patterns'!$B$20</f>
        <v>1367627287104</v>
      </c>
      <c r="L283" s="8">
        <f>if(J282&gt;='Prestige Patterns'!$B$28,if(J282/(H282+1)&gt;('Prestige Patterns'!$B$27+1),L282+1,L282),L282)</f>
        <v>5</v>
      </c>
      <c r="N283" s="12">
        <f t="shared" si="1"/>
        <v>904016691.2</v>
      </c>
      <c r="O283" s="9">
        <f>'Prestige Patterns'!$B$4*E283</f>
        <v>9440</v>
      </c>
      <c r="P283" s="12">
        <f t="shared" si="4"/>
        <v>4096</v>
      </c>
      <c r="Q283" s="11"/>
      <c r="R283" s="11"/>
      <c r="S283" s="9">
        <v>282.0</v>
      </c>
      <c r="T283" s="11"/>
    </row>
    <row r="284" ht="15.75" customHeight="1">
      <c r="A284" s="7"/>
      <c r="B284" s="7"/>
      <c r="C284" s="7">
        <f>(S284*'Prestige Patterns'!$B$20)/60</f>
        <v>141.5</v>
      </c>
      <c r="D284" s="8">
        <f>if(L283=L284,N283*'Prestige Patterns'!$B$20+D283-F284,0)</f>
        <v>40014726962</v>
      </c>
      <c r="E284" s="9">
        <f t="shared" si="2"/>
        <v>473</v>
      </c>
      <c r="F284" s="10">
        <f>'Prestige Patterns'!$B$5*('Prestige Patterns'!$B$6^E283-'Prestige Patterns'!$B$6^(E283+G284))/(1-'Prestige Patterns'!$B$6)</f>
        <v>40124455535</v>
      </c>
      <c r="G284" s="13">
        <f>floor(LOG('Prestige Patterns'!$B$6^(E283) - (D283*(1-'Prestige Patterns'!$B$6)/'Prestige Patterns'!$B$5),'Prestige Patterns'!$B$6)-E283,1)</f>
        <v>1</v>
      </c>
      <c r="H284" s="12">
        <f t="shared" si="3"/>
        <v>2238</v>
      </c>
      <c r="I284" s="11">
        <f>1+H284*'Prestige Patterns'!$B$25</f>
        <v>23.38</v>
      </c>
      <c r="J284" s="12">
        <f>floor((K284/'Prestige Patterns'!$B$22)^'Prestige Patterns'!$B$23,1)-H283</f>
        <v>1496</v>
      </c>
      <c r="K284" s="8">
        <f>K283+N283*'Prestige Patterns'!$B$20</f>
        <v>1394747787840</v>
      </c>
      <c r="L284" s="8">
        <f>if(J283&gt;='Prestige Patterns'!$B$28,if(J283/(H283+1)&gt;('Prestige Patterns'!$B$27+1),L283+1,L283),L283)</f>
        <v>5</v>
      </c>
      <c r="N284" s="12">
        <f t="shared" si="1"/>
        <v>905931980.8</v>
      </c>
      <c r="O284" s="9">
        <f>'Prestige Patterns'!$B$4*E284</f>
        <v>9460</v>
      </c>
      <c r="P284" s="12">
        <f t="shared" si="4"/>
        <v>4096</v>
      </c>
      <c r="Q284" s="11"/>
      <c r="R284" s="11"/>
      <c r="S284" s="9">
        <v>283.0</v>
      </c>
      <c r="T284" s="11"/>
    </row>
    <row r="285" ht="15.75" customHeight="1">
      <c r="A285" s="7"/>
      <c r="B285" s="7"/>
      <c r="C285" s="7">
        <f>(S285*'Prestige Patterns'!$B$20)/60</f>
        <v>142</v>
      </c>
      <c r="D285" s="8">
        <f>if(L284=L285,N284*'Prestige Patterns'!$B$20+D284-F285,0)</f>
        <v>67192686386</v>
      </c>
      <c r="E285" s="9">
        <f t="shared" si="2"/>
        <v>473</v>
      </c>
      <c r="F285" s="10">
        <f>'Prestige Patterns'!$B$5*('Prestige Patterns'!$B$6^E284-'Prestige Patterns'!$B$6^(E284+G285))/(1-'Prestige Patterns'!$B$6)</f>
        <v>0</v>
      </c>
      <c r="G285" s="13">
        <f>floor(LOG('Prestige Patterns'!$B$6^(E284) - (D284*(1-'Prestige Patterns'!$B$6)/'Prestige Patterns'!$B$5),'Prestige Patterns'!$B$6)-E284,1)</f>
        <v>0</v>
      </c>
      <c r="H285" s="12">
        <f t="shared" si="3"/>
        <v>2238</v>
      </c>
      <c r="I285" s="11">
        <f>1+H285*'Prestige Patterns'!$B$25</f>
        <v>23.38</v>
      </c>
      <c r="J285" s="12">
        <f>floor((K285/'Prestige Patterns'!$B$22)^'Prestige Patterns'!$B$23,1)-H284</f>
        <v>1532</v>
      </c>
      <c r="K285" s="8">
        <f>K284+N284*'Prestige Patterns'!$B$20</f>
        <v>1421925747264</v>
      </c>
      <c r="L285" s="8">
        <f>if(J284&gt;='Prestige Patterns'!$B$28,if(J284/(H284+1)&gt;('Prestige Patterns'!$B$27+1),L284+1,L284),L284)</f>
        <v>5</v>
      </c>
      <c r="N285" s="12">
        <f t="shared" si="1"/>
        <v>905931980.8</v>
      </c>
      <c r="O285" s="9">
        <f>'Prestige Patterns'!$B$4*E285</f>
        <v>9460</v>
      </c>
      <c r="P285" s="12">
        <f t="shared" si="4"/>
        <v>4096</v>
      </c>
      <c r="Q285" s="11"/>
      <c r="R285" s="11"/>
      <c r="S285" s="9">
        <v>284.0</v>
      </c>
      <c r="T285" s="11"/>
    </row>
    <row r="286" ht="15.75" customHeight="1">
      <c r="A286" s="7"/>
      <c r="B286" s="7"/>
      <c r="C286" s="7">
        <f>(S286*'Prestige Patterns'!$B$20)/60</f>
        <v>142.5</v>
      </c>
      <c r="D286" s="8">
        <f>if(L285=L286,N285*'Prestige Patterns'!$B$20+D285-F286,0)</f>
        <v>52239967498</v>
      </c>
      <c r="E286" s="9">
        <f t="shared" si="2"/>
        <v>474</v>
      </c>
      <c r="F286" s="10">
        <f>'Prestige Patterns'!$B$5*('Prestige Patterns'!$B$6^E285-'Prestige Patterns'!$B$6^(E285+G286))/(1-'Prestige Patterns'!$B$6)</f>
        <v>42130678312</v>
      </c>
      <c r="G286" s="13">
        <f>floor(LOG('Prestige Patterns'!$B$6^(E285) - (D285*(1-'Prestige Patterns'!$B$6)/'Prestige Patterns'!$B$5),'Prestige Patterns'!$B$6)-E285,1)</f>
        <v>1</v>
      </c>
      <c r="H286" s="12">
        <f t="shared" si="3"/>
        <v>2238</v>
      </c>
      <c r="I286" s="11">
        <f>1+H286*'Prestige Patterns'!$B$25</f>
        <v>23.38</v>
      </c>
      <c r="J286" s="12">
        <f>floor((K286/'Prestige Patterns'!$B$22)^'Prestige Patterns'!$B$23,1)-H285</f>
        <v>1568</v>
      </c>
      <c r="K286" s="8">
        <f>K285+N285*'Prestige Patterns'!$B$20</f>
        <v>1449103706688</v>
      </c>
      <c r="L286" s="8">
        <f>if(J285&gt;='Prestige Patterns'!$B$28,if(J285/(H285+1)&gt;('Prestige Patterns'!$B$27+1),L285+1,L285),L285)</f>
        <v>5</v>
      </c>
      <c r="N286" s="12">
        <f t="shared" si="1"/>
        <v>907847270.4</v>
      </c>
      <c r="O286" s="9">
        <f>'Prestige Patterns'!$B$4*E286</f>
        <v>9480</v>
      </c>
      <c r="P286" s="12">
        <f t="shared" si="4"/>
        <v>4096</v>
      </c>
      <c r="Q286" s="11"/>
      <c r="R286" s="11"/>
      <c r="S286" s="9">
        <v>285.0</v>
      </c>
      <c r="T286" s="11"/>
    </row>
    <row r="287" ht="15.75" customHeight="1">
      <c r="A287" s="7"/>
      <c r="B287" s="7"/>
      <c r="C287" s="7">
        <f>(S287*'Prestige Patterns'!$B$20)/60</f>
        <v>143</v>
      </c>
      <c r="D287" s="8">
        <f>if(L286=L287,N286*'Prestige Patterns'!$B$20+D286-F287,0)</f>
        <v>35238173382</v>
      </c>
      <c r="E287" s="9">
        <f t="shared" si="2"/>
        <v>475</v>
      </c>
      <c r="F287" s="10">
        <f>'Prestige Patterns'!$B$5*('Prestige Patterns'!$B$6^E286-'Prestige Patterns'!$B$6^(E286+G287))/(1-'Prestige Patterns'!$B$6)</f>
        <v>44237212228</v>
      </c>
      <c r="G287" s="13">
        <f>floor(LOG('Prestige Patterns'!$B$6^(E286) - (D286*(1-'Prestige Patterns'!$B$6)/'Prestige Patterns'!$B$5),'Prestige Patterns'!$B$6)-E286,1)</f>
        <v>1</v>
      </c>
      <c r="H287" s="12">
        <f t="shared" si="3"/>
        <v>2238</v>
      </c>
      <c r="I287" s="11">
        <f>1+H287*'Prestige Patterns'!$B$25</f>
        <v>23.38</v>
      </c>
      <c r="J287" s="12">
        <f>floor((K287/'Prestige Patterns'!$B$22)^'Prestige Patterns'!$B$23,1)-H286</f>
        <v>1604</v>
      </c>
      <c r="K287" s="8">
        <f>K286+N286*'Prestige Patterns'!$B$20</f>
        <v>1476339124800</v>
      </c>
      <c r="L287" s="8">
        <f>if(J286&gt;='Prestige Patterns'!$B$28,if(J286/(H286+1)&gt;('Prestige Patterns'!$B$27+1),L286+1,L286),L286)</f>
        <v>5</v>
      </c>
      <c r="N287" s="12">
        <f t="shared" si="1"/>
        <v>909762560</v>
      </c>
      <c r="O287" s="9">
        <f>'Prestige Patterns'!$B$4*E287</f>
        <v>9500</v>
      </c>
      <c r="P287" s="12">
        <f t="shared" si="4"/>
        <v>4096</v>
      </c>
      <c r="Q287" s="11"/>
      <c r="R287" s="11"/>
      <c r="S287" s="9">
        <v>286.0</v>
      </c>
      <c r="T287" s="11"/>
    </row>
    <row r="288" ht="15.75" customHeight="1">
      <c r="A288" s="7"/>
      <c r="B288" s="7"/>
      <c r="C288" s="7">
        <f>(S288*'Prestige Patterns'!$B$20)/60</f>
        <v>143.5</v>
      </c>
      <c r="D288" s="8">
        <f>if(L287=L288,N287*'Prestige Patterns'!$B$20+D287-F288,0)</f>
        <v>62531050182</v>
      </c>
      <c r="E288" s="9">
        <f t="shared" si="2"/>
        <v>475</v>
      </c>
      <c r="F288" s="10">
        <f>'Prestige Patterns'!$B$5*('Prestige Patterns'!$B$6^E287-'Prestige Patterns'!$B$6^(E287+G288))/(1-'Prestige Patterns'!$B$6)</f>
        <v>0</v>
      </c>
      <c r="G288" s="13">
        <f>floor(LOG('Prestige Patterns'!$B$6^(E287) - (D287*(1-'Prestige Patterns'!$B$6)/'Prestige Patterns'!$B$5),'Prestige Patterns'!$B$6)-E287,1)</f>
        <v>0</v>
      </c>
      <c r="H288" s="12">
        <f t="shared" si="3"/>
        <v>2238</v>
      </c>
      <c r="I288" s="11">
        <f>1+H288*'Prestige Patterns'!$B$25</f>
        <v>23.38</v>
      </c>
      <c r="J288" s="12">
        <f>floor((K288/'Prestige Patterns'!$B$22)^'Prestige Patterns'!$B$23,1)-H287</f>
        <v>1639</v>
      </c>
      <c r="K288" s="8">
        <f>K287+N287*'Prestige Patterns'!$B$20</f>
        <v>1503632001600</v>
      </c>
      <c r="L288" s="8">
        <f>if(J287&gt;='Prestige Patterns'!$B$28,if(J287/(H287+1)&gt;('Prestige Patterns'!$B$27+1),L287+1,L287),L287)</f>
        <v>5</v>
      </c>
      <c r="N288" s="12">
        <f t="shared" si="1"/>
        <v>909762560</v>
      </c>
      <c r="O288" s="9">
        <f>'Prestige Patterns'!$B$4*E288</f>
        <v>9500</v>
      </c>
      <c r="P288" s="12">
        <f t="shared" si="4"/>
        <v>4096</v>
      </c>
      <c r="Q288" s="11"/>
      <c r="R288" s="11"/>
      <c r="S288" s="9">
        <v>287.0</v>
      </c>
      <c r="T288" s="11"/>
    </row>
    <row r="289" ht="15.75" customHeight="1">
      <c r="A289" s="7"/>
      <c r="B289" s="7"/>
      <c r="C289" s="7">
        <f>(S289*'Prestige Patterns'!$B$20)/60</f>
        <v>144</v>
      </c>
      <c r="D289" s="8">
        <f>if(L288=L289,N288*'Prestige Patterns'!$B$20+D288-F289,0)</f>
        <v>43374854143</v>
      </c>
      <c r="E289" s="9">
        <f t="shared" si="2"/>
        <v>476</v>
      </c>
      <c r="F289" s="10">
        <f>'Prestige Patterns'!$B$5*('Prestige Patterns'!$B$6^E288-'Prestige Patterns'!$B$6^(E288+G289))/(1-'Prestige Patterns'!$B$6)</f>
        <v>46449072839</v>
      </c>
      <c r="G289" s="13">
        <f>floor(LOG('Prestige Patterns'!$B$6^(E288) - (D288*(1-'Prestige Patterns'!$B$6)/'Prestige Patterns'!$B$5),'Prestige Patterns'!$B$6)-E288,1)</f>
        <v>1</v>
      </c>
      <c r="H289" s="12">
        <f t="shared" si="3"/>
        <v>2238</v>
      </c>
      <c r="I289" s="11">
        <f>1+H289*'Prestige Patterns'!$B$25</f>
        <v>23.38</v>
      </c>
      <c r="J289" s="12">
        <f>floor((K289/'Prestige Patterns'!$B$22)^'Prestige Patterns'!$B$23,1)-H288</f>
        <v>1674</v>
      </c>
      <c r="K289" s="8">
        <f>K288+N288*'Prestige Patterns'!$B$20</f>
        <v>1530924878400</v>
      </c>
      <c r="L289" s="8">
        <f>if(J288&gt;='Prestige Patterns'!$B$28,if(J288/(H288+1)&gt;('Prestige Patterns'!$B$27+1),L288+1,L288),L288)</f>
        <v>5</v>
      </c>
      <c r="N289" s="12">
        <f t="shared" si="1"/>
        <v>911677849.6</v>
      </c>
      <c r="O289" s="9">
        <f>'Prestige Patterns'!$B$4*E289</f>
        <v>9520</v>
      </c>
      <c r="P289" s="12">
        <f t="shared" si="4"/>
        <v>4096</v>
      </c>
      <c r="Q289" s="11"/>
      <c r="R289" s="11"/>
      <c r="S289" s="9">
        <v>288.0</v>
      </c>
      <c r="T289" s="11"/>
    </row>
    <row r="290" ht="15.75" customHeight="1">
      <c r="A290" s="7"/>
      <c r="B290" s="7"/>
      <c r="C290" s="7">
        <f>(S290*'Prestige Patterns'!$B$20)/60</f>
        <v>144.5</v>
      </c>
      <c r="D290" s="8">
        <f>if(L289=L290,N289*'Prestige Patterns'!$B$20+D289-F290,0)</f>
        <v>70725189631</v>
      </c>
      <c r="E290" s="9">
        <f t="shared" si="2"/>
        <v>476</v>
      </c>
      <c r="F290" s="10">
        <f>'Prestige Patterns'!$B$5*('Prestige Patterns'!$B$6^E289-'Prestige Patterns'!$B$6^(E289+G290))/(1-'Prestige Patterns'!$B$6)</f>
        <v>0</v>
      </c>
      <c r="G290" s="13">
        <f>floor(LOG('Prestige Patterns'!$B$6^(E289) - (D289*(1-'Prestige Patterns'!$B$6)/'Prestige Patterns'!$B$5),'Prestige Patterns'!$B$6)-E289,1)</f>
        <v>0</v>
      </c>
      <c r="H290" s="12">
        <f t="shared" si="3"/>
        <v>2238</v>
      </c>
      <c r="I290" s="11">
        <f>1+H290*'Prestige Patterns'!$B$25</f>
        <v>23.38</v>
      </c>
      <c r="J290" s="12">
        <f>floor((K290/'Prestige Patterns'!$B$22)^'Prestige Patterns'!$B$23,1)-H289</f>
        <v>1709</v>
      </c>
      <c r="K290" s="8">
        <f>K289+N289*'Prestige Patterns'!$B$20</f>
        <v>1558275213888</v>
      </c>
      <c r="L290" s="8">
        <f>if(J289&gt;='Prestige Patterns'!$B$28,if(J289/(H289+1)&gt;('Prestige Patterns'!$B$27+1),L289+1,L289),L289)</f>
        <v>5</v>
      </c>
      <c r="N290" s="12">
        <f t="shared" si="1"/>
        <v>911677849.6</v>
      </c>
      <c r="O290" s="9">
        <f>'Prestige Patterns'!$B$4*E290</f>
        <v>9520</v>
      </c>
      <c r="P290" s="12">
        <f t="shared" si="4"/>
        <v>4096</v>
      </c>
      <c r="Q290" s="11"/>
      <c r="R290" s="11"/>
      <c r="S290" s="9">
        <v>289.0</v>
      </c>
      <c r="T290" s="11"/>
    </row>
    <row r="291" ht="15.75" customHeight="1">
      <c r="A291" s="7"/>
      <c r="B291" s="7"/>
      <c r="C291" s="7">
        <f>(S291*'Prestige Patterns'!$B$20)/60</f>
        <v>145</v>
      </c>
      <c r="D291" s="8">
        <f>if(L290=L291,N290*'Prestige Patterns'!$B$20+D290-F291,0)</f>
        <v>49303998638</v>
      </c>
      <c r="E291" s="9">
        <f t="shared" si="2"/>
        <v>477</v>
      </c>
      <c r="F291" s="10">
        <f>'Prestige Patterns'!$B$5*('Prestige Patterns'!$B$6^E290-'Prestige Patterns'!$B$6^(E290+G291))/(1-'Prestige Patterns'!$B$6)</f>
        <v>48771526481</v>
      </c>
      <c r="G291" s="13">
        <f>floor(LOG('Prestige Patterns'!$B$6^(E290) - (D290*(1-'Prestige Patterns'!$B$6)/'Prestige Patterns'!$B$5),'Prestige Patterns'!$B$6)-E290,1)</f>
        <v>1</v>
      </c>
      <c r="H291" s="12">
        <f t="shared" si="3"/>
        <v>2238</v>
      </c>
      <c r="I291" s="11">
        <f>1+H291*'Prestige Patterns'!$B$25</f>
        <v>23.38</v>
      </c>
      <c r="J291" s="12">
        <f>floor((K291/'Prestige Patterns'!$B$22)^'Prestige Patterns'!$B$23,1)-H290</f>
        <v>1743</v>
      </c>
      <c r="K291" s="8">
        <f>K290+N290*'Prestige Patterns'!$B$20</f>
        <v>1585625549376</v>
      </c>
      <c r="L291" s="8">
        <f>if(J290&gt;='Prestige Patterns'!$B$28,if(J290/(H290+1)&gt;('Prestige Patterns'!$B$27+1),L290+1,L290),L290)</f>
        <v>5</v>
      </c>
      <c r="N291" s="12">
        <f t="shared" si="1"/>
        <v>913593139.2</v>
      </c>
      <c r="O291" s="9">
        <f>'Prestige Patterns'!$B$4*E291</f>
        <v>9540</v>
      </c>
      <c r="P291" s="12">
        <f t="shared" si="4"/>
        <v>4096</v>
      </c>
      <c r="Q291" s="11"/>
      <c r="R291" s="11"/>
      <c r="S291" s="9">
        <v>290.0</v>
      </c>
      <c r="T291" s="11"/>
    </row>
    <row r="292" ht="15.75" customHeight="1">
      <c r="A292" s="7"/>
      <c r="B292" s="7"/>
      <c r="C292" s="7">
        <f>(S292*'Prestige Patterns'!$B$20)/60</f>
        <v>145.5</v>
      </c>
      <c r="D292" s="8">
        <f>if(L291=L292,N291*'Prestige Patterns'!$B$20+D291-F292,0)</f>
        <v>76711792814</v>
      </c>
      <c r="E292" s="9">
        <f t="shared" si="2"/>
        <v>477</v>
      </c>
      <c r="F292" s="10">
        <f>'Prestige Patterns'!$B$5*('Prestige Patterns'!$B$6^E291-'Prestige Patterns'!$B$6^(E291+G292))/(1-'Prestige Patterns'!$B$6)</f>
        <v>0</v>
      </c>
      <c r="G292" s="13">
        <f>floor(LOG('Prestige Patterns'!$B$6^(E291) - (D291*(1-'Prestige Patterns'!$B$6)/'Prestige Patterns'!$B$5),'Prestige Patterns'!$B$6)-E291,1)</f>
        <v>0</v>
      </c>
      <c r="H292" s="12">
        <f t="shared" si="3"/>
        <v>2238</v>
      </c>
      <c r="I292" s="11">
        <f>1+H292*'Prestige Patterns'!$B$25</f>
        <v>23.38</v>
      </c>
      <c r="J292" s="12">
        <f>floor((K292/'Prestige Patterns'!$B$22)^'Prestige Patterns'!$B$23,1)-H291</f>
        <v>1778</v>
      </c>
      <c r="K292" s="8">
        <f>K291+N291*'Prestige Patterns'!$B$20</f>
        <v>1613033343552</v>
      </c>
      <c r="L292" s="8">
        <f>if(J291&gt;='Prestige Patterns'!$B$28,if(J291/(H291+1)&gt;('Prestige Patterns'!$B$27+1),L291+1,L291),L291)</f>
        <v>5</v>
      </c>
      <c r="N292" s="12">
        <f t="shared" si="1"/>
        <v>913593139.2</v>
      </c>
      <c r="O292" s="9">
        <f>'Prestige Patterns'!$B$4*E292</f>
        <v>9540</v>
      </c>
      <c r="P292" s="12">
        <f t="shared" si="4"/>
        <v>4096</v>
      </c>
      <c r="Q292" s="11"/>
      <c r="R292" s="11"/>
      <c r="S292" s="9">
        <v>291.0</v>
      </c>
      <c r="T292" s="11"/>
    </row>
    <row r="293" ht="15.75" customHeight="1">
      <c r="A293" s="7"/>
      <c r="B293" s="7"/>
      <c r="C293" s="7">
        <f>(S293*'Prestige Patterns'!$B$20)/60</f>
        <v>146</v>
      </c>
      <c r="D293" s="8">
        <f>if(L292=L293,N292*'Prestige Patterns'!$B$20+D292-F293,0)</f>
        <v>52909484185</v>
      </c>
      <c r="E293" s="9">
        <f t="shared" si="2"/>
        <v>478</v>
      </c>
      <c r="F293" s="10">
        <f>'Prestige Patterns'!$B$5*('Prestige Patterns'!$B$6^E292-'Prestige Patterns'!$B$6^(E292+G293))/(1-'Prestige Patterns'!$B$6)</f>
        <v>51210102805</v>
      </c>
      <c r="G293" s="13">
        <f>floor(LOG('Prestige Patterns'!$B$6^(E292) - (D292*(1-'Prestige Patterns'!$B$6)/'Prestige Patterns'!$B$5),'Prestige Patterns'!$B$6)-E292,1)</f>
        <v>1</v>
      </c>
      <c r="H293" s="12">
        <f t="shared" si="3"/>
        <v>2238</v>
      </c>
      <c r="I293" s="11">
        <f>1+H293*'Prestige Patterns'!$B$25</f>
        <v>23.38</v>
      </c>
      <c r="J293" s="12">
        <f>floor((K293/'Prestige Patterns'!$B$22)^'Prestige Patterns'!$B$23,1)-H292</f>
        <v>1812</v>
      </c>
      <c r="K293" s="8">
        <f>K292+N292*'Prestige Patterns'!$B$20</f>
        <v>1640441137728</v>
      </c>
      <c r="L293" s="8">
        <f>if(J292&gt;='Prestige Patterns'!$B$28,if(J292/(H292+1)&gt;('Prestige Patterns'!$B$27+1),L292+1,L292),L292)</f>
        <v>5</v>
      </c>
      <c r="N293" s="12">
        <f t="shared" si="1"/>
        <v>915508428.8</v>
      </c>
      <c r="O293" s="9">
        <f>'Prestige Patterns'!$B$4*E293</f>
        <v>9560</v>
      </c>
      <c r="P293" s="12">
        <f t="shared" si="4"/>
        <v>4096</v>
      </c>
      <c r="Q293" s="11"/>
      <c r="R293" s="11"/>
      <c r="S293" s="9">
        <v>292.0</v>
      </c>
      <c r="T293" s="11"/>
    </row>
    <row r="294" ht="15.75" customHeight="1">
      <c r="A294" s="7"/>
      <c r="B294" s="7"/>
      <c r="C294" s="7">
        <f>(S294*'Prestige Patterns'!$B$20)/60</f>
        <v>146.5</v>
      </c>
      <c r="D294" s="8">
        <f>if(L293=L294,N293*'Prestige Patterns'!$B$20+D293-F294,0)</f>
        <v>80374737049</v>
      </c>
      <c r="E294" s="9">
        <f t="shared" si="2"/>
        <v>478</v>
      </c>
      <c r="F294" s="10">
        <f>'Prestige Patterns'!$B$5*('Prestige Patterns'!$B$6^E293-'Prestige Patterns'!$B$6^(E293+G294))/(1-'Prestige Patterns'!$B$6)</f>
        <v>0</v>
      </c>
      <c r="G294" s="13">
        <f>floor(LOG('Prestige Patterns'!$B$6^(E293) - (D293*(1-'Prestige Patterns'!$B$6)/'Prestige Patterns'!$B$5),'Prestige Patterns'!$B$6)-E293,1)</f>
        <v>0</v>
      </c>
      <c r="H294" s="12">
        <f t="shared" si="3"/>
        <v>2238</v>
      </c>
      <c r="I294" s="11">
        <f>1+H294*'Prestige Patterns'!$B$25</f>
        <v>23.38</v>
      </c>
      <c r="J294" s="12">
        <f>floor((K294/'Prestige Patterns'!$B$22)^'Prestige Patterns'!$B$23,1)-H293</f>
        <v>1846</v>
      </c>
      <c r="K294" s="8">
        <f>K293+N293*'Prestige Patterns'!$B$20</f>
        <v>1667906390592</v>
      </c>
      <c r="L294" s="8">
        <f>if(J293&gt;='Prestige Patterns'!$B$28,if(J293/(H293+1)&gt;('Prestige Patterns'!$B$27+1),L293+1,L293),L293)</f>
        <v>5</v>
      </c>
      <c r="N294" s="12">
        <f t="shared" si="1"/>
        <v>915508428.8</v>
      </c>
      <c r="O294" s="9">
        <f>'Prestige Patterns'!$B$4*E294</f>
        <v>9560</v>
      </c>
      <c r="P294" s="12">
        <f t="shared" si="4"/>
        <v>4096</v>
      </c>
      <c r="Q294" s="11"/>
      <c r="R294" s="11"/>
      <c r="S294" s="9">
        <v>293.0</v>
      </c>
      <c r="T294" s="11"/>
    </row>
    <row r="295" ht="15.75" customHeight="1">
      <c r="A295" s="7"/>
      <c r="B295" s="7"/>
      <c r="C295" s="7">
        <f>(S295*'Prestige Patterns'!$B$20)/60</f>
        <v>147</v>
      </c>
      <c r="D295" s="8">
        <f>if(L294=L295,N294*'Prestige Patterns'!$B$20+D294-F295,0)</f>
        <v>54069381967</v>
      </c>
      <c r="E295" s="9">
        <f t="shared" si="2"/>
        <v>479</v>
      </c>
      <c r="F295" s="10">
        <f>'Prestige Patterns'!$B$5*('Prestige Patterns'!$B$6^E294-'Prestige Patterns'!$B$6^(E294+G295))/(1-'Prestige Patterns'!$B$6)</f>
        <v>53770607945</v>
      </c>
      <c r="G295" s="13">
        <f>floor(LOG('Prestige Patterns'!$B$6^(E294) - (D294*(1-'Prestige Patterns'!$B$6)/'Prestige Patterns'!$B$5),'Prestige Patterns'!$B$6)-E294,1)</f>
        <v>1</v>
      </c>
      <c r="H295" s="12">
        <f t="shared" si="3"/>
        <v>2238</v>
      </c>
      <c r="I295" s="11">
        <f>1+H295*'Prestige Patterns'!$B$25</f>
        <v>23.38</v>
      </c>
      <c r="J295" s="12">
        <f>floor((K295/'Prestige Patterns'!$B$22)^'Prestige Patterns'!$B$23,1)-H294</f>
        <v>1879</v>
      </c>
      <c r="K295" s="8">
        <f>K294+N294*'Prestige Patterns'!$B$20</f>
        <v>1695371643456</v>
      </c>
      <c r="L295" s="8">
        <f>if(J294&gt;='Prestige Patterns'!$B$28,if(J294/(H294+1)&gt;('Prestige Patterns'!$B$27+1),L294+1,L294),L294)</f>
        <v>5</v>
      </c>
      <c r="N295" s="12">
        <f t="shared" si="1"/>
        <v>917423718.4</v>
      </c>
      <c r="O295" s="9">
        <f>'Prestige Patterns'!$B$4*E295</f>
        <v>9580</v>
      </c>
      <c r="P295" s="12">
        <f t="shared" si="4"/>
        <v>4096</v>
      </c>
      <c r="Q295" s="11"/>
      <c r="R295" s="11"/>
      <c r="S295" s="9">
        <v>294.0</v>
      </c>
      <c r="T295" s="11"/>
    </row>
    <row r="296" ht="15.75" customHeight="1">
      <c r="A296" s="7"/>
      <c r="B296" s="7"/>
      <c r="C296" s="7">
        <f>(S296*'Prestige Patterns'!$B$20)/60</f>
        <v>147.5</v>
      </c>
      <c r="D296" s="8">
        <f>if(L295=L296,N295*'Prestige Patterns'!$B$20+D295-F296,0)</f>
        <v>81592093519</v>
      </c>
      <c r="E296" s="9">
        <f t="shared" si="2"/>
        <v>479</v>
      </c>
      <c r="F296" s="10">
        <f>'Prestige Patterns'!$B$5*('Prestige Patterns'!$B$6^E295-'Prestige Patterns'!$B$6^(E295+G296))/(1-'Prestige Patterns'!$B$6)</f>
        <v>0</v>
      </c>
      <c r="G296" s="13">
        <f>floor(LOG('Prestige Patterns'!$B$6^(E295) - (D295*(1-'Prestige Patterns'!$B$6)/'Prestige Patterns'!$B$5),'Prestige Patterns'!$B$6)-E295,1)</f>
        <v>0</v>
      </c>
      <c r="H296" s="12">
        <f t="shared" si="3"/>
        <v>2238</v>
      </c>
      <c r="I296" s="11">
        <f>1+H296*'Prestige Patterns'!$B$25</f>
        <v>23.38</v>
      </c>
      <c r="J296" s="12">
        <f>floor((K296/'Prestige Patterns'!$B$22)^'Prestige Patterns'!$B$23,1)-H295</f>
        <v>1912</v>
      </c>
      <c r="K296" s="8">
        <f>K295+N295*'Prestige Patterns'!$B$20</f>
        <v>1722894355008</v>
      </c>
      <c r="L296" s="8">
        <f>if(J295&gt;='Prestige Patterns'!$B$28,if(J295/(H295+1)&gt;('Prestige Patterns'!$B$27+1),L295+1,L295),L295)</f>
        <v>5</v>
      </c>
      <c r="N296" s="12">
        <f t="shared" si="1"/>
        <v>917423718.4</v>
      </c>
      <c r="O296" s="9">
        <f>'Prestige Patterns'!$B$4*E296</f>
        <v>9580</v>
      </c>
      <c r="P296" s="12">
        <f t="shared" si="4"/>
        <v>4096</v>
      </c>
      <c r="Q296" s="11"/>
      <c r="R296" s="11"/>
      <c r="S296" s="9">
        <v>295.0</v>
      </c>
      <c r="T296" s="11"/>
    </row>
    <row r="297" ht="15.75" customHeight="1">
      <c r="A297" s="7"/>
      <c r="B297" s="7"/>
      <c r="C297" s="7">
        <f>(S297*'Prestige Patterns'!$B$20)/60</f>
        <v>148</v>
      </c>
      <c r="D297" s="8">
        <f>if(L296=L297,N296*'Prestige Patterns'!$B$20+D296-F297,0)</f>
        <v>52655666729</v>
      </c>
      <c r="E297" s="9">
        <f t="shared" si="2"/>
        <v>480</v>
      </c>
      <c r="F297" s="10">
        <f>'Prestige Patterns'!$B$5*('Prestige Patterns'!$B$6^E296-'Prestige Patterns'!$B$6^(E296+G297))/(1-'Prestige Patterns'!$B$6)</f>
        <v>56459138343</v>
      </c>
      <c r="G297" s="13">
        <f>floor(LOG('Prestige Patterns'!$B$6^(E296) - (D296*(1-'Prestige Patterns'!$B$6)/'Prestige Patterns'!$B$5),'Prestige Patterns'!$B$6)-E296,1)</f>
        <v>1</v>
      </c>
      <c r="H297" s="12">
        <f t="shared" si="3"/>
        <v>2238</v>
      </c>
      <c r="I297" s="11">
        <f>1+H297*'Prestige Patterns'!$B$25</f>
        <v>23.38</v>
      </c>
      <c r="J297" s="12">
        <f>floor((K297/'Prestige Patterns'!$B$22)^'Prestige Patterns'!$B$23,1)-H296</f>
        <v>1945</v>
      </c>
      <c r="K297" s="8">
        <f>K296+N296*'Prestige Patterns'!$B$20</f>
        <v>1750417066560</v>
      </c>
      <c r="L297" s="8">
        <f>if(J296&gt;='Prestige Patterns'!$B$28,if(J296/(H296+1)&gt;('Prestige Patterns'!$B$27+1),L296+1,L296),L296)</f>
        <v>5</v>
      </c>
      <c r="N297" s="12">
        <f t="shared" si="1"/>
        <v>919339008</v>
      </c>
      <c r="O297" s="9">
        <f>'Prestige Patterns'!$B$4*E297</f>
        <v>9600</v>
      </c>
      <c r="P297" s="12">
        <f t="shared" si="4"/>
        <v>4096</v>
      </c>
      <c r="Q297" s="11"/>
      <c r="R297" s="11"/>
      <c r="S297" s="9">
        <v>296.0</v>
      </c>
      <c r="T297" s="11"/>
    </row>
    <row r="298" ht="15.75" customHeight="1">
      <c r="A298" s="7"/>
      <c r="B298" s="7"/>
      <c r="C298" s="7">
        <f>(S298*'Prestige Patterns'!$B$20)/60</f>
        <v>148.5</v>
      </c>
      <c r="D298" s="8">
        <f>if(L297=L298,N297*'Prestige Patterns'!$B$20+D297-F298,0)</f>
        <v>80235836969</v>
      </c>
      <c r="E298" s="9">
        <f t="shared" si="2"/>
        <v>480</v>
      </c>
      <c r="F298" s="10">
        <f>'Prestige Patterns'!$B$5*('Prestige Patterns'!$B$6^E297-'Prestige Patterns'!$B$6^(E297+G298))/(1-'Prestige Patterns'!$B$6)</f>
        <v>0</v>
      </c>
      <c r="G298" s="13">
        <f>floor(LOG('Prestige Patterns'!$B$6^(E297) - (D297*(1-'Prestige Patterns'!$B$6)/'Prestige Patterns'!$B$5),'Prestige Patterns'!$B$6)-E297,1)</f>
        <v>0</v>
      </c>
      <c r="H298" s="12">
        <f t="shared" si="3"/>
        <v>2238</v>
      </c>
      <c r="I298" s="11">
        <f>1+H298*'Prestige Patterns'!$B$25</f>
        <v>23.38</v>
      </c>
      <c r="J298" s="12">
        <f>floor((K298/'Prestige Patterns'!$B$22)^'Prestige Patterns'!$B$23,1)-H297</f>
        <v>1978</v>
      </c>
      <c r="K298" s="8">
        <f>K297+N297*'Prestige Patterns'!$B$20</f>
        <v>1777997236800</v>
      </c>
      <c r="L298" s="8">
        <f>if(J297&gt;='Prestige Patterns'!$B$28,if(J297/(H297+1)&gt;('Prestige Patterns'!$B$27+1),L297+1,L297),L297)</f>
        <v>5</v>
      </c>
      <c r="N298" s="12">
        <f t="shared" si="1"/>
        <v>919339008</v>
      </c>
      <c r="O298" s="9">
        <f>'Prestige Patterns'!$B$4*E298</f>
        <v>9600</v>
      </c>
      <c r="P298" s="12">
        <f t="shared" si="4"/>
        <v>4096</v>
      </c>
      <c r="Q298" s="11"/>
      <c r="R298" s="11"/>
      <c r="S298" s="9">
        <v>297.0</v>
      </c>
      <c r="T298" s="11"/>
    </row>
    <row r="299" ht="15.75" customHeight="1">
      <c r="A299" s="7"/>
      <c r="B299" s="7"/>
      <c r="C299" s="7">
        <f>(S299*'Prestige Patterns'!$B$20)/60</f>
        <v>149</v>
      </c>
      <c r="D299" s="8">
        <f>if(L298=L299,N298*'Prestige Patterns'!$B$20+D298-F299,0)</f>
        <v>48533911949</v>
      </c>
      <c r="E299" s="9">
        <f t="shared" si="2"/>
        <v>481</v>
      </c>
      <c r="F299" s="10">
        <f>'Prestige Patterns'!$B$5*('Prestige Patterns'!$B$6^E298-'Prestige Patterns'!$B$6^(E298+G299))/(1-'Prestige Patterns'!$B$6)</f>
        <v>59282095260</v>
      </c>
      <c r="G299" s="13">
        <f>floor(LOG('Prestige Patterns'!$B$6^(E298) - (D298*(1-'Prestige Patterns'!$B$6)/'Prestige Patterns'!$B$5),'Prestige Patterns'!$B$6)-E298,1)</f>
        <v>1</v>
      </c>
      <c r="H299" s="12">
        <f t="shared" si="3"/>
        <v>2238</v>
      </c>
      <c r="I299" s="11">
        <f>1+H299*'Prestige Patterns'!$B$25</f>
        <v>23.38</v>
      </c>
      <c r="J299" s="12">
        <f>floor((K299/'Prestige Patterns'!$B$22)^'Prestige Patterns'!$B$23,1)-H298</f>
        <v>2011</v>
      </c>
      <c r="K299" s="8">
        <f>K298+N298*'Prestige Patterns'!$B$20</f>
        <v>1805577407040</v>
      </c>
      <c r="L299" s="8">
        <f>if(J298&gt;='Prestige Patterns'!$B$28,if(J298/(H298+1)&gt;('Prestige Patterns'!$B$27+1),L298+1,L298),L298)</f>
        <v>5</v>
      </c>
      <c r="N299" s="12">
        <f t="shared" si="1"/>
        <v>921254297.6</v>
      </c>
      <c r="O299" s="9">
        <f>'Prestige Patterns'!$B$4*E299</f>
        <v>9620</v>
      </c>
      <c r="P299" s="12">
        <f t="shared" si="4"/>
        <v>4096</v>
      </c>
      <c r="Q299" s="11"/>
      <c r="R299" s="11"/>
      <c r="S299" s="9">
        <v>298.0</v>
      </c>
      <c r="T299" s="11"/>
    </row>
    <row r="300" ht="15.75" customHeight="1">
      <c r="A300" s="7"/>
      <c r="B300" s="7"/>
      <c r="C300" s="7">
        <f>(S300*'Prestige Patterns'!$B$20)/60</f>
        <v>149.5</v>
      </c>
      <c r="D300" s="8">
        <f>if(L299=L300,N299*'Prestige Patterns'!$B$20+D299-F300,0)</f>
        <v>76171540877</v>
      </c>
      <c r="E300" s="9">
        <f t="shared" si="2"/>
        <v>481</v>
      </c>
      <c r="F300" s="10">
        <f>'Prestige Patterns'!$B$5*('Prestige Patterns'!$B$6^E299-'Prestige Patterns'!$B$6^(E299+G300))/(1-'Prestige Patterns'!$B$6)</f>
        <v>0</v>
      </c>
      <c r="G300" s="13">
        <f>floor(LOG('Prestige Patterns'!$B$6^(E299) - (D299*(1-'Prestige Patterns'!$B$6)/'Prestige Patterns'!$B$5),'Prestige Patterns'!$B$6)-E299,1)</f>
        <v>0</v>
      </c>
      <c r="H300" s="12">
        <f t="shared" si="3"/>
        <v>2238</v>
      </c>
      <c r="I300" s="11">
        <f>1+H300*'Prestige Patterns'!$B$25</f>
        <v>23.38</v>
      </c>
      <c r="J300" s="12">
        <f>floor((K300/'Prestige Patterns'!$B$22)^'Prestige Patterns'!$B$23,1)-H299</f>
        <v>2043</v>
      </c>
      <c r="K300" s="8">
        <f>K299+N299*'Prestige Patterns'!$B$20</f>
        <v>1833215035968</v>
      </c>
      <c r="L300" s="8">
        <f>if(J299&gt;='Prestige Patterns'!$B$28,if(J299/(H299+1)&gt;('Prestige Patterns'!$B$27+1),L299+1,L299),L299)</f>
        <v>5</v>
      </c>
      <c r="N300" s="12">
        <f t="shared" si="1"/>
        <v>921254297.6</v>
      </c>
      <c r="O300" s="9">
        <f>'Prestige Patterns'!$B$4*E300</f>
        <v>9620</v>
      </c>
      <c r="P300" s="12">
        <f t="shared" si="4"/>
        <v>4096</v>
      </c>
      <c r="Q300" s="11"/>
      <c r="R300" s="11"/>
      <c r="S300" s="9">
        <v>299.0</v>
      </c>
      <c r="T300" s="11"/>
    </row>
    <row r="301" ht="15.75" customHeight="1">
      <c r="A301" s="7"/>
      <c r="B301" s="7"/>
      <c r="C301" s="7">
        <f>(S301*'Prestige Patterns'!$B$20)/60</f>
        <v>150</v>
      </c>
      <c r="D301" s="8">
        <f>if(L300=L301,N300*'Prestige Patterns'!$B$20+D300-F301,0)</f>
        <v>41562969782</v>
      </c>
      <c r="E301" s="9">
        <f t="shared" si="2"/>
        <v>482</v>
      </c>
      <c r="F301" s="10">
        <f>'Prestige Patterns'!$B$5*('Prestige Patterns'!$B$6^E300-'Prestige Patterns'!$B$6^(E300+G301))/(1-'Prestige Patterns'!$B$6)</f>
        <v>62246200023</v>
      </c>
      <c r="G301" s="13">
        <f>floor(LOG('Prestige Patterns'!$B$6^(E300) - (D300*(1-'Prestige Patterns'!$B$6)/'Prestige Patterns'!$B$5),'Prestige Patterns'!$B$6)-E300,1)</f>
        <v>1</v>
      </c>
      <c r="H301" s="12">
        <f t="shared" si="3"/>
        <v>2238</v>
      </c>
      <c r="I301" s="11">
        <f>1+H301*'Prestige Patterns'!$B$25</f>
        <v>23.38</v>
      </c>
      <c r="J301" s="12">
        <f>floor((K301/'Prestige Patterns'!$B$22)^'Prestige Patterns'!$B$23,1)-H300</f>
        <v>2075</v>
      </c>
      <c r="K301" s="8">
        <f>K300+N300*'Prestige Patterns'!$B$20</f>
        <v>1860852664896</v>
      </c>
      <c r="L301" s="8">
        <f>if(J300&gt;='Prestige Patterns'!$B$28,if(J300/(H300+1)&gt;('Prestige Patterns'!$B$27+1),L300+1,L300),L300)</f>
        <v>5</v>
      </c>
      <c r="N301" s="12">
        <f t="shared" si="1"/>
        <v>923169587.2</v>
      </c>
      <c r="O301" s="9">
        <f>'Prestige Patterns'!$B$4*E301</f>
        <v>9640</v>
      </c>
      <c r="P301" s="12">
        <f t="shared" si="4"/>
        <v>4096</v>
      </c>
      <c r="Q301" s="11"/>
      <c r="R301" s="11"/>
      <c r="S301" s="9">
        <v>300.0</v>
      </c>
      <c r="T301" s="11"/>
    </row>
    <row r="302" ht="15.75" customHeight="1">
      <c r="A302" s="7"/>
      <c r="B302" s="7"/>
      <c r="C302" s="7">
        <f>(S302*'Prestige Patterns'!$B$20)/60</f>
        <v>150.5</v>
      </c>
      <c r="D302" s="8">
        <f>if(L301=L302,N301*'Prestige Patterns'!$B$20+D301-F302,0)</f>
        <v>69258057398</v>
      </c>
      <c r="E302" s="9">
        <f t="shared" si="2"/>
        <v>482</v>
      </c>
      <c r="F302" s="10">
        <f>'Prestige Patterns'!$B$5*('Prestige Patterns'!$B$6^E301-'Prestige Patterns'!$B$6^(E301+G302))/(1-'Prestige Patterns'!$B$6)</f>
        <v>0</v>
      </c>
      <c r="G302" s="13">
        <f>floor(LOG('Prestige Patterns'!$B$6^(E301) - (D301*(1-'Prestige Patterns'!$B$6)/'Prestige Patterns'!$B$5),'Prestige Patterns'!$B$6)-E301,1)</f>
        <v>0</v>
      </c>
      <c r="H302" s="12">
        <f t="shared" si="3"/>
        <v>2238</v>
      </c>
      <c r="I302" s="11">
        <f>1+H302*'Prestige Patterns'!$B$25</f>
        <v>23.38</v>
      </c>
      <c r="J302" s="12">
        <f>floor((K302/'Prestige Patterns'!$B$22)^'Prestige Patterns'!$B$23,1)-H301</f>
        <v>2107</v>
      </c>
      <c r="K302" s="8">
        <f>K301+N301*'Prestige Patterns'!$B$20</f>
        <v>1888547752512</v>
      </c>
      <c r="L302" s="8">
        <f>if(J301&gt;='Prestige Patterns'!$B$28,if(J301/(H301+1)&gt;('Prestige Patterns'!$B$27+1),L301+1,L301),L301)</f>
        <v>5</v>
      </c>
      <c r="N302" s="12">
        <f t="shared" si="1"/>
        <v>923169587.2</v>
      </c>
      <c r="O302" s="9">
        <f>'Prestige Patterns'!$B$4*E302</f>
        <v>9640</v>
      </c>
      <c r="P302" s="12">
        <f t="shared" si="4"/>
        <v>4096</v>
      </c>
      <c r="Q302" s="11"/>
      <c r="R302" s="11"/>
      <c r="S302" s="9">
        <v>301.0</v>
      </c>
      <c r="T302" s="11"/>
    </row>
    <row r="303" ht="15.75" customHeight="1">
      <c r="A303" s="7"/>
      <c r="B303" s="7"/>
      <c r="C303" s="7">
        <f>(S303*'Prestige Patterns'!$B$20)/60</f>
        <v>151</v>
      </c>
      <c r="D303" s="8">
        <f>if(L302=L303,N302*'Prestige Patterns'!$B$20+D302-F303,0)</f>
        <v>31594634990</v>
      </c>
      <c r="E303" s="9">
        <f t="shared" si="2"/>
        <v>483</v>
      </c>
      <c r="F303" s="10">
        <f>'Prestige Patterns'!$B$5*('Prestige Patterns'!$B$6^E302-'Prestige Patterns'!$B$6^(E302+G303))/(1-'Prestige Patterns'!$B$6)</f>
        <v>65358510024</v>
      </c>
      <c r="G303" s="13">
        <f>floor(LOG('Prestige Patterns'!$B$6^(E302) - (D302*(1-'Prestige Patterns'!$B$6)/'Prestige Patterns'!$B$5),'Prestige Patterns'!$B$6)-E302,1)</f>
        <v>1</v>
      </c>
      <c r="H303" s="12">
        <f t="shared" si="3"/>
        <v>2238</v>
      </c>
      <c r="I303" s="11">
        <f>1+H303*'Prestige Patterns'!$B$25</f>
        <v>23.38</v>
      </c>
      <c r="J303" s="12">
        <f>floor((K303/'Prestige Patterns'!$B$22)^'Prestige Patterns'!$B$23,1)-H302</f>
        <v>2139</v>
      </c>
      <c r="K303" s="8">
        <f>K302+N302*'Prestige Patterns'!$B$20</f>
        <v>1916242840128</v>
      </c>
      <c r="L303" s="8">
        <f>if(J302&gt;='Prestige Patterns'!$B$28,if(J302/(H302+1)&gt;('Prestige Patterns'!$B$27+1),L302+1,L302),L302)</f>
        <v>5</v>
      </c>
      <c r="N303" s="12">
        <f t="shared" si="1"/>
        <v>925084876.8</v>
      </c>
      <c r="O303" s="9">
        <f>'Prestige Patterns'!$B$4*E303</f>
        <v>9660</v>
      </c>
      <c r="P303" s="12">
        <f t="shared" si="4"/>
        <v>4096</v>
      </c>
      <c r="Q303" s="11"/>
      <c r="R303" s="11"/>
      <c r="S303" s="9">
        <v>302.0</v>
      </c>
      <c r="T303" s="11"/>
    </row>
    <row r="304" ht="15.75" customHeight="1">
      <c r="A304" s="7"/>
      <c r="B304" s="7"/>
      <c r="C304" s="7">
        <f>(S304*'Prestige Patterns'!$B$20)/60</f>
        <v>151.5</v>
      </c>
      <c r="D304" s="8">
        <f>if(L303=L304,N303*'Prestige Patterns'!$B$20+D303-F304,0)</f>
        <v>59347181294</v>
      </c>
      <c r="E304" s="9">
        <f t="shared" si="2"/>
        <v>483</v>
      </c>
      <c r="F304" s="10">
        <f>'Prestige Patterns'!$B$5*('Prestige Patterns'!$B$6^E303-'Prestige Patterns'!$B$6^(E303+G304))/(1-'Prestige Patterns'!$B$6)</f>
        <v>0</v>
      </c>
      <c r="G304" s="13">
        <f>floor(LOG('Prestige Patterns'!$B$6^(E303) - (D303*(1-'Prestige Patterns'!$B$6)/'Prestige Patterns'!$B$5),'Prestige Patterns'!$B$6)-E303,1)</f>
        <v>0</v>
      </c>
      <c r="H304" s="12">
        <f t="shared" si="3"/>
        <v>2238</v>
      </c>
      <c r="I304" s="11">
        <f>1+H304*'Prestige Patterns'!$B$25</f>
        <v>23.38</v>
      </c>
      <c r="J304" s="12">
        <f>floor((K304/'Prestige Patterns'!$B$22)^'Prestige Patterns'!$B$23,1)-H303</f>
        <v>2171</v>
      </c>
      <c r="K304" s="8">
        <f>K303+N303*'Prestige Patterns'!$B$20</f>
        <v>1943995386432</v>
      </c>
      <c r="L304" s="8">
        <f>if(J303&gt;='Prestige Patterns'!$B$28,if(J303/(H303+1)&gt;('Prestige Patterns'!$B$27+1),L303+1,L303),L303)</f>
        <v>5</v>
      </c>
      <c r="N304" s="12">
        <f t="shared" si="1"/>
        <v>925084876.8</v>
      </c>
      <c r="O304" s="9">
        <f>'Prestige Patterns'!$B$4*E304</f>
        <v>9660</v>
      </c>
      <c r="P304" s="12">
        <f t="shared" si="4"/>
        <v>4096</v>
      </c>
      <c r="Q304" s="11"/>
      <c r="R304" s="11"/>
      <c r="S304" s="9">
        <v>303.0</v>
      </c>
      <c r="T304" s="11"/>
    </row>
    <row r="305" ht="15.75" customHeight="1">
      <c r="A305" s="7"/>
      <c r="B305" s="7"/>
      <c r="C305" s="7">
        <f>(S305*'Prestige Patterns'!$B$20)/60</f>
        <v>152</v>
      </c>
      <c r="D305" s="8">
        <f>if(L304=L305,N304*'Prestige Patterns'!$B$20+D304-F305,0)</f>
        <v>87099727598</v>
      </c>
      <c r="E305" s="9">
        <f t="shared" si="2"/>
        <v>483</v>
      </c>
      <c r="F305" s="10">
        <f>'Prestige Patterns'!$B$5*('Prestige Patterns'!$B$6^E304-'Prestige Patterns'!$B$6^(E304+G305))/(1-'Prestige Patterns'!$B$6)</f>
        <v>0</v>
      </c>
      <c r="G305" s="13">
        <f>floor(LOG('Prestige Patterns'!$B$6^(E304) - (D304*(1-'Prestige Patterns'!$B$6)/'Prestige Patterns'!$B$5),'Prestige Patterns'!$B$6)-E304,1)</f>
        <v>0</v>
      </c>
      <c r="H305" s="12">
        <f t="shared" si="3"/>
        <v>2238</v>
      </c>
      <c r="I305" s="11">
        <f>1+H305*'Prestige Patterns'!$B$25</f>
        <v>23.38</v>
      </c>
      <c r="J305" s="12">
        <f>floor((K305/'Prestige Patterns'!$B$22)^'Prestige Patterns'!$B$23,1)-H304</f>
        <v>2202</v>
      </c>
      <c r="K305" s="8">
        <f>K304+N304*'Prestige Patterns'!$B$20</f>
        <v>1971747932736</v>
      </c>
      <c r="L305" s="8">
        <f>if(J304&gt;='Prestige Patterns'!$B$28,if(J304/(H304+1)&gt;('Prestige Patterns'!$B$27+1),L304+1,L304),L304)</f>
        <v>5</v>
      </c>
      <c r="N305" s="12">
        <f t="shared" si="1"/>
        <v>925084876.8</v>
      </c>
      <c r="O305" s="9">
        <f>'Prestige Patterns'!$B$4*E305</f>
        <v>9660</v>
      </c>
      <c r="P305" s="12">
        <f t="shared" si="4"/>
        <v>4096</v>
      </c>
      <c r="Q305" s="11"/>
      <c r="R305" s="11"/>
      <c r="S305" s="9">
        <v>304.0</v>
      </c>
      <c r="T305" s="11"/>
    </row>
    <row r="306" ht="15.75" customHeight="1">
      <c r="A306" s="7"/>
      <c r="B306" s="7"/>
      <c r="C306" s="7">
        <f>(S306*'Prestige Patterns'!$B$20)/60</f>
        <v>152.5</v>
      </c>
      <c r="D306" s="8">
        <f>if(L305=L306,N305*'Prestige Patterns'!$B$20+D305-F306,0)</f>
        <v>46225838377</v>
      </c>
      <c r="E306" s="9">
        <f t="shared" si="2"/>
        <v>484</v>
      </c>
      <c r="F306" s="10">
        <f>'Prestige Patterns'!$B$5*('Prestige Patterns'!$B$6^E305-'Prestige Patterns'!$B$6^(E305+G306))/(1-'Prestige Patterns'!$B$6)</f>
        <v>68626435525</v>
      </c>
      <c r="G306" s="13">
        <f>floor(LOG('Prestige Patterns'!$B$6^(E305) - (D305*(1-'Prestige Patterns'!$B$6)/'Prestige Patterns'!$B$5),'Prestige Patterns'!$B$6)-E305,1)</f>
        <v>1</v>
      </c>
      <c r="H306" s="12">
        <f t="shared" si="3"/>
        <v>2238</v>
      </c>
      <c r="I306" s="11">
        <f>1+H306*'Prestige Patterns'!$B$25</f>
        <v>23.38</v>
      </c>
      <c r="J306" s="12">
        <f>floor((K306/'Prestige Patterns'!$B$22)^'Prestige Patterns'!$B$23,1)-H305</f>
        <v>2233</v>
      </c>
      <c r="K306" s="8">
        <f>K305+N305*'Prestige Patterns'!$B$20</f>
        <v>1999500479040</v>
      </c>
      <c r="L306" s="8">
        <f>if(J305&gt;='Prestige Patterns'!$B$28,if(J305/(H305+1)&gt;('Prestige Patterns'!$B$27+1),L305+1,L305),L305)</f>
        <v>5</v>
      </c>
      <c r="N306" s="12">
        <f t="shared" si="1"/>
        <v>927000166.4</v>
      </c>
      <c r="O306" s="9">
        <f>'Prestige Patterns'!$B$4*E306</f>
        <v>9680</v>
      </c>
      <c r="P306" s="12">
        <f t="shared" si="4"/>
        <v>4096</v>
      </c>
      <c r="Q306" s="11"/>
      <c r="R306" s="11"/>
      <c r="S306" s="9">
        <v>305.0</v>
      </c>
      <c r="T306" s="11"/>
    </row>
    <row r="307" ht="15.75" customHeight="1">
      <c r="A307" s="7"/>
      <c r="B307" s="7"/>
      <c r="C307" s="7">
        <f>(S307*'Prestige Patterns'!$B$20)/60</f>
        <v>153</v>
      </c>
      <c r="D307" s="8">
        <f>if(L306=L307,N306*'Prestige Patterns'!$B$20+D306-F307,0)</f>
        <v>74035843369</v>
      </c>
      <c r="E307" s="9">
        <f t="shared" si="2"/>
        <v>484</v>
      </c>
      <c r="F307" s="10">
        <f>'Prestige Patterns'!$B$5*('Prestige Patterns'!$B$6^E306-'Prestige Patterns'!$B$6^(E306+G307))/(1-'Prestige Patterns'!$B$6)</f>
        <v>0</v>
      </c>
      <c r="G307" s="13">
        <f>floor(LOG('Prestige Patterns'!$B$6^(E306) - (D306*(1-'Prestige Patterns'!$B$6)/'Prestige Patterns'!$B$5),'Prestige Patterns'!$B$6)-E306,1)</f>
        <v>0</v>
      </c>
      <c r="H307" s="12">
        <f t="shared" si="3"/>
        <v>2238</v>
      </c>
      <c r="I307" s="11">
        <f>1+H307*'Prestige Patterns'!$B$25</f>
        <v>23.38</v>
      </c>
      <c r="J307" s="12">
        <f>floor((K307/'Prestige Patterns'!$B$22)^'Prestige Patterns'!$B$23,1)-H306</f>
        <v>2264</v>
      </c>
      <c r="K307" s="8">
        <f>K306+N306*'Prestige Patterns'!$B$20</f>
        <v>2027310484032</v>
      </c>
      <c r="L307" s="8">
        <f>if(J306&gt;='Prestige Patterns'!$B$28,if(J306/(H306+1)&gt;('Prestige Patterns'!$B$27+1),L306+1,L306),L306)</f>
        <v>5</v>
      </c>
      <c r="N307" s="12">
        <f t="shared" si="1"/>
        <v>927000166.4</v>
      </c>
      <c r="O307" s="9">
        <f>'Prestige Patterns'!$B$4*E307</f>
        <v>9680</v>
      </c>
      <c r="P307" s="12">
        <f t="shared" si="4"/>
        <v>4096</v>
      </c>
      <c r="Q307" s="11"/>
      <c r="R307" s="11"/>
      <c r="S307" s="9">
        <v>306.0</v>
      </c>
      <c r="T307" s="11"/>
    </row>
    <row r="308" ht="15.75" customHeight="1">
      <c r="A308" s="7"/>
      <c r="B308" s="7"/>
      <c r="C308" s="7">
        <f>(S308*'Prestige Patterns'!$B$20)/60</f>
        <v>153.5</v>
      </c>
      <c r="D308" s="8">
        <f>if(L307=L308,N307*'Prestige Patterns'!$B$20+D307-F308,0)</f>
        <v>29788091060</v>
      </c>
      <c r="E308" s="9">
        <f t="shared" si="2"/>
        <v>485</v>
      </c>
      <c r="F308" s="10">
        <f>'Prestige Patterns'!$B$5*('Prestige Patterns'!$B$6^E307-'Prestige Patterns'!$B$6^(E307+G308))/(1-'Prestige Patterns'!$B$6)</f>
        <v>72057757301</v>
      </c>
      <c r="G308" s="13">
        <f>floor(LOG('Prestige Patterns'!$B$6^(E307) - (D307*(1-'Prestige Patterns'!$B$6)/'Prestige Patterns'!$B$5),'Prestige Patterns'!$B$6)-E307,1)</f>
        <v>1</v>
      </c>
      <c r="H308" s="12">
        <f t="shared" si="3"/>
        <v>2238</v>
      </c>
      <c r="I308" s="11">
        <f>1+H308*'Prestige Patterns'!$B$25</f>
        <v>23.38</v>
      </c>
      <c r="J308" s="12">
        <f>floor((K308/'Prestige Patterns'!$B$22)^'Prestige Patterns'!$B$23,1)-H307</f>
        <v>2295</v>
      </c>
      <c r="K308" s="8">
        <f>K307+N307*'Prestige Patterns'!$B$20</f>
        <v>2055120489024</v>
      </c>
      <c r="L308" s="8">
        <f>if(J307&gt;='Prestige Patterns'!$B$28,if(J307/(H307+1)&gt;('Prestige Patterns'!$B$27+1),L307+1,L307),L307)</f>
        <v>5</v>
      </c>
      <c r="N308" s="12">
        <f t="shared" si="1"/>
        <v>928915456</v>
      </c>
      <c r="O308" s="9">
        <f>'Prestige Patterns'!$B$4*E308</f>
        <v>9700</v>
      </c>
      <c r="P308" s="12">
        <f t="shared" si="4"/>
        <v>4096</v>
      </c>
      <c r="Q308" s="11"/>
      <c r="R308" s="11"/>
      <c r="S308" s="9">
        <v>307.0</v>
      </c>
      <c r="T308" s="11"/>
    </row>
    <row r="309" ht="15.75" customHeight="1">
      <c r="A309" s="7"/>
      <c r="B309" s="7"/>
      <c r="C309" s="7">
        <f>(S309*'Prestige Patterns'!$B$20)/60</f>
        <v>154</v>
      </c>
      <c r="D309" s="8">
        <f>if(L308=L309,N308*'Prestige Patterns'!$B$20+D308-F309,0)</f>
        <v>57655554740</v>
      </c>
      <c r="E309" s="9">
        <f t="shared" si="2"/>
        <v>485</v>
      </c>
      <c r="F309" s="10">
        <f>'Prestige Patterns'!$B$5*('Prestige Patterns'!$B$6^E308-'Prestige Patterns'!$B$6^(E308+G309))/(1-'Prestige Patterns'!$B$6)</f>
        <v>0</v>
      </c>
      <c r="G309" s="13">
        <f>floor(LOG('Prestige Patterns'!$B$6^(E308) - (D308*(1-'Prestige Patterns'!$B$6)/'Prestige Patterns'!$B$5),'Prestige Patterns'!$B$6)-E308,1)</f>
        <v>0</v>
      </c>
      <c r="H309" s="12">
        <f t="shared" si="3"/>
        <v>2238</v>
      </c>
      <c r="I309" s="11">
        <f>1+H309*'Prestige Patterns'!$B$25</f>
        <v>23.38</v>
      </c>
      <c r="J309" s="12">
        <f>floor((K309/'Prestige Patterns'!$B$22)^'Prestige Patterns'!$B$23,1)-H308</f>
        <v>2325</v>
      </c>
      <c r="K309" s="8">
        <f>K308+N308*'Prestige Patterns'!$B$20</f>
        <v>2082987952704</v>
      </c>
      <c r="L309" s="8">
        <f>if(J308&gt;='Prestige Patterns'!$B$28,if(J308/(H308+1)&gt;('Prestige Patterns'!$B$27+1),L308+1,L308),L308)</f>
        <v>5</v>
      </c>
      <c r="N309" s="12">
        <f t="shared" si="1"/>
        <v>928915456</v>
      </c>
      <c r="O309" s="9">
        <f>'Prestige Patterns'!$B$4*E309</f>
        <v>9700</v>
      </c>
      <c r="P309" s="12">
        <f t="shared" si="4"/>
        <v>4096</v>
      </c>
      <c r="Q309" s="11"/>
      <c r="R309" s="11"/>
      <c r="S309" s="9">
        <v>308.0</v>
      </c>
      <c r="T309" s="11"/>
    </row>
    <row r="310" ht="15.75" customHeight="1">
      <c r="A310" s="7"/>
      <c r="B310" s="7"/>
      <c r="C310" s="7">
        <f>(S310*'Prestige Patterns'!$B$20)/60</f>
        <v>154.5</v>
      </c>
      <c r="D310" s="8">
        <f>if(L309=L310,N309*'Prestige Patterns'!$B$20+D309-F310,0)</f>
        <v>85523018420</v>
      </c>
      <c r="E310" s="9">
        <f t="shared" si="2"/>
        <v>485</v>
      </c>
      <c r="F310" s="10">
        <f>'Prestige Patterns'!$B$5*('Prestige Patterns'!$B$6^E309-'Prestige Patterns'!$B$6^(E309+G310))/(1-'Prestige Patterns'!$B$6)</f>
        <v>0</v>
      </c>
      <c r="G310" s="13">
        <f>floor(LOG('Prestige Patterns'!$B$6^(E309) - (D309*(1-'Prestige Patterns'!$B$6)/'Prestige Patterns'!$B$5),'Prestige Patterns'!$B$6)-E309,1)</f>
        <v>0</v>
      </c>
      <c r="H310" s="12">
        <f t="shared" si="3"/>
        <v>2238</v>
      </c>
      <c r="I310" s="11">
        <f>1+H310*'Prestige Patterns'!$B$25</f>
        <v>23.38</v>
      </c>
      <c r="J310" s="12">
        <f>floor((K310/'Prestige Patterns'!$B$22)^'Prestige Patterns'!$B$23,1)-H309</f>
        <v>2356</v>
      </c>
      <c r="K310" s="8">
        <f>K309+N309*'Prestige Patterns'!$B$20</f>
        <v>2110855416384</v>
      </c>
      <c r="L310" s="8">
        <f>if(J309&gt;='Prestige Patterns'!$B$28,if(J309/(H309+1)&gt;('Prestige Patterns'!$B$27+1),L309+1,L309),L309)</f>
        <v>5</v>
      </c>
      <c r="N310" s="12">
        <f t="shared" si="1"/>
        <v>928915456</v>
      </c>
      <c r="O310" s="9">
        <f>'Prestige Patterns'!$B$4*E310</f>
        <v>9700</v>
      </c>
      <c r="P310" s="12">
        <f t="shared" si="4"/>
        <v>4096</v>
      </c>
      <c r="Q310" s="11"/>
      <c r="R310" s="11"/>
      <c r="S310" s="9">
        <v>309.0</v>
      </c>
      <c r="T310" s="11"/>
    </row>
    <row r="311" ht="15.75" customHeight="1">
      <c r="A311" s="7"/>
      <c r="B311" s="7"/>
      <c r="C311" s="7">
        <f>(S311*'Prestige Patterns'!$B$20)/60</f>
        <v>155</v>
      </c>
      <c r="D311" s="8">
        <f>if(L310=L311,N310*'Prestige Patterns'!$B$20+D310-F311,0)</f>
        <v>37729836934</v>
      </c>
      <c r="E311" s="9">
        <f t="shared" si="2"/>
        <v>486</v>
      </c>
      <c r="F311" s="10">
        <f>'Prestige Patterns'!$B$5*('Prestige Patterns'!$B$6^E310-'Prestige Patterns'!$B$6^(E310+G311))/(1-'Prestige Patterns'!$B$6)</f>
        <v>75660645166</v>
      </c>
      <c r="G311" s="13">
        <f>floor(LOG('Prestige Patterns'!$B$6^(E310) - (D310*(1-'Prestige Patterns'!$B$6)/'Prestige Patterns'!$B$5),'Prestige Patterns'!$B$6)-E310,1)</f>
        <v>1</v>
      </c>
      <c r="H311" s="12">
        <f t="shared" si="3"/>
        <v>2238</v>
      </c>
      <c r="I311" s="11">
        <f>1+H311*'Prestige Patterns'!$B$25</f>
        <v>23.38</v>
      </c>
      <c r="J311" s="12">
        <f>floor((K311/'Prestige Patterns'!$B$22)^'Prestige Patterns'!$B$23,1)-H310</f>
        <v>2386</v>
      </c>
      <c r="K311" s="8">
        <f>K310+N310*'Prestige Patterns'!$B$20</f>
        <v>2138722880064</v>
      </c>
      <c r="L311" s="8">
        <f>if(J310&gt;='Prestige Patterns'!$B$28,if(J310/(H310+1)&gt;('Prestige Patterns'!$B$27+1),L310+1,L310),L310)</f>
        <v>5</v>
      </c>
      <c r="N311" s="12">
        <f t="shared" si="1"/>
        <v>930830745.6</v>
      </c>
      <c r="O311" s="9">
        <f>'Prestige Patterns'!$B$4*E311</f>
        <v>9720</v>
      </c>
      <c r="P311" s="12">
        <f t="shared" si="4"/>
        <v>4096</v>
      </c>
      <c r="Q311" s="11"/>
      <c r="R311" s="11"/>
      <c r="S311" s="9">
        <v>310.0</v>
      </c>
      <c r="T311" s="11"/>
    </row>
    <row r="312" ht="15.75" customHeight="1">
      <c r="A312" s="7"/>
      <c r="B312" s="7"/>
      <c r="C312" s="7">
        <f>(S312*'Prestige Patterns'!$B$20)/60</f>
        <v>155.5</v>
      </c>
      <c r="D312" s="8">
        <f>if(L311=L312,N311*'Prestige Patterns'!$B$20+D311-F312,0)</f>
        <v>65654759302</v>
      </c>
      <c r="E312" s="9">
        <f t="shared" si="2"/>
        <v>486</v>
      </c>
      <c r="F312" s="10">
        <f>'Prestige Patterns'!$B$5*('Prestige Patterns'!$B$6^E311-'Prestige Patterns'!$B$6^(E311+G312))/(1-'Prestige Patterns'!$B$6)</f>
        <v>0</v>
      </c>
      <c r="G312" s="13">
        <f>floor(LOG('Prestige Patterns'!$B$6^(E311) - (D311*(1-'Prestige Patterns'!$B$6)/'Prestige Patterns'!$B$5),'Prestige Patterns'!$B$6)-E311,1)</f>
        <v>0</v>
      </c>
      <c r="H312" s="12">
        <f t="shared" si="3"/>
        <v>2238</v>
      </c>
      <c r="I312" s="11">
        <f>1+H312*'Prestige Patterns'!$B$25</f>
        <v>23.38</v>
      </c>
      <c r="J312" s="12">
        <f>floor((K312/'Prestige Patterns'!$B$22)^'Prestige Patterns'!$B$23,1)-H311</f>
        <v>2416</v>
      </c>
      <c r="K312" s="8">
        <f>K311+N311*'Prestige Patterns'!$B$20</f>
        <v>2166647802432</v>
      </c>
      <c r="L312" s="8">
        <f>if(J311&gt;='Prestige Patterns'!$B$28,if(J311/(H311+1)&gt;('Prestige Patterns'!$B$27+1),L311+1,L311),L311)</f>
        <v>5</v>
      </c>
      <c r="N312" s="12">
        <f t="shared" si="1"/>
        <v>930830745.6</v>
      </c>
      <c r="O312" s="9">
        <f>'Prestige Patterns'!$B$4*E312</f>
        <v>9720</v>
      </c>
      <c r="P312" s="12">
        <f t="shared" si="4"/>
        <v>4096</v>
      </c>
      <c r="Q312" s="11"/>
      <c r="R312" s="11"/>
      <c r="S312" s="9">
        <v>311.0</v>
      </c>
      <c r="T312" s="11"/>
    </row>
    <row r="313" ht="15.75" customHeight="1">
      <c r="A313" s="7"/>
      <c r="B313" s="7"/>
      <c r="C313" s="7">
        <f>(S313*'Prestige Patterns'!$B$20)/60</f>
        <v>156</v>
      </c>
      <c r="D313" s="8">
        <f>if(L312=L313,N312*'Prestige Patterns'!$B$20+D312-F313,0)</f>
        <v>93579681670</v>
      </c>
      <c r="E313" s="9">
        <f t="shared" si="2"/>
        <v>486</v>
      </c>
      <c r="F313" s="10">
        <f>'Prestige Patterns'!$B$5*('Prestige Patterns'!$B$6^E312-'Prestige Patterns'!$B$6^(E312+G313))/(1-'Prestige Patterns'!$B$6)</f>
        <v>0</v>
      </c>
      <c r="G313" s="13">
        <f>floor(LOG('Prestige Patterns'!$B$6^(E312) - (D312*(1-'Prestige Patterns'!$B$6)/'Prestige Patterns'!$B$5),'Prestige Patterns'!$B$6)-E312,1)</f>
        <v>0</v>
      </c>
      <c r="H313" s="12">
        <f t="shared" si="3"/>
        <v>2238</v>
      </c>
      <c r="I313" s="11">
        <f>1+H313*'Prestige Patterns'!$B$25</f>
        <v>23.38</v>
      </c>
      <c r="J313" s="12">
        <f>floor((K313/'Prestige Patterns'!$B$22)^'Prestige Patterns'!$B$23,1)-H312</f>
        <v>2446</v>
      </c>
      <c r="K313" s="8">
        <f>K312+N312*'Prestige Patterns'!$B$20</f>
        <v>2194572724800</v>
      </c>
      <c r="L313" s="8">
        <f>if(J312&gt;='Prestige Patterns'!$B$28,if(J312/(H312+1)&gt;('Prestige Patterns'!$B$27+1),L312+1,L312),L312)</f>
        <v>5</v>
      </c>
      <c r="N313" s="12">
        <f t="shared" si="1"/>
        <v>930830745.6</v>
      </c>
      <c r="O313" s="9">
        <f>'Prestige Patterns'!$B$4*E313</f>
        <v>9720</v>
      </c>
      <c r="P313" s="12">
        <f t="shared" si="4"/>
        <v>4096</v>
      </c>
      <c r="Q313" s="11"/>
      <c r="R313" s="11"/>
      <c r="S313" s="9">
        <v>312.0</v>
      </c>
      <c r="T313" s="11"/>
    </row>
    <row r="314" ht="15.75" customHeight="1">
      <c r="A314" s="7"/>
      <c r="B314" s="7"/>
      <c r="C314" s="7">
        <f>(S314*'Prestige Patterns'!$B$20)/60</f>
        <v>156.5</v>
      </c>
      <c r="D314" s="8">
        <f>if(L313=L314,N313*'Prestige Patterns'!$B$20+D313-F314,0)</f>
        <v>42060926613</v>
      </c>
      <c r="E314" s="9">
        <f t="shared" si="2"/>
        <v>487</v>
      </c>
      <c r="F314" s="10">
        <f>'Prestige Patterns'!$B$5*('Prestige Patterns'!$B$6^E313-'Prestige Patterns'!$B$6^(E313+G314))/(1-'Prestige Patterns'!$B$6)</f>
        <v>79443677425</v>
      </c>
      <c r="G314" s="13">
        <f>floor(LOG('Prestige Patterns'!$B$6^(E313) - (D313*(1-'Prestige Patterns'!$B$6)/'Prestige Patterns'!$B$5),'Prestige Patterns'!$B$6)-E313,1)</f>
        <v>1</v>
      </c>
      <c r="H314" s="12">
        <f t="shared" si="3"/>
        <v>2238</v>
      </c>
      <c r="I314" s="11">
        <f>1+H314*'Prestige Patterns'!$B$25</f>
        <v>23.38</v>
      </c>
      <c r="J314" s="12">
        <f>floor((K314/'Prestige Patterns'!$B$22)^'Prestige Patterns'!$B$23,1)-H313</f>
        <v>2476</v>
      </c>
      <c r="K314" s="8">
        <f>K313+N313*'Prestige Patterns'!$B$20</f>
        <v>2222497647168</v>
      </c>
      <c r="L314" s="8">
        <f>if(J313&gt;='Prestige Patterns'!$B$28,if(J313/(H313+1)&gt;('Prestige Patterns'!$B$27+1),L313+1,L313),L313)</f>
        <v>5</v>
      </c>
      <c r="N314" s="12">
        <f t="shared" si="1"/>
        <v>932746035.2</v>
      </c>
      <c r="O314" s="9">
        <f>'Prestige Patterns'!$B$4*E314</f>
        <v>9740</v>
      </c>
      <c r="P314" s="12">
        <f t="shared" si="4"/>
        <v>4096</v>
      </c>
      <c r="Q314" s="11"/>
      <c r="R314" s="11"/>
      <c r="S314" s="9">
        <v>313.0</v>
      </c>
      <c r="T314" s="11"/>
    </row>
    <row r="315" ht="15.75" customHeight="1">
      <c r="A315" s="7"/>
      <c r="B315" s="7"/>
      <c r="C315" s="7">
        <f>(S315*'Prestige Patterns'!$B$20)/60</f>
        <v>157</v>
      </c>
      <c r="D315" s="8">
        <f>if(L314=L315,N314*'Prestige Patterns'!$B$20+D314-F315,0)</f>
        <v>70043307669</v>
      </c>
      <c r="E315" s="9">
        <f t="shared" si="2"/>
        <v>487</v>
      </c>
      <c r="F315" s="10">
        <f>'Prestige Patterns'!$B$5*('Prestige Patterns'!$B$6^E314-'Prestige Patterns'!$B$6^(E314+G315))/(1-'Prestige Patterns'!$B$6)</f>
        <v>0</v>
      </c>
      <c r="G315" s="13">
        <f>floor(LOG('Prestige Patterns'!$B$6^(E314) - (D314*(1-'Prestige Patterns'!$B$6)/'Prestige Patterns'!$B$5),'Prestige Patterns'!$B$6)-E314,1)</f>
        <v>0</v>
      </c>
      <c r="H315" s="12">
        <f t="shared" si="3"/>
        <v>2238</v>
      </c>
      <c r="I315" s="11">
        <f>1+H315*'Prestige Patterns'!$B$25</f>
        <v>23.38</v>
      </c>
      <c r="J315" s="12">
        <f>floor((K315/'Prestige Patterns'!$B$22)^'Prestige Patterns'!$B$23,1)-H314</f>
        <v>2505</v>
      </c>
      <c r="K315" s="8">
        <f>K314+N314*'Prestige Patterns'!$B$20</f>
        <v>2250480028224</v>
      </c>
      <c r="L315" s="8">
        <f>if(J314&gt;='Prestige Patterns'!$B$28,if(J314/(H314+1)&gt;('Prestige Patterns'!$B$27+1),L314+1,L314),L314)</f>
        <v>5</v>
      </c>
      <c r="N315" s="12">
        <f t="shared" si="1"/>
        <v>932746035.2</v>
      </c>
      <c r="O315" s="9">
        <f>'Prestige Patterns'!$B$4*E315</f>
        <v>9740</v>
      </c>
      <c r="P315" s="12">
        <f t="shared" si="4"/>
        <v>4096</v>
      </c>
      <c r="Q315" s="11"/>
      <c r="R315" s="11"/>
      <c r="S315" s="9">
        <v>314.0</v>
      </c>
      <c r="T315" s="11"/>
    </row>
    <row r="316" ht="15.75" customHeight="1">
      <c r="A316" s="7"/>
      <c r="B316" s="7"/>
      <c r="C316" s="7">
        <f>(S316*'Prestige Patterns'!$B$20)/60</f>
        <v>157.5</v>
      </c>
      <c r="D316" s="8">
        <f>if(L315=L316,N315*'Prestige Patterns'!$B$20+D315-F316,0)</f>
        <v>98025688725</v>
      </c>
      <c r="E316" s="9">
        <f t="shared" si="2"/>
        <v>487</v>
      </c>
      <c r="F316" s="10">
        <f>'Prestige Patterns'!$B$5*('Prestige Patterns'!$B$6^E315-'Prestige Patterns'!$B$6^(E315+G316))/(1-'Prestige Patterns'!$B$6)</f>
        <v>0</v>
      </c>
      <c r="G316" s="13">
        <f>floor(LOG('Prestige Patterns'!$B$6^(E315) - (D315*(1-'Prestige Patterns'!$B$6)/'Prestige Patterns'!$B$5),'Prestige Patterns'!$B$6)-E315,1)</f>
        <v>0</v>
      </c>
      <c r="H316" s="12">
        <f t="shared" si="3"/>
        <v>2238</v>
      </c>
      <c r="I316" s="11">
        <f>1+H316*'Prestige Patterns'!$B$25</f>
        <v>23.38</v>
      </c>
      <c r="J316" s="12">
        <f>floor((K316/'Prestige Patterns'!$B$22)^'Prestige Patterns'!$B$23,1)-H315</f>
        <v>2535</v>
      </c>
      <c r="K316" s="8">
        <f>K315+N315*'Prestige Patterns'!$B$20</f>
        <v>2278462409280</v>
      </c>
      <c r="L316" s="8">
        <f>if(J315&gt;='Prestige Patterns'!$B$28,if(J315/(H315+1)&gt;('Prestige Patterns'!$B$27+1),L315+1,L315),L315)</f>
        <v>5</v>
      </c>
      <c r="N316" s="12">
        <f t="shared" si="1"/>
        <v>932746035.2</v>
      </c>
      <c r="O316" s="9">
        <f>'Prestige Patterns'!$B$4*E316</f>
        <v>9740</v>
      </c>
      <c r="P316" s="12">
        <f t="shared" si="4"/>
        <v>4096</v>
      </c>
      <c r="Q316" s="11"/>
      <c r="R316" s="11"/>
      <c r="S316" s="9">
        <v>315.0</v>
      </c>
      <c r="T316" s="11"/>
    </row>
    <row r="317" ht="15.75" customHeight="1">
      <c r="A317" s="7"/>
      <c r="B317" s="7"/>
      <c r="C317" s="7">
        <f>(S317*'Prestige Patterns'!$B$20)/60</f>
        <v>158</v>
      </c>
      <c r="D317" s="8">
        <f>if(L316=L317,N316*'Prestige Patterns'!$B$20+D316-F317,0)</f>
        <v>42592208485</v>
      </c>
      <c r="E317" s="9">
        <f t="shared" si="2"/>
        <v>488</v>
      </c>
      <c r="F317" s="10">
        <f>'Prestige Patterns'!$B$5*('Prestige Patterns'!$B$6^E316-'Prestige Patterns'!$B$6^(E316+G317))/(1-'Prestige Patterns'!$B$6)</f>
        <v>83415861296</v>
      </c>
      <c r="G317" s="13">
        <f>floor(LOG('Prestige Patterns'!$B$6^(E316) - (D316*(1-'Prestige Patterns'!$B$6)/'Prestige Patterns'!$B$5),'Prestige Patterns'!$B$6)-E316,1)</f>
        <v>1</v>
      </c>
      <c r="H317" s="12">
        <f t="shared" si="3"/>
        <v>2238</v>
      </c>
      <c r="I317" s="11">
        <f>1+H317*'Prestige Patterns'!$B$25</f>
        <v>23.38</v>
      </c>
      <c r="J317" s="12">
        <f>floor((K317/'Prestige Patterns'!$B$22)^'Prestige Patterns'!$B$23,1)-H316</f>
        <v>2564</v>
      </c>
      <c r="K317" s="8">
        <f>K316+N316*'Prestige Patterns'!$B$20</f>
        <v>2306444790336</v>
      </c>
      <c r="L317" s="8">
        <f>if(J316&gt;='Prestige Patterns'!$B$28,if(J316/(H316+1)&gt;('Prestige Patterns'!$B$27+1),L316+1,L316),L316)</f>
        <v>5</v>
      </c>
      <c r="N317" s="12">
        <f t="shared" si="1"/>
        <v>934661324.8</v>
      </c>
      <c r="O317" s="9">
        <f>'Prestige Patterns'!$B$4*E317</f>
        <v>9760</v>
      </c>
      <c r="P317" s="12">
        <f t="shared" si="4"/>
        <v>4096</v>
      </c>
      <c r="Q317" s="11"/>
      <c r="R317" s="11"/>
      <c r="S317" s="9">
        <v>316.0</v>
      </c>
      <c r="T317" s="11"/>
    </row>
    <row r="318" ht="15.75" customHeight="1">
      <c r="A318" s="7"/>
      <c r="B318" s="7"/>
      <c r="C318" s="7">
        <f>(S318*'Prestige Patterns'!$B$20)/60</f>
        <v>158.5</v>
      </c>
      <c r="D318" s="8">
        <f>if(L317=L318,N317*'Prestige Patterns'!$B$20+D317-F318,0)</f>
        <v>70632048229</v>
      </c>
      <c r="E318" s="9">
        <f t="shared" si="2"/>
        <v>488</v>
      </c>
      <c r="F318" s="10">
        <f>'Prestige Patterns'!$B$5*('Prestige Patterns'!$B$6^E317-'Prestige Patterns'!$B$6^(E317+G318))/(1-'Prestige Patterns'!$B$6)</f>
        <v>0</v>
      </c>
      <c r="G318" s="13">
        <f>floor(LOG('Prestige Patterns'!$B$6^(E317) - (D317*(1-'Prestige Patterns'!$B$6)/'Prestige Patterns'!$B$5),'Prestige Patterns'!$B$6)-E317,1)</f>
        <v>0</v>
      </c>
      <c r="H318" s="12">
        <f t="shared" si="3"/>
        <v>2238</v>
      </c>
      <c r="I318" s="11">
        <f>1+H318*'Prestige Patterns'!$B$25</f>
        <v>23.38</v>
      </c>
      <c r="J318" s="12">
        <f>floor((K318/'Prestige Patterns'!$B$22)^'Prestige Patterns'!$B$23,1)-H317</f>
        <v>2593</v>
      </c>
      <c r="K318" s="8">
        <f>K317+N317*'Prestige Patterns'!$B$20</f>
        <v>2334484630080</v>
      </c>
      <c r="L318" s="8">
        <f>if(J317&gt;='Prestige Patterns'!$B$28,if(J317/(H317+1)&gt;('Prestige Patterns'!$B$27+1),L317+1,L317),L317)</f>
        <v>5</v>
      </c>
      <c r="N318" s="12">
        <f t="shared" si="1"/>
        <v>934661324.8</v>
      </c>
      <c r="O318" s="9">
        <f>'Prestige Patterns'!$B$4*E318</f>
        <v>9760</v>
      </c>
      <c r="P318" s="12">
        <f t="shared" si="4"/>
        <v>4096</v>
      </c>
      <c r="Q318" s="11"/>
      <c r="R318" s="11"/>
      <c r="S318" s="9">
        <v>317.0</v>
      </c>
      <c r="T318" s="11"/>
    </row>
    <row r="319" ht="15.75" customHeight="1">
      <c r="A319" s="7"/>
      <c r="B319" s="7"/>
      <c r="C319" s="7">
        <f>(S319*'Prestige Patterns'!$B$20)/60</f>
        <v>159</v>
      </c>
      <c r="D319" s="8">
        <f>if(L318=L319,N318*'Prestige Patterns'!$B$20+D318-F319,0)</f>
        <v>98671887973</v>
      </c>
      <c r="E319" s="9">
        <f t="shared" si="2"/>
        <v>488</v>
      </c>
      <c r="F319" s="10">
        <f>'Prestige Patterns'!$B$5*('Prestige Patterns'!$B$6^E318-'Prestige Patterns'!$B$6^(E318+G319))/(1-'Prestige Patterns'!$B$6)</f>
        <v>0</v>
      </c>
      <c r="G319" s="13">
        <f>floor(LOG('Prestige Patterns'!$B$6^(E318) - (D318*(1-'Prestige Patterns'!$B$6)/'Prestige Patterns'!$B$5),'Prestige Patterns'!$B$6)-E318,1)</f>
        <v>0</v>
      </c>
      <c r="H319" s="12">
        <f t="shared" si="3"/>
        <v>2238</v>
      </c>
      <c r="I319" s="11">
        <f>1+H319*'Prestige Patterns'!$B$25</f>
        <v>23.38</v>
      </c>
      <c r="J319" s="12">
        <f>floor((K319/'Prestige Patterns'!$B$22)^'Prestige Patterns'!$B$23,1)-H318</f>
        <v>2622</v>
      </c>
      <c r="K319" s="8">
        <f>K318+N318*'Prestige Patterns'!$B$20</f>
        <v>2362524469824</v>
      </c>
      <c r="L319" s="8">
        <f>if(J318&gt;='Prestige Patterns'!$B$28,if(J318/(H318+1)&gt;('Prestige Patterns'!$B$27+1),L318+1,L318),L318)</f>
        <v>5</v>
      </c>
      <c r="N319" s="12">
        <f t="shared" si="1"/>
        <v>934661324.8</v>
      </c>
      <c r="O319" s="9">
        <f>'Prestige Patterns'!$B$4*E319</f>
        <v>9760</v>
      </c>
      <c r="P319" s="12">
        <f t="shared" si="4"/>
        <v>4096</v>
      </c>
      <c r="Q319" s="11"/>
      <c r="R319" s="11"/>
      <c r="S319" s="9">
        <v>318.0</v>
      </c>
      <c r="T319" s="11"/>
    </row>
    <row r="320" ht="15.75" customHeight="1">
      <c r="A320" s="7"/>
      <c r="B320" s="7"/>
      <c r="C320" s="7">
        <f>(S320*'Prestige Patterns'!$B$20)/60</f>
        <v>159.5</v>
      </c>
      <c r="D320" s="8">
        <f>if(L319=L320,N319*'Prestige Patterns'!$B$20+D319-F320,0)</f>
        <v>39125073356</v>
      </c>
      <c r="E320" s="9">
        <f t="shared" si="2"/>
        <v>489</v>
      </c>
      <c r="F320" s="10">
        <f>'Prestige Patterns'!$B$5*('Prestige Patterns'!$B$6^E319-'Prestige Patterns'!$B$6^(E319+G320))/(1-'Prestige Patterns'!$B$6)</f>
        <v>87586654361</v>
      </c>
      <c r="G320" s="13">
        <f>floor(LOG('Prestige Patterns'!$B$6^(E319) - (D319*(1-'Prestige Patterns'!$B$6)/'Prestige Patterns'!$B$5),'Prestige Patterns'!$B$6)-E319,1)</f>
        <v>1</v>
      </c>
      <c r="H320" s="12">
        <f t="shared" si="3"/>
        <v>2238</v>
      </c>
      <c r="I320" s="11">
        <f>1+H320*'Prestige Patterns'!$B$25</f>
        <v>23.38</v>
      </c>
      <c r="J320" s="12">
        <f>floor((K320/'Prestige Patterns'!$B$22)^'Prestige Patterns'!$B$23,1)-H319</f>
        <v>2651</v>
      </c>
      <c r="K320" s="8">
        <f>K319+N319*'Prestige Patterns'!$B$20</f>
        <v>2390564309568</v>
      </c>
      <c r="L320" s="8">
        <f>if(J319&gt;='Prestige Patterns'!$B$28,if(J319/(H319+1)&gt;('Prestige Patterns'!$B$27+1),L319+1,L319),L319)</f>
        <v>5</v>
      </c>
      <c r="N320" s="12">
        <f t="shared" si="1"/>
        <v>936576614.4</v>
      </c>
      <c r="O320" s="9">
        <f>'Prestige Patterns'!$B$4*E320</f>
        <v>9780</v>
      </c>
      <c r="P320" s="12">
        <f t="shared" si="4"/>
        <v>4096</v>
      </c>
      <c r="Q320" s="11"/>
      <c r="R320" s="11"/>
      <c r="S320" s="9">
        <v>319.0</v>
      </c>
      <c r="T320" s="11"/>
    </row>
    <row r="321" ht="15.75" customHeight="1">
      <c r="A321" s="7"/>
      <c r="B321" s="7"/>
      <c r="C321" s="7">
        <f>(S321*'Prestige Patterns'!$B$20)/60</f>
        <v>160</v>
      </c>
      <c r="D321" s="8">
        <f>if(L320=L321,N320*'Prestige Patterns'!$B$20+D320-F321,0)</f>
        <v>67222371788</v>
      </c>
      <c r="E321" s="9">
        <f t="shared" si="2"/>
        <v>489</v>
      </c>
      <c r="F321" s="10">
        <f>'Prestige Patterns'!$B$5*('Prestige Patterns'!$B$6^E320-'Prestige Patterns'!$B$6^(E320+G321))/(1-'Prestige Patterns'!$B$6)</f>
        <v>0</v>
      </c>
      <c r="G321" s="13">
        <f>floor(LOG('Prestige Patterns'!$B$6^(E320) - (D320*(1-'Prestige Patterns'!$B$6)/'Prestige Patterns'!$B$5),'Prestige Patterns'!$B$6)-E320,1)</f>
        <v>0</v>
      </c>
      <c r="H321" s="12">
        <f t="shared" si="3"/>
        <v>2238</v>
      </c>
      <c r="I321" s="11">
        <f>1+H321*'Prestige Patterns'!$B$25</f>
        <v>23.38</v>
      </c>
      <c r="J321" s="12">
        <f>floor((K321/'Prestige Patterns'!$B$22)^'Prestige Patterns'!$B$23,1)-H320</f>
        <v>2679</v>
      </c>
      <c r="K321" s="8">
        <f>K320+N320*'Prestige Patterns'!$B$20</f>
        <v>2418661608000</v>
      </c>
      <c r="L321" s="8">
        <f>if(J320&gt;='Prestige Patterns'!$B$28,if(J320/(H320+1)&gt;('Prestige Patterns'!$B$27+1),L320+1,L320),L320)</f>
        <v>5</v>
      </c>
      <c r="N321" s="12">
        <f t="shared" si="1"/>
        <v>936576614.4</v>
      </c>
      <c r="O321" s="9">
        <f>'Prestige Patterns'!$B$4*E321</f>
        <v>9780</v>
      </c>
      <c r="P321" s="12">
        <f t="shared" si="4"/>
        <v>4096</v>
      </c>
      <c r="Q321" s="11"/>
      <c r="R321" s="11"/>
      <c r="S321" s="9">
        <v>320.0</v>
      </c>
      <c r="T321" s="11"/>
    </row>
    <row r="322" ht="15.75" customHeight="1">
      <c r="A322" s="7"/>
      <c r="B322" s="7"/>
      <c r="C322" s="7">
        <f>(S322*'Prestige Patterns'!$B$20)/60</f>
        <v>160.5</v>
      </c>
      <c r="D322" s="8">
        <f>if(L321=L322,N321*'Prestige Patterns'!$B$20+D321-F322,0)</f>
        <v>95319670220</v>
      </c>
      <c r="E322" s="9">
        <f t="shared" si="2"/>
        <v>489</v>
      </c>
      <c r="F322" s="10">
        <f>'Prestige Patterns'!$B$5*('Prestige Patterns'!$B$6^E321-'Prestige Patterns'!$B$6^(E321+G322))/(1-'Prestige Patterns'!$B$6)</f>
        <v>0</v>
      </c>
      <c r="G322" s="13">
        <f>floor(LOG('Prestige Patterns'!$B$6^(E321) - (D321*(1-'Prestige Patterns'!$B$6)/'Prestige Patterns'!$B$5),'Prestige Patterns'!$B$6)-E321,1)</f>
        <v>0</v>
      </c>
      <c r="H322" s="12">
        <f t="shared" si="3"/>
        <v>2238</v>
      </c>
      <c r="I322" s="11">
        <f>1+H322*'Prestige Patterns'!$B$25</f>
        <v>23.38</v>
      </c>
      <c r="J322" s="12">
        <f>floor((K322/'Prestige Patterns'!$B$22)^'Prestige Patterns'!$B$23,1)-H321</f>
        <v>2708</v>
      </c>
      <c r="K322" s="8">
        <f>K321+N321*'Prestige Patterns'!$B$20</f>
        <v>2446758906432</v>
      </c>
      <c r="L322" s="8">
        <f>if(J321&gt;='Prestige Patterns'!$B$28,if(J321/(H321+1)&gt;('Prestige Patterns'!$B$27+1),L321+1,L321),L321)</f>
        <v>5</v>
      </c>
      <c r="N322" s="12">
        <f t="shared" si="1"/>
        <v>936576614.4</v>
      </c>
      <c r="O322" s="9">
        <f>'Prestige Patterns'!$B$4*E322</f>
        <v>9780</v>
      </c>
      <c r="P322" s="12">
        <f t="shared" si="4"/>
        <v>4096</v>
      </c>
      <c r="Q322" s="11"/>
      <c r="R322" s="11"/>
      <c r="S322" s="9">
        <v>321.0</v>
      </c>
      <c r="T322" s="11"/>
    </row>
    <row r="323" ht="15.75" customHeight="1">
      <c r="A323" s="7"/>
      <c r="B323" s="7"/>
      <c r="C323" s="7">
        <f>(S323*'Prestige Patterns'!$B$20)/60</f>
        <v>161</v>
      </c>
      <c r="D323" s="8">
        <f>if(L322=L323,N322*'Prestige Patterns'!$B$20+D322-F323,0)</f>
        <v>31450981573</v>
      </c>
      <c r="E323" s="9">
        <f t="shared" si="2"/>
        <v>490</v>
      </c>
      <c r="F323" s="10">
        <f>'Prestige Patterns'!$B$5*('Prestige Patterns'!$B$6^E322-'Prestige Patterns'!$B$6^(E322+G323))/(1-'Prestige Patterns'!$B$6)</f>
        <v>91965987079</v>
      </c>
      <c r="G323" s="13">
        <f>floor(LOG('Prestige Patterns'!$B$6^(E322) - (D322*(1-'Prestige Patterns'!$B$6)/'Prestige Patterns'!$B$5),'Prestige Patterns'!$B$6)-E322,1)</f>
        <v>1</v>
      </c>
      <c r="H323" s="12">
        <f t="shared" si="3"/>
        <v>2238</v>
      </c>
      <c r="I323" s="11">
        <f>1+H323*'Prestige Patterns'!$B$25</f>
        <v>23.38</v>
      </c>
      <c r="J323" s="12">
        <f>floor((K323/'Prestige Patterns'!$B$22)^'Prestige Patterns'!$B$23,1)-H322</f>
        <v>2736</v>
      </c>
      <c r="K323" s="8">
        <f>K322+N322*'Prestige Patterns'!$B$20</f>
        <v>2474856204864</v>
      </c>
      <c r="L323" s="8">
        <f>if(J322&gt;='Prestige Patterns'!$B$28,if(J322/(H322+1)&gt;('Prestige Patterns'!$B$27+1),L322+1,L322),L322)</f>
        <v>5</v>
      </c>
      <c r="N323" s="12">
        <f t="shared" si="1"/>
        <v>938491904</v>
      </c>
      <c r="O323" s="9">
        <f>'Prestige Patterns'!$B$4*E323</f>
        <v>9800</v>
      </c>
      <c r="P323" s="12">
        <f t="shared" si="4"/>
        <v>4096</v>
      </c>
      <c r="Q323" s="11"/>
      <c r="R323" s="11"/>
      <c r="S323" s="9">
        <v>322.0</v>
      </c>
      <c r="T323" s="11"/>
    </row>
    <row r="324" ht="15.75" customHeight="1">
      <c r="A324" s="7"/>
      <c r="B324" s="7"/>
      <c r="C324" s="7">
        <f>(S324*'Prestige Patterns'!$B$20)/60</f>
        <v>161.5</v>
      </c>
      <c r="D324" s="8">
        <f>if(L323=L324,N323*'Prestige Patterns'!$B$20+D323-F324,0)</f>
        <v>59605738693</v>
      </c>
      <c r="E324" s="9">
        <f t="shared" si="2"/>
        <v>490</v>
      </c>
      <c r="F324" s="10">
        <f>'Prestige Patterns'!$B$5*('Prestige Patterns'!$B$6^E323-'Prestige Patterns'!$B$6^(E323+G324))/(1-'Prestige Patterns'!$B$6)</f>
        <v>0</v>
      </c>
      <c r="G324" s="13">
        <f>floor(LOG('Prestige Patterns'!$B$6^(E323) - (D323*(1-'Prestige Patterns'!$B$6)/'Prestige Patterns'!$B$5),'Prestige Patterns'!$B$6)-E323,1)</f>
        <v>0</v>
      </c>
      <c r="H324" s="12">
        <f t="shared" si="3"/>
        <v>2238</v>
      </c>
      <c r="I324" s="11">
        <f>1+H324*'Prestige Patterns'!$B$25</f>
        <v>23.38</v>
      </c>
      <c r="J324" s="12">
        <f>floor((K324/'Prestige Patterns'!$B$22)^'Prestige Patterns'!$B$23,1)-H323</f>
        <v>2765</v>
      </c>
      <c r="K324" s="8">
        <f>K323+N323*'Prestige Patterns'!$B$20</f>
        <v>2503010961984</v>
      </c>
      <c r="L324" s="8">
        <f>if(J323&gt;='Prestige Patterns'!$B$28,if(J323/(H323+1)&gt;('Prestige Patterns'!$B$27+1),L323+1,L323),L323)</f>
        <v>5</v>
      </c>
      <c r="N324" s="12">
        <f t="shared" si="1"/>
        <v>938491904</v>
      </c>
      <c r="O324" s="9">
        <f>'Prestige Patterns'!$B$4*E324</f>
        <v>9800</v>
      </c>
      <c r="P324" s="12">
        <f t="shared" si="4"/>
        <v>4096</v>
      </c>
      <c r="Q324" s="11"/>
      <c r="R324" s="11"/>
      <c r="S324" s="9">
        <v>323.0</v>
      </c>
      <c r="T324" s="11"/>
    </row>
    <row r="325" ht="15.75" customHeight="1">
      <c r="A325" s="7"/>
      <c r="B325" s="7"/>
      <c r="C325" s="7">
        <f>(S325*'Prestige Patterns'!$B$20)/60</f>
        <v>162</v>
      </c>
      <c r="D325" s="8">
        <f>if(L324=L325,N324*'Prestige Patterns'!$B$20+D324-F325,0)</f>
        <v>87760495813</v>
      </c>
      <c r="E325" s="9">
        <f t="shared" si="2"/>
        <v>490</v>
      </c>
      <c r="F325" s="10">
        <f>'Prestige Patterns'!$B$5*('Prestige Patterns'!$B$6^E324-'Prestige Patterns'!$B$6^(E324+G325))/(1-'Prestige Patterns'!$B$6)</f>
        <v>0</v>
      </c>
      <c r="G325" s="13">
        <f>floor(LOG('Prestige Patterns'!$B$6^(E324) - (D324*(1-'Prestige Patterns'!$B$6)/'Prestige Patterns'!$B$5),'Prestige Patterns'!$B$6)-E324,1)</f>
        <v>0</v>
      </c>
      <c r="H325" s="12">
        <f t="shared" si="3"/>
        <v>2238</v>
      </c>
      <c r="I325" s="11">
        <f>1+H325*'Prestige Patterns'!$B$25</f>
        <v>23.38</v>
      </c>
      <c r="J325" s="12">
        <f>floor((K325/'Prestige Patterns'!$B$22)^'Prestige Patterns'!$B$23,1)-H324</f>
        <v>2793</v>
      </c>
      <c r="K325" s="8">
        <f>K324+N324*'Prestige Patterns'!$B$20</f>
        <v>2531165719104</v>
      </c>
      <c r="L325" s="8">
        <f>if(J324&gt;='Prestige Patterns'!$B$28,if(J324/(H324+1)&gt;('Prestige Patterns'!$B$27+1),L324+1,L324),L324)</f>
        <v>5</v>
      </c>
      <c r="N325" s="12">
        <f t="shared" si="1"/>
        <v>938491904</v>
      </c>
      <c r="O325" s="9">
        <f>'Prestige Patterns'!$B$4*E325</f>
        <v>9800</v>
      </c>
      <c r="P325" s="12">
        <f t="shared" si="4"/>
        <v>4096</v>
      </c>
      <c r="Q325" s="11"/>
      <c r="R325" s="11"/>
      <c r="S325" s="9">
        <v>324.0</v>
      </c>
      <c r="T325" s="11"/>
    </row>
    <row r="326" ht="15.75" customHeight="1">
      <c r="A326" s="7"/>
      <c r="B326" s="7"/>
      <c r="C326" s="7">
        <f>(S326*'Prestige Patterns'!$B$20)/60</f>
        <v>162.5</v>
      </c>
      <c r="D326" s="8">
        <f>if(L325=L326,N325*'Prestige Patterns'!$B$20+D325-F326,0)</f>
        <v>115915252933</v>
      </c>
      <c r="E326" s="9">
        <f t="shared" si="2"/>
        <v>490</v>
      </c>
      <c r="F326" s="10">
        <f>'Prestige Patterns'!$B$5*('Prestige Patterns'!$B$6^E325-'Prestige Patterns'!$B$6^(E325+G326))/(1-'Prestige Patterns'!$B$6)</f>
        <v>0</v>
      </c>
      <c r="G326" s="13">
        <f>floor(LOG('Prestige Patterns'!$B$6^(E325) - (D325*(1-'Prestige Patterns'!$B$6)/'Prestige Patterns'!$B$5),'Prestige Patterns'!$B$6)-E325,1)</f>
        <v>0</v>
      </c>
      <c r="H326" s="12">
        <f t="shared" si="3"/>
        <v>2238</v>
      </c>
      <c r="I326" s="11">
        <f>1+H326*'Prestige Patterns'!$B$25</f>
        <v>23.38</v>
      </c>
      <c r="J326" s="12">
        <f>floor((K326/'Prestige Patterns'!$B$22)^'Prestige Patterns'!$B$23,1)-H325</f>
        <v>2820</v>
      </c>
      <c r="K326" s="8">
        <f>K325+N325*'Prestige Patterns'!$B$20</f>
        <v>2559320476224</v>
      </c>
      <c r="L326" s="8">
        <f>if(J325&gt;='Prestige Patterns'!$B$28,if(J325/(H325+1)&gt;('Prestige Patterns'!$B$27+1),L325+1,L325),L325)</f>
        <v>5</v>
      </c>
      <c r="N326" s="12">
        <f t="shared" si="1"/>
        <v>938491904</v>
      </c>
      <c r="O326" s="9">
        <f>'Prestige Patterns'!$B$4*E326</f>
        <v>9800</v>
      </c>
      <c r="P326" s="12">
        <f t="shared" si="4"/>
        <v>4096</v>
      </c>
      <c r="Q326" s="11"/>
      <c r="R326" s="11"/>
      <c r="S326" s="9">
        <v>325.0</v>
      </c>
      <c r="T326" s="11"/>
    </row>
    <row r="327" ht="15.75" customHeight="1">
      <c r="A327" s="7"/>
      <c r="B327" s="7"/>
      <c r="C327" s="7">
        <f>(S327*'Prestige Patterns'!$B$20)/60</f>
        <v>163</v>
      </c>
      <c r="D327" s="8">
        <f>if(L326=L327,N326*'Prestige Patterns'!$B$20+D326-F327,0)</f>
        <v>47505723621</v>
      </c>
      <c r="E327" s="9">
        <f t="shared" si="2"/>
        <v>491</v>
      </c>
      <c r="F327" s="10">
        <f>'Prestige Patterns'!$B$5*('Prestige Patterns'!$B$6^E326-'Prestige Patterns'!$B$6^(E326+G327))/(1-'Prestige Patterns'!$B$6)</f>
        <v>96564286433</v>
      </c>
      <c r="G327" s="13">
        <f>floor(LOG('Prestige Patterns'!$B$6^(E326) - (D326*(1-'Prestige Patterns'!$B$6)/'Prestige Patterns'!$B$5),'Prestige Patterns'!$B$6)-E326,1)</f>
        <v>1</v>
      </c>
      <c r="H327" s="12">
        <f t="shared" si="3"/>
        <v>2238</v>
      </c>
      <c r="I327" s="11">
        <f>1+H327*'Prestige Patterns'!$B$25</f>
        <v>23.38</v>
      </c>
      <c r="J327" s="12">
        <f>floor((K327/'Prestige Patterns'!$B$22)^'Prestige Patterns'!$B$23,1)-H326</f>
        <v>2848</v>
      </c>
      <c r="K327" s="8">
        <f>K326+N326*'Prestige Patterns'!$B$20</f>
        <v>2587475233344</v>
      </c>
      <c r="L327" s="8">
        <f>if(J326&gt;='Prestige Patterns'!$B$28,if(J326/(H326+1)&gt;('Prestige Patterns'!$B$27+1),L326+1,L326),L326)</f>
        <v>5</v>
      </c>
      <c r="N327" s="12">
        <f t="shared" si="1"/>
        <v>940407193.6</v>
      </c>
      <c r="O327" s="9">
        <f>'Prestige Patterns'!$B$4*E327</f>
        <v>9820</v>
      </c>
      <c r="P327" s="12">
        <f t="shared" si="4"/>
        <v>4096</v>
      </c>
      <c r="Q327" s="11"/>
      <c r="R327" s="11"/>
      <c r="S327" s="9">
        <v>326.0</v>
      </c>
      <c r="T327" s="11"/>
    </row>
    <row r="328" ht="15.75" customHeight="1">
      <c r="A328" s="7"/>
      <c r="B328" s="7"/>
      <c r="C328" s="7">
        <f>(S328*'Prestige Patterns'!$B$20)/60</f>
        <v>163.5</v>
      </c>
      <c r="D328" s="8">
        <f>if(L327=L328,N327*'Prestige Patterns'!$B$20+D327-F328,0)</f>
        <v>75717939429</v>
      </c>
      <c r="E328" s="9">
        <f t="shared" si="2"/>
        <v>491</v>
      </c>
      <c r="F328" s="10">
        <f>'Prestige Patterns'!$B$5*('Prestige Patterns'!$B$6^E327-'Prestige Patterns'!$B$6^(E327+G328))/(1-'Prestige Patterns'!$B$6)</f>
        <v>0</v>
      </c>
      <c r="G328" s="13">
        <f>floor(LOG('Prestige Patterns'!$B$6^(E327) - (D327*(1-'Prestige Patterns'!$B$6)/'Prestige Patterns'!$B$5),'Prestige Patterns'!$B$6)-E327,1)</f>
        <v>0</v>
      </c>
      <c r="H328" s="12">
        <f t="shared" si="3"/>
        <v>2238</v>
      </c>
      <c r="I328" s="11">
        <f>1+H328*'Prestige Patterns'!$B$25</f>
        <v>23.38</v>
      </c>
      <c r="J328" s="12">
        <f>floor((K328/'Prestige Patterns'!$B$22)^'Prestige Patterns'!$B$23,1)-H327</f>
        <v>2876</v>
      </c>
      <c r="K328" s="8">
        <f>K327+N327*'Prestige Patterns'!$B$20</f>
        <v>2615687449152</v>
      </c>
      <c r="L328" s="8">
        <f>if(J327&gt;='Prestige Patterns'!$B$28,if(J327/(H327+1)&gt;('Prestige Patterns'!$B$27+1),L327+1,L327),L327)</f>
        <v>5</v>
      </c>
      <c r="N328" s="12">
        <f t="shared" si="1"/>
        <v>940407193.6</v>
      </c>
      <c r="O328" s="9">
        <f>'Prestige Patterns'!$B$4*E328</f>
        <v>9820</v>
      </c>
      <c r="P328" s="12">
        <f t="shared" si="4"/>
        <v>4096</v>
      </c>
      <c r="Q328" s="11"/>
      <c r="R328" s="11"/>
      <c r="S328" s="9">
        <v>327.0</v>
      </c>
      <c r="T328" s="11"/>
    </row>
    <row r="329" ht="15.75" customHeight="1">
      <c r="A329" s="7"/>
      <c r="B329" s="7"/>
      <c r="C329" s="7">
        <f>(S329*'Prestige Patterns'!$B$20)/60</f>
        <v>164</v>
      </c>
      <c r="D329" s="8">
        <f>if(L328=L329,N328*'Prestige Patterns'!$B$20+D328-F329,0)</f>
        <v>103930155237</v>
      </c>
      <c r="E329" s="9">
        <f t="shared" si="2"/>
        <v>491</v>
      </c>
      <c r="F329" s="10">
        <f>'Prestige Patterns'!$B$5*('Prestige Patterns'!$B$6^E328-'Prestige Patterns'!$B$6^(E328+G329))/(1-'Prestige Patterns'!$B$6)</f>
        <v>0</v>
      </c>
      <c r="G329" s="13">
        <f>floor(LOG('Prestige Patterns'!$B$6^(E328) - (D328*(1-'Prestige Patterns'!$B$6)/'Prestige Patterns'!$B$5),'Prestige Patterns'!$B$6)-E328,1)</f>
        <v>0</v>
      </c>
      <c r="H329" s="12">
        <f t="shared" si="3"/>
        <v>2238</v>
      </c>
      <c r="I329" s="11">
        <f>1+H329*'Prestige Patterns'!$B$25</f>
        <v>23.38</v>
      </c>
      <c r="J329" s="12">
        <f>floor((K329/'Prestige Patterns'!$B$22)^'Prestige Patterns'!$B$23,1)-H328</f>
        <v>2903</v>
      </c>
      <c r="K329" s="8">
        <f>K328+N328*'Prestige Patterns'!$B$20</f>
        <v>2643899664960</v>
      </c>
      <c r="L329" s="8">
        <f>if(J328&gt;='Prestige Patterns'!$B$28,if(J328/(H328+1)&gt;('Prestige Patterns'!$B$27+1),L328+1,L328),L328)</f>
        <v>5</v>
      </c>
      <c r="N329" s="12">
        <f t="shared" si="1"/>
        <v>940407193.6</v>
      </c>
      <c r="O329" s="9">
        <f>'Prestige Patterns'!$B$4*E329</f>
        <v>9820</v>
      </c>
      <c r="P329" s="12">
        <f t="shared" si="4"/>
        <v>4096</v>
      </c>
      <c r="Q329" s="11"/>
      <c r="R329" s="11"/>
      <c r="S329" s="9">
        <v>328.0</v>
      </c>
      <c r="T329" s="11"/>
    </row>
    <row r="330" ht="15.75" customHeight="1">
      <c r="A330" s="7"/>
      <c r="B330" s="7"/>
      <c r="C330" s="7">
        <f>(S330*'Prestige Patterns'!$B$20)/60</f>
        <v>164.5</v>
      </c>
      <c r="D330" s="8">
        <f>if(L329=L330,N329*'Prestige Patterns'!$B$20+D329-F330,0)</f>
        <v>30749870290</v>
      </c>
      <c r="E330" s="9">
        <f t="shared" si="2"/>
        <v>492</v>
      </c>
      <c r="F330" s="10">
        <f>'Prestige Patterns'!$B$5*('Prestige Patterns'!$B$6^E329-'Prestige Patterns'!$B$6^(E329+G330))/(1-'Prestige Patterns'!$B$6)</f>
        <v>101392500754</v>
      </c>
      <c r="G330" s="13">
        <f>floor(LOG('Prestige Patterns'!$B$6^(E329) - (D329*(1-'Prestige Patterns'!$B$6)/'Prestige Patterns'!$B$5),'Prestige Patterns'!$B$6)-E329,1)</f>
        <v>1</v>
      </c>
      <c r="H330" s="12">
        <f t="shared" si="3"/>
        <v>2238</v>
      </c>
      <c r="I330" s="11">
        <f>1+H330*'Prestige Patterns'!$B$25</f>
        <v>23.38</v>
      </c>
      <c r="J330" s="12">
        <f>floor((K330/'Prestige Patterns'!$B$22)^'Prestige Patterns'!$B$23,1)-H329</f>
        <v>2931</v>
      </c>
      <c r="K330" s="8">
        <f>K329+N329*'Prestige Patterns'!$B$20</f>
        <v>2672111880768</v>
      </c>
      <c r="L330" s="8">
        <f>if(J329&gt;='Prestige Patterns'!$B$28,if(J329/(H329+1)&gt;('Prestige Patterns'!$B$27+1),L329+1,L329),L329)</f>
        <v>5</v>
      </c>
      <c r="N330" s="12">
        <f t="shared" si="1"/>
        <v>942322483.2</v>
      </c>
      <c r="O330" s="9">
        <f>'Prestige Patterns'!$B$4*E330</f>
        <v>9840</v>
      </c>
      <c r="P330" s="12">
        <f t="shared" si="4"/>
        <v>4096</v>
      </c>
      <c r="Q330" s="11"/>
      <c r="R330" s="11"/>
      <c r="S330" s="9">
        <v>329.0</v>
      </c>
      <c r="T330" s="11"/>
    </row>
    <row r="331" ht="15.75" customHeight="1">
      <c r="A331" s="7"/>
      <c r="B331" s="7"/>
      <c r="C331" s="7">
        <f>(S331*'Prestige Patterns'!$B$20)/60</f>
        <v>165</v>
      </c>
      <c r="D331" s="8">
        <f>if(L330=L331,N330*'Prestige Patterns'!$B$20+D330-F331,0)</f>
        <v>59019544786</v>
      </c>
      <c r="E331" s="9">
        <f t="shared" si="2"/>
        <v>492</v>
      </c>
      <c r="F331" s="10">
        <f>'Prestige Patterns'!$B$5*('Prestige Patterns'!$B$6^E330-'Prestige Patterns'!$B$6^(E330+G331))/(1-'Prestige Patterns'!$B$6)</f>
        <v>0</v>
      </c>
      <c r="G331" s="13">
        <f>floor(LOG('Prestige Patterns'!$B$6^(E330) - (D330*(1-'Prestige Patterns'!$B$6)/'Prestige Patterns'!$B$5),'Prestige Patterns'!$B$6)-E330,1)</f>
        <v>0</v>
      </c>
      <c r="H331" s="12">
        <f t="shared" si="3"/>
        <v>2238</v>
      </c>
      <c r="I331" s="11">
        <f>1+H331*'Prestige Patterns'!$B$25</f>
        <v>23.38</v>
      </c>
      <c r="J331" s="12">
        <f>floor((K331/'Prestige Patterns'!$B$22)^'Prestige Patterns'!$B$23,1)-H330</f>
        <v>2958</v>
      </c>
      <c r="K331" s="8">
        <f>K330+N330*'Prestige Patterns'!$B$20</f>
        <v>2700381555264</v>
      </c>
      <c r="L331" s="8">
        <f>if(J330&gt;='Prestige Patterns'!$B$28,if(J330/(H330+1)&gt;('Prestige Patterns'!$B$27+1),L330+1,L330),L330)</f>
        <v>5</v>
      </c>
      <c r="N331" s="12">
        <f t="shared" si="1"/>
        <v>942322483.2</v>
      </c>
      <c r="O331" s="9">
        <f>'Prestige Patterns'!$B$4*E331</f>
        <v>9840</v>
      </c>
      <c r="P331" s="12">
        <f t="shared" si="4"/>
        <v>4096</v>
      </c>
      <c r="Q331" s="11"/>
      <c r="R331" s="11"/>
      <c r="S331" s="9">
        <v>330.0</v>
      </c>
      <c r="T331" s="11"/>
    </row>
    <row r="332" ht="15.75" customHeight="1">
      <c r="A332" s="7"/>
      <c r="B332" s="7"/>
      <c r="C332" s="7">
        <f>(S332*'Prestige Patterns'!$B$20)/60</f>
        <v>165.5</v>
      </c>
      <c r="D332" s="8">
        <f>if(L331=L332,N331*'Prestige Patterns'!$B$20+D331-F332,0)</f>
        <v>87289219282</v>
      </c>
      <c r="E332" s="9">
        <f t="shared" si="2"/>
        <v>492</v>
      </c>
      <c r="F332" s="10">
        <f>'Prestige Patterns'!$B$5*('Prestige Patterns'!$B$6^E331-'Prestige Patterns'!$B$6^(E331+G332))/(1-'Prestige Patterns'!$B$6)</f>
        <v>0</v>
      </c>
      <c r="G332" s="13">
        <f>floor(LOG('Prestige Patterns'!$B$6^(E331) - (D331*(1-'Prestige Patterns'!$B$6)/'Prestige Patterns'!$B$5),'Prestige Patterns'!$B$6)-E331,1)</f>
        <v>0</v>
      </c>
      <c r="H332" s="12">
        <f t="shared" si="3"/>
        <v>2238</v>
      </c>
      <c r="I332" s="11">
        <f>1+H332*'Prestige Patterns'!$B$25</f>
        <v>23.38</v>
      </c>
      <c r="J332" s="12">
        <f>floor((K332/'Prestige Patterns'!$B$22)^'Prestige Patterns'!$B$23,1)-H331</f>
        <v>2985</v>
      </c>
      <c r="K332" s="8">
        <f>K331+N331*'Prestige Patterns'!$B$20</f>
        <v>2728651229760</v>
      </c>
      <c r="L332" s="8">
        <f>if(J331&gt;='Prestige Patterns'!$B$28,if(J331/(H331+1)&gt;('Prestige Patterns'!$B$27+1),L331+1,L331),L331)</f>
        <v>5</v>
      </c>
      <c r="N332" s="12">
        <f t="shared" si="1"/>
        <v>942322483.2</v>
      </c>
      <c r="O332" s="9">
        <f>'Prestige Patterns'!$B$4*E332</f>
        <v>9840</v>
      </c>
      <c r="P332" s="12">
        <f t="shared" si="4"/>
        <v>4096</v>
      </c>
      <c r="Q332" s="11"/>
      <c r="R332" s="11"/>
      <c r="S332" s="9">
        <v>331.0</v>
      </c>
      <c r="T332" s="11"/>
    </row>
    <row r="333" ht="15.75" customHeight="1">
      <c r="A333" s="7"/>
      <c r="B333" s="7"/>
      <c r="C333" s="7">
        <f>(S333*'Prestige Patterns'!$B$20)/60</f>
        <v>166</v>
      </c>
      <c r="D333" s="8">
        <f>if(L332=L333,N332*'Prestige Patterns'!$B$20+D332-F333,0)</f>
        <v>115558893778</v>
      </c>
      <c r="E333" s="9">
        <f t="shared" si="2"/>
        <v>492</v>
      </c>
      <c r="F333" s="10">
        <f>'Prestige Patterns'!$B$5*('Prestige Patterns'!$B$6^E332-'Prestige Patterns'!$B$6^(E332+G333))/(1-'Prestige Patterns'!$B$6)</f>
        <v>0</v>
      </c>
      <c r="G333" s="13">
        <f>floor(LOG('Prestige Patterns'!$B$6^(E332) - (D332*(1-'Prestige Patterns'!$B$6)/'Prestige Patterns'!$B$5),'Prestige Patterns'!$B$6)-E332,1)</f>
        <v>0</v>
      </c>
      <c r="H333" s="12">
        <f t="shared" si="3"/>
        <v>2238</v>
      </c>
      <c r="I333" s="11">
        <f>1+H333*'Prestige Patterns'!$B$25</f>
        <v>23.38</v>
      </c>
      <c r="J333" s="12">
        <f>floor((K333/'Prestige Patterns'!$B$22)^'Prestige Patterns'!$B$23,1)-H332</f>
        <v>3012</v>
      </c>
      <c r="K333" s="8">
        <f>K332+N332*'Prestige Patterns'!$B$20</f>
        <v>2756920904256</v>
      </c>
      <c r="L333" s="8">
        <f>if(J332&gt;='Prestige Patterns'!$B$28,if(J332/(H332+1)&gt;('Prestige Patterns'!$B$27+1),L332+1,L332),L332)</f>
        <v>5</v>
      </c>
      <c r="N333" s="12">
        <f t="shared" si="1"/>
        <v>942322483.2</v>
      </c>
      <c r="O333" s="9">
        <f>'Prestige Patterns'!$B$4*E333</f>
        <v>9840</v>
      </c>
      <c r="P333" s="12">
        <f t="shared" si="4"/>
        <v>4096</v>
      </c>
      <c r="Q333" s="11"/>
      <c r="R333" s="11"/>
      <c r="S333" s="9">
        <v>332.0</v>
      </c>
      <c r="T333" s="11"/>
    </row>
    <row r="334" ht="15.75" customHeight="1">
      <c r="A334" s="7"/>
      <c r="B334" s="7"/>
      <c r="C334" s="7">
        <f>(S334*'Prestige Patterns'!$B$20)/60</f>
        <v>166.5</v>
      </c>
      <c r="D334" s="8">
        <f>if(L333=L334,N333*'Prestige Patterns'!$B$20+D333-F334,0)</f>
        <v>37366442482</v>
      </c>
      <c r="E334" s="9">
        <f t="shared" si="2"/>
        <v>493</v>
      </c>
      <c r="F334" s="10">
        <f>'Prestige Patterns'!$B$5*('Prestige Patterns'!$B$6^E333-'Prestige Patterns'!$B$6^(E333+G334))/(1-'Prestige Patterns'!$B$6)</f>
        <v>106462125792</v>
      </c>
      <c r="G334" s="13">
        <f>floor(LOG('Prestige Patterns'!$B$6^(E333) - (D333*(1-'Prestige Patterns'!$B$6)/'Prestige Patterns'!$B$5),'Prestige Patterns'!$B$6)-E333,1)</f>
        <v>1</v>
      </c>
      <c r="H334" s="12">
        <f t="shared" si="3"/>
        <v>2238</v>
      </c>
      <c r="I334" s="11">
        <f>1+H334*'Prestige Patterns'!$B$25</f>
        <v>23.38</v>
      </c>
      <c r="J334" s="12">
        <f>floor((K334/'Prestige Patterns'!$B$22)^'Prestige Patterns'!$B$23,1)-H333</f>
        <v>3039</v>
      </c>
      <c r="K334" s="8">
        <f>K333+N333*'Prestige Patterns'!$B$20</f>
        <v>2785190578752</v>
      </c>
      <c r="L334" s="8">
        <f>if(J333&gt;='Prestige Patterns'!$B$28,if(J333/(H333+1)&gt;('Prestige Patterns'!$B$27+1),L333+1,L333),L333)</f>
        <v>5</v>
      </c>
      <c r="N334" s="12">
        <f t="shared" si="1"/>
        <v>944237772.8</v>
      </c>
      <c r="O334" s="9">
        <f>'Prestige Patterns'!$B$4*E334</f>
        <v>9860</v>
      </c>
      <c r="P334" s="12">
        <f t="shared" si="4"/>
        <v>4096</v>
      </c>
      <c r="Q334" s="11"/>
      <c r="R334" s="11"/>
      <c r="S334" s="9">
        <v>333.0</v>
      </c>
      <c r="T334" s="11"/>
    </row>
    <row r="335" ht="15.75" customHeight="1">
      <c r="A335" s="7"/>
      <c r="B335" s="7"/>
      <c r="C335" s="7">
        <f>(S335*'Prestige Patterns'!$B$20)/60</f>
        <v>167</v>
      </c>
      <c r="D335" s="8">
        <f>if(L334=L335,N334*'Prestige Patterns'!$B$20+D334-F335,0)</f>
        <v>65693575666</v>
      </c>
      <c r="E335" s="9">
        <f t="shared" si="2"/>
        <v>493</v>
      </c>
      <c r="F335" s="10">
        <f>'Prestige Patterns'!$B$5*('Prestige Patterns'!$B$6^E334-'Prestige Patterns'!$B$6^(E334+G335))/(1-'Prestige Patterns'!$B$6)</f>
        <v>0</v>
      </c>
      <c r="G335" s="13">
        <f>floor(LOG('Prestige Patterns'!$B$6^(E334) - (D334*(1-'Prestige Patterns'!$B$6)/'Prestige Patterns'!$B$5),'Prestige Patterns'!$B$6)-E334,1)</f>
        <v>0</v>
      </c>
      <c r="H335" s="12">
        <f t="shared" si="3"/>
        <v>2238</v>
      </c>
      <c r="I335" s="11">
        <f>1+H335*'Prestige Patterns'!$B$25</f>
        <v>23.38</v>
      </c>
      <c r="J335" s="12">
        <f>floor((K335/'Prestige Patterns'!$B$22)^'Prestige Patterns'!$B$23,1)-H334</f>
        <v>3066</v>
      </c>
      <c r="K335" s="8">
        <f>K334+N334*'Prestige Patterns'!$B$20</f>
        <v>2813517711936</v>
      </c>
      <c r="L335" s="8">
        <f>if(J334&gt;='Prestige Patterns'!$B$28,if(J334/(H334+1)&gt;('Prestige Patterns'!$B$27+1),L334+1,L334),L334)</f>
        <v>5</v>
      </c>
      <c r="N335" s="12">
        <f t="shared" si="1"/>
        <v>944237772.8</v>
      </c>
      <c r="O335" s="9">
        <f>'Prestige Patterns'!$B$4*E335</f>
        <v>9860</v>
      </c>
      <c r="P335" s="12">
        <f t="shared" si="4"/>
        <v>4096</v>
      </c>
      <c r="Q335" s="11"/>
      <c r="R335" s="11"/>
      <c r="S335" s="9">
        <v>334.0</v>
      </c>
      <c r="T335" s="11"/>
    </row>
    <row r="336" ht="15.75" customHeight="1">
      <c r="A336" s="7"/>
      <c r="B336" s="7"/>
      <c r="C336" s="7">
        <f>(S336*'Prestige Patterns'!$B$20)/60</f>
        <v>167.5</v>
      </c>
      <c r="D336" s="8">
        <f>if(L335=L336,N335*'Prestige Patterns'!$B$20+D335-F336,0)</f>
        <v>94020708850</v>
      </c>
      <c r="E336" s="9">
        <f t="shared" si="2"/>
        <v>493</v>
      </c>
      <c r="F336" s="10">
        <f>'Prestige Patterns'!$B$5*('Prestige Patterns'!$B$6^E335-'Prestige Patterns'!$B$6^(E335+G336))/(1-'Prestige Patterns'!$B$6)</f>
        <v>0</v>
      </c>
      <c r="G336" s="13">
        <f>floor(LOG('Prestige Patterns'!$B$6^(E335) - (D335*(1-'Prestige Patterns'!$B$6)/'Prestige Patterns'!$B$5),'Prestige Patterns'!$B$6)-E335,1)</f>
        <v>0</v>
      </c>
      <c r="H336" s="12">
        <f t="shared" si="3"/>
        <v>2238</v>
      </c>
      <c r="I336" s="11">
        <f>1+H336*'Prestige Patterns'!$B$25</f>
        <v>23.38</v>
      </c>
      <c r="J336" s="12">
        <f>floor((K336/'Prestige Patterns'!$B$22)^'Prestige Patterns'!$B$23,1)-H335</f>
        <v>3092</v>
      </c>
      <c r="K336" s="8">
        <f>K335+N335*'Prestige Patterns'!$B$20</f>
        <v>2841844845120</v>
      </c>
      <c r="L336" s="8">
        <f>if(J335&gt;='Prestige Patterns'!$B$28,if(J335/(H335+1)&gt;('Prestige Patterns'!$B$27+1),L335+1,L335),L335)</f>
        <v>5</v>
      </c>
      <c r="N336" s="12">
        <f t="shared" si="1"/>
        <v>944237772.8</v>
      </c>
      <c r="O336" s="9">
        <f>'Prestige Patterns'!$B$4*E336</f>
        <v>9860</v>
      </c>
      <c r="P336" s="12">
        <f t="shared" si="4"/>
        <v>4096</v>
      </c>
      <c r="Q336" s="11"/>
      <c r="R336" s="11"/>
      <c r="S336" s="9">
        <v>335.0</v>
      </c>
      <c r="T336" s="11"/>
    </row>
    <row r="337" ht="15.75" customHeight="1">
      <c r="A337" s="7"/>
      <c r="B337" s="7"/>
      <c r="C337" s="7">
        <f>(S337*'Prestige Patterns'!$B$20)/60</f>
        <v>168</v>
      </c>
      <c r="D337" s="8">
        <f>if(L336=L337,N336*'Prestige Patterns'!$B$20+D336-F337,0)</f>
        <v>122347842034</v>
      </c>
      <c r="E337" s="9">
        <f t="shared" si="2"/>
        <v>493</v>
      </c>
      <c r="F337" s="10">
        <f>'Prestige Patterns'!$B$5*('Prestige Patterns'!$B$6^E336-'Prestige Patterns'!$B$6^(E336+G337))/(1-'Prestige Patterns'!$B$6)</f>
        <v>0</v>
      </c>
      <c r="G337" s="13">
        <f>floor(LOG('Prestige Patterns'!$B$6^(E336) - (D336*(1-'Prestige Patterns'!$B$6)/'Prestige Patterns'!$B$5),'Prestige Patterns'!$B$6)-E336,1)</f>
        <v>0</v>
      </c>
      <c r="H337" s="12">
        <f t="shared" si="3"/>
        <v>2238</v>
      </c>
      <c r="I337" s="11">
        <f>1+H337*'Prestige Patterns'!$B$25</f>
        <v>23.38</v>
      </c>
      <c r="J337" s="12">
        <f>floor((K337/'Prestige Patterns'!$B$22)^'Prestige Patterns'!$B$23,1)-H336</f>
        <v>3119</v>
      </c>
      <c r="K337" s="8">
        <f>K336+N336*'Prestige Patterns'!$B$20</f>
        <v>2870171978304</v>
      </c>
      <c r="L337" s="8">
        <f>if(J336&gt;='Prestige Patterns'!$B$28,if(J336/(H336+1)&gt;('Prestige Patterns'!$B$27+1),L336+1,L336),L336)</f>
        <v>5</v>
      </c>
      <c r="N337" s="12">
        <f t="shared" si="1"/>
        <v>944237772.8</v>
      </c>
      <c r="O337" s="9">
        <f>'Prestige Patterns'!$B$4*E337</f>
        <v>9860</v>
      </c>
      <c r="P337" s="12">
        <f t="shared" si="4"/>
        <v>4096</v>
      </c>
      <c r="Q337" s="11"/>
      <c r="R337" s="11"/>
      <c r="S337" s="9">
        <v>336.0</v>
      </c>
      <c r="T337" s="11"/>
    </row>
    <row r="338" ht="15.75" customHeight="1">
      <c r="A338" s="7"/>
      <c r="B338" s="7"/>
      <c r="C338" s="7">
        <f>(S338*'Prestige Patterns'!$B$20)/60</f>
        <v>168.5</v>
      </c>
      <c r="D338" s="8">
        <f>if(L337=L338,N337*'Prestige Patterns'!$B$20+D337-F338,0)</f>
        <v>38889743136</v>
      </c>
      <c r="E338" s="9">
        <f t="shared" si="2"/>
        <v>494</v>
      </c>
      <c r="F338" s="10">
        <f>'Prestige Patterns'!$B$5*('Prestige Patterns'!$B$6^E337-'Prestige Patterns'!$B$6^(E337+G338))/(1-'Prestige Patterns'!$B$6)</f>
        <v>111785232082</v>
      </c>
      <c r="G338" s="13">
        <f>floor(LOG('Prestige Patterns'!$B$6^(E337) - (D337*(1-'Prestige Patterns'!$B$6)/'Prestige Patterns'!$B$5),'Prestige Patterns'!$B$6)-E337,1)</f>
        <v>1</v>
      </c>
      <c r="H338" s="12">
        <f t="shared" si="3"/>
        <v>2238</v>
      </c>
      <c r="I338" s="11">
        <f>1+H338*'Prestige Patterns'!$B$25</f>
        <v>23.38</v>
      </c>
      <c r="J338" s="12">
        <f>floor((K338/'Prestige Patterns'!$B$22)^'Prestige Patterns'!$B$23,1)-H337</f>
        <v>3145</v>
      </c>
      <c r="K338" s="8">
        <f>K337+N337*'Prestige Patterns'!$B$20</f>
        <v>2898499111488</v>
      </c>
      <c r="L338" s="8">
        <f>if(J337&gt;='Prestige Patterns'!$B$28,if(J337/(H337+1)&gt;('Prestige Patterns'!$B$27+1),L337+1,L337),L337)</f>
        <v>5</v>
      </c>
      <c r="N338" s="12">
        <f t="shared" si="1"/>
        <v>946153062.4</v>
      </c>
      <c r="O338" s="9">
        <f>'Prestige Patterns'!$B$4*E338</f>
        <v>9880</v>
      </c>
      <c r="P338" s="12">
        <f t="shared" si="4"/>
        <v>4096</v>
      </c>
      <c r="Q338" s="11"/>
      <c r="R338" s="11"/>
      <c r="S338" s="9">
        <v>337.0</v>
      </c>
      <c r="T338" s="11"/>
    </row>
    <row r="339" ht="15.75" customHeight="1">
      <c r="A339" s="7"/>
      <c r="B339" s="7"/>
      <c r="C339" s="7">
        <f>(S339*'Prestige Patterns'!$B$20)/60</f>
        <v>169</v>
      </c>
      <c r="D339" s="8">
        <f>if(L338=L339,N338*'Prestige Patterns'!$B$20+D338-F339,0)</f>
        <v>67274335008</v>
      </c>
      <c r="E339" s="9">
        <f t="shared" si="2"/>
        <v>494</v>
      </c>
      <c r="F339" s="10">
        <f>'Prestige Patterns'!$B$5*('Prestige Patterns'!$B$6^E338-'Prestige Patterns'!$B$6^(E338+G339))/(1-'Prestige Patterns'!$B$6)</f>
        <v>0</v>
      </c>
      <c r="G339" s="13">
        <f>floor(LOG('Prestige Patterns'!$B$6^(E338) - (D338*(1-'Prestige Patterns'!$B$6)/'Prestige Patterns'!$B$5),'Prestige Patterns'!$B$6)-E338,1)</f>
        <v>0</v>
      </c>
      <c r="H339" s="12">
        <f t="shared" si="3"/>
        <v>2238</v>
      </c>
      <c r="I339" s="11">
        <f>1+H339*'Prestige Patterns'!$B$25</f>
        <v>23.38</v>
      </c>
      <c r="J339" s="12">
        <f>floor((K339/'Prestige Patterns'!$B$22)^'Prestige Patterns'!$B$23,1)-H338</f>
        <v>3172</v>
      </c>
      <c r="K339" s="8">
        <f>K338+N338*'Prestige Patterns'!$B$20</f>
        <v>2926883703360</v>
      </c>
      <c r="L339" s="8">
        <f>if(J338&gt;='Prestige Patterns'!$B$28,if(J338/(H338+1)&gt;('Prestige Patterns'!$B$27+1),L338+1,L338),L338)</f>
        <v>5</v>
      </c>
      <c r="N339" s="12">
        <f t="shared" si="1"/>
        <v>946153062.4</v>
      </c>
      <c r="O339" s="9">
        <f>'Prestige Patterns'!$B$4*E339</f>
        <v>9880</v>
      </c>
      <c r="P339" s="12">
        <f t="shared" si="4"/>
        <v>4096</v>
      </c>
      <c r="Q339" s="11"/>
      <c r="R339" s="11"/>
      <c r="S339" s="9">
        <v>338.0</v>
      </c>
      <c r="T339" s="11"/>
    </row>
    <row r="340" ht="15.75" customHeight="1">
      <c r="A340" s="7"/>
      <c r="B340" s="7"/>
      <c r="C340" s="7">
        <f>(S340*'Prestige Patterns'!$B$20)/60</f>
        <v>169.5</v>
      </c>
      <c r="D340" s="8">
        <f>if(L339=L340,N339*'Prestige Patterns'!$B$20+D339-F340,0)</f>
        <v>95658926880</v>
      </c>
      <c r="E340" s="9">
        <f t="shared" si="2"/>
        <v>494</v>
      </c>
      <c r="F340" s="10">
        <f>'Prestige Patterns'!$B$5*('Prestige Patterns'!$B$6^E339-'Prestige Patterns'!$B$6^(E339+G340))/(1-'Prestige Patterns'!$B$6)</f>
        <v>0</v>
      </c>
      <c r="G340" s="13">
        <f>floor(LOG('Prestige Patterns'!$B$6^(E339) - (D339*(1-'Prestige Patterns'!$B$6)/'Prestige Patterns'!$B$5),'Prestige Patterns'!$B$6)-E339,1)</f>
        <v>0</v>
      </c>
      <c r="H340" s="12">
        <f t="shared" si="3"/>
        <v>2238</v>
      </c>
      <c r="I340" s="11">
        <f>1+H340*'Prestige Patterns'!$B$25</f>
        <v>23.38</v>
      </c>
      <c r="J340" s="12">
        <f>floor((K340/'Prestige Patterns'!$B$22)^'Prestige Patterns'!$B$23,1)-H339</f>
        <v>3198</v>
      </c>
      <c r="K340" s="8">
        <f>K339+N339*'Prestige Patterns'!$B$20</f>
        <v>2955268295232</v>
      </c>
      <c r="L340" s="8">
        <f>if(J339&gt;='Prestige Patterns'!$B$28,if(J339/(H339+1)&gt;('Prestige Patterns'!$B$27+1),L339+1,L339),L339)</f>
        <v>5</v>
      </c>
      <c r="N340" s="12">
        <f t="shared" si="1"/>
        <v>946153062.4</v>
      </c>
      <c r="O340" s="9">
        <f>'Prestige Patterns'!$B$4*E340</f>
        <v>9880</v>
      </c>
      <c r="P340" s="12">
        <f t="shared" si="4"/>
        <v>4096</v>
      </c>
      <c r="Q340" s="11"/>
      <c r="R340" s="11"/>
      <c r="S340" s="9">
        <v>339.0</v>
      </c>
      <c r="T340" s="11"/>
    </row>
    <row r="341" ht="15.75" customHeight="1">
      <c r="A341" s="7"/>
      <c r="B341" s="7"/>
      <c r="C341" s="7">
        <f>(S341*'Prestige Patterns'!$B$20)/60</f>
        <v>170</v>
      </c>
      <c r="D341" s="8">
        <f>if(L340=L341,N340*'Prestige Patterns'!$B$20+D340-F341,0)</f>
        <v>124043518752</v>
      </c>
      <c r="E341" s="9">
        <f t="shared" si="2"/>
        <v>494</v>
      </c>
      <c r="F341" s="10">
        <f>'Prestige Patterns'!$B$5*('Prestige Patterns'!$B$6^E340-'Prestige Patterns'!$B$6^(E340+G341))/(1-'Prestige Patterns'!$B$6)</f>
        <v>0</v>
      </c>
      <c r="G341" s="13">
        <f>floor(LOG('Prestige Patterns'!$B$6^(E340) - (D340*(1-'Prestige Patterns'!$B$6)/'Prestige Patterns'!$B$5),'Prestige Patterns'!$B$6)-E340,1)</f>
        <v>0</v>
      </c>
      <c r="H341" s="12">
        <f t="shared" si="3"/>
        <v>2238</v>
      </c>
      <c r="I341" s="11">
        <f>1+H341*'Prestige Patterns'!$B$25</f>
        <v>23.38</v>
      </c>
      <c r="J341" s="12">
        <f>floor((K341/'Prestige Patterns'!$B$22)^'Prestige Patterns'!$B$23,1)-H340</f>
        <v>3224</v>
      </c>
      <c r="K341" s="8">
        <f>K340+N340*'Prestige Patterns'!$B$20</f>
        <v>2983652887104</v>
      </c>
      <c r="L341" s="8">
        <f>if(J340&gt;='Prestige Patterns'!$B$28,if(J340/(H340+1)&gt;('Prestige Patterns'!$B$27+1),L340+1,L340),L340)</f>
        <v>5</v>
      </c>
      <c r="N341" s="12">
        <f t="shared" si="1"/>
        <v>946153062.4</v>
      </c>
      <c r="O341" s="9">
        <f>'Prestige Patterns'!$B$4*E341</f>
        <v>9880</v>
      </c>
      <c r="P341" s="12">
        <f t="shared" si="4"/>
        <v>4096</v>
      </c>
      <c r="Q341" s="11"/>
      <c r="R341" s="11"/>
      <c r="S341" s="9">
        <v>340.0</v>
      </c>
      <c r="T341" s="11"/>
    </row>
    <row r="342" ht="15.75" customHeight="1">
      <c r="A342" s="7"/>
      <c r="B342" s="7"/>
      <c r="C342" s="7">
        <f>(S342*'Prestige Patterns'!$B$20)/60</f>
        <v>170.5</v>
      </c>
      <c r="D342" s="8">
        <f>if(L341=L342,N341*'Prestige Patterns'!$B$20+D341-F342,0)</f>
        <v>35053616939</v>
      </c>
      <c r="E342" s="9">
        <f t="shared" si="2"/>
        <v>495</v>
      </c>
      <c r="F342" s="10">
        <f>'Prestige Patterns'!$B$5*('Prestige Patterns'!$B$6^E341-'Prestige Patterns'!$B$6^(E341+G342))/(1-'Prestige Patterns'!$B$6)</f>
        <v>117374493686</v>
      </c>
      <c r="G342" s="13">
        <f>floor(LOG('Prestige Patterns'!$B$6^(E341) - (D341*(1-'Prestige Patterns'!$B$6)/'Prestige Patterns'!$B$5),'Prestige Patterns'!$B$6)-E341,1)</f>
        <v>1</v>
      </c>
      <c r="H342" s="12">
        <f t="shared" si="3"/>
        <v>2238</v>
      </c>
      <c r="I342" s="11">
        <f>1+H342*'Prestige Patterns'!$B$25</f>
        <v>23.38</v>
      </c>
      <c r="J342" s="12">
        <f>floor((K342/'Prestige Patterns'!$B$22)^'Prestige Patterns'!$B$23,1)-H341</f>
        <v>3250</v>
      </c>
      <c r="K342" s="8">
        <f>K341+N341*'Prestige Patterns'!$B$20</f>
        <v>3012037478976</v>
      </c>
      <c r="L342" s="8">
        <f>if(J341&gt;='Prestige Patterns'!$B$28,if(J341/(H341+1)&gt;('Prestige Patterns'!$B$27+1),L341+1,L341),L341)</f>
        <v>5</v>
      </c>
      <c r="N342" s="12">
        <f t="shared" si="1"/>
        <v>948068352</v>
      </c>
      <c r="O342" s="9">
        <f>'Prestige Patterns'!$B$4*E342</f>
        <v>9900</v>
      </c>
      <c r="P342" s="12">
        <f t="shared" si="4"/>
        <v>4096</v>
      </c>
      <c r="Q342" s="11"/>
      <c r="R342" s="11"/>
      <c r="S342" s="9">
        <v>341.0</v>
      </c>
      <c r="T342" s="11"/>
    </row>
    <row r="343" ht="15.75" customHeight="1">
      <c r="A343" s="7"/>
      <c r="B343" s="7"/>
      <c r="C343" s="7">
        <f>(S343*'Prestige Patterns'!$B$20)/60</f>
        <v>171</v>
      </c>
      <c r="D343" s="8">
        <f>if(L342=L343,N342*'Prestige Patterns'!$B$20+D342-F343,0)</f>
        <v>63495667499</v>
      </c>
      <c r="E343" s="9">
        <f t="shared" si="2"/>
        <v>495</v>
      </c>
      <c r="F343" s="10">
        <f>'Prestige Patterns'!$B$5*('Prestige Patterns'!$B$6^E342-'Prestige Patterns'!$B$6^(E342+G343))/(1-'Prestige Patterns'!$B$6)</f>
        <v>0</v>
      </c>
      <c r="G343" s="13">
        <f>floor(LOG('Prestige Patterns'!$B$6^(E342) - (D342*(1-'Prestige Patterns'!$B$6)/'Prestige Patterns'!$B$5),'Prestige Patterns'!$B$6)-E342,1)</f>
        <v>0</v>
      </c>
      <c r="H343" s="12">
        <f t="shared" si="3"/>
        <v>2238</v>
      </c>
      <c r="I343" s="11">
        <f>1+H343*'Prestige Patterns'!$B$25</f>
        <v>23.38</v>
      </c>
      <c r="J343" s="12">
        <f>floor((K343/'Prestige Patterns'!$B$22)^'Prestige Patterns'!$B$23,1)-H342</f>
        <v>3276</v>
      </c>
      <c r="K343" s="8">
        <f>K342+N342*'Prestige Patterns'!$B$20</f>
        <v>3040479529536</v>
      </c>
      <c r="L343" s="8">
        <f>if(J342&gt;='Prestige Patterns'!$B$28,if(J342/(H342+1)&gt;('Prestige Patterns'!$B$27+1),L342+1,L342),L342)</f>
        <v>5</v>
      </c>
      <c r="N343" s="12">
        <f t="shared" si="1"/>
        <v>948068352</v>
      </c>
      <c r="O343" s="9">
        <f>'Prestige Patterns'!$B$4*E343</f>
        <v>9900</v>
      </c>
      <c r="P343" s="12">
        <f t="shared" si="4"/>
        <v>4096</v>
      </c>
      <c r="Q343" s="11"/>
      <c r="R343" s="11"/>
      <c r="S343" s="9">
        <v>342.0</v>
      </c>
      <c r="T343" s="11"/>
    </row>
    <row r="344" ht="15.75" customHeight="1">
      <c r="A344" s="7"/>
      <c r="B344" s="7"/>
      <c r="C344" s="7">
        <f>(S344*'Prestige Patterns'!$B$20)/60</f>
        <v>171.5</v>
      </c>
      <c r="D344" s="8">
        <f>if(L343=L344,N343*'Prestige Patterns'!$B$20+D343-F344,0)</f>
        <v>91937718059</v>
      </c>
      <c r="E344" s="9">
        <f t="shared" si="2"/>
        <v>495</v>
      </c>
      <c r="F344" s="10">
        <f>'Prestige Patterns'!$B$5*('Prestige Patterns'!$B$6^E343-'Prestige Patterns'!$B$6^(E343+G344))/(1-'Prestige Patterns'!$B$6)</f>
        <v>0</v>
      </c>
      <c r="G344" s="13">
        <f>floor(LOG('Prestige Patterns'!$B$6^(E343) - (D343*(1-'Prestige Patterns'!$B$6)/'Prestige Patterns'!$B$5),'Prestige Patterns'!$B$6)-E343,1)</f>
        <v>0</v>
      </c>
      <c r="H344" s="12">
        <f t="shared" si="3"/>
        <v>2238</v>
      </c>
      <c r="I344" s="11">
        <f>1+H344*'Prestige Patterns'!$B$25</f>
        <v>23.38</v>
      </c>
      <c r="J344" s="12">
        <f>floor((K344/'Prestige Patterns'!$B$22)^'Prestige Patterns'!$B$23,1)-H343</f>
        <v>3301</v>
      </c>
      <c r="K344" s="8">
        <f>K343+N343*'Prestige Patterns'!$B$20</f>
        <v>3068921580096</v>
      </c>
      <c r="L344" s="8">
        <f>if(J343&gt;='Prestige Patterns'!$B$28,if(J343/(H343+1)&gt;('Prestige Patterns'!$B$27+1),L343+1,L343),L343)</f>
        <v>5</v>
      </c>
      <c r="N344" s="12">
        <f t="shared" si="1"/>
        <v>948068352</v>
      </c>
      <c r="O344" s="9">
        <f>'Prestige Patterns'!$B$4*E344</f>
        <v>9900</v>
      </c>
      <c r="P344" s="12">
        <f t="shared" si="4"/>
        <v>4096</v>
      </c>
      <c r="Q344" s="11"/>
      <c r="R344" s="11"/>
      <c r="S344" s="9">
        <v>343.0</v>
      </c>
      <c r="T344" s="11"/>
    </row>
    <row r="345" ht="15.75" customHeight="1">
      <c r="A345" s="7"/>
      <c r="B345" s="7"/>
      <c r="C345" s="7">
        <f>(S345*'Prestige Patterns'!$B$20)/60</f>
        <v>172</v>
      </c>
      <c r="D345" s="8">
        <f>if(L344=L345,N344*'Prestige Patterns'!$B$20+D344-F345,0)</f>
        <v>120379768619</v>
      </c>
      <c r="E345" s="9">
        <f t="shared" si="2"/>
        <v>495</v>
      </c>
      <c r="F345" s="10">
        <f>'Prestige Patterns'!$B$5*('Prestige Patterns'!$B$6^E344-'Prestige Patterns'!$B$6^(E344+G345))/(1-'Prestige Patterns'!$B$6)</f>
        <v>0</v>
      </c>
      <c r="G345" s="13">
        <f>floor(LOG('Prestige Patterns'!$B$6^(E344) - (D344*(1-'Prestige Patterns'!$B$6)/'Prestige Patterns'!$B$5),'Prestige Patterns'!$B$6)-E344,1)</f>
        <v>0</v>
      </c>
      <c r="H345" s="12">
        <f t="shared" si="3"/>
        <v>2238</v>
      </c>
      <c r="I345" s="11">
        <f>1+H345*'Prestige Patterns'!$B$25</f>
        <v>23.38</v>
      </c>
      <c r="J345" s="12">
        <f>floor((K345/'Prestige Patterns'!$B$22)^'Prestige Patterns'!$B$23,1)-H344</f>
        <v>3327</v>
      </c>
      <c r="K345" s="8">
        <f>K344+N344*'Prestige Patterns'!$B$20</f>
        <v>3097363630656</v>
      </c>
      <c r="L345" s="8">
        <f>if(J344&gt;='Prestige Patterns'!$B$28,if(J344/(H344+1)&gt;('Prestige Patterns'!$B$27+1),L344+1,L344),L344)</f>
        <v>5</v>
      </c>
      <c r="N345" s="12">
        <f t="shared" si="1"/>
        <v>948068352</v>
      </c>
      <c r="O345" s="9">
        <f>'Prestige Patterns'!$B$4*E345</f>
        <v>9900</v>
      </c>
      <c r="P345" s="12">
        <f t="shared" si="4"/>
        <v>4096</v>
      </c>
      <c r="Q345" s="11"/>
      <c r="R345" s="11"/>
      <c r="S345" s="9">
        <v>344.0</v>
      </c>
      <c r="T345" s="11"/>
    </row>
    <row r="346" ht="15.75" customHeight="1">
      <c r="A346" s="7"/>
      <c r="B346" s="7"/>
      <c r="C346" s="7">
        <f>(S346*'Prestige Patterns'!$B$20)/60</f>
        <v>172.5</v>
      </c>
      <c r="D346" s="8">
        <f>if(L345=L346,N345*'Prestige Patterns'!$B$20+D345-F346,0)</f>
        <v>148821819179</v>
      </c>
      <c r="E346" s="9">
        <f t="shared" si="2"/>
        <v>495</v>
      </c>
      <c r="F346" s="10">
        <f>'Prestige Patterns'!$B$5*('Prestige Patterns'!$B$6^E345-'Prestige Patterns'!$B$6^(E345+G346))/(1-'Prestige Patterns'!$B$6)</f>
        <v>0</v>
      </c>
      <c r="G346" s="13">
        <f>floor(LOG('Prestige Patterns'!$B$6^(E345) - (D345*(1-'Prestige Patterns'!$B$6)/'Prestige Patterns'!$B$5),'Prestige Patterns'!$B$6)-E345,1)</f>
        <v>0</v>
      </c>
      <c r="H346" s="12">
        <f t="shared" si="3"/>
        <v>2238</v>
      </c>
      <c r="I346" s="11">
        <f>1+H346*'Prestige Patterns'!$B$25</f>
        <v>23.38</v>
      </c>
      <c r="J346" s="12">
        <f>floor((K346/'Prestige Patterns'!$B$22)^'Prestige Patterns'!$B$23,1)-H345</f>
        <v>3352</v>
      </c>
      <c r="K346" s="8">
        <f>K345+N345*'Prestige Patterns'!$B$20</f>
        <v>3125805681216</v>
      </c>
      <c r="L346" s="8">
        <f>if(J345&gt;='Prestige Patterns'!$B$28,if(J345/(H345+1)&gt;('Prestige Patterns'!$B$27+1),L345+1,L345),L345)</f>
        <v>5</v>
      </c>
      <c r="N346" s="12">
        <f t="shared" si="1"/>
        <v>948068352</v>
      </c>
      <c r="O346" s="9">
        <f>'Prestige Patterns'!$B$4*E346</f>
        <v>9900</v>
      </c>
      <c r="P346" s="12">
        <f t="shared" si="4"/>
        <v>4096</v>
      </c>
      <c r="Q346" s="11"/>
      <c r="R346" s="11"/>
      <c r="S346" s="9">
        <v>345.0</v>
      </c>
      <c r="T346" s="11"/>
    </row>
    <row r="347" ht="15.75" customHeight="1">
      <c r="A347" s="7"/>
      <c r="B347" s="7"/>
      <c r="C347" s="7">
        <f>(S347*'Prestige Patterns'!$B$20)/60</f>
        <v>173</v>
      </c>
      <c r="D347" s="8">
        <f>if(L346=L347,N346*'Prestige Patterns'!$B$20+D346-F347,0)</f>
        <v>54020651369</v>
      </c>
      <c r="E347" s="9">
        <f t="shared" si="2"/>
        <v>496</v>
      </c>
      <c r="F347" s="10">
        <f>'Prestige Patterns'!$B$5*('Prestige Patterns'!$B$6^E346-'Prestige Patterns'!$B$6^(E346+G347))/(1-'Prestige Patterns'!$B$6)</f>
        <v>123243218370</v>
      </c>
      <c r="G347" s="13">
        <f>floor(LOG('Prestige Patterns'!$B$6^(E346) - (D346*(1-'Prestige Patterns'!$B$6)/'Prestige Patterns'!$B$5),'Prestige Patterns'!$B$6)-E346,1)</f>
        <v>1</v>
      </c>
      <c r="H347" s="12">
        <f t="shared" si="3"/>
        <v>2238</v>
      </c>
      <c r="I347" s="11">
        <f>1+H347*'Prestige Patterns'!$B$25</f>
        <v>23.38</v>
      </c>
      <c r="J347" s="12">
        <f>floor((K347/'Prestige Patterns'!$B$22)^'Prestige Patterns'!$B$23,1)-H346</f>
        <v>3378</v>
      </c>
      <c r="K347" s="8">
        <f>K346+N346*'Prestige Patterns'!$B$20</f>
        <v>3154247731776</v>
      </c>
      <c r="L347" s="8">
        <f>if(J346&gt;='Prestige Patterns'!$B$28,if(J346/(H346+1)&gt;('Prestige Patterns'!$B$27+1),L346+1,L346),L346)</f>
        <v>5</v>
      </c>
      <c r="N347" s="12">
        <f t="shared" si="1"/>
        <v>949983641.6</v>
      </c>
      <c r="O347" s="9">
        <f>'Prestige Patterns'!$B$4*E347</f>
        <v>9920</v>
      </c>
      <c r="P347" s="12">
        <f t="shared" si="4"/>
        <v>4096</v>
      </c>
      <c r="Q347" s="11"/>
      <c r="R347" s="11"/>
      <c r="S347" s="9">
        <v>346.0</v>
      </c>
      <c r="T347" s="11"/>
    </row>
    <row r="348" ht="15.75" customHeight="1">
      <c r="A348" s="7"/>
      <c r="B348" s="7"/>
      <c r="C348" s="7">
        <f>(S348*'Prestige Patterns'!$B$20)/60</f>
        <v>173.5</v>
      </c>
      <c r="D348" s="8">
        <f>if(L347=L348,N347*'Prestige Patterns'!$B$20+D347-F348,0)</f>
        <v>0</v>
      </c>
      <c r="E348" s="9">
        <f t="shared" si="2"/>
        <v>1</v>
      </c>
      <c r="F348" s="10">
        <f>'Prestige Patterns'!$B$5*('Prestige Patterns'!$B$6^E347-'Prestige Patterns'!$B$6^(E347+G348))/(1-'Prestige Patterns'!$B$6)</f>
        <v>0</v>
      </c>
      <c r="G348" s="13">
        <f>floor(LOG('Prestige Patterns'!$B$6^(E347) - (D347*(1-'Prestige Patterns'!$B$6)/'Prestige Patterns'!$B$5),'Prestige Patterns'!$B$6)-E347,1)</f>
        <v>0</v>
      </c>
      <c r="H348" s="12">
        <f t="shared" si="3"/>
        <v>5616</v>
      </c>
      <c r="I348" s="11">
        <f>1+H348*'Prestige Patterns'!$B$25</f>
        <v>57.16</v>
      </c>
      <c r="J348" s="12">
        <f>floor((K348/'Prestige Patterns'!$B$22)^'Prestige Patterns'!$B$23,1)-H347</f>
        <v>3403</v>
      </c>
      <c r="K348" s="8">
        <f>K347+N347*'Prestige Patterns'!$B$20</f>
        <v>3182747241024</v>
      </c>
      <c r="L348" s="8">
        <f>if(J347&gt;='Prestige Patterns'!$B$28,if(J347/(H347+1)&gt;('Prestige Patterns'!$B$27+1),L347+1,L347),L347)</f>
        <v>6</v>
      </c>
      <c r="N348" s="12">
        <f t="shared" si="1"/>
        <v>4682547.2</v>
      </c>
      <c r="O348" s="9">
        <f>'Prestige Patterns'!$B$4*E348</f>
        <v>20</v>
      </c>
      <c r="P348" s="12">
        <f t="shared" si="4"/>
        <v>4096</v>
      </c>
      <c r="Q348" s="11"/>
      <c r="R348" s="11"/>
      <c r="S348" s="9">
        <v>347.0</v>
      </c>
      <c r="T348" s="11"/>
    </row>
    <row r="349" ht="15.75" customHeight="1">
      <c r="A349" s="7"/>
      <c r="B349" s="7"/>
      <c r="C349" s="7">
        <f>(S349*'Prestige Patterns'!$B$20)/60</f>
        <v>174</v>
      </c>
      <c r="D349" s="8">
        <f>if(L348=L349,N348*'Prestige Patterns'!$B$20+D348-F349,0)</f>
        <v>140476416</v>
      </c>
      <c r="E349" s="9">
        <f t="shared" si="2"/>
        <v>1</v>
      </c>
      <c r="F349" s="10">
        <f>'Prestige Patterns'!$B$5*('Prestige Patterns'!$B$6^E348-'Prestige Patterns'!$B$6^(E348+G349))/(1-'Prestige Patterns'!$B$6)</f>
        <v>0</v>
      </c>
      <c r="G349" s="13">
        <f>floor(LOG('Prestige Patterns'!$B$6^(E348) - (D348*(1-'Prestige Patterns'!$B$6)/'Prestige Patterns'!$B$5),'Prestige Patterns'!$B$6)-E348,1)</f>
        <v>0</v>
      </c>
      <c r="H349" s="12">
        <f t="shared" si="3"/>
        <v>5616</v>
      </c>
      <c r="I349" s="11">
        <f>1+H349*'Prestige Patterns'!$B$25</f>
        <v>57.16</v>
      </c>
      <c r="J349" s="12">
        <f>floor((K349/'Prestige Patterns'!$B$22)^'Prestige Patterns'!$B$23,1)-H348</f>
        <v>25</v>
      </c>
      <c r="K349" s="8">
        <f>K348+N348*'Prestige Patterns'!$B$20</f>
        <v>3182887717440</v>
      </c>
      <c r="L349" s="8">
        <f>if(J348&gt;='Prestige Patterns'!$B$28,if(J348/(H348+1)&gt;('Prestige Patterns'!$B$27+1),L348+1,L348),L348)</f>
        <v>6</v>
      </c>
      <c r="N349" s="12">
        <f t="shared" si="1"/>
        <v>4682547.2</v>
      </c>
      <c r="O349" s="9">
        <f>'Prestige Patterns'!$B$4*E349</f>
        <v>20</v>
      </c>
      <c r="P349" s="12">
        <f t="shared" si="4"/>
        <v>4096</v>
      </c>
      <c r="Q349" s="11"/>
      <c r="R349" s="11"/>
      <c r="S349" s="9">
        <v>348.0</v>
      </c>
      <c r="T349" s="11"/>
    </row>
    <row r="350" ht="15.75" customHeight="1">
      <c r="A350" s="7"/>
      <c r="B350" s="7"/>
      <c r="C350" s="7">
        <f>(S350*'Prestige Patterns'!$B$20)/60</f>
        <v>174.5</v>
      </c>
      <c r="D350" s="8">
        <f>if(L349=L350,N349*'Prestige Patterns'!$B$20+D349-F350,0)</f>
        <v>145201642.2</v>
      </c>
      <c r="E350" s="9">
        <f t="shared" si="2"/>
        <v>294</v>
      </c>
      <c r="F350" s="10">
        <f>'Prestige Patterns'!$B$5*('Prestige Patterns'!$B$6^E349-'Prestige Patterns'!$B$6^(E349+G350))/(1-'Prestige Patterns'!$B$6)</f>
        <v>135751189.8</v>
      </c>
      <c r="G350" s="13">
        <f>floor(LOG('Prestige Patterns'!$B$6^(E349) - (D349*(1-'Prestige Patterns'!$B$6)/'Prestige Patterns'!$B$5),'Prestige Patterns'!$B$6)-E349,1)</f>
        <v>293</v>
      </c>
      <c r="H350" s="12">
        <f t="shared" si="3"/>
        <v>5616</v>
      </c>
      <c r="I350" s="11">
        <f>1+H350*'Prestige Patterns'!$B$25</f>
        <v>57.16</v>
      </c>
      <c r="J350" s="12">
        <f>floor((K350/'Prestige Patterns'!$B$22)^'Prestige Patterns'!$B$23,1)-H349</f>
        <v>25</v>
      </c>
      <c r="K350" s="8">
        <f>K349+N349*'Prestige Patterns'!$B$20</f>
        <v>3183028193856</v>
      </c>
      <c r="L350" s="8">
        <f>if(J349&gt;='Prestige Patterns'!$B$28,if(J349/(H349+1)&gt;('Prestige Patterns'!$B$27+1),L349+1,L349),L349)</f>
        <v>6</v>
      </c>
      <c r="N350" s="12">
        <f t="shared" si="1"/>
        <v>21510451.2</v>
      </c>
      <c r="O350" s="9">
        <f>'Prestige Patterns'!$B$4*E350</f>
        <v>5880</v>
      </c>
      <c r="P350" s="12">
        <f t="shared" si="4"/>
        <v>64</v>
      </c>
      <c r="Q350" s="11"/>
      <c r="R350" s="11"/>
      <c r="S350" s="9">
        <v>349.0</v>
      </c>
      <c r="T350" s="11"/>
    </row>
    <row r="351" ht="15.75" customHeight="1">
      <c r="A351" s="7"/>
      <c r="B351" s="7"/>
      <c r="C351" s="7">
        <f>(S351*'Prestige Patterns'!$B$20)/60</f>
        <v>175</v>
      </c>
      <c r="D351" s="8">
        <f>if(L350=L351,N350*'Prestige Patterns'!$B$20+D350-F351,0)</f>
        <v>657488215.3</v>
      </c>
      <c r="E351" s="9">
        <f t="shared" si="2"/>
        <v>308</v>
      </c>
      <c r="F351" s="10">
        <f>'Prestige Patterns'!$B$5*('Prestige Patterns'!$B$6^E350-'Prestige Patterns'!$B$6^(E350+G351))/(1-'Prestige Patterns'!$B$6)</f>
        <v>133026962.9</v>
      </c>
      <c r="G351" s="13">
        <f>floor(LOG('Prestige Patterns'!$B$6^(E350) - (D350*(1-'Prestige Patterns'!$B$6)/'Prestige Patterns'!$B$5),'Prestige Patterns'!$B$6)-E350,1)</f>
        <v>14</v>
      </c>
      <c r="H351" s="12">
        <f t="shared" si="3"/>
        <v>5616</v>
      </c>
      <c r="I351" s="11">
        <f>1+H351*'Prestige Patterns'!$B$25</f>
        <v>57.16</v>
      </c>
      <c r="J351" s="12">
        <f>floor((K351/'Prestige Patterns'!$B$22)^'Prestige Patterns'!$B$23,1)-H350</f>
        <v>26</v>
      </c>
      <c r="K351" s="8">
        <f>K350+N350*'Prestige Patterns'!$B$20</f>
        <v>3183673507392</v>
      </c>
      <c r="L351" s="8">
        <f>if(J350&gt;='Prestige Patterns'!$B$28,if(J350/(H350+1)&gt;('Prestige Patterns'!$B$27+1),L350+1,L350),L350)</f>
        <v>6</v>
      </c>
      <c r="N351" s="12">
        <f t="shared" si="1"/>
        <v>180278067.2</v>
      </c>
      <c r="O351" s="9">
        <f>'Prestige Patterns'!$B$4*E351</f>
        <v>6160</v>
      </c>
      <c r="P351" s="12">
        <f t="shared" si="4"/>
        <v>512</v>
      </c>
      <c r="Q351" s="11"/>
      <c r="R351" s="11"/>
      <c r="S351" s="9">
        <v>350.0</v>
      </c>
      <c r="T351" s="11"/>
    </row>
    <row r="352" ht="15.75" customHeight="1">
      <c r="A352" s="7"/>
      <c r="B352" s="7"/>
      <c r="C352" s="7">
        <f>(S352*'Prestige Patterns'!$B$20)/60</f>
        <v>175.5</v>
      </c>
      <c r="D352" s="8">
        <f>if(L351=L352,N351*'Prestige Patterns'!$B$20+D351-F352,0)</f>
        <v>5424429958</v>
      </c>
      <c r="E352" s="9">
        <f t="shared" si="2"/>
        <v>333</v>
      </c>
      <c r="F352" s="10">
        <f>'Prestige Patterns'!$B$5*('Prestige Patterns'!$B$6^E351-'Prestige Patterns'!$B$6^(E351+G352))/(1-'Prestige Patterns'!$B$6)</f>
        <v>641400273.3</v>
      </c>
      <c r="G352" s="13">
        <f>floor(LOG('Prestige Patterns'!$B$6^(E351) - (D351*(1-'Prestige Patterns'!$B$6)/'Prestige Patterns'!$B$5),'Prestige Patterns'!$B$6)-E351,1)</f>
        <v>25</v>
      </c>
      <c r="H352" s="12">
        <f t="shared" si="3"/>
        <v>5616</v>
      </c>
      <c r="I352" s="11">
        <f>1+H352*'Prestige Patterns'!$B$25</f>
        <v>57.16</v>
      </c>
      <c r="J352" s="12">
        <f>floor((K352/'Prestige Patterns'!$B$22)^'Prestige Patterns'!$B$23,1)-H351</f>
        <v>31</v>
      </c>
      <c r="K352" s="8">
        <f>K351+N351*'Prestige Patterns'!$B$20</f>
        <v>3189081849408</v>
      </c>
      <c r="L352" s="8">
        <f>if(J351&gt;='Prestige Patterns'!$B$28,if(J351/(H351+1)&gt;('Prestige Patterns'!$B$27+1),L351+1,L351),L351)</f>
        <v>6</v>
      </c>
      <c r="N352" s="12">
        <f t="shared" si="1"/>
        <v>194911027.2</v>
      </c>
      <c r="O352" s="9">
        <f>'Prestige Patterns'!$B$4*E352</f>
        <v>6660</v>
      </c>
      <c r="P352" s="12">
        <f t="shared" si="4"/>
        <v>512</v>
      </c>
      <c r="Q352" s="11"/>
      <c r="R352" s="11"/>
      <c r="S352" s="9">
        <v>351.0</v>
      </c>
      <c r="T352" s="11"/>
    </row>
    <row r="353" ht="15.75" customHeight="1">
      <c r="A353" s="7"/>
      <c r="B353" s="7"/>
      <c r="C353" s="7">
        <f>(S353*'Prestige Patterns'!$B$20)/60</f>
        <v>176</v>
      </c>
      <c r="D353" s="8">
        <f>if(L352=L353,N352*'Prestige Patterns'!$B$20+D352-F353,0)</f>
        <v>6079418868</v>
      </c>
      <c r="E353" s="9">
        <f t="shared" si="2"/>
        <v>372</v>
      </c>
      <c r="F353" s="10">
        <f>'Prestige Patterns'!$B$5*('Prestige Patterns'!$B$6^E352-'Prestige Patterns'!$B$6^(E352+G353))/(1-'Prestige Patterns'!$B$6)</f>
        <v>5192341906</v>
      </c>
      <c r="G353" s="13">
        <f>floor(LOG('Prestige Patterns'!$B$6^(E352) - (D352*(1-'Prestige Patterns'!$B$6)/'Prestige Patterns'!$B$5),'Prestige Patterns'!$B$6)-E352,1)</f>
        <v>39</v>
      </c>
      <c r="H353" s="12">
        <f t="shared" si="3"/>
        <v>5616</v>
      </c>
      <c r="I353" s="11">
        <f>1+H353*'Prestige Patterns'!$B$25</f>
        <v>57.16</v>
      </c>
      <c r="J353" s="12">
        <f>floor((K353/'Prestige Patterns'!$B$22)^'Prestige Patterns'!$B$23,1)-H352</f>
        <v>36</v>
      </c>
      <c r="K353" s="8">
        <f>K352+N352*'Prestige Patterns'!$B$20</f>
        <v>3194929180224</v>
      </c>
      <c r="L353" s="8">
        <f>if(J352&gt;='Prestige Patterns'!$B$28,if(J352/(H352+1)&gt;('Prestige Patterns'!$B$27+1),L352+1,L352),L352)</f>
        <v>6</v>
      </c>
      <c r="N353" s="12">
        <f t="shared" si="1"/>
        <v>217738444.8</v>
      </c>
      <c r="O353" s="9">
        <f>'Prestige Patterns'!$B$4*E353</f>
        <v>7440</v>
      </c>
      <c r="P353" s="12">
        <f t="shared" si="4"/>
        <v>512</v>
      </c>
      <c r="Q353" s="11"/>
      <c r="R353" s="11"/>
      <c r="S353" s="9">
        <v>352.0</v>
      </c>
      <c r="T353" s="11"/>
    </row>
    <row r="354" ht="15.75" customHeight="1">
      <c r="A354" s="7"/>
      <c r="B354" s="7"/>
      <c r="C354" s="7">
        <f>(S354*'Prestige Patterns'!$B$20)/60</f>
        <v>176.5</v>
      </c>
      <c r="D354" s="8">
        <f>if(L353=L354,N353*'Prestige Patterns'!$B$20+D353-F354,0)</f>
        <v>6631519621</v>
      </c>
      <c r="E354" s="9">
        <f t="shared" si="2"/>
        <v>386</v>
      </c>
      <c r="F354" s="10">
        <f>'Prestige Patterns'!$B$5*('Prestige Patterns'!$B$6^E353-'Prestige Patterns'!$B$6^(E353+G354))/(1-'Prestige Patterns'!$B$6)</f>
        <v>5980052592</v>
      </c>
      <c r="G354" s="13">
        <f>floor(LOG('Prestige Patterns'!$B$6^(E353) - (D353*(1-'Prestige Patterns'!$B$6)/'Prestige Patterns'!$B$5),'Prestige Patterns'!$B$6)-E353,1)</f>
        <v>14</v>
      </c>
      <c r="H354" s="12">
        <f t="shared" si="3"/>
        <v>5616</v>
      </c>
      <c r="I354" s="11">
        <f>1+H354*'Prestige Patterns'!$B$25</f>
        <v>57.16</v>
      </c>
      <c r="J354" s="12">
        <f>floor((K354/'Prestige Patterns'!$B$22)^'Prestige Patterns'!$B$23,1)-H353</f>
        <v>42</v>
      </c>
      <c r="K354" s="8">
        <f>K353+N353*'Prestige Patterns'!$B$20</f>
        <v>3201461333568</v>
      </c>
      <c r="L354" s="8">
        <f>if(J353&gt;='Prestige Patterns'!$B$28,if(J353/(H353+1)&gt;('Prestige Patterns'!$B$27+1),L353+1,L353),L353)</f>
        <v>6</v>
      </c>
      <c r="N354" s="12">
        <f t="shared" si="1"/>
        <v>225932902.4</v>
      </c>
      <c r="O354" s="9">
        <f>'Prestige Patterns'!$B$4*E354</f>
        <v>7720</v>
      </c>
      <c r="P354" s="12">
        <f t="shared" si="4"/>
        <v>512</v>
      </c>
      <c r="Q354" s="11"/>
      <c r="R354" s="11"/>
      <c r="S354" s="9">
        <v>353.0</v>
      </c>
      <c r="T354" s="11"/>
    </row>
    <row r="355" ht="15.75" customHeight="1">
      <c r="A355" s="7"/>
      <c r="B355" s="7"/>
      <c r="C355" s="7">
        <f>(S355*'Prestige Patterns'!$B$20)/60</f>
        <v>177</v>
      </c>
      <c r="D355" s="8">
        <f>if(L354=L355,N354*'Prestige Patterns'!$B$20+D354-F355,0)</f>
        <v>7640616435</v>
      </c>
      <c r="E355" s="9">
        <f t="shared" si="2"/>
        <v>394</v>
      </c>
      <c r="F355" s="10">
        <f>'Prestige Patterns'!$B$5*('Prestige Patterns'!$B$6^E354-'Prestige Patterns'!$B$6^(E354+G355))/(1-'Prestige Patterns'!$B$6)</f>
        <v>5768890257</v>
      </c>
      <c r="G355" s="13">
        <f>floor(LOG('Prestige Patterns'!$B$6^(E354) - (D354*(1-'Prestige Patterns'!$B$6)/'Prestige Patterns'!$B$5),'Prestige Patterns'!$B$6)-E354,1)</f>
        <v>8</v>
      </c>
      <c r="H355" s="12">
        <f t="shared" si="3"/>
        <v>5616</v>
      </c>
      <c r="I355" s="11">
        <f>1+H355*'Prestige Patterns'!$B$25</f>
        <v>57.16</v>
      </c>
      <c r="J355" s="12">
        <f>floor((K355/'Prestige Patterns'!$B$22)^'Prestige Patterns'!$B$23,1)-H354</f>
        <v>48</v>
      </c>
      <c r="K355" s="8">
        <f>K354+N354*'Prestige Patterns'!$B$20</f>
        <v>3208239320640</v>
      </c>
      <c r="L355" s="8">
        <f>if(J354&gt;='Prestige Patterns'!$B$28,if(J354/(H354+1)&gt;('Prestige Patterns'!$B$27+1),L354+1,L354),L354)</f>
        <v>6</v>
      </c>
      <c r="N355" s="12">
        <f t="shared" si="1"/>
        <v>230615449.6</v>
      </c>
      <c r="O355" s="9">
        <f>'Prestige Patterns'!$B$4*E355</f>
        <v>7880</v>
      </c>
      <c r="P355" s="12">
        <f t="shared" si="4"/>
        <v>512</v>
      </c>
      <c r="Q355" s="11"/>
      <c r="R355" s="11"/>
      <c r="S355" s="9">
        <v>354.0</v>
      </c>
      <c r="T355" s="11"/>
    </row>
    <row r="356" ht="15.75" customHeight="1">
      <c r="A356" s="7"/>
      <c r="B356" s="7"/>
      <c r="C356" s="7">
        <f>(S356*'Prestige Patterns'!$B$20)/60</f>
        <v>177.5</v>
      </c>
      <c r="D356" s="8">
        <f>if(L355=L356,N355*'Prestige Patterns'!$B$20+D355-F356,0)</f>
        <v>7291741683</v>
      </c>
      <c r="E356" s="9">
        <f t="shared" si="2"/>
        <v>401</v>
      </c>
      <c r="F356" s="10">
        <f>'Prestige Patterns'!$B$5*('Prestige Patterns'!$B$6^E355-'Prestige Patterns'!$B$6^(E355+G356))/(1-'Prestige Patterns'!$B$6)</f>
        <v>7267338240</v>
      </c>
      <c r="G356" s="13">
        <f>floor(LOG('Prestige Patterns'!$B$6^(E355) - (D355*(1-'Prestige Patterns'!$B$6)/'Prestige Patterns'!$B$5),'Prestige Patterns'!$B$6)-E355,1)</f>
        <v>7</v>
      </c>
      <c r="H356" s="12">
        <f t="shared" si="3"/>
        <v>5616</v>
      </c>
      <c r="I356" s="11">
        <f>1+H356*'Prestige Patterns'!$B$25</f>
        <v>57.16</v>
      </c>
      <c r="J356" s="12">
        <f>floor((K356/'Prestige Patterns'!$B$22)^'Prestige Patterns'!$B$23,1)-H355</f>
        <v>54</v>
      </c>
      <c r="K356" s="8">
        <f>K355+N355*'Prestige Patterns'!$B$20</f>
        <v>3215157784128</v>
      </c>
      <c r="L356" s="8">
        <f>if(J355&gt;='Prestige Patterns'!$B$28,if(J355/(H355+1)&gt;('Prestige Patterns'!$B$27+1),L355+1,L355),L355)</f>
        <v>6</v>
      </c>
      <c r="N356" s="12">
        <f t="shared" si="1"/>
        <v>1877701427</v>
      </c>
      <c r="O356" s="9">
        <f>'Prestige Patterns'!$B$4*E356</f>
        <v>8020</v>
      </c>
      <c r="P356" s="12">
        <f t="shared" si="4"/>
        <v>4096</v>
      </c>
      <c r="Q356" s="11"/>
      <c r="R356" s="11"/>
      <c r="S356" s="9">
        <v>355.0</v>
      </c>
      <c r="T356" s="11"/>
    </row>
    <row r="357" ht="15.75" customHeight="1">
      <c r="A357" s="7"/>
      <c r="B357" s="7"/>
      <c r="C357" s="7">
        <f>(S357*'Prestige Patterns'!$B$20)/60</f>
        <v>178</v>
      </c>
      <c r="D357" s="8">
        <f>if(L356=L357,N356*'Prestige Patterns'!$B$20+D356-F357,0)</f>
        <v>56682922771</v>
      </c>
      <c r="E357" s="9">
        <f t="shared" si="2"/>
        <v>406</v>
      </c>
      <c r="F357" s="10">
        <f>'Prestige Patterns'!$B$5*('Prestige Patterns'!$B$6^E356-'Prestige Patterns'!$B$6^(E356+G357))/(1-'Prestige Patterns'!$B$6)</f>
        <v>6939861728</v>
      </c>
      <c r="G357" s="13">
        <f>floor(LOG('Prestige Patterns'!$B$6^(E356) - (D356*(1-'Prestige Patterns'!$B$6)/'Prestige Patterns'!$B$5),'Prestige Patterns'!$B$6)-E356,1)</f>
        <v>5</v>
      </c>
      <c r="H357" s="12">
        <f t="shared" si="3"/>
        <v>5616</v>
      </c>
      <c r="I357" s="11">
        <f>1+H357*'Prestige Patterns'!$B$25</f>
        <v>57.16</v>
      </c>
      <c r="J357" s="12">
        <f>floor((K357/'Prestige Patterns'!$B$22)^'Prestige Patterns'!$B$23,1)-H356</f>
        <v>103</v>
      </c>
      <c r="K357" s="8">
        <f>K356+N356*'Prestige Patterns'!$B$20</f>
        <v>3271488826944</v>
      </c>
      <c r="L357" s="8">
        <f>if(J356&gt;='Prestige Patterns'!$B$28,if(J356/(H356+1)&gt;('Prestige Patterns'!$B$27+1),L356+1,L356),L356)</f>
        <v>6</v>
      </c>
      <c r="N357" s="12">
        <f t="shared" si="1"/>
        <v>1901114163</v>
      </c>
      <c r="O357" s="9">
        <f>'Prestige Patterns'!$B$4*E357</f>
        <v>8120</v>
      </c>
      <c r="P357" s="12">
        <f t="shared" si="4"/>
        <v>4096</v>
      </c>
      <c r="Q357" s="11"/>
      <c r="R357" s="11"/>
      <c r="S357" s="9">
        <v>356.0</v>
      </c>
      <c r="T357" s="11"/>
    </row>
    <row r="358" ht="15.75" customHeight="1">
      <c r="A358" s="7"/>
      <c r="B358" s="7"/>
      <c r="C358" s="7">
        <f>(S358*'Prestige Patterns'!$B$20)/60</f>
        <v>178.5</v>
      </c>
      <c r="D358" s="8">
        <f>if(L357=L358,N357*'Prestige Patterns'!$B$20+D357-F358,0)</f>
        <v>60713833314</v>
      </c>
      <c r="E358" s="9">
        <f t="shared" si="2"/>
        <v>426</v>
      </c>
      <c r="F358" s="10">
        <f>'Prestige Patterns'!$B$5*('Prestige Patterns'!$B$6^E357-'Prestige Patterns'!$B$6^(E357+G358))/(1-'Prestige Patterns'!$B$6)</f>
        <v>53002514353</v>
      </c>
      <c r="G358" s="13">
        <f>floor(LOG('Prestige Patterns'!$B$6^(E357) - (D357*(1-'Prestige Patterns'!$B$6)/'Prestige Patterns'!$B$5),'Prestige Patterns'!$B$6)-E357,1)</f>
        <v>20</v>
      </c>
      <c r="H358" s="12">
        <f t="shared" si="3"/>
        <v>5616</v>
      </c>
      <c r="I358" s="11">
        <f>1+H358*'Prestige Patterns'!$B$25</f>
        <v>57.16</v>
      </c>
      <c r="J358" s="12">
        <f>floor((K358/'Prestige Patterns'!$B$22)^'Prestige Patterns'!$B$23,1)-H357</f>
        <v>153</v>
      </c>
      <c r="K358" s="8">
        <f>K357+N357*'Prestige Patterns'!$B$20</f>
        <v>3328522251840</v>
      </c>
      <c r="L358" s="8">
        <f>if(J357&gt;='Prestige Patterns'!$B$28,if(J357/(H357+1)&gt;('Prestige Patterns'!$B$27+1),L357+1,L357),L357)</f>
        <v>6</v>
      </c>
      <c r="N358" s="12">
        <f t="shared" si="1"/>
        <v>1994765107</v>
      </c>
      <c r="O358" s="9">
        <f>'Prestige Patterns'!$B$4*E358</f>
        <v>8520</v>
      </c>
      <c r="P358" s="12">
        <f t="shared" si="4"/>
        <v>4096</v>
      </c>
      <c r="Q358" s="11"/>
      <c r="R358" s="11"/>
      <c r="S358" s="9">
        <v>357.0</v>
      </c>
      <c r="T358" s="11"/>
    </row>
    <row r="359" ht="15.75" customHeight="1">
      <c r="A359" s="7"/>
      <c r="B359" s="7"/>
      <c r="C359" s="7">
        <f>(S359*'Prestige Patterns'!$B$20)/60</f>
        <v>179</v>
      </c>
      <c r="D359" s="8">
        <f>if(L358=L359,N358*'Prestige Patterns'!$B$20+D358-F359,0)</f>
        <v>60134484244</v>
      </c>
      <c r="E359" s="9">
        <f t="shared" si="2"/>
        <v>437</v>
      </c>
      <c r="F359" s="10">
        <f>'Prestige Patterns'!$B$5*('Prestige Patterns'!$B$6^E358-'Prestige Patterns'!$B$6^(E358+G359))/(1-'Prestige Patterns'!$B$6)</f>
        <v>60422302287</v>
      </c>
      <c r="G359" s="13">
        <f>floor(LOG('Prestige Patterns'!$B$6^(E358) - (D358*(1-'Prestige Patterns'!$B$6)/'Prestige Patterns'!$B$5),'Prestige Patterns'!$B$6)-E358,1)</f>
        <v>11</v>
      </c>
      <c r="H359" s="12">
        <f t="shared" si="3"/>
        <v>5616</v>
      </c>
      <c r="I359" s="11">
        <f>1+H359*'Prestige Patterns'!$B$25</f>
        <v>57.16</v>
      </c>
      <c r="J359" s="12">
        <f>floor((K359/'Prestige Patterns'!$B$22)^'Prestige Patterns'!$B$23,1)-H358</f>
        <v>204</v>
      </c>
      <c r="K359" s="8">
        <f>K358+N358*'Prestige Patterns'!$B$20</f>
        <v>3388365205056</v>
      </c>
      <c r="L359" s="8">
        <f>if(J358&gt;='Prestige Patterns'!$B$28,if(J358/(H358+1)&gt;('Prestige Patterns'!$B$27+1),L358+1,L358),L358)</f>
        <v>6</v>
      </c>
      <c r="N359" s="12">
        <f t="shared" si="1"/>
        <v>2046273126</v>
      </c>
      <c r="O359" s="9">
        <f>'Prestige Patterns'!$B$4*E359</f>
        <v>8740</v>
      </c>
      <c r="P359" s="12">
        <f t="shared" si="4"/>
        <v>4096</v>
      </c>
      <c r="Q359" s="11"/>
      <c r="R359" s="11"/>
      <c r="S359" s="9">
        <v>358.0</v>
      </c>
      <c r="T359" s="11"/>
    </row>
    <row r="360" ht="15.75" customHeight="1">
      <c r="A360" s="7"/>
      <c r="B360" s="7"/>
      <c r="C360" s="7">
        <f>(S360*'Prestige Patterns'!$B$20)/60</f>
        <v>179.5</v>
      </c>
      <c r="D360" s="8">
        <f>if(L359=L360,N359*'Prestige Patterns'!$B$20+D359-F360,0)</f>
        <v>62296291890</v>
      </c>
      <c r="E360" s="9">
        <f t="shared" si="2"/>
        <v>444</v>
      </c>
      <c r="F360" s="10">
        <f>'Prestige Patterns'!$B$5*('Prestige Patterns'!$B$6^E359-'Prestige Patterns'!$B$6^(E359+G360))/(1-'Prestige Patterns'!$B$6)</f>
        <v>59226386146</v>
      </c>
      <c r="G360" s="13">
        <f>floor(LOG('Prestige Patterns'!$B$6^(E359) - (D359*(1-'Prestige Patterns'!$B$6)/'Prestige Patterns'!$B$5),'Prestige Patterns'!$B$6)-E359,1)</f>
        <v>7</v>
      </c>
      <c r="H360" s="12">
        <f t="shared" si="3"/>
        <v>5616</v>
      </c>
      <c r="I360" s="11">
        <f>1+H360*'Prestige Patterns'!$B$25</f>
        <v>57.16</v>
      </c>
      <c r="J360" s="12">
        <f>floor((K360/'Prestige Patterns'!$B$22)^'Prestige Patterns'!$B$23,1)-H359</f>
        <v>257</v>
      </c>
      <c r="K360" s="8">
        <f>K359+N359*'Prestige Patterns'!$B$20</f>
        <v>3449753398848</v>
      </c>
      <c r="L360" s="8">
        <f>if(J359&gt;='Prestige Patterns'!$B$28,if(J359/(H359+1)&gt;('Prestige Patterns'!$B$27+1),L359+1,L359),L359)</f>
        <v>6</v>
      </c>
      <c r="N360" s="12">
        <f t="shared" si="1"/>
        <v>2079050957</v>
      </c>
      <c r="O360" s="9">
        <f>'Prestige Patterns'!$B$4*E360</f>
        <v>8880</v>
      </c>
      <c r="P360" s="12">
        <f t="shared" si="4"/>
        <v>4096</v>
      </c>
      <c r="Q360" s="11"/>
      <c r="R360" s="11"/>
      <c r="S360" s="9">
        <v>359.0</v>
      </c>
      <c r="T360" s="11"/>
    </row>
    <row r="361" ht="15.75" customHeight="1">
      <c r="A361" s="7"/>
      <c r="B361" s="7"/>
      <c r="C361" s="7">
        <f>(S361*'Prestige Patterns'!$B$20)/60</f>
        <v>180</v>
      </c>
      <c r="D361" s="8">
        <f>if(L360=L361,N360*'Prestige Patterns'!$B$20+D360-F361,0)</f>
        <v>68110258951</v>
      </c>
      <c r="E361" s="9">
        <f t="shared" si="2"/>
        <v>449</v>
      </c>
      <c r="F361" s="10">
        <f>'Prestige Patterns'!$B$5*('Prestige Patterns'!$B$6^E360-'Prestige Patterns'!$B$6^(E360+G361))/(1-'Prestige Patterns'!$B$6)</f>
        <v>56557561643</v>
      </c>
      <c r="G361" s="13">
        <f>floor(LOG('Prestige Patterns'!$B$6^(E360) - (D360*(1-'Prestige Patterns'!$B$6)/'Prestige Patterns'!$B$5),'Prestige Patterns'!$B$6)-E360,1)</f>
        <v>5</v>
      </c>
      <c r="H361" s="12">
        <f t="shared" si="3"/>
        <v>5616</v>
      </c>
      <c r="I361" s="11">
        <f>1+H361*'Prestige Patterns'!$B$25</f>
        <v>57.16</v>
      </c>
      <c r="J361" s="12">
        <f>floor((K361/'Prestige Patterns'!$B$22)^'Prestige Patterns'!$B$23,1)-H360</f>
        <v>310</v>
      </c>
      <c r="K361" s="8">
        <f>K360+N360*'Prestige Patterns'!$B$20</f>
        <v>3512124927552</v>
      </c>
      <c r="L361" s="8">
        <f>if(J360&gt;='Prestige Patterns'!$B$28,if(J360/(H360+1)&gt;('Prestige Patterns'!$B$27+1),L360+1,L360),L360)</f>
        <v>6</v>
      </c>
      <c r="N361" s="12">
        <f t="shared" si="1"/>
        <v>2102463693</v>
      </c>
      <c r="O361" s="9">
        <f>'Prestige Patterns'!$B$4*E361</f>
        <v>8980</v>
      </c>
      <c r="P361" s="12">
        <f t="shared" si="4"/>
        <v>4096</v>
      </c>
      <c r="Q361" s="11"/>
      <c r="R361" s="11"/>
      <c r="S361" s="9">
        <v>360.0</v>
      </c>
      <c r="T361" s="11"/>
    </row>
    <row r="362" ht="15.75" customHeight="1">
      <c r="A362" s="7"/>
      <c r="B362" s="7"/>
      <c r="C362" s="7">
        <f>(S362*'Prestige Patterns'!$B$20)/60</f>
        <v>180.5</v>
      </c>
      <c r="D362" s="8">
        <f>if(L361=L362,N361*'Prestige Patterns'!$B$20+D361-F362,0)</f>
        <v>74879406153</v>
      </c>
      <c r="E362" s="9">
        <f t="shared" si="2"/>
        <v>453</v>
      </c>
      <c r="F362" s="10">
        <f>'Prestige Patterns'!$B$5*('Prestige Patterns'!$B$6^E361-'Prestige Patterns'!$B$6^(E361+G362))/(1-'Prestige Patterns'!$B$6)</f>
        <v>56304763582</v>
      </c>
      <c r="G362" s="13">
        <f>floor(LOG('Prestige Patterns'!$B$6^(E361) - (D361*(1-'Prestige Patterns'!$B$6)/'Prestige Patterns'!$B$5),'Prestige Patterns'!$B$6)-E361,1)</f>
        <v>4</v>
      </c>
      <c r="H362" s="12">
        <f t="shared" si="3"/>
        <v>5616</v>
      </c>
      <c r="I362" s="11">
        <f>1+H362*'Prestige Patterns'!$B$25</f>
        <v>57.16</v>
      </c>
      <c r="J362" s="12">
        <f>floor((K362/'Prestige Patterns'!$B$22)^'Prestige Patterns'!$B$23,1)-H361</f>
        <v>363</v>
      </c>
      <c r="K362" s="8">
        <f>K361+N361*'Prestige Patterns'!$B$20</f>
        <v>3575198838336</v>
      </c>
      <c r="L362" s="8">
        <f>if(J361&gt;='Prestige Patterns'!$B$28,if(J361/(H361+1)&gt;('Prestige Patterns'!$B$27+1),L361+1,L361),L361)</f>
        <v>6</v>
      </c>
      <c r="N362" s="12">
        <f t="shared" si="1"/>
        <v>2121193882</v>
      </c>
      <c r="O362" s="9">
        <f>'Prestige Patterns'!$B$4*E362</f>
        <v>9060</v>
      </c>
      <c r="P362" s="12">
        <f t="shared" si="4"/>
        <v>4096</v>
      </c>
      <c r="Q362" s="11"/>
      <c r="R362" s="11"/>
      <c r="S362" s="9">
        <v>361.0</v>
      </c>
      <c r="T362" s="11"/>
    </row>
    <row r="363" ht="15.75" customHeight="1">
      <c r="A363" s="7"/>
      <c r="B363" s="7"/>
      <c r="C363" s="7">
        <f>(S363*'Prestige Patterns'!$B$20)/60</f>
        <v>181</v>
      </c>
      <c r="D363" s="8">
        <f>if(L362=L363,N362*'Prestige Patterns'!$B$20+D362-F363,0)</f>
        <v>70076430562</v>
      </c>
      <c r="E363" s="9">
        <f t="shared" si="2"/>
        <v>457</v>
      </c>
      <c r="F363" s="10">
        <f>'Prestige Patterns'!$B$5*('Prestige Patterns'!$B$6^E362-'Prestige Patterns'!$B$6^(E362+G363))/(1-'Prestige Patterns'!$B$6)</f>
        <v>68438792039</v>
      </c>
      <c r="G363" s="13">
        <f>floor(LOG('Prestige Patterns'!$B$6^(E362) - (D362*(1-'Prestige Patterns'!$B$6)/'Prestige Patterns'!$B$5),'Prestige Patterns'!$B$6)-E362,1)</f>
        <v>4</v>
      </c>
      <c r="H363" s="12">
        <f t="shared" si="3"/>
        <v>5616</v>
      </c>
      <c r="I363" s="11">
        <f>1+H363*'Prestige Patterns'!$B$25</f>
        <v>57.16</v>
      </c>
      <c r="J363" s="12">
        <f>floor((K363/'Prestige Patterns'!$B$22)^'Prestige Patterns'!$B$23,1)-H362</f>
        <v>416</v>
      </c>
      <c r="K363" s="8">
        <f>K362+N362*'Prestige Patterns'!$B$20</f>
        <v>3638834654784</v>
      </c>
      <c r="L363" s="8">
        <f>if(J362&gt;='Prestige Patterns'!$B$28,if(J362/(H362+1)&gt;('Prestige Patterns'!$B$27+1),L362+1,L362),L362)</f>
        <v>6</v>
      </c>
      <c r="N363" s="12">
        <f t="shared" si="1"/>
        <v>2139924070</v>
      </c>
      <c r="O363" s="9">
        <f>'Prestige Patterns'!$B$4*E363</f>
        <v>9140</v>
      </c>
      <c r="P363" s="12">
        <f t="shared" si="4"/>
        <v>4096</v>
      </c>
      <c r="Q363" s="11"/>
      <c r="R363" s="11"/>
      <c r="S363" s="9">
        <v>362.0</v>
      </c>
      <c r="T363" s="11"/>
    </row>
    <row r="364" ht="15.75" customHeight="1">
      <c r="A364" s="7"/>
      <c r="B364" s="7"/>
      <c r="C364" s="7">
        <f>(S364*'Prestige Patterns'!$B$20)/60</f>
        <v>181.5</v>
      </c>
      <c r="D364" s="8">
        <f>if(L363=L364,N363*'Prestige Patterns'!$B$20+D363-F364,0)</f>
        <v>73429171434</v>
      </c>
      <c r="E364" s="9">
        <f t="shared" si="2"/>
        <v>460</v>
      </c>
      <c r="F364" s="10">
        <f>'Prestige Patterns'!$B$5*('Prestige Patterns'!$B$6^E363-'Prestige Patterns'!$B$6^(E363+G364))/(1-'Prestige Patterns'!$B$6)</f>
        <v>60844981240</v>
      </c>
      <c r="G364" s="13">
        <f>floor(LOG('Prestige Patterns'!$B$6^(E363) - (D363*(1-'Prestige Patterns'!$B$6)/'Prestige Patterns'!$B$5),'Prestige Patterns'!$B$6)-E363,1)</f>
        <v>3</v>
      </c>
      <c r="H364" s="12">
        <f t="shared" si="3"/>
        <v>5616</v>
      </c>
      <c r="I364" s="11">
        <f>1+H364*'Prestige Patterns'!$B$25</f>
        <v>57.16</v>
      </c>
      <c r="J364" s="12">
        <f>floor((K364/'Prestige Patterns'!$B$22)^'Prestige Patterns'!$B$23,1)-H363</f>
        <v>469</v>
      </c>
      <c r="K364" s="8">
        <f>K363+N363*'Prestige Patterns'!$B$20</f>
        <v>3703032376896</v>
      </c>
      <c r="L364" s="8">
        <f>if(J363&gt;='Prestige Patterns'!$B$28,if(J363/(H363+1)&gt;('Prestige Patterns'!$B$27+1),L363+1,L363),L363)</f>
        <v>6</v>
      </c>
      <c r="N364" s="12">
        <f t="shared" si="1"/>
        <v>2153971712</v>
      </c>
      <c r="O364" s="9">
        <f>'Prestige Patterns'!$B$4*E364</f>
        <v>9200</v>
      </c>
      <c r="P364" s="12">
        <f t="shared" si="4"/>
        <v>4096</v>
      </c>
      <c r="Q364" s="11"/>
      <c r="R364" s="11"/>
      <c r="S364" s="9">
        <v>363.0</v>
      </c>
      <c r="T364" s="11"/>
    </row>
    <row r="365" ht="15.75" customHeight="1">
      <c r="A365" s="7"/>
      <c r="B365" s="7"/>
      <c r="C365" s="7">
        <f>(S365*'Prestige Patterns'!$B$20)/60</f>
        <v>182</v>
      </c>
      <c r="D365" s="8">
        <f>if(L364=L365,N364*'Prestige Patterns'!$B$20+D364-F365,0)</f>
        <v>67612651387</v>
      </c>
      <c r="E365" s="9">
        <f t="shared" si="2"/>
        <v>463</v>
      </c>
      <c r="F365" s="10">
        <f>'Prestige Patterns'!$B$5*('Prestige Patterns'!$B$6^E364-'Prestige Patterns'!$B$6^(E364+G365))/(1-'Prestige Patterns'!$B$6)</f>
        <v>70435671408</v>
      </c>
      <c r="G365" s="13">
        <f>floor(LOG('Prestige Patterns'!$B$6^(E364) - (D364*(1-'Prestige Patterns'!$B$6)/'Prestige Patterns'!$B$5),'Prestige Patterns'!$B$6)-E364,1)</f>
        <v>3</v>
      </c>
      <c r="H365" s="12">
        <f t="shared" si="3"/>
        <v>5616</v>
      </c>
      <c r="I365" s="11">
        <f>1+H365*'Prestige Patterns'!$B$25</f>
        <v>57.16</v>
      </c>
      <c r="J365" s="12">
        <f>floor((K365/'Prestige Patterns'!$B$22)^'Prestige Patterns'!$B$23,1)-H364</f>
        <v>522</v>
      </c>
      <c r="K365" s="8">
        <f>K364+N364*'Prestige Patterns'!$B$20</f>
        <v>3767651528256</v>
      </c>
      <c r="L365" s="8">
        <f>if(J364&gt;='Prestige Patterns'!$B$28,if(J364/(H364+1)&gt;('Prestige Patterns'!$B$27+1),L364+1,L364),L364)</f>
        <v>6</v>
      </c>
      <c r="N365" s="12">
        <f t="shared" si="1"/>
        <v>2168019354</v>
      </c>
      <c r="O365" s="9">
        <f>'Prestige Patterns'!$B$4*E365</f>
        <v>9260</v>
      </c>
      <c r="P365" s="12">
        <f t="shared" si="4"/>
        <v>4096</v>
      </c>
      <c r="Q365" s="11"/>
      <c r="R365" s="11"/>
      <c r="S365" s="9">
        <v>364.0</v>
      </c>
      <c r="T365" s="11"/>
    </row>
    <row r="366" ht="15.75" customHeight="1">
      <c r="A366" s="7"/>
      <c r="B366" s="7"/>
      <c r="C366" s="7">
        <f>(S366*'Prestige Patterns'!$B$20)/60</f>
        <v>182.5</v>
      </c>
      <c r="D366" s="8">
        <f>if(L365=L366,N365*'Prestige Patterns'!$B$20+D365-F366,0)</f>
        <v>79630839312</v>
      </c>
      <c r="E366" s="9">
        <f t="shared" si="2"/>
        <v>465</v>
      </c>
      <c r="F366" s="10">
        <f>'Prestige Patterns'!$B$5*('Prestige Patterns'!$B$6^E365-'Prestige Patterns'!$B$6^(E365+G366))/(1-'Prestige Patterns'!$B$6)</f>
        <v>53022392683</v>
      </c>
      <c r="G366" s="13">
        <f>floor(LOG('Prestige Patterns'!$B$6^(E365) - (D365*(1-'Prestige Patterns'!$B$6)/'Prestige Patterns'!$B$5),'Prestige Patterns'!$B$6)-E365,1)</f>
        <v>2</v>
      </c>
      <c r="H366" s="12">
        <f t="shared" si="3"/>
        <v>5616</v>
      </c>
      <c r="I366" s="11">
        <f>1+H366*'Prestige Patterns'!$B$25</f>
        <v>57.16</v>
      </c>
      <c r="J366" s="12">
        <f>floor((K366/'Prestige Patterns'!$B$22)^'Prestige Patterns'!$B$23,1)-H365</f>
        <v>574</v>
      </c>
      <c r="K366" s="8">
        <f>K365+N365*'Prestige Patterns'!$B$20</f>
        <v>3832692108864</v>
      </c>
      <c r="L366" s="8">
        <f>if(J365&gt;='Prestige Patterns'!$B$28,if(J365/(H365+1)&gt;('Prestige Patterns'!$B$27+1),L365+1,L365),L365)</f>
        <v>6</v>
      </c>
      <c r="N366" s="12">
        <f t="shared" si="1"/>
        <v>2177384448</v>
      </c>
      <c r="O366" s="9">
        <f>'Prestige Patterns'!$B$4*E366</f>
        <v>9300</v>
      </c>
      <c r="P366" s="12">
        <f t="shared" si="4"/>
        <v>4096</v>
      </c>
      <c r="Q366" s="11"/>
      <c r="R366" s="11"/>
      <c r="S366" s="9">
        <v>365.0</v>
      </c>
      <c r="T366" s="11"/>
    </row>
    <row r="367" ht="15.75" customHeight="1">
      <c r="A367" s="7"/>
      <c r="B367" s="7"/>
      <c r="C367" s="7">
        <f>(S367*'Prestige Patterns'!$B$20)/60</f>
        <v>183</v>
      </c>
      <c r="D367" s="8">
        <f>if(L366=L367,N366*'Prestige Patterns'!$B$20+D366-F367,0)</f>
        <v>86495184819</v>
      </c>
      <c r="E367" s="9">
        <f t="shared" si="2"/>
        <v>467</v>
      </c>
      <c r="F367" s="10">
        <f>'Prestige Patterns'!$B$5*('Prestige Patterns'!$B$6^E366-'Prestige Patterns'!$B$6^(E366+G367))/(1-'Prestige Patterns'!$B$6)</f>
        <v>58457187933</v>
      </c>
      <c r="G367" s="13">
        <f>floor(LOG('Prestige Patterns'!$B$6^(E366) - (D366*(1-'Prestige Patterns'!$B$6)/'Prestige Patterns'!$B$5),'Prestige Patterns'!$B$6)-E366,1)</f>
        <v>2</v>
      </c>
      <c r="H367" s="12">
        <f t="shared" si="3"/>
        <v>5616</v>
      </c>
      <c r="I367" s="11">
        <f>1+H367*'Prestige Patterns'!$B$25</f>
        <v>57.16</v>
      </c>
      <c r="J367" s="12">
        <f>floor((K367/'Prestige Patterns'!$B$22)^'Prestige Patterns'!$B$23,1)-H366</f>
        <v>627</v>
      </c>
      <c r="K367" s="8">
        <f>K366+N366*'Prestige Patterns'!$B$20</f>
        <v>3898013642304</v>
      </c>
      <c r="L367" s="8">
        <f>if(J366&gt;='Prestige Patterns'!$B$28,if(J366/(H366+1)&gt;('Prestige Patterns'!$B$27+1),L366+1,L366),L366)</f>
        <v>6</v>
      </c>
      <c r="N367" s="12">
        <f t="shared" si="1"/>
        <v>2186749542</v>
      </c>
      <c r="O367" s="9">
        <f>'Prestige Patterns'!$B$4*E367</f>
        <v>9340</v>
      </c>
      <c r="P367" s="12">
        <f t="shared" si="4"/>
        <v>4096</v>
      </c>
      <c r="Q367" s="11"/>
      <c r="R367" s="11"/>
      <c r="S367" s="9">
        <v>366.0</v>
      </c>
      <c r="T367" s="11"/>
    </row>
    <row r="368" ht="15.75" customHeight="1">
      <c r="A368" s="7"/>
      <c r="B368" s="7"/>
      <c r="C368" s="7">
        <f>(S368*'Prestige Patterns'!$B$20)/60</f>
        <v>183.5</v>
      </c>
      <c r="D368" s="8">
        <f>if(L367=L368,N367*'Prestige Patterns'!$B$20+D367-F368,0)</f>
        <v>87648621395</v>
      </c>
      <c r="E368" s="9">
        <f t="shared" si="2"/>
        <v>469</v>
      </c>
      <c r="F368" s="10">
        <f>'Prestige Patterns'!$B$5*('Prestige Patterns'!$B$6^E367-'Prestige Patterns'!$B$6^(E367+G368))/(1-'Prestige Patterns'!$B$6)</f>
        <v>64449049696</v>
      </c>
      <c r="G368" s="13">
        <f>floor(LOG('Prestige Patterns'!$B$6^(E367) - (D367*(1-'Prestige Patterns'!$B$6)/'Prestige Patterns'!$B$5),'Prestige Patterns'!$B$6)-E367,1)</f>
        <v>2</v>
      </c>
      <c r="H368" s="12">
        <f t="shared" si="3"/>
        <v>5616</v>
      </c>
      <c r="I368" s="11">
        <f>1+H368*'Prestige Patterns'!$B$25</f>
        <v>57.16</v>
      </c>
      <c r="J368" s="12">
        <f>floor((K368/'Prestige Patterns'!$B$22)^'Prestige Patterns'!$B$23,1)-H367</f>
        <v>679</v>
      </c>
      <c r="K368" s="8">
        <f>K367+N367*'Prestige Patterns'!$B$20</f>
        <v>3963616128576</v>
      </c>
      <c r="L368" s="8">
        <f>if(J367&gt;='Prestige Patterns'!$B$28,if(J367/(H367+1)&gt;('Prestige Patterns'!$B$27+1),L367+1,L367),L367)</f>
        <v>6</v>
      </c>
      <c r="N368" s="12">
        <f t="shared" si="1"/>
        <v>2196114637</v>
      </c>
      <c r="O368" s="9">
        <f>'Prestige Patterns'!$B$4*E368</f>
        <v>9380</v>
      </c>
      <c r="P368" s="12">
        <f t="shared" si="4"/>
        <v>4096</v>
      </c>
      <c r="Q368" s="11"/>
      <c r="R368" s="11"/>
      <c r="S368" s="9">
        <v>367.0</v>
      </c>
      <c r="T368" s="11"/>
    </row>
    <row r="369" ht="15.75" customHeight="1">
      <c r="A369" s="7"/>
      <c r="B369" s="7"/>
      <c r="C369" s="7">
        <f>(S369*'Prestige Patterns'!$B$20)/60</f>
        <v>184</v>
      </c>
      <c r="D369" s="8">
        <f>if(L368=L369,N368*'Prestige Patterns'!$B$20+D368-F369,0)</f>
        <v>82476983210</v>
      </c>
      <c r="E369" s="9">
        <f t="shared" si="2"/>
        <v>471</v>
      </c>
      <c r="F369" s="10">
        <f>'Prestige Patterns'!$B$5*('Prestige Patterns'!$B$6^E368-'Prestige Patterns'!$B$6^(E368+G369))/(1-'Prestige Patterns'!$B$6)</f>
        <v>71055077290</v>
      </c>
      <c r="G369" s="13">
        <f>floor(LOG('Prestige Patterns'!$B$6^(E368) - (D368*(1-'Prestige Patterns'!$B$6)/'Prestige Patterns'!$B$5),'Prestige Patterns'!$B$6)-E368,1)</f>
        <v>2</v>
      </c>
      <c r="H369" s="12">
        <f t="shared" si="3"/>
        <v>5616</v>
      </c>
      <c r="I369" s="11">
        <f>1+H369*'Prestige Patterns'!$B$25</f>
        <v>57.16</v>
      </c>
      <c r="J369" s="12">
        <f>floor((K369/'Prestige Patterns'!$B$22)^'Prestige Patterns'!$B$23,1)-H368</f>
        <v>731</v>
      </c>
      <c r="K369" s="8">
        <f>K368+N368*'Prestige Patterns'!$B$20</f>
        <v>4029499567680</v>
      </c>
      <c r="L369" s="8">
        <f>if(J368&gt;='Prestige Patterns'!$B$28,if(J368/(H368+1)&gt;('Prestige Patterns'!$B$27+1),L368+1,L368),L368)</f>
        <v>6</v>
      </c>
      <c r="N369" s="12">
        <f t="shared" si="1"/>
        <v>2205479731</v>
      </c>
      <c r="O369" s="9">
        <f>'Prestige Patterns'!$B$4*E369</f>
        <v>9420</v>
      </c>
      <c r="P369" s="12">
        <f t="shared" si="4"/>
        <v>4096</v>
      </c>
      <c r="Q369" s="11"/>
      <c r="R369" s="11"/>
      <c r="S369" s="9">
        <v>368.0</v>
      </c>
      <c r="T369" s="11"/>
    </row>
    <row r="370" ht="15.75" customHeight="1">
      <c r="A370" s="7"/>
      <c r="B370" s="7"/>
      <c r="C370" s="7">
        <f>(S370*'Prestige Patterns'!$B$20)/60</f>
        <v>184.5</v>
      </c>
      <c r="D370" s="8">
        <f>if(L369=L370,N369*'Prestige Patterns'!$B$20+D369-F370,0)</f>
        <v>70303152434</v>
      </c>
      <c r="E370" s="9">
        <f t="shared" si="2"/>
        <v>473</v>
      </c>
      <c r="F370" s="10">
        <f>'Prestige Patterns'!$B$5*('Prestige Patterns'!$B$6^E369-'Prestige Patterns'!$B$6^(E369+G370))/(1-'Prestige Patterns'!$B$6)</f>
        <v>78338222712</v>
      </c>
      <c r="G370" s="13">
        <f>floor(LOG('Prestige Patterns'!$B$6^(E369) - (D369*(1-'Prestige Patterns'!$B$6)/'Prestige Patterns'!$B$5),'Prestige Patterns'!$B$6)-E369,1)</f>
        <v>2</v>
      </c>
      <c r="H370" s="12">
        <f t="shared" si="3"/>
        <v>5616</v>
      </c>
      <c r="I370" s="11">
        <f>1+H370*'Prestige Patterns'!$B$25</f>
        <v>57.16</v>
      </c>
      <c r="J370" s="12">
        <f>floor((K370/'Prestige Patterns'!$B$22)^'Prestige Patterns'!$B$23,1)-H369</f>
        <v>783</v>
      </c>
      <c r="K370" s="8">
        <f>K369+N369*'Prestige Patterns'!$B$20</f>
        <v>4095663959616</v>
      </c>
      <c r="L370" s="8">
        <f>if(J369&gt;='Prestige Patterns'!$B$28,if(J369/(H369+1)&gt;('Prestige Patterns'!$B$27+1),L369+1,L369),L369)</f>
        <v>6</v>
      </c>
      <c r="N370" s="12">
        <f t="shared" si="1"/>
        <v>2214844826</v>
      </c>
      <c r="O370" s="9">
        <f>'Prestige Patterns'!$B$4*E370</f>
        <v>9460</v>
      </c>
      <c r="P370" s="12">
        <f t="shared" si="4"/>
        <v>4096</v>
      </c>
      <c r="Q370" s="11"/>
      <c r="R370" s="11"/>
      <c r="S370" s="9">
        <v>369.0</v>
      </c>
      <c r="T370" s="11"/>
    </row>
    <row r="371" ht="15.75" customHeight="1">
      <c r="A371" s="7"/>
      <c r="B371" s="7"/>
      <c r="C371" s="7">
        <f>(S371*'Prestige Patterns'!$B$20)/60</f>
        <v>185</v>
      </c>
      <c r="D371" s="8">
        <f>if(L370=L371,N370*'Prestige Patterns'!$B$20+D370-F371,0)</f>
        <v>94617818890</v>
      </c>
      <c r="E371" s="9">
        <f t="shared" si="2"/>
        <v>474</v>
      </c>
      <c r="F371" s="10">
        <f>'Prestige Patterns'!$B$5*('Prestige Patterns'!$B$6^E370-'Prestige Patterns'!$B$6^(E370+G371))/(1-'Prestige Patterns'!$B$6)</f>
        <v>42130678312</v>
      </c>
      <c r="G371" s="13">
        <f>floor(LOG('Prestige Patterns'!$B$6^(E370) - (D370*(1-'Prestige Patterns'!$B$6)/'Prestige Patterns'!$B$5),'Prestige Patterns'!$B$6)-E370,1)</f>
        <v>1</v>
      </c>
      <c r="H371" s="12">
        <f t="shared" si="3"/>
        <v>5616</v>
      </c>
      <c r="I371" s="11">
        <f>1+H371*'Prestige Patterns'!$B$25</f>
        <v>57.16</v>
      </c>
      <c r="J371" s="12">
        <f>floor((K371/'Prestige Patterns'!$B$22)^'Prestige Patterns'!$B$23,1)-H370</f>
        <v>835</v>
      </c>
      <c r="K371" s="8">
        <f>K370+N370*'Prestige Patterns'!$B$20</f>
        <v>4162109304384</v>
      </c>
      <c r="L371" s="8">
        <f>if(J370&gt;='Prestige Patterns'!$B$28,if(J370/(H370+1)&gt;('Prestige Patterns'!$B$27+1),L370+1,L370),L370)</f>
        <v>6</v>
      </c>
      <c r="N371" s="12">
        <f t="shared" si="1"/>
        <v>2219527373</v>
      </c>
      <c r="O371" s="9">
        <f>'Prestige Patterns'!$B$4*E371</f>
        <v>9480</v>
      </c>
      <c r="P371" s="12">
        <f t="shared" si="4"/>
        <v>4096</v>
      </c>
      <c r="Q371" s="11"/>
      <c r="R371" s="11"/>
      <c r="S371" s="9">
        <v>370.0</v>
      </c>
      <c r="T371" s="11"/>
    </row>
    <row r="372" ht="15.75" customHeight="1">
      <c r="A372" s="7"/>
      <c r="B372" s="7"/>
      <c r="C372" s="7">
        <f>(S372*'Prestige Patterns'!$B$20)/60</f>
        <v>185.5</v>
      </c>
      <c r="D372" s="8">
        <f>if(L371=L372,N371*'Prestige Patterns'!$B$20+D371-F372,0)</f>
        <v>70517355007</v>
      </c>
      <c r="E372" s="9">
        <f t="shared" si="2"/>
        <v>476</v>
      </c>
      <c r="F372" s="10">
        <f>'Prestige Patterns'!$B$5*('Prestige Patterns'!$B$6^E371-'Prestige Patterns'!$B$6^(E371+G372))/(1-'Prestige Patterns'!$B$6)</f>
        <v>90686285067</v>
      </c>
      <c r="G372" s="13">
        <f>floor(LOG('Prestige Patterns'!$B$6^(E371) - (D371*(1-'Prestige Patterns'!$B$6)/'Prestige Patterns'!$B$5),'Prestige Patterns'!$B$6)-E371,1)</f>
        <v>2</v>
      </c>
      <c r="H372" s="12">
        <f t="shared" si="3"/>
        <v>5616</v>
      </c>
      <c r="I372" s="11">
        <f>1+H372*'Prestige Patterns'!$B$25</f>
        <v>57.16</v>
      </c>
      <c r="J372" s="12">
        <f>floor((K372/'Prestige Patterns'!$B$22)^'Prestige Patterns'!$B$23,1)-H371</f>
        <v>886</v>
      </c>
      <c r="K372" s="8">
        <f>K371+N371*'Prestige Patterns'!$B$20</f>
        <v>4228695125568</v>
      </c>
      <c r="L372" s="8">
        <f>if(J371&gt;='Prestige Patterns'!$B$28,if(J371/(H371+1)&gt;('Prestige Patterns'!$B$27+1),L371+1,L371),L371)</f>
        <v>6</v>
      </c>
      <c r="N372" s="12">
        <f t="shared" si="1"/>
        <v>2228892467</v>
      </c>
      <c r="O372" s="9">
        <f>'Prestige Patterns'!$B$4*E372</f>
        <v>9520</v>
      </c>
      <c r="P372" s="12">
        <f t="shared" si="4"/>
        <v>4096</v>
      </c>
      <c r="Q372" s="11"/>
      <c r="R372" s="11"/>
      <c r="S372" s="9">
        <v>371.0</v>
      </c>
      <c r="T372" s="11"/>
    </row>
    <row r="373" ht="15.75" customHeight="1">
      <c r="A373" s="7"/>
      <c r="B373" s="7"/>
      <c r="C373" s="7">
        <f>(S373*'Prestige Patterns'!$B$20)/60</f>
        <v>186</v>
      </c>
      <c r="D373" s="8">
        <f>if(L372=L373,N372*'Prestige Patterns'!$B$20+D372-F373,0)</f>
        <v>88612602542</v>
      </c>
      <c r="E373" s="9">
        <f t="shared" si="2"/>
        <v>477</v>
      </c>
      <c r="F373" s="10">
        <f>'Prestige Patterns'!$B$5*('Prestige Patterns'!$B$6^E372-'Prestige Patterns'!$B$6^(E372+G373))/(1-'Prestige Patterns'!$B$6)</f>
        <v>48771526481</v>
      </c>
      <c r="G373" s="13">
        <f>floor(LOG('Prestige Patterns'!$B$6^(E372) - (D372*(1-'Prestige Patterns'!$B$6)/'Prestige Patterns'!$B$5),'Prestige Patterns'!$B$6)-E372,1)</f>
        <v>1</v>
      </c>
      <c r="H373" s="12">
        <f t="shared" si="3"/>
        <v>5616</v>
      </c>
      <c r="I373" s="11">
        <f>1+H373*'Prestige Patterns'!$B$25</f>
        <v>57.16</v>
      </c>
      <c r="J373" s="12">
        <f>floor((K373/'Prestige Patterns'!$B$22)^'Prestige Patterns'!$B$23,1)-H372</f>
        <v>938</v>
      </c>
      <c r="K373" s="8">
        <f>K372+N372*'Prestige Patterns'!$B$20</f>
        <v>4295561899584</v>
      </c>
      <c r="L373" s="8">
        <f>if(J372&gt;='Prestige Patterns'!$B$28,if(J372/(H372+1)&gt;('Prestige Patterns'!$B$27+1),L372+1,L372),L372)</f>
        <v>6</v>
      </c>
      <c r="N373" s="12">
        <f t="shared" si="1"/>
        <v>2233575014</v>
      </c>
      <c r="O373" s="9">
        <f>'Prestige Patterns'!$B$4*E373</f>
        <v>9540</v>
      </c>
      <c r="P373" s="12">
        <f t="shared" si="4"/>
        <v>4096</v>
      </c>
      <c r="Q373" s="11"/>
      <c r="R373" s="11"/>
      <c r="S373" s="9">
        <v>372.0</v>
      </c>
      <c r="T373" s="11"/>
    </row>
    <row r="374" ht="15.75" customHeight="1">
      <c r="A374" s="7"/>
      <c r="B374" s="7"/>
      <c r="C374" s="7">
        <f>(S374*'Prestige Patterns'!$B$20)/60</f>
        <v>186.5</v>
      </c>
      <c r="D374" s="8">
        <f>if(L373=L374,N373*'Prestige Patterns'!$B$20+D373-F374,0)</f>
        <v>104409750169</v>
      </c>
      <c r="E374" s="9">
        <f t="shared" si="2"/>
        <v>478</v>
      </c>
      <c r="F374" s="10">
        <f>'Prestige Patterns'!$B$5*('Prestige Patterns'!$B$6^E373-'Prestige Patterns'!$B$6^(E373+G374))/(1-'Prestige Patterns'!$B$6)</f>
        <v>51210102805</v>
      </c>
      <c r="G374" s="13">
        <f>floor(LOG('Prestige Patterns'!$B$6^(E373) - (D373*(1-'Prestige Patterns'!$B$6)/'Prestige Patterns'!$B$5),'Prestige Patterns'!$B$6)-E373,1)</f>
        <v>1</v>
      </c>
      <c r="H374" s="12">
        <f t="shared" si="3"/>
        <v>5616</v>
      </c>
      <c r="I374" s="11">
        <f>1+H374*'Prestige Patterns'!$B$25</f>
        <v>57.16</v>
      </c>
      <c r="J374" s="12">
        <f>floor((K374/'Prestige Patterns'!$B$22)^'Prestige Patterns'!$B$23,1)-H373</f>
        <v>988</v>
      </c>
      <c r="K374" s="8">
        <f>K373+N373*'Prestige Patterns'!$B$20</f>
        <v>4362569150016</v>
      </c>
      <c r="L374" s="8">
        <f>if(J373&gt;='Prestige Patterns'!$B$28,if(J373/(H373+1)&gt;('Prestige Patterns'!$B$27+1),L373+1,L373),L373)</f>
        <v>6</v>
      </c>
      <c r="N374" s="12">
        <f t="shared" si="1"/>
        <v>2238257562</v>
      </c>
      <c r="O374" s="9">
        <f>'Prestige Patterns'!$B$4*E374</f>
        <v>9560</v>
      </c>
      <c r="P374" s="12">
        <f t="shared" si="4"/>
        <v>4096</v>
      </c>
      <c r="Q374" s="11"/>
      <c r="R374" s="11"/>
      <c r="S374" s="9">
        <v>373.0</v>
      </c>
      <c r="T374" s="11"/>
    </row>
    <row r="375" ht="15.75" customHeight="1">
      <c r="A375" s="7"/>
      <c r="B375" s="7"/>
      <c r="C375" s="7">
        <f>(S375*'Prestige Patterns'!$B$20)/60</f>
        <v>187</v>
      </c>
      <c r="D375" s="8">
        <f>if(L374=L375,N374*'Prestige Patterns'!$B$20+D374-F375,0)</f>
        <v>117786869071</v>
      </c>
      <c r="E375" s="9">
        <f t="shared" si="2"/>
        <v>479</v>
      </c>
      <c r="F375" s="10">
        <f>'Prestige Patterns'!$B$5*('Prestige Patterns'!$B$6^E374-'Prestige Patterns'!$B$6^(E374+G375))/(1-'Prestige Patterns'!$B$6)</f>
        <v>53770607945</v>
      </c>
      <c r="G375" s="13">
        <f>floor(LOG('Prestige Patterns'!$B$6^(E374) - (D374*(1-'Prestige Patterns'!$B$6)/'Prestige Patterns'!$B$5),'Prestige Patterns'!$B$6)-E374,1)</f>
        <v>1</v>
      </c>
      <c r="H375" s="12">
        <f t="shared" si="3"/>
        <v>5616</v>
      </c>
      <c r="I375" s="11">
        <f>1+H375*'Prestige Patterns'!$B$25</f>
        <v>57.16</v>
      </c>
      <c r="J375" s="12">
        <f>floor((K375/'Prestige Patterns'!$B$22)^'Prestige Patterns'!$B$23,1)-H374</f>
        <v>1039</v>
      </c>
      <c r="K375" s="8">
        <f>K374+N374*'Prestige Patterns'!$B$20</f>
        <v>4429716876864</v>
      </c>
      <c r="L375" s="8">
        <f>if(J374&gt;='Prestige Patterns'!$B$28,if(J374/(H374+1)&gt;('Prestige Patterns'!$B$27+1),L374+1,L374),L374)</f>
        <v>6</v>
      </c>
      <c r="N375" s="12">
        <f t="shared" si="1"/>
        <v>2242940109</v>
      </c>
      <c r="O375" s="9">
        <f>'Prestige Patterns'!$B$4*E375</f>
        <v>9580</v>
      </c>
      <c r="P375" s="12">
        <f t="shared" si="4"/>
        <v>4096</v>
      </c>
      <c r="Q375" s="11"/>
      <c r="R375" s="11"/>
      <c r="S375" s="9">
        <v>374.0</v>
      </c>
      <c r="T375" s="11"/>
    </row>
    <row r="376" ht="15.75" customHeight="1">
      <c r="A376" s="7"/>
      <c r="B376" s="7"/>
      <c r="C376" s="7">
        <f>(S376*'Prestige Patterns'!$B$20)/60</f>
        <v>187.5</v>
      </c>
      <c r="D376" s="8">
        <f>if(L375=L376,N375*'Prestige Patterns'!$B$20+D375-F376,0)</f>
        <v>69333838733</v>
      </c>
      <c r="E376" s="9">
        <f t="shared" si="2"/>
        <v>481</v>
      </c>
      <c r="F376" s="10">
        <f>'Prestige Patterns'!$B$5*('Prestige Patterns'!$B$6^E375-'Prestige Patterns'!$B$6^(E375+G376))/(1-'Prestige Patterns'!$B$6)</f>
        <v>115741233602</v>
      </c>
      <c r="G376" s="13">
        <f>floor(LOG('Prestige Patterns'!$B$6^(E375) - (D375*(1-'Prestige Patterns'!$B$6)/'Prestige Patterns'!$B$5),'Prestige Patterns'!$B$6)-E375,1)</f>
        <v>2</v>
      </c>
      <c r="H376" s="12">
        <f t="shared" si="3"/>
        <v>5616</v>
      </c>
      <c r="I376" s="11">
        <f>1+H376*'Prestige Patterns'!$B$25</f>
        <v>57.16</v>
      </c>
      <c r="J376" s="12">
        <f>floor((K376/'Prestige Patterns'!$B$22)^'Prestige Patterns'!$B$23,1)-H375</f>
        <v>1089</v>
      </c>
      <c r="K376" s="8">
        <f>K375+N375*'Prestige Patterns'!$B$20</f>
        <v>4497005080128</v>
      </c>
      <c r="L376" s="8">
        <f>if(J375&gt;='Prestige Patterns'!$B$28,if(J375/(H375+1)&gt;('Prestige Patterns'!$B$27+1),L375+1,L375),L375)</f>
        <v>6</v>
      </c>
      <c r="N376" s="12">
        <f t="shared" si="1"/>
        <v>2252305203</v>
      </c>
      <c r="O376" s="9">
        <f>'Prestige Patterns'!$B$4*E376</f>
        <v>9620</v>
      </c>
      <c r="P376" s="12">
        <f t="shared" si="4"/>
        <v>4096</v>
      </c>
      <c r="Q376" s="11"/>
      <c r="R376" s="11"/>
      <c r="S376" s="9">
        <v>375.0</v>
      </c>
      <c r="T376" s="11"/>
    </row>
    <row r="377" ht="15.75" customHeight="1">
      <c r="A377" s="7"/>
      <c r="B377" s="7"/>
      <c r="C377" s="7">
        <f>(S377*'Prestige Patterns'!$B$20)/60</f>
        <v>188</v>
      </c>
      <c r="D377" s="8">
        <f>if(L376=L377,N376*'Prestige Patterns'!$B$20+D376-F377,0)</f>
        <v>74656794806</v>
      </c>
      <c r="E377" s="9">
        <f t="shared" si="2"/>
        <v>482</v>
      </c>
      <c r="F377" s="10">
        <f>'Prestige Patterns'!$B$5*('Prestige Patterns'!$B$6^E376-'Prestige Patterns'!$B$6^(E376+G377))/(1-'Prestige Patterns'!$B$6)</f>
        <v>62246200023</v>
      </c>
      <c r="G377" s="13">
        <f>floor(LOG('Prestige Patterns'!$B$6^(E376) - (D376*(1-'Prestige Patterns'!$B$6)/'Prestige Patterns'!$B$5),'Prestige Patterns'!$B$6)-E376,1)</f>
        <v>1</v>
      </c>
      <c r="H377" s="12">
        <f t="shared" si="3"/>
        <v>5616</v>
      </c>
      <c r="I377" s="11">
        <f>1+H377*'Prestige Patterns'!$B$25</f>
        <v>57.16</v>
      </c>
      <c r="J377" s="12">
        <f>floor((K377/'Prestige Patterns'!$B$22)^'Prestige Patterns'!$B$23,1)-H376</f>
        <v>1140</v>
      </c>
      <c r="K377" s="8">
        <f>K376+N376*'Prestige Patterns'!$B$20</f>
        <v>4564574236224</v>
      </c>
      <c r="L377" s="8">
        <f>if(J376&gt;='Prestige Patterns'!$B$28,if(J376/(H376+1)&gt;('Prestige Patterns'!$B$27+1),L376+1,L376),L376)</f>
        <v>6</v>
      </c>
      <c r="N377" s="12">
        <f t="shared" si="1"/>
        <v>2256987750</v>
      </c>
      <c r="O377" s="9">
        <f>'Prestige Patterns'!$B$4*E377</f>
        <v>9640</v>
      </c>
      <c r="P377" s="12">
        <f t="shared" si="4"/>
        <v>4096</v>
      </c>
      <c r="Q377" s="11"/>
      <c r="R377" s="11"/>
      <c r="S377" s="9">
        <v>376.0</v>
      </c>
      <c r="T377" s="11"/>
    </row>
    <row r="378" ht="15.75" customHeight="1">
      <c r="A378" s="7"/>
      <c r="B378" s="7"/>
      <c r="C378" s="7">
        <f>(S378*'Prestige Patterns'!$B$20)/60</f>
        <v>188.5</v>
      </c>
      <c r="D378" s="8">
        <f>if(L377=L378,N377*'Prestige Patterns'!$B$20+D377-F378,0)</f>
        <v>77007917294</v>
      </c>
      <c r="E378" s="9">
        <f t="shared" si="2"/>
        <v>483</v>
      </c>
      <c r="F378" s="10">
        <f>'Prestige Patterns'!$B$5*('Prestige Patterns'!$B$6^E377-'Prestige Patterns'!$B$6^(E377+G378))/(1-'Prestige Patterns'!$B$6)</f>
        <v>65358510024</v>
      </c>
      <c r="G378" s="13">
        <f>floor(LOG('Prestige Patterns'!$B$6^(E377) - (D377*(1-'Prestige Patterns'!$B$6)/'Prestige Patterns'!$B$5),'Prestige Patterns'!$B$6)-E377,1)</f>
        <v>1</v>
      </c>
      <c r="H378" s="12">
        <f t="shared" si="3"/>
        <v>5616</v>
      </c>
      <c r="I378" s="11">
        <f>1+H378*'Prestige Patterns'!$B$25</f>
        <v>57.16</v>
      </c>
      <c r="J378" s="12">
        <f>floor((K378/'Prestige Patterns'!$B$22)^'Prestige Patterns'!$B$23,1)-H377</f>
        <v>1190</v>
      </c>
      <c r="K378" s="8">
        <f>K377+N377*'Prestige Patterns'!$B$20</f>
        <v>4632283868736</v>
      </c>
      <c r="L378" s="8">
        <f>if(J377&gt;='Prestige Patterns'!$B$28,if(J377/(H377+1)&gt;('Prestige Patterns'!$B$27+1),L377+1,L377),L377)</f>
        <v>6</v>
      </c>
      <c r="N378" s="12">
        <f t="shared" si="1"/>
        <v>2261670298</v>
      </c>
      <c r="O378" s="9">
        <f>'Prestige Patterns'!$B$4*E378</f>
        <v>9660</v>
      </c>
      <c r="P378" s="12">
        <f t="shared" si="4"/>
        <v>4096</v>
      </c>
      <c r="Q378" s="11"/>
      <c r="R378" s="11"/>
      <c r="S378" s="9">
        <v>377.0</v>
      </c>
      <c r="T378" s="11"/>
    </row>
    <row r="379" ht="15.75" customHeight="1">
      <c r="A379" s="7"/>
      <c r="B379" s="7"/>
      <c r="C379" s="7">
        <f>(S379*'Prestige Patterns'!$B$20)/60</f>
        <v>189</v>
      </c>
      <c r="D379" s="8">
        <f>if(L378=L379,N378*'Prestige Patterns'!$B$20+D378-F379,0)</f>
        <v>76231590697</v>
      </c>
      <c r="E379" s="9">
        <f t="shared" si="2"/>
        <v>484</v>
      </c>
      <c r="F379" s="10">
        <f>'Prestige Patterns'!$B$5*('Prestige Patterns'!$B$6^E378-'Prestige Patterns'!$B$6^(E378+G379))/(1-'Prestige Patterns'!$B$6)</f>
        <v>68626435525</v>
      </c>
      <c r="G379" s="13">
        <f>floor(LOG('Prestige Patterns'!$B$6^(E378) - (D378*(1-'Prestige Patterns'!$B$6)/'Prestige Patterns'!$B$5),'Prestige Patterns'!$B$6)-E378,1)</f>
        <v>1</v>
      </c>
      <c r="H379" s="12">
        <f t="shared" si="3"/>
        <v>5616</v>
      </c>
      <c r="I379" s="11">
        <f>1+H379*'Prestige Patterns'!$B$25</f>
        <v>57.16</v>
      </c>
      <c r="J379" s="12">
        <f>floor((K379/'Prestige Patterns'!$B$22)^'Prestige Patterns'!$B$23,1)-H378</f>
        <v>1239</v>
      </c>
      <c r="K379" s="8">
        <f>K378+N378*'Prestige Patterns'!$B$20</f>
        <v>4700133977664</v>
      </c>
      <c r="L379" s="8">
        <f>if(J378&gt;='Prestige Patterns'!$B$28,if(J378/(H378+1)&gt;('Prestige Patterns'!$B$27+1),L378+1,L378),L378)</f>
        <v>6</v>
      </c>
      <c r="N379" s="12">
        <f t="shared" si="1"/>
        <v>2266352845</v>
      </c>
      <c r="O379" s="9">
        <f>'Prestige Patterns'!$B$4*E379</f>
        <v>9680</v>
      </c>
      <c r="P379" s="12">
        <f t="shared" si="4"/>
        <v>4096</v>
      </c>
      <c r="Q379" s="11"/>
      <c r="R379" s="11"/>
      <c r="S379" s="9">
        <v>378.0</v>
      </c>
      <c r="T379" s="11"/>
    </row>
    <row r="380" ht="15.75" customHeight="1">
      <c r="A380" s="7"/>
      <c r="B380" s="7"/>
      <c r="C380" s="7">
        <f>(S380*'Prestige Patterns'!$B$20)/60</f>
        <v>189.5</v>
      </c>
      <c r="D380" s="8">
        <f>if(L379=L380,N379*'Prestige Patterns'!$B$20+D379-F380,0)</f>
        <v>72164418740</v>
      </c>
      <c r="E380" s="9">
        <f t="shared" si="2"/>
        <v>485</v>
      </c>
      <c r="F380" s="10">
        <f>'Prestige Patterns'!$B$5*('Prestige Patterns'!$B$6^E379-'Prestige Patterns'!$B$6^(E379+G380))/(1-'Prestige Patterns'!$B$6)</f>
        <v>72057757301</v>
      </c>
      <c r="G380" s="13">
        <f>floor(LOG('Prestige Patterns'!$B$6^(E379) - (D379*(1-'Prestige Patterns'!$B$6)/'Prestige Patterns'!$B$5),'Prestige Patterns'!$B$6)-E379,1)</f>
        <v>1</v>
      </c>
      <c r="H380" s="12">
        <f t="shared" si="3"/>
        <v>5616</v>
      </c>
      <c r="I380" s="11">
        <f>1+H380*'Prestige Patterns'!$B$25</f>
        <v>57.16</v>
      </c>
      <c r="J380" s="12">
        <f>floor((K380/'Prestige Patterns'!$B$22)^'Prestige Patterns'!$B$23,1)-H379</f>
        <v>1289</v>
      </c>
      <c r="K380" s="8">
        <f>K379+N379*'Prestige Patterns'!$B$20</f>
        <v>4768124563008</v>
      </c>
      <c r="L380" s="8">
        <f>if(J379&gt;='Prestige Patterns'!$B$28,if(J379/(H379+1)&gt;('Prestige Patterns'!$B$27+1),L379+1,L379),L379)</f>
        <v>6</v>
      </c>
      <c r="N380" s="12">
        <f t="shared" si="1"/>
        <v>2271035392</v>
      </c>
      <c r="O380" s="9">
        <f>'Prestige Patterns'!$B$4*E380</f>
        <v>9700</v>
      </c>
      <c r="P380" s="12">
        <f t="shared" si="4"/>
        <v>4096</v>
      </c>
      <c r="Q380" s="11"/>
      <c r="R380" s="11"/>
      <c r="S380" s="9">
        <v>379.0</v>
      </c>
      <c r="T380" s="11"/>
    </row>
    <row r="381" ht="15.75" customHeight="1">
      <c r="A381" s="7"/>
      <c r="B381" s="7"/>
      <c r="C381" s="7">
        <f>(S381*'Prestige Patterns'!$B$20)/60</f>
        <v>190</v>
      </c>
      <c r="D381" s="8">
        <f>if(L380=L381,N380*'Prestige Patterns'!$B$20+D380-F381,0)</f>
        <v>140295480500</v>
      </c>
      <c r="E381" s="9">
        <f t="shared" si="2"/>
        <v>485</v>
      </c>
      <c r="F381" s="10">
        <f>'Prestige Patterns'!$B$5*('Prestige Patterns'!$B$6^E380-'Prestige Patterns'!$B$6^(E380+G381))/(1-'Prestige Patterns'!$B$6)</f>
        <v>0</v>
      </c>
      <c r="G381" s="13">
        <f>floor(LOG('Prestige Patterns'!$B$6^(E380) - (D380*(1-'Prestige Patterns'!$B$6)/'Prestige Patterns'!$B$5),'Prestige Patterns'!$B$6)-E380,1)</f>
        <v>0</v>
      </c>
      <c r="H381" s="12">
        <f t="shared" si="3"/>
        <v>5616</v>
      </c>
      <c r="I381" s="11">
        <f>1+H381*'Prestige Patterns'!$B$25</f>
        <v>57.16</v>
      </c>
      <c r="J381" s="12">
        <f>floor((K381/'Prestige Patterns'!$B$22)^'Prestige Patterns'!$B$23,1)-H380</f>
        <v>1338</v>
      </c>
      <c r="K381" s="8">
        <f>K380+N380*'Prestige Patterns'!$B$20</f>
        <v>4836255624768</v>
      </c>
      <c r="L381" s="8">
        <f>if(J380&gt;='Prestige Patterns'!$B$28,if(J380/(H380+1)&gt;('Prestige Patterns'!$B$27+1),L380+1,L380),L380)</f>
        <v>6</v>
      </c>
      <c r="N381" s="12">
        <f t="shared" si="1"/>
        <v>2271035392</v>
      </c>
      <c r="O381" s="9">
        <f>'Prestige Patterns'!$B$4*E381</f>
        <v>9700</v>
      </c>
      <c r="P381" s="12">
        <f t="shared" si="4"/>
        <v>4096</v>
      </c>
      <c r="Q381" s="11"/>
      <c r="R381" s="11"/>
      <c r="S381" s="9">
        <v>380.0</v>
      </c>
      <c r="T381" s="11"/>
    </row>
    <row r="382" ht="15.75" customHeight="1">
      <c r="A382" s="7"/>
      <c r="B382" s="7"/>
      <c r="C382" s="7">
        <f>(S382*'Prestige Patterns'!$B$20)/60</f>
        <v>190.5</v>
      </c>
      <c r="D382" s="8">
        <f>if(L381=L382,N381*'Prestige Patterns'!$B$20+D381-F382,0)</f>
        <v>132765897094</v>
      </c>
      <c r="E382" s="9">
        <f t="shared" si="2"/>
        <v>486</v>
      </c>
      <c r="F382" s="10">
        <f>'Prestige Patterns'!$B$5*('Prestige Patterns'!$B$6^E381-'Prestige Patterns'!$B$6^(E381+G382))/(1-'Prestige Patterns'!$B$6)</f>
        <v>75660645166</v>
      </c>
      <c r="G382" s="13">
        <f>floor(LOG('Prestige Patterns'!$B$6^(E381) - (D381*(1-'Prestige Patterns'!$B$6)/'Prestige Patterns'!$B$5),'Prestige Patterns'!$B$6)-E381,1)</f>
        <v>1</v>
      </c>
      <c r="H382" s="12">
        <f t="shared" si="3"/>
        <v>5616</v>
      </c>
      <c r="I382" s="11">
        <f>1+H382*'Prestige Patterns'!$B$25</f>
        <v>57.16</v>
      </c>
      <c r="J382" s="12">
        <f>floor((K382/'Prestige Patterns'!$B$22)^'Prestige Patterns'!$B$23,1)-H381</f>
        <v>1387</v>
      </c>
      <c r="K382" s="8">
        <f>K381+N381*'Prestige Patterns'!$B$20</f>
        <v>4904386686528</v>
      </c>
      <c r="L382" s="8">
        <f>if(J381&gt;='Prestige Patterns'!$B$28,if(J381/(H381+1)&gt;('Prestige Patterns'!$B$27+1),L381+1,L381),L381)</f>
        <v>6</v>
      </c>
      <c r="N382" s="12">
        <f t="shared" si="1"/>
        <v>2275717939</v>
      </c>
      <c r="O382" s="9">
        <f>'Prestige Patterns'!$B$4*E382</f>
        <v>9720</v>
      </c>
      <c r="P382" s="12">
        <f t="shared" si="4"/>
        <v>4096</v>
      </c>
      <c r="Q382" s="11"/>
      <c r="R382" s="11"/>
      <c r="S382" s="9">
        <v>381.0</v>
      </c>
      <c r="T382" s="11"/>
    </row>
    <row r="383" ht="15.75" customHeight="1">
      <c r="A383" s="7"/>
      <c r="B383" s="7"/>
      <c r="C383" s="7">
        <f>(S383*'Prestige Patterns'!$B$20)/60</f>
        <v>191</v>
      </c>
      <c r="D383" s="8">
        <f>if(L382=L383,N382*'Prestige Patterns'!$B$20+D382-F383,0)</f>
        <v>121593757845</v>
      </c>
      <c r="E383" s="9">
        <f t="shared" si="2"/>
        <v>487</v>
      </c>
      <c r="F383" s="10">
        <f>'Prestige Patterns'!$B$5*('Prestige Patterns'!$B$6^E382-'Prestige Patterns'!$B$6^(E382+G383))/(1-'Prestige Patterns'!$B$6)</f>
        <v>79443677425</v>
      </c>
      <c r="G383" s="13">
        <f>floor(LOG('Prestige Patterns'!$B$6^(E382) - (D382*(1-'Prestige Patterns'!$B$6)/'Prestige Patterns'!$B$5),'Prestige Patterns'!$B$6)-E382,1)</f>
        <v>1</v>
      </c>
      <c r="H383" s="12">
        <f t="shared" si="3"/>
        <v>5616</v>
      </c>
      <c r="I383" s="11">
        <f>1+H383*'Prestige Patterns'!$B$25</f>
        <v>57.16</v>
      </c>
      <c r="J383" s="12">
        <f>floor((K383/'Prestige Patterns'!$B$22)^'Prestige Patterns'!$B$23,1)-H382</f>
        <v>1435</v>
      </c>
      <c r="K383" s="8">
        <f>K382+N382*'Prestige Patterns'!$B$20</f>
        <v>4972658224704</v>
      </c>
      <c r="L383" s="8">
        <f>if(J382&gt;='Prestige Patterns'!$B$28,if(J382/(H382+1)&gt;('Prestige Patterns'!$B$27+1),L382+1,L382),L382)</f>
        <v>6</v>
      </c>
      <c r="N383" s="12">
        <f t="shared" si="1"/>
        <v>2280400486</v>
      </c>
      <c r="O383" s="9">
        <f>'Prestige Patterns'!$B$4*E383</f>
        <v>9740</v>
      </c>
      <c r="P383" s="12">
        <f t="shared" si="4"/>
        <v>4096</v>
      </c>
      <c r="Q383" s="11"/>
      <c r="R383" s="11"/>
      <c r="S383" s="9">
        <v>382.0</v>
      </c>
      <c r="T383" s="11"/>
    </row>
    <row r="384" ht="15.75" customHeight="1">
      <c r="A384" s="7"/>
      <c r="B384" s="7"/>
      <c r="C384" s="7">
        <f>(S384*'Prestige Patterns'!$B$20)/60</f>
        <v>191.5</v>
      </c>
      <c r="D384" s="8">
        <f>if(L383=L384,N383*'Prestige Patterns'!$B$20+D383-F384,0)</f>
        <v>106589911141</v>
      </c>
      <c r="E384" s="9">
        <f t="shared" si="2"/>
        <v>488</v>
      </c>
      <c r="F384" s="10">
        <f>'Prestige Patterns'!$B$5*('Prestige Patterns'!$B$6^E383-'Prestige Patterns'!$B$6^(E383+G384))/(1-'Prestige Patterns'!$B$6)</f>
        <v>83415861296</v>
      </c>
      <c r="G384" s="13">
        <f>floor(LOG('Prestige Patterns'!$B$6^(E383) - (D383*(1-'Prestige Patterns'!$B$6)/'Prestige Patterns'!$B$5),'Prestige Patterns'!$B$6)-E383,1)</f>
        <v>1</v>
      </c>
      <c r="H384" s="12">
        <f t="shared" si="3"/>
        <v>5616</v>
      </c>
      <c r="I384" s="11">
        <f>1+H384*'Prestige Patterns'!$B$25</f>
        <v>57.16</v>
      </c>
      <c r="J384" s="12">
        <f>floor((K384/'Prestige Patterns'!$B$22)^'Prestige Patterns'!$B$23,1)-H383</f>
        <v>1484</v>
      </c>
      <c r="K384" s="8">
        <f>K383+N383*'Prestige Patterns'!$B$20</f>
        <v>5041070239296</v>
      </c>
      <c r="L384" s="8">
        <f>if(J383&gt;='Prestige Patterns'!$B$28,if(J383/(H383+1)&gt;('Prestige Patterns'!$B$27+1),L383+1,L383),L383)</f>
        <v>6</v>
      </c>
      <c r="N384" s="12">
        <f t="shared" si="1"/>
        <v>2285083034</v>
      </c>
      <c r="O384" s="9">
        <f>'Prestige Patterns'!$B$4*E384</f>
        <v>9760</v>
      </c>
      <c r="P384" s="12">
        <f t="shared" si="4"/>
        <v>4096</v>
      </c>
      <c r="Q384" s="11"/>
      <c r="R384" s="11"/>
      <c r="S384" s="9">
        <v>383.0</v>
      </c>
      <c r="T384" s="11"/>
    </row>
    <row r="385" ht="15.75" customHeight="1">
      <c r="A385" s="7"/>
      <c r="B385" s="7"/>
      <c r="C385" s="7">
        <f>(S385*'Prestige Patterns'!$B$20)/60</f>
        <v>192</v>
      </c>
      <c r="D385" s="8">
        <f>if(L384=L385,N384*'Prestige Patterns'!$B$20+D384-F385,0)</f>
        <v>87555747788</v>
      </c>
      <c r="E385" s="9">
        <f t="shared" si="2"/>
        <v>489</v>
      </c>
      <c r="F385" s="10">
        <f>'Prestige Patterns'!$B$5*('Prestige Patterns'!$B$6^E384-'Prestige Patterns'!$B$6^(E384+G385))/(1-'Prestige Patterns'!$B$6)</f>
        <v>87586654361</v>
      </c>
      <c r="G385" s="13">
        <f>floor(LOG('Prestige Patterns'!$B$6^(E384) - (D384*(1-'Prestige Patterns'!$B$6)/'Prestige Patterns'!$B$5),'Prestige Patterns'!$B$6)-E384,1)</f>
        <v>1</v>
      </c>
      <c r="H385" s="12">
        <f t="shared" si="3"/>
        <v>5616</v>
      </c>
      <c r="I385" s="11">
        <f>1+H385*'Prestige Patterns'!$B$25</f>
        <v>57.16</v>
      </c>
      <c r="J385" s="12">
        <f>floor((K385/'Prestige Patterns'!$B$22)^'Prestige Patterns'!$B$23,1)-H384</f>
        <v>1532</v>
      </c>
      <c r="K385" s="8">
        <f>K384+N384*'Prestige Patterns'!$B$20</f>
        <v>5109622730304</v>
      </c>
      <c r="L385" s="8">
        <f>if(J384&gt;='Prestige Patterns'!$B$28,if(J384/(H384+1)&gt;('Prestige Patterns'!$B$27+1),L384+1,L384),L384)</f>
        <v>6</v>
      </c>
      <c r="N385" s="12">
        <f t="shared" si="1"/>
        <v>2289765581</v>
      </c>
      <c r="O385" s="9">
        <f>'Prestige Patterns'!$B$4*E385</f>
        <v>9780</v>
      </c>
      <c r="P385" s="12">
        <f t="shared" si="4"/>
        <v>4096</v>
      </c>
      <c r="Q385" s="11"/>
      <c r="R385" s="11"/>
      <c r="S385" s="9">
        <v>384.0</v>
      </c>
      <c r="T385" s="11"/>
    </row>
    <row r="386" ht="15.75" customHeight="1">
      <c r="A386" s="7"/>
      <c r="B386" s="7"/>
      <c r="C386" s="7">
        <f>(S386*'Prestige Patterns'!$B$20)/60</f>
        <v>192.5</v>
      </c>
      <c r="D386" s="8">
        <f>if(L385=L386,N385*'Prestige Patterns'!$B$20+D385-F386,0)</f>
        <v>156248715212</v>
      </c>
      <c r="E386" s="9">
        <f t="shared" si="2"/>
        <v>489</v>
      </c>
      <c r="F386" s="10">
        <f>'Prestige Patterns'!$B$5*('Prestige Patterns'!$B$6^E385-'Prestige Patterns'!$B$6^(E385+G386))/(1-'Prestige Patterns'!$B$6)</f>
        <v>0</v>
      </c>
      <c r="G386" s="13">
        <f>floor(LOG('Prestige Patterns'!$B$6^(E385) - (D385*(1-'Prestige Patterns'!$B$6)/'Prestige Patterns'!$B$5),'Prestige Patterns'!$B$6)-E385,1)</f>
        <v>0</v>
      </c>
      <c r="H386" s="12">
        <f t="shared" si="3"/>
        <v>5616</v>
      </c>
      <c r="I386" s="11">
        <f>1+H386*'Prestige Patterns'!$B$25</f>
        <v>57.16</v>
      </c>
      <c r="J386" s="12">
        <f>floor((K386/'Prestige Patterns'!$B$22)^'Prestige Patterns'!$B$23,1)-H385</f>
        <v>1580</v>
      </c>
      <c r="K386" s="8">
        <f>K385+N385*'Prestige Patterns'!$B$20</f>
        <v>5178315697728</v>
      </c>
      <c r="L386" s="8">
        <f>if(J385&gt;='Prestige Patterns'!$B$28,if(J385/(H385+1)&gt;('Prestige Patterns'!$B$27+1),L385+1,L385),L385)</f>
        <v>6</v>
      </c>
      <c r="N386" s="12">
        <f t="shared" si="1"/>
        <v>2289765581</v>
      </c>
      <c r="O386" s="9">
        <f>'Prestige Patterns'!$B$4*E386</f>
        <v>9780</v>
      </c>
      <c r="P386" s="12">
        <f t="shared" si="4"/>
        <v>4096</v>
      </c>
      <c r="Q386" s="11"/>
      <c r="R386" s="11"/>
      <c r="S386" s="9">
        <v>385.0</v>
      </c>
      <c r="T386" s="11"/>
    </row>
    <row r="387" ht="15.75" customHeight="1">
      <c r="A387" s="7"/>
      <c r="B387" s="7"/>
      <c r="C387" s="7">
        <f>(S387*'Prestige Patterns'!$B$20)/60</f>
        <v>193</v>
      </c>
      <c r="D387" s="8">
        <f>if(L386=L387,N386*'Prestige Patterns'!$B$20+D386-F387,0)</f>
        <v>132975695557</v>
      </c>
      <c r="E387" s="9">
        <f t="shared" si="2"/>
        <v>490</v>
      </c>
      <c r="F387" s="10">
        <f>'Prestige Patterns'!$B$5*('Prestige Patterns'!$B$6^E386-'Prestige Patterns'!$B$6^(E386+G387))/(1-'Prestige Patterns'!$B$6)</f>
        <v>91965987079</v>
      </c>
      <c r="G387" s="13">
        <f>floor(LOG('Prestige Patterns'!$B$6^(E386) - (D386*(1-'Prestige Patterns'!$B$6)/'Prestige Patterns'!$B$5),'Prestige Patterns'!$B$6)-E386,1)</f>
        <v>1</v>
      </c>
      <c r="H387" s="12">
        <f t="shared" si="3"/>
        <v>5616</v>
      </c>
      <c r="I387" s="11">
        <f>1+H387*'Prestige Patterns'!$B$25</f>
        <v>57.16</v>
      </c>
      <c r="J387" s="12">
        <f>floor((K387/'Prestige Patterns'!$B$22)^'Prestige Patterns'!$B$23,1)-H386</f>
        <v>1627</v>
      </c>
      <c r="K387" s="8">
        <f>K386+N386*'Prestige Patterns'!$B$20</f>
        <v>5247008665152</v>
      </c>
      <c r="L387" s="8">
        <f>if(J386&gt;='Prestige Patterns'!$B$28,if(J386/(H386+1)&gt;('Prestige Patterns'!$B$27+1),L386+1,L386),L386)</f>
        <v>6</v>
      </c>
      <c r="N387" s="12">
        <f t="shared" si="1"/>
        <v>2294448128</v>
      </c>
      <c r="O387" s="9">
        <f>'Prestige Patterns'!$B$4*E387</f>
        <v>9800</v>
      </c>
      <c r="P387" s="12">
        <f t="shared" si="4"/>
        <v>4096</v>
      </c>
      <c r="Q387" s="11"/>
      <c r="R387" s="11"/>
      <c r="S387" s="9">
        <v>386.0</v>
      </c>
      <c r="T387" s="11"/>
    </row>
    <row r="388" ht="15.75" customHeight="1">
      <c r="A388" s="7"/>
      <c r="B388" s="7"/>
      <c r="C388" s="7">
        <f>(S388*'Prestige Patterns'!$B$20)/60</f>
        <v>193.5</v>
      </c>
      <c r="D388" s="8">
        <f>if(L387=L388,N387*'Prestige Patterns'!$B$20+D387-F388,0)</f>
        <v>105244852965</v>
      </c>
      <c r="E388" s="9">
        <f t="shared" si="2"/>
        <v>491</v>
      </c>
      <c r="F388" s="10">
        <f>'Prestige Patterns'!$B$5*('Prestige Patterns'!$B$6^E387-'Prestige Patterns'!$B$6^(E387+G388))/(1-'Prestige Patterns'!$B$6)</f>
        <v>96564286433</v>
      </c>
      <c r="G388" s="13">
        <f>floor(LOG('Prestige Patterns'!$B$6^(E387) - (D387*(1-'Prestige Patterns'!$B$6)/'Prestige Patterns'!$B$5),'Prestige Patterns'!$B$6)-E387,1)</f>
        <v>1</v>
      </c>
      <c r="H388" s="12">
        <f t="shared" si="3"/>
        <v>5616</v>
      </c>
      <c r="I388" s="11">
        <f>1+H388*'Prestige Patterns'!$B$25</f>
        <v>57.16</v>
      </c>
      <c r="J388" s="12">
        <f>floor((K388/'Prestige Patterns'!$B$22)^'Prestige Patterns'!$B$23,1)-H387</f>
        <v>1674</v>
      </c>
      <c r="K388" s="8">
        <f>K387+N387*'Prestige Patterns'!$B$20</f>
        <v>5315842108992</v>
      </c>
      <c r="L388" s="8">
        <f>if(J387&gt;='Prestige Patterns'!$B$28,if(J387/(H387+1)&gt;('Prestige Patterns'!$B$27+1),L387+1,L387),L387)</f>
        <v>6</v>
      </c>
      <c r="N388" s="12">
        <f t="shared" si="1"/>
        <v>2299130675</v>
      </c>
      <c r="O388" s="9">
        <f>'Prestige Patterns'!$B$4*E388</f>
        <v>9820</v>
      </c>
      <c r="P388" s="12">
        <f t="shared" si="4"/>
        <v>4096</v>
      </c>
      <c r="Q388" s="11"/>
      <c r="R388" s="11"/>
      <c r="S388" s="9">
        <v>387.0</v>
      </c>
      <c r="T388" s="11"/>
    </row>
    <row r="389" ht="15.75" customHeight="1">
      <c r="A389" s="7"/>
      <c r="B389" s="7"/>
      <c r="C389" s="7">
        <f>(S389*'Prestige Patterns'!$B$20)/60</f>
        <v>194</v>
      </c>
      <c r="D389" s="8">
        <f>if(L388=L389,N388*'Prestige Patterns'!$B$20+D388-F389,0)</f>
        <v>72826272466</v>
      </c>
      <c r="E389" s="9">
        <f t="shared" si="2"/>
        <v>492</v>
      </c>
      <c r="F389" s="10">
        <f>'Prestige Patterns'!$B$5*('Prestige Patterns'!$B$6^E388-'Prestige Patterns'!$B$6^(E388+G389))/(1-'Prestige Patterns'!$B$6)</f>
        <v>101392500754</v>
      </c>
      <c r="G389" s="13">
        <f>floor(LOG('Prestige Patterns'!$B$6^(E388) - (D388*(1-'Prestige Patterns'!$B$6)/'Prestige Patterns'!$B$5),'Prestige Patterns'!$B$6)-E388,1)</f>
        <v>1</v>
      </c>
      <c r="H389" s="12">
        <f t="shared" si="3"/>
        <v>5616</v>
      </c>
      <c r="I389" s="11">
        <f>1+H389*'Prestige Patterns'!$B$25</f>
        <v>57.16</v>
      </c>
      <c r="J389" s="12">
        <f>floor((K389/'Prestige Patterns'!$B$22)^'Prestige Patterns'!$B$23,1)-H388</f>
        <v>1722</v>
      </c>
      <c r="K389" s="8">
        <f>K388+N388*'Prestige Patterns'!$B$20</f>
        <v>5384816029248</v>
      </c>
      <c r="L389" s="8">
        <f>if(J388&gt;='Prestige Patterns'!$B$28,if(J388/(H388+1)&gt;('Prestige Patterns'!$B$27+1),L388+1,L388),L388)</f>
        <v>6</v>
      </c>
      <c r="N389" s="12">
        <f t="shared" si="1"/>
        <v>2303813222</v>
      </c>
      <c r="O389" s="9">
        <f>'Prestige Patterns'!$B$4*E389</f>
        <v>9840</v>
      </c>
      <c r="P389" s="12">
        <f t="shared" si="4"/>
        <v>4096</v>
      </c>
      <c r="Q389" s="11"/>
      <c r="R389" s="11"/>
      <c r="S389" s="9">
        <v>388.0</v>
      </c>
      <c r="T389" s="11"/>
    </row>
    <row r="390" ht="15.75" customHeight="1">
      <c r="A390" s="7"/>
      <c r="B390" s="7"/>
      <c r="C390" s="7">
        <f>(S390*'Prestige Patterns'!$B$20)/60</f>
        <v>194.5</v>
      </c>
      <c r="D390" s="8">
        <f>if(L389=L390,N389*'Prestige Patterns'!$B$20+D389-F390,0)</f>
        <v>141940669138</v>
      </c>
      <c r="E390" s="9">
        <f t="shared" si="2"/>
        <v>492</v>
      </c>
      <c r="F390" s="10">
        <f>'Prestige Patterns'!$B$5*('Prestige Patterns'!$B$6^E389-'Prestige Patterns'!$B$6^(E389+G390))/(1-'Prestige Patterns'!$B$6)</f>
        <v>0</v>
      </c>
      <c r="G390" s="13">
        <f>floor(LOG('Prestige Patterns'!$B$6^(E389) - (D389*(1-'Prestige Patterns'!$B$6)/'Prestige Patterns'!$B$5),'Prestige Patterns'!$B$6)-E389,1)</f>
        <v>0</v>
      </c>
      <c r="H390" s="12">
        <f t="shared" si="3"/>
        <v>5616</v>
      </c>
      <c r="I390" s="11">
        <f>1+H390*'Prestige Patterns'!$B$25</f>
        <v>57.16</v>
      </c>
      <c r="J390" s="12">
        <f>floor((K390/'Prestige Patterns'!$B$22)^'Prestige Patterns'!$B$23,1)-H389</f>
        <v>1769</v>
      </c>
      <c r="K390" s="8">
        <f>K389+N389*'Prestige Patterns'!$B$20</f>
        <v>5453930425920</v>
      </c>
      <c r="L390" s="8">
        <f>if(J389&gt;='Prestige Patterns'!$B$28,if(J389/(H389+1)&gt;('Prestige Patterns'!$B$27+1),L389+1,L389),L389)</f>
        <v>6</v>
      </c>
      <c r="N390" s="12">
        <f t="shared" si="1"/>
        <v>2303813222</v>
      </c>
      <c r="O390" s="9">
        <f>'Prestige Patterns'!$B$4*E390</f>
        <v>9840</v>
      </c>
      <c r="P390" s="12">
        <f t="shared" si="4"/>
        <v>4096</v>
      </c>
      <c r="Q390" s="11"/>
      <c r="R390" s="11"/>
      <c r="S390" s="9">
        <v>389.0</v>
      </c>
      <c r="T390" s="11"/>
    </row>
    <row r="391" ht="15.75" customHeight="1">
      <c r="A391" s="7"/>
      <c r="B391" s="7"/>
      <c r="C391" s="7">
        <f>(S391*'Prestige Patterns'!$B$20)/60</f>
        <v>195</v>
      </c>
      <c r="D391" s="8">
        <f>if(L390=L391,N390*'Prestige Patterns'!$B$20+D390-F391,0)</f>
        <v>104592940018</v>
      </c>
      <c r="E391" s="9">
        <f t="shared" si="2"/>
        <v>493</v>
      </c>
      <c r="F391" s="10">
        <f>'Prestige Patterns'!$B$5*('Prestige Patterns'!$B$6^E390-'Prestige Patterns'!$B$6^(E390+G391))/(1-'Prestige Patterns'!$B$6)</f>
        <v>106462125792</v>
      </c>
      <c r="G391" s="13">
        <f>floor(LOG('Prestige Patterns'!$B$6^(E390) - (D390*(1-'Prestige Patterns'!$B$6)/'Prestige Patterns'!$B$5),'Prestige Patterns'!$B$6)-E390,1)</f>
        <v>1</v>
      </c>
      <c r="H391" s="12">
        <f t="shared" si="3"/>
        <v>5616</v>
      </c>
      <c r="I391" s="11">
        <f>1+H391*'Prestige Patterns'!$B$25</f>
        <v>57.16</v>
      </c>
      <c r="J391" s="12">
        <f>floor((K391/'Prestige Patterns'!$B$22)^'Prestige Patterns'!$B$23,1)-H390</f>
        <v>1815</v>
      </c>
      <c r="K391" s="8">
        <f>K390+N390*'Prestige Patterns'!$B$20</f>
        <v>5523044822592</v>
      </c>
      <c r="L391" s="8">
        <f>if(J390&gt;='Prestige Patterns'!$B$28,if(J390/(H390+1)&gt;('Prestige Patterns'!$B$27+1),L390+1,L390),L390)</f>
        <v>6</v>
      </c>
      <c r="N391" s="12">
        <f t="shared" si="1"/>
        <v>2308495770</v>
      </c>
      <c r="O391" s="9">
        <f>'Prestige Patterns'!$B$4*E391</f>
        <v>9860</v>
      </c>
      <c r="P391" s="12">
        <f t="shared" si="4"/>
        <v>4096</v>
      </c>
      <c r="Q391" s="11"/>
      <c r="R391" s="11"/>
      <c r="S391" s="9">
        <v>390.0</v>
      </c>
      <c r="T391" s="11"/>
    </row>
    <row r="392" ht="15.75" customHeight="1">
      <c r="A392" s="7"/>
      <c r="B392" s="7"/>
      <c r="C392" s="7">
        <f>(S392*'Prestige Patterns'!$B$20)/60</f>
        <v>195.5</v>
      </c>
      <c r="D392" s="8">
        <f>if(L391=L392,N391*'Prestige Patterns'!$B$20+D391-F392,0)</f>
        <v>173847813106</v>
      </c>
      <c r="E392" s="9">
        <f t="shared" si="2"/>
        <v>493</v>
      </c>
      <c r="F392" s="10">
        <f>'Prestige Patterns'!$B$5*('Prestige Patterns'!$B$6^E391-'Prestige Patterns'!$B$6^(E391+G392))/(1-'Prestige Patterns'!$B$6)</f>
        <v>0</v>
      </c>
      <c r="G392" s="13">
        <f>floor(LOG('Prestige Patterns'!$B$6^(E391) - (D391*(1-'Prestige Patterns'!$B$6)/'Prestige Patterns'!$B$5),'Prestige Patterns'!$B$6)-E391,1)</f>
        <v>0</v>
      </c>
      <c r="H392" s="12">
        <f t="shared" si="3"/>
        <v>5616</v>
      </c>
      <c r="I392" s="11">
        <f>1+H392*'Prestige Patterns'!$B$25</f>
        <v>57.16</v>
      </c>
      <c r="J392" s="12">
        <f>floor((K392/'Prestige Patterns'!$B$22)^'Prestige Patterns'!$B$23,1)-H391</f>
        <v>1862</v>
      </c>
      <c r="K392" s="8">
        <f>K391+N391*'Prestige Patterns'!$B$20</f>
        <v>5592299695680</v>
      </c>
      <c r="L392" s="8">
        <f>if(J391&gt;='Prestige Patterns'!$B$28,if(J391/(H391+1)&gt;('Prestige Patterns'!$B$27+1),L391+1,L391),L391)</f>
        <v>6</v>
      </c>
      <c r="N392" s="12">
        <f t="shared" si="1"/>
        <v>2308495770</v>
      </c>
      <c r="O392" s="9">
        <f>'Prestige Patterns'!$B$4*E392</f>
        <v>9860</v>
      </c>
      <c r="P392" s="12">
        <f t="shared" si="4"/>
        <v>4096</v>
      </c>
      <c r="Q392" s="11"/>
      <c r="R392" s="11"/>
      <c r="S392" s="9">
        <v>391.0</v>
      </c>
      <c r="T392" s="11"/>
    </row>
    <row r="393" ht="15.75" customHeight="1">
      <c r="A393" s="7"/>
      <c r="B393" s="7"/>
      <c r="C393" s="7">
        <f>(S393*'Prestige Patterns'!$B$20)/60</f>
        <v>196</v>
      </c>
      <c r="D393" s="8">
        <f>if(L392=L393,N392*'Prestige Patterns'!$B$20+D392-F393,0)</f>
        <v>131317454112</v>
      </c>
      <c r="E393" s="9">
        <f t="shared" si="2"/>
        <v>494</v>
      </c>
      <c r="F393" s="10">
        <f>'Prestige Patterns'!$B$5*('Prestige Patterns'!$B$6^E392-'Prestige Patterns'!$B$6^(E392+G393))/(1-'Prestige Patterns'!$B$6)</f>
        <v>111785232082</v>
      </c>
      <c r="G393" s="13">
        <f>floor(LOG('Prestige Patterns'!$B$6^(E392) - (D392*(1-'Prestige Patterns'!$B$6)/'Prestige Patterns'!$B$5),'Prestige Patterns'!$B$6)-E392,1)</f>
        <v>1</v>
      </c>
      <c r="H393" s="12">
        <f t="shared" si="3"/>
        <v>5616</v>
      </c>
      <c r="I393" s="11">
        <f>1+H393*'Prestige Patterns'!$B$25</f>
        <v>57.16</v>
      </c>
      <c r="J393" s="12">
        <f>floor((K393/'Prestige Patterns'!$B$22)^'Prestige Patterns'!$B$23,1)-H392</f>
        <v>1908</v>
      </c>
      <c r="K393" s="8">
        <f>K392+N392*'Prestige Patterns'!$B$20</f>
        <v>5661554568768</v>
      </c>
      <c r="L393" s="8">
        <f>if(J392&gt;='Prestige Patterns'!$B$28,if(J392/(H392+1)&gt;('Prestige Patterns'!$B$27+1),L392+1,L392),L392)</f>
        <v>6</v>
      </c>
      <c r="N393" s="12">
        <f t="shared" si="1"/>
        <v>2313178317</v>
      </c>
      <c r="O393" s="9">
        <f>'Prestige Patterns'!$B$4*E393</f>
        <v>9880</v>
      </c>
      <c r="P393" s="12">
        <f t="shared" si="4"/>
        <v>4096</v>
      </c>
      <c r="Q393" s="11"/>
      <c r="R393" s="11"/>
      <c r="S393" s="9">
        <v>392.0</v>
      </c>
      <c r="T393" s="11"/>
    </row>
    <row r="394" ht="15.75" customHeight="1">
      <c r="A394" s="7"/>
      <c r="B394" s="7"/>
      <c r="C394" s="7">
        <f>(S394*'Prestige Patterns'!$B$20)/60</f>
        <v>196.5</v>
      </c>
      <c r="D394" s="8">
        <f>if(L393=L394,N393*'Prestige Patterns'!$B$20+D393-F394,0)</f>
        <v>83338309931</v>
      </c>
      <c r="E394" s="9">
        <f t="shared" si="2"/>
        <v>495</v>
      </c>
      <c r="F394" s="10">
        <f>'Prestige Patterns'!$B$5*('Prestige Patterns'!$B$6^E393-'Prestige Patterns'!$B$6^(E393+G394))/(1-'Prestige Patterns'!$B$6)</f>
        <v>117374493686</v>
      </c>
      <c r="G394" s="13">
        <f>floor(LOG('Prestige Patterns'!$B$6^(E393) - (D393*(1-'Prestige Patterns'!$B$6)/'Prestige Patterns'!$B$5),'Prestige Patterns'!$B$6)-E393,1)</f>
        <v>1</v>
      </c>
      <c r="H394" s="12">
        <f t="shared" si="3"/>
        <v>5616</v>
      </c>
      <c r="I394" s="11">
        <f>1+H394*'Prestige Patterns'!$B$25</f>
        <v>57.16</v>
      </c>
      <c r="J394" s="12">
        <f>floor((K394/'Prestige Patterns'!$B$22)^'Prestige Patterns'!$B$23,1)-H393</f>
        <v>1954</v>
      </c>
      <c r="K394" s="8">
        <f>K393+N393*'Prestige Patterns'!$B$20</f>
        <v>5730949918272</v>
      </c>
      <c r="L394" s="8">
        <f>if(J393&gt;='Prestige Patterns'!$B$28,if(J393/(H393+1)&gt;('Prestige Patterns'!$B$27+1),L393+1,L393),L393)</f>
        <v>6</v>
      </c>
      <c r="N394" s="12">
        <f t="shared" si="1"/>
        <v>2317860864</v>
      </c>
      <c r="O394" s="9">
        <f>'Prestige Patterns'!$B$4*E394</f>
        <v>9900</v>
      </c>
      <c r="P394" s="12">
        <f t="shared" si="4"/>
        <v>4096</v>
      </c>
      <c r="Q394" s="11"/>
      <c r="R394" s="11"/>
      <c r="S394" s="9">
        <v>393.0</v>
      </c>
      <c r="T394" s="11"/>
    </row>
    <row r="395" ht="15.75" customHeight="1">
      <c r="A395" s="7"/>
      <c r="B395" s="7"/>
      <c r="C395" s="7">
        <f>(S395*'Prestige Patterns'!$B$20)/60</f>
        <v>197</v>
      </c>
      <c r="D395" s="8">
        <f>if(L394=L395,N394*'Prestige Patterns'!$B$20+D394-F395,0)</f>
        <v>152874135851</v>
      </c>
      <c r="E395" s="9">
        <f t="shared" si="2"/>
        <v>495</v>
      </c>
      <c r="F395" s="10">
        <f>'Prestige Patterns'!$B$5*('Prestige Patterns'!$B$6^E394-'Prestige Patterns'!$B$6^(E394+G395))/(1-'Prestige Patterns'!$B$6)</f>
        <v>0</v>
      </c>
      <c r="G395" s="13">
        <f>floor(LOG('Prestige Patterns'!$B$6^(E394) - (D394*(1-'Prestige Patterns'!$B$6)/'Prestige Patterns'!$B$5),'Prestige Patterns'!$B$6)-E394,1)</f>
        <v>0</v>
      </c>
      <c r="H395" s="12">
        <f t="shared" si="3"/>
        <v>5616</v>
      </c>
      <c r="I395" s="11">
        <f>1+H395*'Prestige Patterns'!$B$25</f>
        <v>57.16</v>
      </c>
      <c r="J395" s="12">
        <f>floor((K395/'Prestige Patterns'!$B$22)^'Prestige Patterns'!$B$23,1)-H394</f>
        <v>2000</v>
      </c>
      <c r="K395" s="8">
        <f>K394+N394*'Prestige Patterns'!$B$20</f>
        <v>5800485744192</v>
      </c>
      <c r="L395" s="8">
        <f>if(J394&gt;='Prestige Patterns'!$B$28,if(J394/(H394+1)&gt;('Prestige Patterns'!$B$27+1),L394+1,L394),L394)</f>
        <v>6</v>
      </c>
      <c r="N395" s="12">
        <f t="shared" si="1"/>
        <v>2317860864</v>
      </c>
      <c r="O395" s="9">
        <f>'Prestige Patterns'!$B$4*E395</f>
        <v>9900</v>
      </c>
      <c r="P395" s="12">
        <f t="shared" si="4"/>
        <v>4096</v>
      </c>
      <c r="Q395" s="11"/>
      <c r="R395" s="11"/>
      <c r="S395" s="9">
        <v>394.0</v>
      </c>
      <c r="T395" s="11"/>
    </row>
    <row r="396" ht="15.75" customHeight="1">
      <c r="A396" s="7"/>
      <c r="B396" s="7"/>
      <c r="C396" s="7">
        <f>(S396*'Prestige Patterns'!$B$20)/60</f>
        <v>197.5</v>
      </c>
      <c r="D396" s="8">
        <f>if(L395=L396,N395*'Prestige Patterns'!$B$20+D395-F396,0)</f>
        <v>99166743401</v>
      </c>
      <c r="E396" s="9">
        <f t="shared" si="2"/>
        <v>496</v>
      </c>
      <c r="F396" s="10">
        <f>'Prestige Patterns'!$B$5*('Prestige Patterns'!$B$6^E395-'Prestige Patterns'!$B$6^(E395+G396))/(1-'Prestige Patterns'!$B$6)</f>
        <v>123243218370</v>
      </c>
      <c r="G396" s="13">
        <f>floor(LOG('Prestige Patterns'!$B$6^(E395) - (D395*(1-'Prestige Patterns'!$B$6)/'Prestige Patterns'!$B$5),'Prestige Patterns'!$B$6)-E395,1)</f>
        <v>1</v>
      </c>
      <c r="H396" s="12">
        <f t="shared" si="3"/>
        <v>5616</v>
      </c>
      <c r="I396" s="11">
        <f>1+H396*'Prestige Patterns'!$B$25</f>
        <v>57.16</v>
      </c>
      <c r="J396" s="12">
        <f>floor((K396/'Prestige Patterns'!$B$22)^'Prestige Patterns'!$B$23,1)-H395</f>
        <v>2045</v>
      </c>
      <c r="K396" s="8">
        <f>K395+N395*'Prestige Patterns'!$B$20</f>
        <v>5870021570112</v>
      </c>
      <c r="L396" s="8">
        <f>if(J395&gt;='Prestige Patterns'!$B$28,if(J395/(H395+1)&gt;('Prestige Patterns'!$B$27+1),L395+1,L395),L395)</f>
        <v>6</v>
      </c>
      <c r="N396" s="12">
        <f t="shared" si="1"/>
        <v>2322543411</v>
      </c>
      <c r="O396" s="9">
        <f>'Prestige Patterns'!$B$4*E396</f>
        <v>9920</v>
      </c>
      <c r="P396" s="12">
        <f t="shared" si="4"/>
        <v>4096</v>
      </c>
      <c r="Q396" s="11"/>
      <c r="R396" s="11"/>
      <c r="S396" s="9">
        <v>395.0</v>
      </c>
      <c r="T396" s="11"/>
    </row>
    <row r="397" ht="15.75" customHeight="1">
      <c r="A397" s="7"/>
      <c r="B397" s="7"/>
      <c r="C397" s="7">
        <f>(S397*'Prestige Patterns'!$B$20)/60</f>
        <v>198</v>
      </c>
      <c r="D397" s="8">
        <f>if(L396=L397,N396*'Prestige Patterns'!$B$20+D396-F397,0)</f>
        <v>168843045737</v>
      </c>
      <c r="E397" s="9">
        <f t="shared" si="2"/>
        <v>496</v>
      </c>
      <c r="F397" s="10">
        <f>'Prestige Patterns'!$B$5*('Prestige Patterns'!$B$6^E396-'Prestige Patterns'!$B$6^(E396+G397))/(1-'Prestige Patterns'!$B$6)</f>
        <v>0</v>
      </c>
      <c r="G397" s="13">
        <f>floor(LOG('Prestige Patterns'!$B$6^(E396) - (D396*(1-'Prestige Patterns'!$B$6)/'Prestige Patterns'!$B$5),'Prestige Patterns'!$B$6)-E396,1)</f>
        <v>0</v>
      </c>
      <c r="H397" s="12">
        <f t="shared" si="3"/>
        <v>5616</v>
      </c>
      <c r="I397" s="11">
        <f>1+H397*'Prestige Patterns'!$B$25</f>
        <v>57.16</v>
      </c>
      <c r="J397" s="12">
        <f>floor((K397/'Prestige Patterns'!$B$22)^'Prestige Patterns'!$B$23,1)-H396</f>
        <v>2090</v>
      </c>
      <c r="K397" s="8">
        <f>K396+N396*'Prestige Patterns'!$B$20</f>
        <v>5939697872448</v>
      </c>
      <c r="L397" s="8">
        <f>if(J396&gt;='Prestige Patterns'!$B$28,if(J396/(H396+1)&gt;('Prestige Patterns'!$B$27+1),L396+1,L396),L396)</f>
        <v>6</v>
      </c>
      <c r="N397" s="12">
        <f t="shared" si="1"/>
        <v>2322543411</v>
      </c>
      <c r="O397" s="9">
        <f>'Prestige Patterns'!$B$4*E397</f>
        <v>9920</v>
      </c>
      <c r="P397" s="12">
        <f t="shared" si="4"/>
        <v>4096</v>
      </c>
      <c r="Q397" s="11"/>
      <c r="R397" s="11"/>
      <c r="S397" s="9">
        <v>396.0</v>
      </c>
      <c r="T397" s="11"/>
    </row>
    <row r="398" ht="15.75" customHeight="1">
      <c r="A398" s="7"/>
      <c r="B398" s="7"/>
      <c r="C398" s="7">
        <f>(S398*'Prestige Patterns'!$B$20)/60</f>
        <v>198.5</v>
      </c>
      <c r="D398" s="8">
        <f>if(L397=L398,N397*'Prestige Patterns'!$B$20+D397-F398,0)</f>
        <v>109113968784</v>
      </c>
      <c r="E398" s="9">
        <f t="shared" si="2"/>
        <v>497</v>
      </c>
      <c r="F398" s="10">
        <f>'Prestige Patterns'!$B$5*('Prestige Patterns'!$B$6^E397-'Prestige Patterns'!$B$6^(E397+G398))/(1-'Prestige Patterns'!$B$6)</f>
        <v>129405379289</v>
      </c>
      <c r="G398" s="13">
        <f>floor(LOG('Prestige Patterns'!$B$6^(E397) - (D397*(1-'Prestige Patterns'!$B$6)/'Prestige Patterns'!$B$5),'Prestige Patterns'!$B$6)-E397,1)</f>
        <v>1</v>
      </c>
      <c r="H398" s="12">
        <f t="shared" si="3"/>
        <v>5616</v>
      </c>
      <c r="I398" s="11">
        <f>1+H398*'Prestige Patterns'!$B$25</f>
        <v>57.16</v>
      </c>
      <c r="J398" s="12">
        <f>floor((K398/'Prestige Patterns'!$B$22)^'Prestige Patterns'!$B$23,1)-H397</f>
        <v>2136</v>
      </c>
      <c r="K398" s="8">
        <f>K397+N397*'Prestige Patterns'!$B$20</f>
        <v>6009374174784</v>
      </c>
      <c r="L398" s="8">
        <f>if(J397&gt;='Prestige Patterns'!$B$28,if(J397/(H397+1)&gt;('Prestige Patterns'!$B$27+1),L397+1,L397),L397)</f>
        <v>6</v>
      </c>
      <c r="N398" s="12">
        <f t="shared" si="1"/>
        <v>2327225958</v>
      </c>
      <c r="O398" s="9">
        <f>'Prestige Patterns'!$B$4*E398</f>
        <v>9940</v>
      </c>
      <c r="P398" s="12">
        <f t="shared" si="4"/>
        <v>4096</v>
      </c>
      <c r="Q398" s="11"/>
      <c r="R398" s="11"/>
      <c r="S398" s="9">
        <v>397.0</v>
      </c>
      <c r="T398" s="11"/>
    </row>
    <row r="399" ht="15.75" customHeight="1">
      <c r="A399" s="7"/>
      <c r="B399" s="7"/>
      <c r="C399" s="7">
        <f>(S399*'Prestige Patterns'!$B$20)/60</f>
        <v>199</v>
      </c>
      <c r="D399" s="8">
        <f>if(L398=L399,N398*'Prestige Patterns'!$B$20+D398-F399,0)</f>
        <v>178930747536</v>
      </c>
      <c r="E399" s="9">
        <f t="shared" si="2"/>
        <v>497</v>
      </c>
      <c r="F399" s="10">
        <f>'Prestige Patterns'!$B$5*('Prestige Patterns'!$B$6^E398-'Prestige Patterns'!$B$6^(E398+G399))/(1-'Prestige Patterns'!$B$6)</f>
        <v>0</v>
      </c>
      <c r="G399" s="13">
        <f>floor(LOG('Prestige Patterns'!$B$6^(E398) - (D398*(1-'Prestige Patterns'!$B$6)/'Prestige Patterns'!$B$5),'Prestige Patterns'!$B$6)-E398,1)</f>
        <v>0</v>
      </c>
      <c r="H399" s="12">
        <f t="shared" si="3"/>
        <v>5616</v>
      </c>
      <c r="I399" s="11">
        <f>1+H399*'Prestige Patterns'!$B$25</f>
        <v>57.16</v>
      </c>
      <c r="J399" s="12">
        <f>floor((K399/'Prestige Patterns'!$B$22)^'Prestige Patterns'!$B$23,1)-H398</f>
        <v>2180</v>
      </c>
      <c r="K399" s="8">
        <f>K398+N398*'Prestige Patterns'!$B$20</f>
        <v>6079190953536</v>
      </c>
      <c r="L399" s="8">
        <f>if(J398&gt;='Prestige Patterns'!$B$28,if(J398/(H398+1)&gt;('Prestige Patterns'!$B$27+1),L398+1,L398),L398)</f>
        <v>6</v>
      </c>
      <c r="N399" s="12">
        <f t="shared" si="1"/>
        <v>2327225958</v>
      </c>
      <c r="O399" s="9">
        <f>'Prestige Patterns'!$B$4*E399</f>
        <v>9940</v>
      </c>
      <c r="P399" s="12">
        <f t="shared" si="4"/>
        <v>4096</v>
      </c>
      <c r="Q399" s="11"/>
      <c r="R399" s="11"/>
      <c r="S399" s="9">
        <v>398.0</v>
      </c>
      <c r="T399" s="11"/>
    </row>
    <row r="400" ht="15.75" customHeight="1">
      <c r="A400" s="7"/>
      <c r="B400" s="7"/>
      <c r="C400" s="7">
        <f>(S400*'Prestige Patterns'!$B$20)/60</f>
        <v>199.5</v>
      </c>
      <c r="D400" s="8">
        <f>if(L399=L400,N399*'Prestige Patterns'!$B$20+D399-F400,0)</f>
        <v>112871878035</v>
      </c>
      <c r="E400" s="9">
        <f t="shared" si="2"/>
        <v>498</v>
      </c>
      <c r="F400" s="10">
        <f>'Prestige Patterns'!$B$5*('Prestige Patterns'!$B$6^E399-'Prestige Patterns'!$B$6^(E399+G400))/(1-'Prestige Patterns'!$B$6)</f>
        <v>135875648253</v>
      </c>
      <c r="G400" s="13">
        <f>floor(LOG('Prestige Patterns'!$B$6^(E399) - (D399*(1-'Prestige Patterns'!$B$6)/'Prestige Patterns'!$B$5),'Prestige Patterns'!$B$6)-E399,1)</f>
        <v>1</v>
      </c>
      <c r="H400" s="12">
        <f t="shared" si="3"/>
        <v>5616</v>
      </c>
      <c r="I400" s="11">
        <f>1+H400*'Prestige Patterns'!$B$25</f>
        <v>57.16</v>
      </c>
      <c r="J400" s="12">
        <f>floor((K400/'Prestige Patterns'!$B$22)^'Prestige Patterns'!$B$23,1)-H399</f>
        <v>2225</v>
      </c>
      <c r="K400" s="8">
        <f>K399+N399*'Prestige Patterns'!$B$20</f>
        <v>6149007732288</v>
      </c>
      <c r="L400" s="8">
        <f>if(J399&gt;='Prestige Patterns'!$B$28,if(J399/(H399+1)&gt;('Prestige Patterns'!$B$27+1),L399+1,L399),L399)</f>
        <v>6</v>
      </c>
      <c r="N400" s="12">
        <f t="shared" si="1"/>
        <v>2331908506</v>
      </c>
      <c r="O400" s="9">
        <f>'Prestige Patterns'!$B$4*E400</f>
        <v>9960</v>
      </c>
      <c r="P400" s="12">
        <f t="shared" si="4"/>
        <v>4096</v>
      </c>
      <c r="Q400" s="11"/>
      <c r="R400" s="11"/>
      <c r="S400" s="9">
        <v>399.0</v>
      </c>
      <c r="T400" s="11"/>
    </row>
    <row r="401" ht="15.75" customHeight="1">
      <c r="A401" s="7"/>
      <c r="B401" s="7"/>
      <c r="C401" s="7">
        <f>(S401*'Prestige Patterns'!$B$20)/60</f>
        <v>200</v>
      </c>
      <c r="D401" s="8">
        <f>if(L400=L401,N400*'Prestige Patterns'!$B$20+D400-F401,0)</f>
        <v>182829133203</v>
      </c>
      <c r="E401" s="9">
        <f t="shared" si="2"/>
        <v>498</v>
      </c>
      <c r="F401" s="10">
        <f>'Prestige Patterns'!$B$5*('Prestige Patterns'!$B$6^E400-'Prestige Patterns'!$B$6^(E400+G401))/(1-'Prestige Patterns'!$B$6)</f>
        <v>0</v>
      </c>
      <c r="G401" s="13">
        <f>floor(LOG('Prestige Patterns'!$B$6^(E400) - (D400*(1-'Prestige Patterns'!$B$6)/'Prestige Patterns'!$B$5),'Prestige Patterns'!$B$6)-E400,1)</f>
        <v>0</v>
      </c>
      <c r="H401" s="12">
        <f t="shared" si="3"/>
        <v>5616</v>
      </c>
      <c r="I401" s="11">
        <f>1+H401*'Prestige Patterns'!$B$25</f>
        <v>57.16</v>
      </c>
      <c r="J401" s="12">
        <f>floor((K401/'Prestige Patterns'!$B$22)^'Prestige Patterns'!$B$23,1)-H400</f>
        <v>2270</v>
      </c>
      <c r="K401" s="8">
        <f>K400+N400*'Prestige Patterns'!$B$20</f>
        <v>6218964987456</v>
      </c>
      <c r="L401" s="8">
        <f>if(J400&gt;='Prestige Patterns'!$B$28,if(J400/(H400+1)&gt;('Prestige Patterns'!$B$27+1),L400+1,L400),L400)</f>
        <v>6</v>
      </c>
      <c r="N401" s="12">
        <f t="shared" si="1"/>
        <v>2331908506</v>
      </c>
      <c r="O401" s="9">
        <f>'Prestige Patterns'!$B$4*E401</f>
        <v>9960</v>
      </c>
      <c r="P401" s="12">
        <f t="shared" si="4"/>
        <v>4096</v>
      </c>
      <c r="Q401" s="11"/>
      <c r="R401" s="11"/>
      <c r="S401" s="9">
        <v>400.0</v>
      </c>
      <c r="T401" s="11"/>
    </row>
    <row r="402" ht="15.75" customHeight="1">
      <c r="A402" s="7"/>
      <c r="B402" s="7"/>
      <c r="C402" s="7">
        <f>(S402*'Prestige Patterns'!$B$20)/60</f>
        <v>200.5</v>
      </c>
      <c r="D402" s="8">
        <f>if(L401=L402,N401*'Prestige Patterns'!$B$20+D401-F402,0)</f>
        <v>110116957705</v>
      </c>
      <c r="E402" s="9">
        <f t="shared" si="2"/>
        <v>499</v>
      </c>
      <c r="F402" s="10">
        <f>'Prestige Patterns'!$B$5*('Prestige Patterns'!$B$6^E401-'Prestige Patterns'!$B$6^(E401+G402))/(1-'Prestige Patterns'!$B$6)</f>
        <v>142669430666</v>
      </c>
      <c r="G402" s="13">
        <f>floor(LOG('Prestige Patterns'!$B$6^(E401) - (D401*(1-'Prestige Patterns'!$B$6)/'Prestige Patterns'!$B$5),'Prestige Patterns'!$B$6)-E401,1)</f>
        <v>1</v>
      </c>
      <c r="H402" s="12">
        <f t="shared" si="3"/>
        <v>5616</v>
      </c>
      <c r="I402" s="11">
        <f>1+H402*'Prestige Patterns'!$B$25</f>
        <v>57.16</v>
      </c>
      <c r="J402" s="12">
        <f>floor((K402/'Prestige Patterns'!$B$22)^'Prestige Patterns'!$B$23,1)-H401</f>
        <v>2314</v>
      </c>
      <c r="K402" s="8">
        <f>K401+N401*'Prestige Patterns'!$B$20</f>
        <v>6288922242624</v>
      </c>
      <c r="L402" s="8">
        <f>if(J401&gt;='Prestige Patterns'!$B$28,if(J401/(H401+1)&gt;('Prestige Patterns'!$B$27+1),L401+1,L401),L401)</f>
        <v>6</v>
      </c>
      <c r="N402" s="12">
        <f t="shared" si="1"/>
        <v>2336591053</v>
      </c>
      <c r="O402" s="9">
        <f>'Prestige Patterns'!$B$4*E402</f>
        <v>9980</v>
      </c>
      <c r="P402" s="12">
        <f t="shared" si="4"/>
        <v>4096</v>
      </c>
      <c r="Q402" s="11"/>
      <c r="R402" s="11"/>
      <c r="S402" s="9">
        <v>401.0</v>
      </c>
      <c r="T402" s="11"/>
    </row>
    <row r="403" ht="15.75" customHeight="1">
      <c r="A403" s="7"/>
      <c r="B403" s="7"/>
      <c r="C403" s="7">
        <f>(S403*'Prestige Patterns'!$B$20)/60</f>
        <v>201</v>
      </c>
      <c r="D403" s="8">
        <f>if(L402=L403,N402*'Prestige Patterns'!$B$20+D402-F403,0)</f>
        <v>180214689289</v>
      </c>
      <c r="E403" s="9">
        <f t="shared" si="2"/>
        <v>499</v>
      </c>
      <c r="F403" s="10">
        <f>'Prestige Patterns'!$B$5*('Prestige Patterns'!$B$6^E402-'Prestige Patterns'!$B$6^(E402+G403))/(1-'Prestige Patterns'!$B$6)</f>
        <v>0</v>
      </c>
      <c r="G403" s="13">
        <f>floor(LOG('Prestige Patterns'!$B$6^(E402) - (D402*(1-'Prestige Patterns'!$B$6)/'Prestige Patterns'!$B$5),'Prestige Patterns'!$B$6)-E402,1)</f>
        <v>0</v>
      </c>
      <c r="H403" s="12">
        <f t="shared" si="3"/>
        <v>5616</v>
      </c>
      <c r="I403" s="11">
        <f>1+H403*'Prestige Patterns'!$B$25</f>
        <v>57.16</v>
      </c>
      <c r="J403" s="12">
        <f>floor((K403/'Prestige Patterns'!$B$22)^'Prestige Patterns'!$B$23,1)-H402</f>
        <v>2358</v>
      </c>
      <c r="K403" s="8">
        <f>K402+N402*'Prestige Patterns'!$B$20</f>
        <v>6359019974208</v>
      </c>
      <c r="L403" s="8">
        <f>if(J402&gt;='Prestige Patterns'!$B$28,if(J402/(H402+1)&gt;('Prestige Patterns'!$B$27+1),L402+1,L402),L402)</f>
        <v>6</v>
      </c>
      <c r="N403" s="12">
        <f t="shared" si="1"/>
        <v>2336591053</v>
      </c>
      <c r="O403" s="9">
        <f>'Prestige Patterns'!$B$4*E403</f>
        <v>9980</v>
      </c>
      <c r="P403" s="12">
        <f t="shared" si="4"/>
        <v>4096</v>
      </c>
      <c r="Q403" s="11"/>
      <c r="R403" s="11"/>
      <c r="S403" s="9">
        <v>402.0</v>
      </c>
      <c r="T403" s="11"/>
    </row>
    <row r="404" ht="15.75" customHeight="1">
      <c r="A404" s="7"/>
      <c r="B404" s="7"/>
      <c r="C404" s="7">
        <f>(S404*'Prestige Patterns'!$B$20)/60</f>
        <v>201.5</v>
      </c>
      <c r="D404" s="8">
        <f>if(L403=L404,N403*'Prestige Patterns'!$B$20+D403-F404,0)</f>
        <v>100509518675</v>
      </c>
      <c r="E404" s="9">
        <f t="shared" si="2"/>
        <v>500</v>
      </c>
      <c r="F404" s="10">
        <f>'Prestige Patterns'!$B$5*('Prestige Patterns'!$B$6^E403-'Prestige Patterns'!$B$6^(E403+G404))/(1-'Prestige Patterns'!$B$6)</f>
        <v>149802902199</v>
      </c>
      <c r="G404" s="13">
        <f>floor(LOG('Prestige Patterns'!$B$6^(E403) - (D403*(1-'Prestige Patterns'!$B$6)/'Prestige Patterns'!$B$5),'Prestige Patterns'!$B$6)-E403,1)</f>
        <v>1</v>
      </c>
      <c r="H404" s="12">
        <f t="shared" si="3"/>
        <v>5616</v>
      </c>
      <c r="I404" s="11">
        <f>1+H404*'Prestige Patterns'!$B$25</f>
        <v>57.16</v>
      </c>
      <c r="J404" s="12">
        <f>floor((K404/'Prestige Patterns'!$B$22)^'Prestige Patterns'!$B$23,1)-H403</f>
        <v>2402</v>
      </c>
      <c r="K404" s="8">
        <f>K403+N403*'Prestige Patterns'!$B$20</f>
        <v>6429117705792</v>
      </c>
      <c r="L404" s="8">
        <f>if(J403&gt;='Prestige Patterns'!$B$28,if(J403/(H403+1)&gt;('Prestige Patterns'!$B$27+1),L403+1,L403),L403)</f>
        <v>6</v>
      </c>
      <c r="N404" s="12">
        <f t="shared" si="1"/>
        <v>37460377600</v>
      </c>
      <c r="O404" s="9">
        <f>'Prestige Patterns'!$B$4*E404</f>
        <v>10000</v>
      </c>
      <c r="P404" s="12">
        <f t="shared" si="4"/>
        <v>65536</v>
      </c>
      <c r="Q404" s="11"/>
      <c r="R404" s="11"/>
      <c r="S404" s="9">
        <v>403.0</v>
      </c>
      <c r="T404" s="11"/>
    </row>
    <row r="405" ht="15.75" customHeight="1">
      <c r="A405" s="7"/>
      <c r="B405" s="7"/>
      <c r="C405" s="7">
        <f>(S405*'Prestige Patterns'!$B$20)/60</f>
        <v>202</v>
      </c>
      <c r="D405" s="8">
        <f>if(L404=L405,N404*'Prestige Patterns'!$B$20+D404-F405,0)</f>
        <v>1224320846675</v>
      </c>
      <c r="E405" s="9">
        <f t="shared" si="2"/>
        <v>500</v>
      </c>
      <c r="F405" s="10">
        <f>'Prestige Patterns'!$B$5*('Prestige Patterns'!$B$6^E404-'Prestige Patterns'!$B$6^(E404+G405))/(1-'Prestige Patterns'!$B$6)</f>
        <v>0</v>
      </c>
      <c r="G405" s="13">
        <f>floor(LOG('Prestige Patterns'!$B$6^(E404) - (D404*(1-'Prestige Patterns'!$B$6)/'Prestige Patterns'!$B$5),'Prestige Patterns'!$B$6)-E404,1)</f>
        <v>0</v>
      </c>
      <c r="H405" s="12">
        <f t="shared" si="3"/>
        <v>5616</v>
      </c>
      <c r="I405" s="11">
        <f>1+H405*'Prestige Patterns'!$B$25</f>
        <v>57.16</v>
      </c>
      <c r="J405" s="12">
        <f>floor((K405/'Prestige Patterns'!$B$22)^'Prestige Patterns'!$B$23,1)-H404</f>
        <v>3074</v>
      </c>
      <c r="K405" s="8">
        <f>K404+N404*'Prestige Patterns'!$B$20</f>
        <v>7552929033792</v>
      </c>
      <c r="L405" s="8">
        <f>if(J404&gt;='Prestige Patterns'!$B$28,if(J404/(H404+1)&gt;('Prestige Patterns'!$B$27+1),L404+1,L404),L404)</f>
        <v>6</v>
      </c>
      <c r="N405" s="12">
        <f t="shared" si="1"/>
        <v>37460377600</v>
      </c>
      <c r="O405" s="9">
        <f>'Prestige Patterns'!$B$4*E405</f>
        <v>10000</v>
      </c>
      <c r="P405" s="12">
        <f t="shared" si="4"/>
        <v>65536</v>
      </c>
      <c r="Q405" s="11"/>
      <c r="R405" s="11"/>
      <c r="S405" s="9">
        <v>404.0</v>
      </c>
      <c r="T405" s="11"/>
    </row>
    <row r="406" ht="15.75" customHeight="1">
      <c r="A406" s="7"/>
      <c r="B406" s="7"/>
      <c r="C406" s="7">
        <f>(S406*'Prestige Patterns'!$B$20)/60</f>
        <v>202.5</v>
      </c>
      <c r="D406" s="8">
        <f>if(L405=L406,N405*'Prestige Patterns'!$B$20+D405-F406,0)</f>
        <v>1278238580867</v>
      </c>
      <c r="E406" s="9">
        <f t="shared" si="2"/>
        <v>506</v>
      </c>
      <c r="F406" s="10">
        <f>'Prestige Patterns'!$B$5*('Prestige Patterns'!$B$6^E405-'Prestige Patterns'!$B$6^(E405+G406))/(1-'Prestige Patterns'!$B$6)</f>
        <v>1069893593807</v>
      </c>
      <c r="G406" s="13">
        <f>floor(LOG('Prestige Patterns'!$B$6^(E405) - (D405*(1-'Prestige Patterns'!$B$6)/'Prestige Patterns'!$B$5),'Prestige Patterns'!$B$6)-E405,1)</f>
        <v>6</v>
      </c>
      <c r="H406" s="12">
        <f t="shared" si="3"/>
        <v>5616</v>
      </c>
      <c r="I406" s="11">
        <f>1+H406*'Prestige Patterns'!$B$25</f>
        <v>57.16</v>
      </c>
      <c r="J406" s="12">
        <f>floor((K406/'Prestige Patterns'!$B$22)^'Prestige Patterns'!$B$23,1)-H405</f>
        <v>3698</v>
      </c>
      <c r="K406" s="8">
        <f>K405+N405*'Prestige Patterns'!$B$20</f>
        <v>8676740361792</v>
      </c>
      <c r="L406" s="8">
        <f>if(J405&gt;='Prestige Patterns'!$B$28,if(J405/(H405+1)&gt;('Prestige Patterns'!$B$27+1),L405+1,L405),L405)</f>
        <v>6</v>
      </c>
      <c r="N406" s="12">
        <f t="shared" si="1"/>
        <v>37909902131</v>
      </c>
      <c r="O406" s="9">
        <f>'Prestige Patterns'!$B$4*E406</f>
        <v>10120</v>
      </c>
      <c r="P406" s="12">
        <f t="shared" si="4"/>
        <v>65536</v>
      </c>
      <c r="Q406" s="11"/>
      <c r="R406" s="11"/>
      <c r="S406" s="9">
        <v>405.0</v>
      </c>
      <c r="T406" s="11"/>
    </row>
    <row r="407" ht="15.75" customHeight="1">
      <c r="A407" s="7"/>
      <c r="B407" s="7"/>
      <c r="C407" s="7">
        <f>(S407*'Prestige Patterns'!$B$20)/60</f>
        <v>203</v>
      </c>
      <c r="D407" s="8">
        <f>if(L406=L407,N406*'Prestige Patterns'!$B$20+D406-F407,0)</f>
        <v>1250800393380</v>
      </c>
      <c r="E407" s="9">
        <f t="shared" si="2"/>
        <v>511</v>
      </c>
      <c r="F407" s="10">
        <f>'Prestige Patterns'!$B$5*('Prestige Patterns'!$B$6^E406-'Prestige Patterns'!$B$6^(E406+G407))/(1-'Prestige Patterns'!$B$6)</f>
        <v>1164735251424</v>
      </c>
      <c r="G407" s="13">
        <f>floor(LOG('Prestige Patterns'!$B$6^(E406) - (D406*(1-'Prestige Patterns'!$B$6)/'Prestige Patterns'!$B$5),'Prestige Patterns'!$B$6)-E406,1)</f>
        <v>5</v>
      </c>
      <c r="H407" s="12">
        <f t="shared" si="3"/>
        <v>5616</v>
      </c>
      <c r="I407" s="11">
        <f>1+H407*'Prestige Patterns'!$B$25</f>
        <v>57.16</v>
      </c>
      <c r="J407" s="12">
        <f>floor((K407/'Prestige Patterns'!$B$22)^'Prestige Patterns'!$B$23,1)-H406</f>
        <v>4290</v>
      </c>
      <c r="K407" s="8">
        <f>K406+N406*'Prestige Patterns'!$B$20</f>
        <v>9814037425728</v>
      </c>
      <c r="L407" s="8">
        <f>if(J406&gt;='Prestige Patterns'!$B$28,if(J406/(H406+1)&gt;('Prestige Patterns'!$B$27+1),L406+1,L406),L406)</f>
        <v>6</v>
      </c>
      <c r="N407" s="12">
        <f t="shared" si="1"/>
        <v>38284505907</v>
      </c>
      <c r="O407" s="9">
        <f>'Prestige Patterns'!$B$4*E407</f>
        <v>10220</v>
      </c>
      <c r="P407" s="12">
        <f t="shared" si="4"/>
        <v>65536</v>
      </c>
      <c r="Q407" s="11"/>
      <c r="R407" s="11"/>
      <c r="S407" s="9">
        <v>406.0</v>
      </c>
      <c r="T407" s="11"/>
    </row>
    <row r="408" ht="15.75" customHeight="1">
      <c r="A408" s="7"/>
      <c r="B408" s="7"/>
      <c r="C408" s="7">
        <f>(S408*'Prestige Patterns'!$B$20)/60</f>
        <v>203.5</v>
      </c>
      <c r="D408" s="8">
        <f>if(L407=L408,N407*'Prestige Patterns'!$B$20+D407-F408,0)</f>
        <v>1239806392486</v>
      </c>
      <c r="E408" s="9">
        <f t="shared" si="2"/>
        <v>515</v>
      </c>
      <c r="F408" s="10">
        <f>'Prestige Patterns'!$B$5*('Prestige Patterns'!$B$6^E407-'Prestige Patterns'!$B$6^(E407+G408))/(1-'Prestige Patterns'!$B$6)</f>
        <v>1159529178110</v>
      </c>
      <c r="G408" s="13">
        <f>floor(LOG('Prestige Patterns'!$B$6^(E407) - (D407*(1-'Prestige Patterns'!$B$6)/'Prestige Patterns'!$B$5),'Prestige Patterns'!$B$6)-E407,1)</f>
        <v>4</v>
      </c>
      <c r="H408" s="12">
        <f t="shared" si="3"/>
        <v>5616</v>
      </c>
      <c r="I408" s="11">
        <f>1+H408*'Prestige Patterns'!$B$25</f>
        <v>57.16</v>
      </c>
      <c r="J408" s="12">
        <f>floor((K408/'Prestige Patterns'!$B$22)^'Prestige Patterns'!$B$23,1)-H407</f>
        <v>4854</v>
      </c>
      <c r="K408" s="8">
        <f>K407+N407*'Prestige Patterns'!$B$20</f>
        <v>10962572602944</v>
      </c>
      <c r="L408" s="8">
        <f>if(J407&gt;='Prestige Patterns'!$B$28,if(J407/(H407+1)&gt;('Prestige Patterns'!$B$27+1),L407+1,L407),L407)</f>
        <v>6</v>
      </c>
      <c r="N408" s="12">
        <f t="shared" si="1"/>
        <v>38584188928</v>
      </c>
      <c r="O408" s="9">
        <f>'Prestige Patterns'!$B$4*E408</f>
        <v>10300</v>
      </c>
      <c r="P408" s="12">
        <f t="shared" si="4"/>
        <v>65536</v>
      </c>
      <c r="Q408" s="11"/>
      <c r="R408" s="11"/>
      <c r="S408" s="9">
        <v>407.0</v>
      </c>
      <c r="T408" s="11"/>
    </row>
    <row r="409" ht="15.75" customHeight="1">
      <c r="A409" s="7"/>
      <c r="B409" s="7"/>
      <c r="C409" s="7">
        <f>(S409*'Prestige Patterns'!$B$20)/60</f>
        <v>204</v>
      </c>
      <c r="D409" s="8">
        <f>if(L408=L409,N408*'Prestige Patterns'!$B$20+D408-F409,0)</f>
        <v>1366461570256</v>
      </c>
      <c r="E409" s="9">
        <f t="shared" si="2"/>
        <v>518</v>
      </c>
      <c r="F409" s="10">
        <f>'Prestige Patterns'!$B$5*('Prestige Patterns'!$B$6^E408-'Prestige Patterns'!$B$6^(E408+G409))/(1-'Prestige Patterns'!$B$6)</f>
        <v>1030870490070</v>
      </c>
      <c r="G409" s="13">
        <f>floor(LOG('Prestige Patterns'!$B$6^(E408) - (D408*(1-'Prestige Patterns'!$B$6)/'Prestige Patterns'!$B$5),'Prestige Patterns'!$B$6)-E408,1)</f>
        <v>3</v>
      </c>
      <c r="H409" s="12">
        <f t="shared" si="3"/>
        <v>5616</v>
      </c>
      <c r="I409" s="11">
        <f>1+H409*'Prestige Patterns'!$B$25</f>
        <v>57.16</v>
      </c>
      <c r="J409" s="12">
        <f>floor((K409/'Prestige Patterns'!$B$22)^'Prestige Patterns'!$B$23,1)-H408</f>
        <v>5393</v>
      </c>
      <c r="K409" s="8">
        <f>K408+N408*'Prestige Patterns'!$B$20</f>
        <v>12120098270784</v>
      </c>
      <c r="L409" s="8">
        <f>if(J408&gt;='Prestige Patterns'!$B$28,if(J408/(H408+1)&gt;('Prestige Patterns'!$B$27+1),L408+1,L408),L408)</f>
        <v>6</v>
      </c>
      <c r="N409" s="12">
        <f t="shared" si="1"/>
        <v>38808951194</v>
      </c>
      <c r="O409" s="9">
        <f>'Prestige Patterns'!$B$4*E409</f>
        <v>10360</v>
      </c>
      <c r="P409" s="12">
        <f t="shared" si="4"/>
        <v>65536</v>
      </c>
      <c r="Q409" s="11"/>
      <c r="R409" s="11"/>
      <c r="S409" s="9">
        <v>408.0</v>
      </c>
      <c r="T409" s="11"/>
    </row>
    <row r="410" ht="15.75" customHeight="1">
      <c r="A410" s="7"/>
      <c r="B410" s="7"/>
      <c r="C410" s="7">
        <f>(S410*'Prestige Patterns'!$B$20)/60</f>
        <v>204.5</v>
      </c>
      <c r="D410" s="8">
        <f>if(L409=L410,N409*'Prestige Patterns'!$B$20+D409-F410,0)</f>
        <v>1337368654996</v>
      </c>
      <c r="E410" s="9">
        <f t="shared" si="2"/>
        <v>521</v>
      </c>
      <c r="F410" s="10">
        <f>'Prestige Patterns'!$B$5*('Prestige Patterns'!$B$6^E409-'Prestige Patterns'!$B$6^(E409+G410))/(1-'Prestige Patterns'!$B$6)</f>
        <v>1193361451068</v>
      </c>
      <c r="G410" s="13">
        <f>floor(LOG('Prestige Patterns'!$B$6^(E409) - (D409*(1-'Prestige Patterns'!$B$6)/'Prestige Patterns'!$B$5),'Prestige Patterns'!$B$6)-E409,1)</f>
        <v>3</v>
      </c>
      <c r="H410" s="12">
        <f t="shared" si="3"/>
        <v>5616</v>
      </c>
      <c r="I410" s="11">
        <f>1+H410*'Prestige Patterns'!$B$25</f>
        <v>57.16</v>
      </c>
      <c r="J410" s="12">
        <f>floor((K410/'Prestige Patterns'!$B$22)^'Prestige Patterns'!$B$23,1)-H409</f>
        <v>5909</v>
      </c>
      <c r="K410" s="8">
        <f>K409+N409*'Prestige Patterns'!$B$20</f>
        <v>13284366806592</v>
      </c>
      <c r="L410" s="8">
        <f>if(J409&gt;='Prestige Patterns'!$B$28,if(J409/(H409+1)&gt;('Prestige Patterns'!$B$27+1),L409+1,L409),L409)</f>
        <v>6</v>
      </c>
      <c r="N410" s="12">
        <f t="shared" si="1"/>
        <v>39033713459</v>
      </c>
      <c r="O410" s="9">
        <f>'Prestige Patterns'!$B$4*E410</f>
        <v>10420</v>
      </c>
      <c r="P410" s="12">
        <f t="shared" si="4"/>
        <v>65536</v>
      </c>
      <c r="Q410" s="11"/>
      <c r="R410" s="11"/>
      <c r="S410" s="9">
        <v>409.0</v>
      </c>
      <c r="T410" s="11"/>
    </row>
    <row r="411" ht="15.75" customHeight="1">
      <c r="A411" s="7"/>
      <c r="B411" s="7"/>
      <c r="C411" s="7">
        <f>(S411*'Prestige Patterns'!$B$20)/60</f>
        <v>205</v>
      </c>
      <c r="D411" s="8">
        <f>if(L410=L411,N410*'Prestige Patterns'!$B$20+D410-F411,0)</f>
        <v>1610044340430</v>
      </c>
      <c r="E411" s="9">
        <f t="shared" si="2"/>
        <v>523</v>
      </c>
      <c r="F411" s="10">
        <f>'Prestige Patterns'!$B$5*('Prestige Patterns'!$B$6^E410-'Prestige Patterns'!$B$6^(E410+G411))/(1-'Prestige Patterns'!$B$6)</f>
        <v>898335718342</v>
      </c>
      <c r="G411" s="13">
        <f>floor(LOG('Prestige Patterns'!$B$6^(E410) - (D410*(1-'Prestige Patterns'!$B$6)/'Prestige Patterns'!$B$5),'Prestige Patterns'!$B$6)-E410,1)</f>
        <v>2</v>
      </c>
      <c r="H411" s="12">
        <f t="shared" si="3"/>
        <v>5616</v>
      </c>
      <c r="I411" s="11">
        <f>1+H411*'Prestige Patterns'!$B$25</f>
        <v>57.16</v>
      </c>
      <c r="J411" s="12">
        <f>floor((K411/'Prestige Patterns'!$B$22)^'Prestige Patterns'!$B$23,1)-H410</f>
        <v>6407</v>
      </c>
      <c r="K411" s="8">
        <f>K410+N410*'Prestige Patterns'!$B$20</f>
        <v>14455378210368</v>
      </c>
      <c r="L411" s="8">
        <f>if(J410&gt;='Prestige Patterns'!$B$28,if(J410/(H410+1)&gt;('Prestige Patterns'!$B$27+1),L410+1,L410),L410)</f>
        <v>6</v>
      </c>
      <c r="N411" s="12">
        <f t="shared" si="1"/>
        <v>39183554970</v>
      </c>
      <c r="O411" s="9">
        <f>'Prestige Patterns'!$B$4*E411</f>
        <v>10460</v>
      </c>
      <c r="P411" s="12">
        <f t="shared" si="4"/>
        <v>65536</v>
      </c>
      <c r="Q411" s="11"/>
      <c r="R411" s="11"/>
      <c r="S411" s="9">
        <v>410.0</v>
      </c>
      <c r="T411" s="11"/>
    </row>
    <row r="412" ht="15.75" customHeight="1">
      <c r="A412" s="7"/>
      <c r="B412" s="7"/>
      <c r="C412" s="7">
        <f>(S412*'Prestige Patterns'!$B$20)/60</f>
        <v>205.5</v>
      </c>
      <c r="D412" s="8">
        <f>if(L411=L412,N411*'Prestige Patterns'!$B$20+D411-F412,0)</f>
        <v>1262485772122</v>
      </c>
      <c r="E412" s="9">
        <f t="shared" si="2"/>
        <v>526</v>
      </c>
      <c r="F412" s="10">
        <f>'Prestige Patterns'!$B$5*('Prestige Patterns'!$B$6^E411-'Prestige Patterns'!$B$6^(E411+G412))/(1-'Prestige Patterns'!$B$6)</f>
        <v>1523065217396</v>
      </c>
      <c r="G412" s="13">
        <f>floor(LOG('Prestige Patterns'!$B$6^(E411) - (D411*(1-'Prestige Patterns'!$B$6)/'Prestige Patterns'!$B$5),'Prestige Patterns'!$B$6)-E411,1)</f>
        <v>3</v>
      </c>
      <c r="H412" s="12">
        <f t="shared" si="3"/>
        <v>5616</v>
      </c>
      <c r="I412" s="11">
        <f>1+H412*'Prestige Patterns'!$B$25</f>
        <v>57.16</v>
      </c>
      <c r="J412" s="12">
        <f>floor((K412/'Prestige Patterns'!$B$22)^'Prestige Patterns'!$B$23,1)-H411</f>
        <v>6886</v>
      </c>
      <c r="K412" s="8">
        <f>K411+N411*'Prestige Patterns'!$B$20</f>
        <v>15630884859456</v>
      </c>
      <c r="L412" s="8">
        <f>if(J411&gt;='Prestige Patterns'!$B$28,if(J411/(H411+1)&gt;('Prestige Patterns'!$B$27+1),L411+1,L411),L411)</f>
        <v>6</v>
      </c>
      <c r="N412" s="12">
        <f t="shared" si="1"/>
        <v>39408317235</v>
      </c>
      <c r="O412" s="9">
        <f>'Prestige Patterns'!$B$4*E412</f>
        <v>10520</v>
      </c>
      <c r="P412" s="12">
        <f t="shared" si="4"/>
        <v>65536</v>
      </c>
      <c r="Q412" s="11"/>
      <c r="R412" s="11"/>
      <c r="S412" s="9">
        <v>411.0</v>
      </c>
      <c r="T412" s="11"/>
    </row>
    <row r="413" ht="15.75" customHeight="1">
      <c r="A413" s="7"/>
      <c r="B413" s="7"/>
      <c r="C413" s="7">
        <f>(S413*'Prestige Patterns'!$B$20)/60</f>
        <v>206</v>
      </c>
      <c r="D413" s="8">
        <f>if(L412=L413,N412*'Prestige Patterns'!$B$20+D412-F413,0)</f>
        <v>1298205974923</v>
      </c>
      <c r="E413" s="9">
        <f t="shared" si="2"/>
        <v>528</v>
      </c>
      <c r="F413" s="10">
        <f>'Prestige Patterns'!$B$5*('Prestige Patterns'!$B$6^E412-'Prestige Patterns'!$B$6^(E412+G413))/(1-'Prestige Patterns'!$B$6)</f>
        <v>1146529314255</v>
      </c>
      <c r="G413" s="13">
        <f>floor(LOG('Prestige Patterns'!$B$6^(E412) - (D412*(1-'Prestige Patterns'!$B$6)/'Prestige Patterns'!$B$5),'Prestige Patterns'!$B$6)-E412,1)</f>
        <v>2</v>
      </c>
      <c r="H413" s="12">
        <f t="shared" si="3"/>
        <v>5616</v>
      </c>
      <c r="I413" s="11">
        <f>1+H413*'Prestige Patterns'!$B$25</f>
        <v>57.16</v>
      </c>
      <c r="J413" s="12">
        <f>floor((K413/'Prestige Patterns'!$B$22)^'Prestige Patterns'!$B$23,1)-H412</f>
        <v>7350</v>
      </c>
      <c r="K413" s="8">
        <f>K412+N412*'Prestige Patterns'!$B$20</f>
        <v>16813134376512</v>
      </c>
      <c r="L413" s="8">
        <f>if(J412&gt;='Prestige Patterns'!$B$28,if(J412/(H412+1)&gt;('Prestige Patterns'!$B$27+1),L412+1,L412),L412)</f>
        <v>6</v>
      </c>
      <c r="N413" s="12">
        <f t="shared" si="1"/>
        <v>39558158746</v>
      </c>
      <c r="O413" s="9">
        <f>'Prestige Patterns'!$B$4*E413</f>
        <v>10560</v>
      </c>
      <c r="P413" s="12">
        <f t="shared" si="4"/>
        <v>65536</v>
      </c>
      <c r="Q413" s="11"/>
      <c r="R413" s="11"/>
      <c r="S413" s="9">
        <v>412.0</v>
      </c>
      <c r="T413" s="11"/>
    </row>
    <row r="414" ht="15.75" customHeight="1">
      <c r="A414" s="7"/>
      <c r="B414" s="7"/>
      <c r="C414" s="7">
        <f>(S414*'Prestige Patterns'!$B$20)/60</f>
        <v>206.5</v>
      </c>
      <c r="D414" s="8">
        <f>if(L413=L414,N413*'Prestige Patterns'!$B$20+D413-F414,0)</f>
        <v>1220902168324</v>
      </c>
      <c r="E414" s="9">
        <f t="shared" si="2"/>
        <v>530</v>
      </c>
      <c r="F414" s="10">
        <f>'Prestige Patterns'!$B$5*('Prestige Patterns'!$B$6^E413-'Prestige Patterns'!$B$6^(E413+G414))/(1-'Prestige Patterns'!$B$6)</f>
        <v>1264048568967</v>
      </c>
      <c r="G414" s="13">
        <f>floor(LOG('Prestige Patterns'!$B$6^(E413) - (D413*(1-'Prestige Patterns'!$B$6)/'Prestige Patterns'!$B$5),'Prestige Patterns'!$B$6)-E413,1)</f>
        <v>2</v>
      </c>
      <c r="H414" s="12">
        <f t="shared" si="3"/>
        <v>5616</v>
      </c>
      <c r="I414" s="11">
        <f>1+H414*'Prestige Patterns'!$B$25</f>
        <v>57.16</v>
      </c>
      <c r="J414" s="12">
        <f>floor((K414/'Prestige Patterns'!$B$22)^'Prestige Patterns'!$B$23,1)-H413</f>
        <v>7800</v>
      </c>
      <c r="K414" s="8">
        <f>K413+N413*'Prestige Patterns'!$B$20</f>
        <v>17999879138880</v>
      </c>
      <c r="L414" s="8">
        <f>if(J413&gt;='Prestige Patterns'!$B$28,if(J413/(H413+1)&gt;('Prestige Patterns'!$B$27+1),L413+1,L413),L413)</f>
        <v>6</v>
      </c>
      <c r="N414" s="12">
        <f t="shared" si="1"/>
        <v>39708000256</v>
      </c>
      <c r="O414" s="9">
        <f>'Prestige Patterns'!$B$4*E414</f>
        <v>10600</v>
      </c>
      <c r="P414" s="12">
        <f t="shared" si="4"/>
        <v>65536</v>
      </c>
      <c r="Q414" s="11"/>
      <c r="R414" s="11"/>
      <c r="S414" s="9">
        <v>413.0</v>
      </c>
      <c r="T414" s="11"/>
    </row>
    <row r="415" ht="15.75" customHeight="1">
      <c r="A415" s="7"/>
      <c r="B415" s="7"/>
      <c r="C415" s="7">
        <f>(S415*'Prestige Patterns'!$B$20)/60</f>
        <v>207</v>
      </c>
      <c r="D415" s="8">
        <f>if(L414=L415,N414*'Prestige Patterns'!$B$20+D414-F415,0)</f>
        <v>1732330689523</v>
      </c>
      <c r="E415" s="9">
        <f t="shared" si="2"/>
        <v>531</v>
      </c>
      <c r="F415" s="10">
        <f>'Prestige Patterns'!$B$5*('Prestige Patterns'!$B$6^E414-'Prestige Patterns'!$B$6^(E414+G415))/(1-'Prestige Patterns'!$B$6)</f>
        <v>679811486481</v>
      </c>
      <c r="G415" s="13">
        <f>floor(LOG('Prestige Patterns'!$B$6^(E414) - (D414*(1-'Prestige Patterns'!$B$6)/'Prestige Patterns'!$B$5),'Prestige Patterns'!$B$6)-E414,1)</f>
        <v>1</v>
      </c>
      <c r="H415" s="12">
        <f t="shared" si="3"/>
        <v>5616</v>
      </c>
      <c r="I415" s="11">
        <f>1+H415*'Prestige Patterns'!$B$25</f>
        <v>57.16</v>
      </c>
      <c r="J415" s="12">
        <f>floor((K415/'Prestige Patterns'!$B$22)^'Prestige Patterns'!$B$23,1)-H414</f>
        <v>8237</v>
      </c>
      <c r="K415" s="8">
        <f>K414+N414*'Prestige Patterns'!$B$20</f>
        <v>19191119146560</v>
      </c>
      <c r="L415" s="8">
        <f>if(J414&gt;='Prestige Patterns'!$B$28,if(J414/(H414+1)&gt;('Prestige Patterns'!$B$27+1),L414+1,L414),L414)</f>
        <v>6</v>
      </c>
      <c r="N415" s="12">
        <f t="shared" si="1"/>
        <v>39782921011</v>
      </c>
      <c r="O415" s="9">
        <f>'Prestige Patterns'!$B$4*E415</f>
        <v>10620</v>
      </c>
      <c r="P415" s="12">
        <f t="shared" si="4"/>
        <v>65536</v>
      </c>
      <c r="Q415" s="11"/>
      <c r="R415" s="11"/>
      <c r="S415" s="9">
        <v>414.0</v>
      </c>
      <c r="T415" s="11"/>
    </row>
    <row r="416" ht="15.75" customHeight="1">
      <c r="A416" s="7"/>
      <c r="B416" s="7"/>
      <c r="C416" s="7">
        <f>(S416*'Prestige Patterns'!$B$20)/60</f>
        <v>207.5</v>
      </c>
      <c r="D416" s="8">
        <f>if(L415=L416,N415*'Prestige Patterns'!$B$20+D415-F416,0)</f>
        <v>1462524095209</v>
      </c>
      <c r="E416" s="9">
        <f t="shared" si="2"/>
        <v>533</v>
      </c>
      <c r="F416" s="10">
        <f>'Prestige Patterns'!$B$5*('Prestige Patterns'!$B$6^E415-'Prestige Patterns'!$B$6^(E415+G416))/(1-'Prestige Patterns'!$B$6)</f>
        <v>1463294224650</v>
      </c>
      <c r="G416" s="13">
        <f>floor(LOG('Prestige Patterns'!$B$6^(E415) - (D415*(1-'Prestige Patterns'!$B$6)/'Prestige Patterns'!$B$5),'Prestige Patterns'!$B$6)-E415,1)</f>
        <v>2</v>
      </c>
      <c r="H416" s="12">
        <f t="shared" si="3"/>
        <v>5616</v>
      </c>
      <c r="I416" s="11">
        <f>1+H416*'Prestige Patterns'!$B$25</f>
        <v>57.16</v>
      </c>
      <c r="J416" s="12">
        <f>floor((K416/'Prestige Patterns'!$B$22)^'Prestige Patterns'!$B$23,1)-H415</f>
        <v>8661</v>
      </c>
      <c r="K416" s="8">
        <f>K415+N415*'Prestige Patterns'!$B$20</f>
        <v>20384606776896</v>
      </c>
      <c r="L416" s="8">
        <f>if(J415&gt;='Prestige Patterns'!$B$28,if(J415/(H415+1)&gt;('Prestige Patterns'!$B$27+1),L415+1,L415),L415)</f>
        <v>6</v>
      </c>
      <c r="N416" s="12">
        <f t="shared" si="1"/>
        <v>39932762522</v>
      </c>
      <c r="O416" s="9">
        <f>'Prestige Patterns'!$B$4*E416</f>
        <v>10660</v>
      </c>
      <c r="P416" s="12">
        <f t="shared" si="4"/>
        <v>65536</v>
      </c>
      <c r="Q416" s="11"/>
      <c r="R416" s="11"/>
      <c r="S416" s="9">
        <v>415.0</v>
      </c>
      <c r="T416" s="11"/>
    </row>
    <row r="417" ht="15.75" customHeight="1">
      <c r="A417" s="7"/>
      <c r="B417" s="7"/>
      <c r="C417" s="7">
        <f>(S417*'Prestige Patterns'!$B$20)/60</f>
        <v>208</v>
      </c>
      <c r="D417" s="8">
        <f>if(L416=L417,N416*'Prestige Patterns'!$B$20+D416-F417,0)</f>
        <v>0</v>
      </c>
      <c r="E417" s="9">
        <f t="shared" si="2"/>
        <v>1</v>
      </c>
      <c r="F417" s="10">
        <f>'Prestige Patterns'!$B$5*('Prestige Patterns'!$B$6^E416-'Prestige Patterns'!$B$6^(E416+G417))/(1-'Prestige Patterns'!$B$6)</f>
        <v>786966772037</v>
      </c>
      <c r="G417" s="13">
        <f>floor(LOG('Prestige Patterns'!$B$6^(E416) - (D416*(1-'Prestige Patterns'!$B$6)/'Prestige Patterns'!$B$5),'Prestige Patterns'!$B$6)-E416,1)</f>
        <v>1</v>
      </c>
      <c r="H417" s="12">
        <f t="shared" si="3"/>
        <v>14277</v>
      </c>
      <c r="I417" s="11">
        <f>1+H417*'Prestige Patterns'!$B$25</f>
        <v>143.77</v>
      </c>
      <c r="J417" s="12">
        <f>floor((K417/'Prestige Patterns'!$B$22)^'Prestige Patterns'!$B$23,1)-H416</f>
        <v>9075</v>
      </c>
      <c r="K417" s="8">
        <f>K416+N416*'Prestige Patterns'!$B$20</f>
        <v>21582589652544</v>
      </c>
      <c r="L417" s="8">
        <f>if(J416&gt;='Prestige Patterns'!$B$28,if(J416/(H416+1)&gt;('Prestige Patterns'!$B$27+1),L416+1,L416),L416)</f>
        <v>7</v>
      </c>
      <c r="N417" s="12">
        <f t="shared" si="1"/>
        <v>188442214.4</v>
      </c>
      <c r="O417" s="9">
        <f>'Prestige Patterns'!$B$4*E417</f>
        <v>20</v>
      </c>
      <c r="P417" s="12">
        <f t="shared" si="4"/>
        <v>65536</v>
      </c>
      <c r="Q417" s="11"/>
      <c r="R417" s="11"/>
      <c r="S417" s="9">
        <v>416.0</v>
      </c>
      <c r="T417" s="11"/>
    </row>
    <row r="418" ht="15.75" customHeight="1">
      <c r="A418" s="7"/>
      <c r="B418" s="7"/>
      <c r="C418" s="7">
        <f>(S418*'Prestige Patterns'!$B$20)/60</f>
        <v>208.5</v>
      </c>
      <c r="D418" s="8">
        <f>if(L417=L418,N417*'Prestige Patterns'!$B$20+D417-F418,0)</f>
        <v>5653266432</v>
      </c>
      <c r="E418" s="9">
        <f t="shared" si="2"/>
        <v>1</v>
      </c>
      <c r="F418" s="10">
        <f>'Prestige Patterns'!$B$5*('Prestige Patterns'!$B$6^E417-'Prestige Patterns'!$B$6^(E417+G418))/(1-'Prestige Patterns'!$B$6)</f>
        <v>0</v>
      </c>
      <c r="G418" s="13">
        <f>floor(LOG('Prestige Patterns'!$B$6^(E417) - (D417*(1-'Prestige Patterns'!$B$6)/'Prestige Patterns'!$B$5),'Prestige Patterns'!$B$6)-E417,1)</f>
        <v>0</v>
      </c>
      <c r="H418" s="12">
        <f t="shared" si="3"/>
        <v>14277</v>
      </c>
      <c r="I418" s="11">
        <f>1+H418*'Prestige Patterns'!$B$25</f>
        <v>143.77</v>
      </c>
      <c r="J418" s="12">
        <f>floor((K418/'Prestige Patterns'!$B$22)^'Prestige Patterns'!$B$23,1)-H417</f>
        <v>415</v>
      </c>
      <c r="K418" s="8">
        <f>K417+N417*'Prestige Patterns'!$B$20</f>
        <v>21588242918976</v>
      </c>
      <c r="L418" s="8">
        <f>if(J417&gt;='Prestige Patterns'!$B$28,if(J417/(H417+1)&gt;('Prestige Patterns'!$B$27+1),L417+1,L417),L417)</f>
        <v>7</v>
      </c>
      <c r="N418" s="12">
        <f t="shared" si="1"/>
        <v>188442214.4</v>
      </c>
      <c r="O418" s="9">
        <f>'Prestige Patterns'!$B$4*E418</f>
        <v>20</v>
      </c>
      <c r="P418" s="12">
        <f t="shared" si="4"/>
        <v>65536</v>
      </c>
      <c r="Q418" s="11"/>
      <c r="R418" s="11"/>
      <c r="S418" s="9">
        <v>417.0</v>
      </c>
      <c r="T418" s="11"/>
    </row>
    <row r="419" ht="15.75" customHeight="1">
      <c r="A419" s="7"/>
      <c r="B419" s="7"/>
      <c r="C419" s="7">
        <f>(S419*'Prestige Patterns'!$B$20)/60</f>
        <v>209</v>
      </c>
      <c r="D419" s="8">
        <f>if(L418=L419,N418*'Prestige Patterns'!$B$20+D418-F419,0)</f>
        <v>5771367038</v>
      </c>
      <c r="E419" s="9">
        <f t="shared" si="2"/>
        <v>370</v>
      </c>
      <c r="F419" s="10">
        <f>'Prestige Patterns'!$B$5*('Prestige Patterns'!$B$6^E418-'Prestige Patterns'!$B$6^(E418+G419))/(1-'Prestige Patterns'!$B$6)</f>
        <v>5535165826</v>
      </c>
      <c r="G419" s="13">
        <f>floor(LOG('Prestige Patterns'!$B$6^(E418) - (D418*(1-'Prestige Patterns'!$B$6)/'Prestige Patterns'!$B$5),'Prestige Patterns'!$B$6)-E418,1)</f>
        <v>369</v>
      </c>
      <c r="H419" s="12">
        <f t="shared" si="3"/>
        <v>14277</v>
      </c>
      <c r="I419" s="11">
        <f>1+H419*'Prestige Patterns'!$B$25</f>
        <v>143.77</v>
      </c>
      <c r="J419" s="12">
        <f>floor((K419/'Prestige Patterns'!$B$22)^'Prestige Patterns'!$B$23,1)-H418</f>
        <v>417</v>
      </c>
      <c r="K419" s="8">
        <f>K418+N418*'Prestige Patterns'!$B$20</f>
        <v>21593896185408</v>
      </c>
      <c r="L419" s="8">
        <f>if(J418&gt;='Prestige Patterns'!$B$28,if(J418/(H418+1)&gt;('Prestige Patterns'!$B$27+1),L418+1,L418),L418)</f>
        <v>7</v>
      </c>
      <c r="N419" s="12">
        <f t="shared" si="1"/>
        <v>544715776</v>
      </c>
      <c r="O419" s="9">
        <f>'Prestige Patterns'!$B$4*E419</f>
        <v>7400</v>
      </c>
      <c r="P419" s="12">
        <f t="shared" si="4"/>
        <v>512</v>
      </c>
      <c r="Q419" s="11"/>
      <c r="R419" s="11"/>
      <c r="S419" s="9">
        <v>418.0</v>
      </c>
      <c r="T419" s="11"/>
    </row>
    <row r="420" ht="15.75" customHeight="1">
      <c r="A420" s="7"/>
      <c r="B420" s="7"/>
      <c r="C420" s="7">
        <f>(S420*'Prestige Patterns'!$B$20)/60</f>
        <v>209.5</v>
      </c>
      <c r="D420" s="8">
        <f>if(L419=L420,N419*'Prestige Patterns'!$B$20+D419-F420,0)</f>
        <v>16688756335</v>
      </c>
      <c r="E420" s="9">
        <f t="shared" si="2"/>
        <v>384</v>
      </c>
      <c r="F420" s="10">
        <f>'Prestige Patterns'!$B$5*('Prestige Patterns'!$B$6^E419-'Prestige Patterns'!$B$6^(E419+G420))/(1-'Prestige Patterns'!$B$6)</f>
        <v>5424083983</v>
      </c>
      <c r="G420" s="13">
        <f>floor(LOG('Prestige Patterns'!$B$6^(E419) - (D419*(1-'Prestige Patterns'!$B$6)/'Prestige Patterns'!$B$5),'Prestige Patterns'!$B$6)-E419,1)</f>
        <v>14</v>
      </c>
      <c r="H420" s="12">
        <f t="shared" si="3"/>
        <v>14277</v>
      </c>
      <c r="I420" s="11">
        <f>1+H420*'Prestige Patterns'!$B$25</f>
        <v>143.77</v>
      </c>
      <c r="J420" s="12">
        <f>floor((K420/'Prestige Patterns'!$B$22)^'Prestige Patterns'!$B$23,1)-H419</f>
        <v>423</v>
      </c>
      <c r="K420" s="8">
        <f>K419+N419*'Prestige Patterns'!$B$20</f>
        <v>21610237658688</v>
      </c>
      <c r="L420" s="8">
        <f>if(J419&gt;='Prestige Patterns'!$B$28,if(J419/(H419+1)&gt;('Prestige Patterns'!$B$27+1),L419+1,L419),L419)</f>
        <v>7</v>
      </c>
      <c r="N420" s="12">
        <f t="shared" si="1"/>
        <v>565326643.2</v>
      </c>
      <c r="O420" s="9">
        <f>'Prestige Patterns'!$B$4*E420</f>
        <v>7680</v>
      </c>
      <c r="P420" s="12">
        <f t="shared" si="4"/>
        <v>512</v>
      </c>
      <c r="Q420" s="11"/>
      <c r="R420" s="11"/>
      <c r="S420" s="9">
        <v>419.0</v>
      </c>
      <c r="T420" s="11"/>
    </row>
    <row r="421" ht="15.75" customHeight="1">
      <c r="A421" s="7"/>
      <c r="B421" s="7"/>
      <c r="C421" s="7">
        <f>(S421*'Prestige Patterns'!$B$20)/60</f>
        <v>210</v>
      </c>
      <c r="D421" s="8">
        <f>if(L420=L421,N420*'Prestige Patterns'!$B$20+D420-F421,0)</f>
        <v>18233063944</v>
      </c>
      <c r="E421" s="9">
        <f t="shared" si="2"/>
        <v>402</v>
      </c>
      <c r="F421" s="10">
        <f>'Prestige Patterns'!$B$5*('Prestige Patterns'!$B$6^E420-'Prestige Patterns'!$B$6^(E420+G421))/(1-'Prestige Patterns'!$B$6)</f>
        <v>15415491687</v>
      </c>
      <c r="G421" s="13">
        <f>floor(LOG('Prestige Patterns'!$B$6^(E420) - (D420*(1-'Prestige Patterns'!$B$6)/'Prestige Patterns'!$B$5),'Prestige Patterns'!$B$6)-E420,1)</f>
        <v>18</v>
      </c>
      <c r="H421" s="12">
        <f t="shared" si="3"/>
        <v>14277</v>
      </c>
      <c r="I421" s="11">
        <f>1+H421*'Prestige Patterns'!$B$25</f>
        <v>143.77</v>
      </c>
      <c r="J421" s="12">
        <f>floor((K421/'Prestige Patterns'!$B$22)^'Prestige Patterns'!$B$23,1)-H420</f>
        <v>429</v>
      </c>
      <c r="K421" s="8">
        <f>K420+N420*'Prestige Patterns'!$B$20</f>
        <v>21627197457984</v>
      </c>
      <c r="L421" s="8">
        <f>if(J420&gt;='Prestige Patterns'!$B$28,if(J420/(H420+1)&gt;('Prestige Patterns'!$B$27+1),L420+1,L420),L420)</f>
        <v>7</v>
      </c>
      <c r="N421" s="12">
        <f t="shared" si="1"/>
        <v>4734610637</v>
      </c>
      <c r="O421" s="9">
        <f>'Prestige Patterns'!$B$4*E421</f>
        <v>8040</v>
      </c>
      <c r="P421" s="12">
        <f t="shared" si="4"/>
        <v>4096</v>
      </c>
      <c r="Q421" s="11"/>
      <c r="R421" s="11"/>
      <c r="S421" s="9">
        <v>420.0</v>
      </c>
      <c r="T421" s="11"/>
    </row>
    <row r="422" ht="15.75" customHeight="1">
      <c r="A422" s="7"/>
      <c r="B422" s="7"/>
      <c r="C422" s="7">
        <f>(S422*'Prestige Patterns'!$B$20)/60</f>
        <v>210.5</v>
      </c>
      <c r="D422" s="8">
        <f>if(L421=L422,N421*'Prestige Patterns'!$B$20+D421-F422,0)</f>
        <v>143684449785</v>
      </c>
      <c r="E422" s="9">
        <f t="shared" si="2"/>
        <v>412</v>
      </c>
      <c r="F422" s="10">
        <f>'Prestige Patterns'!$B$5*('Prestige Patterns'!$B$6^E421-'Prestige Patterns'!$B$6^(E421+G422))/(1-'Prestige Patterns'!$B$6)</f>
        <v>16586933262</v>
      </c>
      <c r="G422" s="13">
        <f>floor(LOG('Prestige Patterns'!$B$6^(E421) - (D421*(1-'Prestige Patterns'!$B$6)/'Prestige Patterns'!$B$5),'Prestige Patterns'!$B$6)-E421,1)</f>
        <v>10</v>
      </c>
      <c r="H422" s="12">
        <f t="shared" si="3"/>
        <v>14277</v>
      </c>
      <c r="I422" s="11">
        <f>1+H422*'Prestige Patterns'!$B$25</f>
        <v>143.77</v>
      </c>
      <c r="J422" s="12">
        <f>floor((K422/'Prestige Patterns'!$B$22)^'Prestige Patterns'!$B$23,1)-H421</f>
        <v>477</v>
      </c>
      <c r="K422" s="8">
        <f>K421+N421*'Prestige Patterns'!$B$20</f>
        <v>21769235777088</v>
      </c>
      <c r="L422" s="8">
        <f>if(J421&gt;='Prestige Patterns'!$B$28,if(J421/(H421+1)&gt;('Prestige Patterns'!$B$27+1),L421+1,L421),L421)</f>
        <v>7</v>
      </c>
      <c r="N422" s="12">
        <f t="shared" si="1"/>
        <v>4852387021</v>
      </c>
      <c r="O422" s="9">
        <f>'Prestige Patterns'!$B$4*E422</f>
        <v>8240</v>
      </c>
      <c r="P422" s="12">
        <f t="shared" si="4"/>
        <v>4096</v>
      </c>
      <c r="Q422" s="11"/>
      <c r="R422" s="11"/>
      <c r="S422" s="9">
        <v>421.0</v>
      </c>
      <c r="T422" s="11"/>
    </row>
    <row r="423" ht="15.75" customHeight="1">
      <c r="A423" s="7"/>
      <c r="B423" s="7"/>
      <c r="C423" s="7">
        <f>(S423*'Prestige Patterns'!$B$20)/60</f>
        <v>211</v>
      </c>
      <c r="D423" s="8">
        <f>if(L422=L423,N422*'Prestige Patterns'!$B$20+D422-F423,0)</f>
        <v>146539852243</v>
      </c>
      <c r="E423" s="9">
        <f t="shared" si="2"/>
        <v>442</v>
      </c>
      <c r="F423" s="10">
        <f>'Prestige Patterns'!$B$5*('Prestige Patterns'!$B$6^E422-'Prestige Patterns'!$B$6^(E422+G423))/(1-'Prestige Patterns'!$B$6)</f>
        <v>142716208167</v>
      </c>
      <c r="G423" s="13">
        <f>floor(LOG('Prestige Patterns'!$B$6^(E422) - (D422*(1-'Prestige Patterns'!$B$6)/'Prestige Patterns'!$B$5),'Prestige Patterns'!$B$6)-E422,1)</f>
        <v>30</v>
      </c>
      <c r="H423" s="12">
        <f t="shared" si="3"/>
        <v>14277</v>
      </c>
      <c r="I423" s="11">
        <f>1+H423*'Prestige Patterns'!$B$25</f>
        <v>143.77</v>
      </c>
      <c r="J423" s="12">
        <f>floor((K423/'Prestige Patterns'!$B$22)^'Prestige Patterns'!$B$23,1)-H422</f>
        <v>526</v>
      </c>
      <c r="K423" s="8">
        <f>K422+N422*'Prestige Patterns'!$B$20</f>
        <v>21914807387712</v>
      </c>
      <c r="L423" s="8">
        <f>if(J422&gt;='Prestige Patterns'!$B$28,if(J422/(H422+1)&gt;('Prestige Patterns'!$B$27+1),L422+1,L422),L422)</f>
        <v>7</v>
      </c>
      <c r="N423" s="12">
        <f t="shared" si="1"/>
        <v>5205716173</v>
      </c>
      <c r="O423" s="9">
        <f>'Prestige Patterns'!$B$4*E423</f>
        <v>8840</v>
      </c>
      <c r="P423" s="12">
        <f t="shared" si="4"/>
        <v>4096</v>
      </c>
      <c r="Q423" s="11"/>
      <c r="R423" s="11"/>
      <c r="S423" s="9">
        <v>422.0</v>
      </c>
      <c r="T423" s="11"/>
    </row>
    <row r="424" ht="15.75" customHeight="1">
      <c r="A424" s="7"/>
      <c r="B424" s="7"/>
      <c r="C424" s="7">
        <f>(S424*'Prestige Patterns'!$B$20)/60</f>
        <v>211.5</v>
      </c>
      <c r="D424" s="8">
        <f>if(L423=L424,N423*'Prestige Patterns'!$B$20+D423-F424,0)</f>
        <v>170817029193</v>
      </c>
      <c r="E424" s="9">
        <f t="shared" si="2"/>
        <v>453</v>
      </c>
      <c r="F424" s="10">
        <f>'Prestige Patterns'!$B$5*('Prestige Patterns'!$B$6^E423-'Prestige Patterns'!$B$6^(E423+G424))/(1-'Prestige Patterns'!$B$6)</f>
        <v>131894308233</v>
      </c>
      <c r="G424" s="13">
        <f>floor(LOG('Prestige Patterns'!$B$6^(E423) - (D423*(1-'Prestige Patterns'!$B$6)/'Prestige Patterns'!$B$5),'Prestige Patterns'!$B$6)-E423,1)</f>
        <v>11</v>
      </c>
      <c r="H424" s="12">
        <f t="shared" si="3"/>
        <v>14277</v>
      </c>
      <c r="I424" s="11">
        <f>1+H424*'Prestige Patterns'!$B$25</f>
        <v>143.77</v>
      </c>
      <c r="J424" s="12">
        <f>floor((K424/'Prestige Patterns'!$B$22)^'Prestige Patterns'!$B$23,1)-H423</f>
        <v>579</v>
      </c>
      <c r="K424" s="8">
        <f>K423+N423*'Prestige Patterns'!$B$20</f>
        <v>22070978872896</v>
      </c>
      <c r="L424" s="8">
        <f>if(J423&gt;='Prestige Patterns'!$B$28,if(J423/(H423+1)&gt;('Prestige Patterns'!$B$27+1),L423+1,L423),L423)</f>
        <v>7</v>
      </c>
      <c r="N424" s="12">
        <f t="shared" si="1"/>
        <v>5335270195</v>
      </c>
      <c r="O424" s="9">
        <f>'Prestige Patterns'!$B$4*E424</f>
        <v>9060</v>
      </c>
      <c r="P424" s="12">
        <f t="shared" si="4"/>
        <v>4096</v>
      </c>
      <c r="Q424" s="11"/>
      <c r="R424" s="11"/>
      <c r="S424" s="9">
        <v>423.0</v>
      </c>
      <c r="T424" s="11"/>
    </row>
    <row r="425" ht="15.75" customHeight="1">
      <c r="A425" s="7"/>
      <c r="B425" s="7"/>
      <c r="C425" s="7">
        <f>(S425*'Prestige Patterns'!$B$20)/60</f>
        <v>212</v>
      </c>
      <c r="D425" s="8">
        <f>if(L424=L425,N424*'Prestige Patterns'!$B$20+D424-F425,0)</f>
        <v>179248563544</v>
      </c>
      <c r="E425" s="9">
        <f t="shared" si="2"/>
        <v>461</v>
      </c>
      <c r="F425" s="10">
        <f>'Prestige Patterns'!$B$5*('Prestige Patterns'!$B$6^E424-'Prestige Patterns'!$B$6^(E424+G425))/(1-'Prestige Patterns'!$B$6)</f>
        <v>151626571505</v>
      </c>
      <c r="G425" s="13">
        <f>floor(LOG('Prestige Patterns'!$B$6^(E424) - (D424*(1-'Prestige Patterns'!$B$6)/'Prestige Patterns'!$B$5),'Prestige Patterns'!$B$6)-E424,1)</f>
        <v>8</v>
      </c>
      <c r="H425" s="12">
        <f t="shared" si="3"/>
        <v>14277</v>
      </c>
      <c r="I425" s="11">
        <f>1+H425*'Prestige Patterns'!$B$25</f>
        <v>143.77</v>
      </c>
      <c r="J425" s="12">
        <f>floor((K425/'Prestige Patterns'!$B$22)^'Prestige Patterns'!$B$23,1)-H424</f>
        <v>633</v>
      </c>
      <c r="K425" s="8">
        <f>K424+N424*'Prestige Patterns'!$B$20</f>
        <v>22231036978752</v>
      </c>
      <c r="L425" s="8">
        <f>if(J424&gt;='Prestige Patterns'!$B$28,if(J424/(H424+1)&gt;('Prestige Patterns'!$B$27+1),L424+1,L424),L424)</f>
        <v>7</v>
      </c>
      <c r="N425" s="12">
        <f t="shared" si="1"/>
        <v>5429491302</v>
      </c>
      <c r="O425" s="9">
        <f>'Prestige Patterns'!$B$4*E425</f>
        <v>9220</v>
      </c>
      <c r="P425" s="12">
        <f t="shared" si="4"/>
        <v>4096</v>
      </c>
      <c r="Q425" s="11"/>
      <c r="R425" s="11"/>
      <c r="S425" s="9">
        <v>424.0</v>
      </c>
      <c r="T425" s="11"/>
    </row>
    <row r="426" ht="15.75" customHeight="1">
      <c r="A426" s="7"/>
      <c r="B426" s="7"/>
      <c r="C426" s="7">
        <f>(S426*'Prestige Patterns'!$B$20)/60</f>
        <v>212.5</v>
      </c>
      <c r="D426" s="8">
        <f>if(L425=L426,N425*'Prestige Patterns'!$B$20+D425-F426,0)</f>
        <v>182560848819</v>
      </c>
      <c r="E426" s="9">
        <f t="shared" si="2"/>
        <v>467</v>
      </c>
      <c r="F426" s="10">
        <f>'Prestige Patterns'!$B$5*('Prestige Patterns'!$B$6^E425-'Prestige Patterns'!$B$6^(E425+G426))/(1-'Prestige Patterns'!$B$6)</f>
        <v>159572453797</v>
      </c>
      <c r="G426" s="13">
        <f>floor(LOG('Prestige Patterns'!$B$6^(E425) - (D425*(1-'Prestige Patterns'!$B$6)/'Prestige Patterns'!$B$5),'Prestige Patterns'!$B$6)-E425,1)</f>
        <v>6</v>
      </c>
      <c r="H426" s="12">
        <f t="shared" si="3"/>
        <v>14277</v>
      </c>
      <c r="I426" s="11">
        <f>1+H426*'Prestige Patterns'!$B$25</f>
        <v>143.77</v>
      </c>
      <c r="J426" s="12">
        <f>floor((K426/'Prestige Patterns'!$B$22)^'Prestige Patterns'!$B$23,1)-H425</f>
        <v>687</v>
      </c>
      <c r="K426" s="8">
        <f>K425+N425*'Prestige Patterns'!$B$20</f>
        <v>22393921717824</v>
      </c>
      <c r="L426" s="8">
        <f>if(J425&gt;='Prestige Patterns'!$B$28,if(J425/(H425+1)&gt;('Prestige Patterns'!$B$27+1),L425+1,L425),L425)</f>
        <v>7</v>
      </c>
      <c r="N426" s="12">
        <f t="shared" si="1"/>
        <v>5500157133</v>
      </c>
      <c r="O426" s="9">
        <f>'Prestige Patterns'!$B$4*E426</f>
        <v>9340</v>
      </c>
      <c r="P426" s="12">
        <f t="shared" si="4"/>
        <v>4096</v>
      </c>
      <c r="Q426" s="11"/>
      <c r="R426" s="11"/>
      <c r="S426" s="9">
        <v>425.0</v>
      </c>
      <c r="T426" s="11"/>
    </row>
    <row r="427" ht="15.75" customHeight="1">
      <c r="A427" s="7"/>
      <c r="B427" s="7"/>
      <c r="C427" s="7">
        <f>(S427*'Prestige Patterns'!$B$20)/60</f>
        <v>213</v>
      </c>
      <c r="D427" s="8">
        <f>if(L426=L427,N426*'Prestige Patterns'!$B$20+D426-F427,0)</f>
        <v>173847668641</v>
      </c>
      <c r="E427" s="9">
        <f t="shared" si="2"/>
        <v>472</v>
      </c>
      <c r="F427" s="10">
        <f>'Prestige Patterns'!$B$5*('Prestige Patterns'!$B$6^E426-'Prestige Patterns'!$B$6^(E426+G427))/(1-'Prestige Patterns'!$B$6)</f>
        <v>173717894162</v>
      </c>
      <c r="G427" s="13">
        <f>floor(LOG('Prestige Patterns'!$B$6^(E426) - (D426*(1-'Prestige Patterns'!$B$6)/'Prestige Patterns'!$B$5),'Prestige Patterns'!$B$6)-E426,1)</f>
        <v>5</v>
      </c>
      <c r="H427" s="12">
        <f t="shared" si="3"/>
        <v>14277</v>
      </c>
      <c r="I427" s="11">
        <f>1+H427*'Prestige Patterns'!$B$25</f>
        <v>143.77</v>
      </c>
      <c r="J427" s="12">
        <f>floor((K427/'Prestige Patterns'!$B$22)^'Prestige Patterns'!$B$23,1)-H426</f>
        <v>742</v>
      </c>
      <c r="K427" s="8">
        <f>K426+N426*'Prestige Patterns'!$B$20</f>
        <v>22558926431808</v>
      </c>
      <c r="L427" s="8">
        <f>if(J426&gt;='Prestige Patterns'!$B$28,if(J426/(H426+1)&gt;('Prestige Patterns'!$B$27+1),L426+1,L426),L426)</f>
        <v>7</v>
      </c>
      <c r="N427" s="12">
        <f t="shared" si="1"/>
        <v>5559045325</v>
      </c>
      <c r="O427" s="9">
        <f>'Prestige Patterns'!$B$4*E427</f>
        <v>9440</v>
      </c>
      <c r="P427" s="12">
        <f t="shared" si="4"/>
        <v>4096</v>
      </c>
      <c r="Q427" s="11"/>
      <c r="R427" s="11"/>
      <c r="S427" s="9">
        <v>426.0</v>
      </c>
      <c r="T427" s="11"/>
    </row>
    <row r="428" ht="15.75" customHeight="1">
      <c r="A428" s="7"/>
      <c r="B428" s="7"/>
      <c r="C428" s="7">
        <f>(S428*'Prestige Patterns'!$B$20)/60</f>
        <v>213.5</v>
      </c>
      <c r="D428" s="8">
        <f>if(L427=L428,N427*'Prestige Patterns'!$B$20+D427-F428,0)</f>
        <v>167677609471</v>
      </c>
      <c r="E428" s="9">
        <f t="shared" si="2"/>
        <v>476</v>
      </c>
      <c r="F428" s="10">
        <f>'Prestige Patterns'!$B$5*('Prestige Patterns'!$B$6^E427-'Prestige Patterns'!$B$6^(E427+G428))/(1-'Prestige Patterns'!$B$6)</f>
        <v>172941418914</v>
      </c>
      <c r="G428" s="13">
        <f>floor(LOG('Prestige Patterns'!$B$6^(E427) - (D427*(1-'Prestige Patterns'!$B$6)/'Prestige Patterns'!$B$5),'Prestige Patterns'!$B$6)-E427,1)</f>
        <v>4</v>
      </c>
      <c r="H428" s="12">
        <f t="shared" si="3"/>
        <v>14277</v>
      </c>
      <c r="I428" s="11">
        <f>1+H428*'Prestige Patterns'!$B$25</f>
        <v>143.77</v>
      </c>
      <c r="J428" s="12">
        <f>floor((K428/'Prestige Patterns'!$B$22)^'Prestige Patterns'!$B$23,1)-H427</f>
        <v>798</v>
      </c>
      <c r="K428" s="8">
        <f>K427+N427*'Prestige Patterns'!$B$20</f>
        <v>22725697791552</v>
      </c>
      <c r="L428" s="8">
        <f>if(J427&gt;='Prestige Patterns'!$B$28,if(J427/(H427+1)&gt;('Prestige Patterns'!$B$27+1),L427+1,L427),L427)</f>
        <v>7</v>
      </c>
      <c r="N428" s="12">
        <f t="shared" si="1"/>
        <v>5606155878</v>
      </c>
      <c r="O428" s="9">
        <f>'Prestige Patterns'!$B$4*E428</f>
        <v>9520</v>
      </c>
      <c r="P428" s="12">
        <f t="shared" si="4"/>
        <v>4096</v>
      </c>
      <c r="Q428" s="11"/>
      <c r="R428" s="11"/>
      <c r="S428" s="9">
        <v>427.0</v>
      </c>
      <c r="T428" s="11"/>
    </row>
    <row r="429" ht="15.75" customHeight="1">
      <c r="A429" s="7"/>
      <c r="B429" s="7"/>
      <c r="C429" s="7">
        <f>(S429*'Prestige Patterns'!$B$20)/60</f>
        <v>214</v>
      </c>
      <c r="D429" s="8">
        <f>if(L428=L429,N428*'Prestige Patterns'!$B$20+D428-F429,0)</f>
        <v>182110048591</v>
      </c>
      <c r="E429" s="9">
        <f t="shared" si="2"/>
        <v>479</v>
      </c>
      <c r="F429" s="10">
        <f>'Prestige Patterns'!$B$5*('Prestige Patterns'!$B$6^E428-'Prestige Patterns'!$B$6^(E428+G429))/(1-'Prestige Patterns'!$B$6)</f>
        <v>153752237232</v>
      </c>
      <c r="G429" s="13">
        <f>floor(LOG('Prestige Patterns'!$B$6^(E428) - (D428*(1-'Prestige Patterns'!$B$6)/'Prestige Patterns'!$B$5),'Prestige Patterns'!$B$6)-E428,1)</f>
        <v>3</v>
      </c>
      <c r="H429" s="12">
        <f t="shared" si="3"/>
        <v>14277</v>
      </c>
      <c r="I429" s="11">
        <f>1+H429*'Prestige Patterns'!$B$25</f>
        <v>143.77</v>
      </c>
      <c r="J429" s="12">
        <f>floor((K429/'Prestige Patterns'!$B$22)^'Prestige Patterns'!$B$23,1)-H428</f>
        <v>853</v>
      </c>
      <c r="K429" s="8">
        <f>K428+N428*'Prestige Patterns'!$B$20</f>
        <v>22893882467904</v>
      </c>
      <c r="L429" s="8">
        <f>if(J428&gt;='Prestige Patterns'!$B$28,if(J428/(H428+1)&gt;('Prestige Patterns'!$B$27+1),L428+1,L428),L428)</f>
        <v>7</v>
      </c>
      <c r="N429" s="12">
        <f t="shared" si="1"/>
        <v>5641488794</v>
      </c>
      <c r="O429" s="9">
        <f>'Prestige Patterns'!$B$4*E429</f>
        <v>9580</v>
      </c>
      <c r="P429" s="12">
        <f t="shared" si="4"/>
        <v>4096</v>
      </c>
      <c r="Q429" s="11"/>
      <c r="R429" s="11"/>
      <c r="S429" s="9">
        <v>428.0</v>
      </c>
      <c r="T429" s="11"/>
    </row>
    <row r="430" ht="15.75" customHeight="1">
      <c r="A430" s="7"/>
      <c r="B430" s="7"/>
      <c r="C430" s="7">
        <f>(S430*'Prestige Patterns'!$B$20)/60</f>
        <v>214.5</v>
      </c>
      <c r="D430" s="8">
        <f>if(L429=L430,N429*'Prestige Patterns'!$B$20+D429-F430,0)</f>
        <v>173367278774</v>
      </c>
      <c r="E430" s="9">
        <f t="shared" si="2"/>
        <v>482</v>
      </c>
      <c r="F430" s="10">
        <f>'Prestige Patterns'!$B$5*('Prestige Patterns'!$B$6^E429-'Prestige Patterns'!$B$6^(E429+G430))/(1-'Prestige Patterns'!$B$6)</f>
        <v>177987433625</v>
      </c>
      <c r="G430" s="13">
        <f>floor(LOG('Prestige Patterns'!$B$6^(E429) - (D429*(1-'Prestige Patterns'!$B$6)/'Prestige Patterns'!$B$5),'Prestige Patterns'!$B$6)-E429,1)</f>
        <v>3</v>
      </c>
      <c r="H430" s="12">
        <f t="shared" si="3"/>
        <v>14277</v>
      </c>
      <c r="I430" s="11">
        <f>1+H430*'Prestige Patterns'!$B$25</f>
        <v>143.77</v>
      </c>
      <c r="J430" s="12">
        <f>floor((K430/'Prestige Patterns'!$B$22)^'Prestige Patterns'!$B$23,1)-H429</f>
        <v>909</v>
      </c>
      <c r="K430" s="8">
        <f>K429+N429*'Prestige Patterns'!$B$20</f>
        <v>23063127131712</v>
      </c>
      <c r="L430" s="8">
        <f>if(J429&gt;='Prestige Patterns'!$B$28,if(J429/(H429+1)&gt;('Prestige Patterns'!$B$27+1),L429+1,L429),L429)</f>
        <v>7</v>
      </c>
      <c r="N430" s="12">
        <f t="shared" si="1"/>
        <v>5676821709</v>
      </c>
      <c r="O430" s="9">
        <f>'Prestige Patterns'!$B$4*E430</f>
        <v>9640</v>
      </c>
      <c r="P430" s="12">
        <f t="shared" si="4"/>
        <v>4096</v>
      </c>
      <c r="Q430" s="11"/>
      <c r="R430" s="11"/>
      <c r="S430" s="9">
        <v>429.0</v>
      </c>
      <c r="T430" s="11"/>
    </row>
    <row r="431" ht="15.75" customHeight="1">
      <c r="A431" s="7"/>
      <c r="B431" s="7"/>
      <c r="C431" s="7">
        <f>(S431*'Prestige Patterns'!$B$20)/60</f>
        <v>215</v>
      </c>
      <c r="D431" s="8">
        <f>if(L430=L431,N430*'Prestige Patterns'!$B$20+D430-F431,0)</f>
        <v>209686984489</v>
      </c>
      <c r="E431" s="9">
        <f t="shared" si="2"/>
        <v>484</v>
      </c>
      <c r="F431" s="10">
        <f>'Prestige Patterns'!$B$5*('Prestige Patterns'!$B$6^E430-'Prestige Patterns'!$B$6^(E430+G431))/(1-'Prestige Patterns'!$B$6)</f>
        <v>133984945549</v>
      </c>
      <c r="G431" s="13">
        <f>floor(LOG('Prestige Patterns'!$B$6^(E430) - (D430*(1-'Prestige Patterns'!$B$6)/'Prestige Patterns'!$B$5),'Prestige Patterns'!$B$6)-E430,1)</f>
        <v>2</v>
      </c>
      <c r="H431" s="12">
        <f t="shared" si="3"/>
        <v>14277</v>
      </c>
      <c r="I431" s="11">
        <f>1+H431*'Prestige Patterns'!$B$25</f>
        <v>143.77</v>
      </c>
      <c r="J431" s="12">
        <f>floor((K431/'Prestige Patterns'!$B$22)^'Prestige Patterns'!$B$23,1)-H430</f>
        <v>965</v>
      </c>
      <c r="K431" s="8">
        <f>K430+N430*'Prestige Patterns'!$B$20</f>
        <v>23233431782976</v>
      </c>
      <c r="L431" s="8">
        <f>if(J430&gt;='Prestige Patterns'!$B$28,if(J430/(H430+1)&gt;('Prestige Patterns'!$B$27+1),L430+1,L430),L430)</f>
        <v>7</v>
      </c>
      <c r="N431" s="12">
        <f t="shared" si="1"/>
        <v>5700376986</v>
      </c>
      <c r="O431" s="9">
        <f>'Prestige Patterns'!$B$4*E431</f>
        <v>9680</v>
      </c>
      <c r="P431" s="12">
        <f t="shared" si="4"/>
        <v>4096</v>
      </c>
      <c r="Q431" s="11"/>
      <c r="R431" s="11"/>
      <c r="S431" s="9">
        <v>430.0</v>
      </c>
      <c r="T431" s="11"/>
    </row>
    <row r="432" ht="15.75" customHeight="1">
      <c r="A432" s="7"/>
      <c r="B432" s="7"/>
      <c r="C432" s="7">
        <f>(S432*'Prestige Patterns'!$B$20)/60</f>
        <v>215.5</v>
      </c>
      <c r="D432" s="8">
        <f>if(L431=L432,N431*'Prestige Patterns'!$B$20+D431-F432,0)</f>
        <v>232979891590</v>
      </c>
      <c r="E432" s="9">
        <f t="shared" si="2"/>
        <v>486</v>
      </c>
      <c r="F432" s="10">
        <f>'Prestige Patterns'!$B$5*('Prestige Patterns'!$B$6^E431-'Prestige Patterns'!$B$6^(E431+G432))/(1-'Prestige Patterns'!$B$6)</f>
        <v>147718402468</v>
      </c>
      <c r="G432" s="13">
        <f>floor(LOG('Prestige Patterns'!$B$6^(E431) - (D431*(1-'Prestige Patterns'!$B$6)/'Prestige Patterns'!$B$5),'Prestige Patterns'!$B$6)-E431,1)</f>
        <v>2</v>
      </c>
      <c r="H432" s="12">
        <f t="shared" si="3"/>
        <v>14277</v>
      </c>
      <c r="I432" s="11">
        <f>1+H432*'Prestige Patterns'!$B$25</f>
        <v>143.77</v>
      </c>
      <c r="J432" s="12">
        <f>floor((K432/'Prestige Patterns'!$B$22)^'Prestige Patterns'!$B$23,1)-H431</f>
        <v>1021</v>
      </c>
      <c r="K432" s="8">
        <f>K431+N431*'Prestige Patterns'!$B$20</f>
        <v>23404443092544</v>
      </c>
      <c r="L432" s="8">
        <f>if(J431&gt;='Prestige Patterns'!$B$28,if(J431/(H431+1)&gt;('Prestige Patterns'!$B$27+1),L431+1,L431),L431)</f>
        <v>7</v>
      </c>
      <c r="N432" s="12">
        <f t="shared" si="1"/>
        <v>5723932262</v>
      </c>
      <c r="O432" s="9">
        <f>'Prestige Patterns'!$B$4*E432</f>
        <v>9720</v>
      </c>
      <c r="P432" s="12">
        <f t="shared" si="4"/>
        <v>4096</v>
      </c>
      <c r="Q432" s="11"/>
      <c r="R432" s="11"/>
      <c r="S432" s="9">
        <v>431.0</v>
      </c>
      <c r="T432" s="11"/>
    </row>
    <row r="433" ht="15.75" customHeight="1">
      <c r="A433" s="7"/>
      <c r="B433" s="7"/>
      <c r="C433" s="7">
        <f>(S433*'Prestige Patterns'!$B$20)/60</f>
        <v>216</v>
      </c>
      <c r="D433" s="8">
        <f>if(L432=L433,N432*'Prestige Patterns'!$B$20+D432-F433,0)</f>
        <v>241838320741</v>
      </c>
      <c r="E433" s="9">
        <f t="shared" si="2"/>
        <v>488</v>
      </c>
      <c r="F433" s="10">
        <f>'Prestige Patterns'!$B$5*('Prestige Patterns'!$B$6^E432-'Prestige Patterns'!$B$6^(E432+G433))/(1-'Prestige Patterns'!$B$6)</f>
        <v>162859538721</v>
      </c>
      <c r="G433" s="13">
        <f>floor(LOG('Prestige Patterns'!$B$6^(E432) - (D432*(1-'Prestige Patterns'!$B$6)/'Prestige Patterns'!$B$5),'Prestige Patterns'!$B$6)-E432,1)</f>
        <v>2</v>
      </c>
      <c r="H433" s="12">
        <f t="shared" si="3"/>
        <v>14277</v>
      </c>
      <c r="I433" s="11">
        <f>1+H433*'Prestige Patterns'!$B$25</f>
        <v>143.77</v>
      </c>
      <c r="J433" s="12">
        <f>floor((K433/'Prestige Patterns'!$B$22)^'Prestige Patterns'!$B$23,1)-H432</f>
        <v>1077</v>
      </c>
      <c r="K433" s="8">
        <f>K432+N432*'Prestige Patterns'!$B$20</f>
        <v>23576161060416</v>
      </c>
      <c r="L433" s="8">
        <f>if(J432&gt;='Prestige Patterns'!$B$28,if(J432/(H432+1)&gt;('Prestige Patterns'!$B$27+1),L432+1,L432),L432)</f>
        <v>7</v>
      </c>
      <c r="N433" s="12">
        <f t="shared" si="1"/>
        <v>5747487539</v>
      </c>
      <c r="O433" s="9">
        <f>'Prestige Patterns'!$B$4*E433</f>
        <v>9760</v>
      </c>
      <c r="P433" s="12">
        <f t="shared" si="4"/>
        <v>4096</v>
      </c>
      <c r="Q433" s="11"/>
      <c r="R433" s="11"/>
      <c r="S433" s="9">
        <v>432.0</v>
      </c>
      <c r="T433" s="11"/>
    </row>
    <row r="434" ht="15.75" customHeight="1">
      <c r="A434" s="7"/>
      <c r="B434" s="7"/>
      <c r="C434" s="7">
        <f>(S434*'Prestige Patterns'!$B$20)/60</f>
        <v>216.5</v>
      </c>
      <c r="D434" s="8">
        <f>if(L433=L434,N433*'Prestige Patterns'!$B$20+D433-F434,0)</f>
        <v>234710305477</v>
      </c>
      <c r="E434" s="9">
        <f t="shared" si="2"/>
        <v>490</v>
      </c>
      <c r="F434" s="10">
        <f>'Prestige Patterns'!$B$5*('Prestige Patterns'!$B$6^E433-'Prestige Patterns'!$B$6^(E433+G434))/(1-'Prestige Patterns'!$B$6)</f>
        <v>179552641440</v>
      </c>
      <c r="G434" s="13">
        <f>floor(LOG('Prestige Patterns'!$B$6^(E433) - (D433*(1-'Prestige Patterns'!$B$6)/'Prestige Patterns'!$B$5),'Prestige Patterns'!$B$6)-E433,1)</f>
        <v>2</v>
      </c>
      <c r="H434" s="12">
        <f t="shared" si="3"/>
        <v>14277</v>
      </c>
      <c r="I434" s="11">
        <f>1+H434*'Prestige Patterns'!$B$25</f>
        <v>143.77</v>
      </c>
      <c r="J434" s="12">
        <f>floor((K434/'Prestige Patterns'!$B$22)^'Prestige Patterns'!$B$23,1)-H433</f>
        <v>1133</v>
      </c>
      <c r="K434" s="8">
        <f>K433+N433*'Prestige Patterns'!$B$20</f>
        <v>23748585686592</v>
      </c>
      <c r="L434" s="8">
        <f>if(J433&gt;='Prestige Patterns'!$B$28,if(J433/(H433+1)&gt;('Prestige Patterns'!$B$27+1),L433+1,L433),L433)</f>
        <v>7</v>
      </c>
      <c r="N434" s="12">
        <f t="shared" si="1"/>
        <v>5771042816</v>
      </c>
      <c r="O434" s="9">
        <f>'Prestige Patterns'!$B$4*E434</f>
        <v>9800</v>
      </c>
      <c r="P434" s="12">
        <f t="shared" si="4"/>
        <v>4096</v>
      </c>
      <c r="Q434" s="11"/>
      <c r="R434" s="11"/>
      <c r="S434" s="9">
        <v>433.0</v>
      </c>
      <c r="T434" s="11"/>
    </row>
    <row r="435" ht="15.75" customHeight="1">
      <c r="A435" s="7"/>
      <c r="B435" s="7"/>
      <c r="C435" s="7">
        <f>(S435*'Prestige Patterns'!$B$20)/60</f>
        <v>217</v>
      </c>
      <c r="D435" s="8">
        <f>if(L434=L435,N434*'Prestige Patterns'!$B$20+D434-F435,0)</f>
        <v>209884802770</v>
      </c>
      <c r="E435" s="9">
        <f t="shared" si="2"/>
        <v>492</v>
      </c>
      <c r="F435" s="10">
        <f>'Prestige Patterns'!$B$5*('Prestige Patterns'!$B$6^E434-'Prestige Patterns'!$B$6^(E434+G435))/(1-'Prestige Patterns'!$B$6)</f>
        <v>197956787187</v>
      </c>
      <c r="G435" s="13">
        <f>floor(LOG('Prestige Patterns'!$B$6^(E434) - (D434*(1-'Prestige Patterns'!$B$6)/'Prestige Patterns'!$B$5),'Prestige Patterns'!$B$6)-E434,1)</f>
        <v>2</v>
      </c>
      <c r="H435" s="12">
        <f t="shared" si="3"/>
        <v>14277</v>
      </c>
      <c r="I435" s="11">
        <f>1+H435*'Prestige Patterns'!$B$25</f>
        <v>143.77</v>
      </c>
      <c r="J435" s="12">
        <f>floor((K435/'Prestige Patterns'!$B$22)^'Prestige Patterns'!$B$23,1)-H434</f>
        <v>1189</v>
      </c>
      <c r="K435" s="8">
        <f>K434+N434*'Prestige Patterns'!$B$20</f>
        <v>23921716971072</v>
      </c>
      <c r="L435" s="8">
        <f>if(J434&gt;='Prestige Patterns'!$B$28,if(J434/(H434+1)&gt;('Prestige Patterns'!$B$27+1),L434+1,L434),L434)</f>
        <v>7</v>
      </c>
      <c r="N435" s="12">
        <f t="shared" si="1"/>
        <v>5794598093</v>
      </c>
      <c r="O435" s="9">
        <f>'Prestige Patterns'!$B$4*E435</f>
        <v>9840</v>
      </c>
      <c r="P435" s="12">
        <f t="shared" si="4"/>
        <v>4096</v>
      </c>
      <c r="Q435" s="11"/>
      <c r="R435" s="11"/>
      <c r="S435" s="9">
        <v>434.0</v>
      </c>
      <c r="T435" s="11"/>
    </row>
    <row r="436" ht="15.75" customHeight="1">
      <c r="A436" s="7"/>
      <c r="B436" s="7"/>
      <c r="C436" s="7">
        <f>(S436*'Prestige Patterns'!$B$20)/60</f>
        <v>217.5</v>
      </c>
      <c r="D436" s="8">
        <f>if(L435=L436,N435*'Prestige Patterns'!$B$20+D435-F436,0)</f>
        <v>277260619762</v>
      </c>
      <c r="E436" s="9">
        <f t="shared" si="2"/>
        <v>493</v>
      </c>
      <c r="F436" s="10">
        <f>'Prestige Patterns'!$B$5*('Prestige Patterns'!$B$6^E435-'Prestige Patterns'!$B$6^(E435+G436))/(1-'Prestige Patterns'!$B$6)</f>
        <v>106462125792</v>
      </c>
      <c r="G436" s="13">
        <f>floor(LOG('Prestige Patterns'!$B$6^(E435) - (D435*(1-'Prestige Patterns'!$B$6)/'Prestige Patterns'!$B$5),'Prestige Patterns'!$B$6)-E435,1)</f>
        <v>1</v>
      </c>
      <c r="H436" s="12">
        <f t="shared" si="3"/>
        <v>14277</v>
      </c>
      <c r="I436" s="11">
        <f>1+H436*'Prestige Patterns'!$B$25</f>
        <v>143.77</v>
      </c>
      <c r="J436" s="12">
        <f>floor((K436/'Prestige Patterns'!$B$22)^'Prestige Patterns'!$B$23,1)-H435</f>
        <v>1245</v>
      </c>
      <c r="K436" s="8">
        <f>K435+N435*'Prestige Patterns'!$B$20</f>
        <v>24095554913856</v>
      </c>
      <c r="L436" s="8">
        <f>if(J435&gt;='Prestige Patterns'!$B$28,if(J435/(H435+1)&gt;('Prestige Patterns'!$B$27+1),L435+1,L435),L435)</f>
        <v>7</v>
      </c>
      <c r="N436" s="12">
        <f t="shared" si="1"/>
        <v>5806375731</v>
      </c>
      <c r="O436" s="9">
        <f>'Prestige Patterns'!$B$4*E436</f>
        <v>9860</v>
      </c>
      <c r="P436" s="12">
        <f t="shared" si="4"/>
        <v>4096</v>
      </c>
      <c r="Q436" s="11"/>
      <c r="R436" s="11"/>
      <c r="S436" s="9">
        <v>435.0</v>
      </c>
      <c r="T436" s="11"/>
    </row>
    <row r="437" ht="15.75" customHeight="1">
      <c r="A437" s="7"/>
      <c r="B437" s="7"/>
      <c r="C437" s="7">
        <f>(S437*'Prestige Patterns'!$B$20)/60</f>
        <v>218</v>
      </c>
      <c r="D437" s="8">
        <f>if(L436=L437,N436*'Prestige Patterns'!$B$20+D436-F437,0)</f>
        <v>222292165931</v>
      </c>
      <c r="E437" s="9">
        <f t="shared" si="2"/>
        <v>495</v>
      </c>
      <c r="F437" s="10">
        <f>'Prestige Patterns'!$B$5*('Prestige Patterns'!$B$6^E436-'Prestige Patterns'!$B$6^(E436+G437))/(1-'Prestige Patterns'!$B$6)</f>
        <v>229159725767</v>
      </c>
      <c r="G437" s="13">
        <f>floor(LOG('Prestige Patterns'!$B$6^(E436) - (D436*(1-'Prestige Patterns'!$B$6)/'Prestige Patterns'!$B$5),'Prestige Patterns'!$B$6)-E436,1)</f>
        <v>2</v>
      </c>
      <c r="H437" s="12">
        <f t="shared" si="3"/>
        <v>14277</v>
      </c>
      <c r="I437" s="11">
        <f>1+H437*'Prestige Patterns'!$B$25</f>
        <v>143.77</v>
      </c>
      <c r="J437" s="12">
        <f>floor((K437/'Prestige Patterns'!$B$22)^'Prestige Patterns'!$B$23,1)-H436</f>
        <v>1301</v>
      </c>
      <c r="K437" s="8">
        <f>K436+N436*'Prestige Patterns'!$B$20</f>
        <v>24269746185792</v>
      </c>
      <c r="L437" s="8">
        <f>if(J436&gt;='Prestige Patterns'!$B$28,if(J436/(H436+1)&gt;('Prestige Patterns'!$B$27+1),L436+1,L436),L436)</f>
        <v>7</v>
      </c>
      <c r="N437" s="12">
        <f t="shared" si="1"/>
        <v>5829931008</v>
      </c>
      <c r="O437" s="9">
        <f>'Prestige Patterns'!$B$4*E437</f>
        <v>9900</v>
      </c>
      <c r="P437" s="12">
        <f t="shared" si="4"/>
        <v>4096</v>
      </c>
      <c r="Q437" s="11"/>
      <c r="R437" s="11"/>
      <c r="S437" s="9">
        <v>436.0</v>
      </c>
      <c r="T437" s="11"/>
    </row>
    <row r="438" ht="15.75" customHeight="1">
      <c r="A438" s="7"/>
      <c r="B438" s="7"/>
      <c r="C438" s="7">
        <f>(S438*'Prestige Patterns'!$B$20)/60</f>
        <v>218.5</v>
      </c>
      <c r="D438" s="8">
        <f>if(L437=L438,N437*'Prestige Patterns'!$B$20+D437-F438,0)</f>
        <v>273946877801</v>
      </c>
      <c r="E438" s="9">
        <f t="shared" si="2"/>
        <v>496</v>
      </c>
      <c r="F438" s="10">
        <f>'Prestige Patterns'!$B$5*('Prestige Patterns'!$B$6^E437-'Prestige Patterns'!$B$6^(E437+G438))/(1-'Prestige Patterns'!$B$6)</f>
        <v>123243218370</v>
      </c>
      <c r="G438" s="13">
        <f>floor(LOG('Prestige Patterns'!$B$6^(E437) - (D437*(1-'Prestige Patterns'!$B$6)/'Prestige Patterns'!$B$5),'Prestige Patterns'!$B$6)-E437,1)</f>
        <v>1</v>
      </c>
      <c r="H438" s="12">
        <f t="shared" si="3"/>
        <v>14277</v>
      </c>
      <c r="I438" s="11">
        <f>1+H438*'Prestige Patterns'!$B$25</f>
        <v>143.77</v>
      </c>
      <c r="J438" s="12">
        <f>floor((K438/'Prestige Patterns'!$B$22)^'Prestige Patterns'!$B$23,1)-H437</f>
        <v>1357</v>
      </c>
      <c r="K438" s="8">
        <f>K437+N437*'Prestige Patterns'!$B$20</f>
        <v>24444644116032</v>
      </c>
      <c r="L438" s="8">
        <f>if(J437&gt;='Prestige Patterns'!$B$28,if(J437/(H437+1)&gt;('Prestige Patterns'!$B$27+1),L437+1,L437),L437)</f>
        <v>7</v>
      </c>
      <c r="N438" s="12">
        <f t="shared" si="1"/>
        <v>5841708646</v>
      </c>
      <c r="O438" s="9">
        <f>'Prestige Patterns'!$B$4*E438</f>
        <v>9920</v>
      </c>
      <c r="P438" s="12">
        <f t="shared" si="4"/>
        <v>4096</v>
      </c>
      <c r="Q438" s="11"/>
      <c r="R438" s="11"/>
      <c r="S438" s="9">
        <v>437.0</v>
      </c>
      <c r="T438" s="11"/>
    </row>
    <row r="439" ht="15.75" customHeight="1">
      <c r="A439" s="7"/>
      <c r="B439" s="7"/>
      <c r="C439" s="7">
        <f>(S439*'Prestige Patterns'!$B$20)/60</f>
        <v>219</v>
      </c>
      <c r="D439" s="8">
        <f>if(L438=L439,N438*'Prestige Patterns'!$B$20+D438-F439,0)</f>
        <v>183917109651</v>
      </c>
      <c r="E439" s="9">
        <f t="shared" si="2"/>
        <v>498</v>
      </c>
      <c r="F439" s="10">
        <f>'Prestige Patterns'!$B$5*('Prestige Patterns'!$B$6^E438-'Prestige Patterns'!$B$6^(E438+G439))/(1-'Prestige Patterns'!$B$6)</f>
        <v>265281027542</v>
      </c>
      <c r="G439" s="13">
        <f>floor(LOG('Prestige Patterns'!$B$6^(E438) - (D438*(1-'Prestige Patterns'!$B$6)/'Prestige Patterns'!$B$5),'Prestige Patterns'!$B$6)-E438,1)</f>
        <v>2</v>
      </c>
      <c r="H439" s="12">
        <f t="shared" si="3"/>
        <v>14277</v>
      </c>
      <c r="I439" s="11">
        <f>1+H439*'Prestige Patterns'!$B$25</f>
        <v>143.77</v>
      </c>
      <c r="J439" s="12">
        <f>floor((K439/'Prestige Patterns'!$B$22)^'Prestige Patterns'!$B$23,1)-H438</f>
        <v>1413</v>
      </c>
      <c r="K439" s="8">
        <f>K438+N438*'Prestige Patterns'!$B$20</f>
        <v>24619895375424</v>
      </c>
      <c r="L439" s="8">
        <f>if(J438&gt;='Prestige Patterns'!$B$28,if(J438/(H438+1)&gt;('Prestige Patterns'!$B$27+1),L438+1,L438),L438)</f>
        <v>7</v>
      </c>
      <c r="N439" s="12">
        <f t="shared" si="1"/>
        <v>5865263923</v>
      </c>
      <c r="O439" s="9">
        <f>'Prestige Patterns'!$B$4*E439</f>
        <v>9960</v>
      </c>
      <c r="P439" s="12">
        <f t="shared" si="4"/>
        <v>4096</v>
      </c>
      <c r="Q439" s="11"/>
      <c r="R439" s="11"/>
      <c r="S439" s="9">
        <v>438.0</v>
      </c>
      <c r="T439" s="11"/>
    </row>
    <row r="440" ht="15.75" customHeight="1">
      <c r="A440" s="7"/>
      <c r="B440" s="7"/>
      <c r="C440" s="7">
        <f>(S440*'Prestige Patterns'!$B$20)/60</f>
        <v>219.5</v>
      </c>
      <c r="D440" s="8">
        <f>if(L439=L440,N439*'Prestige Patterns'!$B$20+D439-F440,0)</f>
        <v>217205596681</v>
      </c>
      <c r="E440" s="9">
        <f t="shared" si="2"/>
        <v>499</v>
      </c>
      <c r="F440" s="10">
        <f>'Prestige Patterns'!$B$5*('Prestige Patterns'!$B$6^E439-'Prestige Patterns'!$B$6^(E439+G440))/(1-'Prestige Patterns'!$B$6)</f>
        <v>142669430666</v>
      </c>
      <c r="G440" s="13">
        <f>floor(LOG('Prestige Patterns'!$B$6^(E439) - (D439*(1-'Prestige Patterns'!$B$6)/'Prestige Patterns'!$B$5),'Prestige Patterns'!$B$6)-E439,1)</f>
        <v>1</v>
      </c>
      <c r="H440" s="12">
        <f t="shared" si="3"/>
        <v>14277</v>
      </c>
      <c r="I440" s="11">
        <f>1+H440*'Prestige Patterns'!$B$25</f>
        <v>143.77</v>
      </c>
      <c r="J440" s="12">
        <f>floor((K440/'Prestige Patterns'!$B$22)^'Prestige Patterns'!$B$23,1)-H439</f>
        <v>1469</v>
      </c>
      <c r="K440" s="8">
        <f>K439+N439*'Prestige Patterns'!$B$20</f>
        <v>24795853293120</v>
      </c>
      <c r="L440" s="8">
        <f>if(J439&gt;='Prestige Patterns'!$B$28,if(J439/(H439+1)&gt;('Prestige Patterns'!$B$27+1),L439+1,L439),L439)</f>
        <v>7</v>
      </c>
      <c r="N440" s="12">
        <f t="shared" si="1"/>
        <v>5877041562</v>
      </c>
      <c r="O440" s="9">
        <f>'Prestige Patterns'!$B$4*E440</f>
        <v>9980</v>
      </c>
      <c r="P440" s="12">
        <f t="shared" si="4"/>
        <v>4096</v>
      </c>
      <c r="Q440" s="11"/>
      <c r="R440" s="11"/>
      <c r="S440" s="9">
        <v>439.0</v>
      </c>
      <c r="T440" s="11"/>
    </row>
    <row r="441" ht="15.75" customHeight="1">
      <c r="A441" s="7"/>
      <c r="B441" s="7"/>
      <c r="C441" s="7">
        <f>(S441*'Prestige Patterns'!$B$20)/60</f>
        <v>220</v>
      </c>
      <c r="D441" s="8">
        <f>if(L440=L441,N440*'Prestige Patterns'!$B$20+D440-F441,0)</f>
        <v>243713941331</v>
      </c>
      <c r="E441" s="9">
        <f t="shared" si="2"/>
        <v>500</v>
      </c>
      <c r="F441" s="10">
        <f>'Prestige Patterns'!$B$5*('Prestige Patterns'!$B$6^E440-'Prestige Patterns'!$B$6^(E440+G441))/(1-'Prestige Patterns'!$B$6)</f>
        <v>149802902199</v>
      </c>
      <c r="G441" s="13">
        <f>floor(LOG('Prestige Patterns'!$B$6^(E440) - (D440*(1-'Prestige Patterns'!$B$6)/'Prestige Patterns'!$B$5),'Prestige Patterns'!$B$6)-E440,1)</f>
        <v>1</v>
      </c>
      <c r="H441" s="12">
        <f t="shared" si="3"/>
        <v>14277</v>
      </c>
      <c r="I441" s="11">
        <f>1+H441*'Prestige Patterns'!$B$25</f>
        <v>143.77</v>
      </c>
      <c r="J441" s="12">
        <f>floor((K441/'Prestige Patterns'!$B$22)^'Prestige Patterns'!$B$23,1)-H440</f>
        <v>1525</v>
      </c>
      <c r="K441" s="8">
        <f>K440+N440*'Prestige Patterns'!$B$20</f>
        <v>24972164539968</v>
      </c>
      <c r="L441" s="8">
        <f>if(J440&gt;='Prestige Patterns'!$B$28,if(J440/(H440+1)&gt;('Prestige Patterns'!$B$27+1),L440+1,L440),L440)</f>
        <v>7</v>
      </c>
      <c r="N441" s="12">
        <f t="shared" si="1"/>
        <v>94221107200</v>
      </c>
      <c r="O441" s="9">
        <f>'Prestige Patterns'!$B$4*E441</f>
        <v>10000</v>
      </c>
      <c r="P441" s="12">
        <f t="shared" si="4"/>
        <v>65536</v>
      </c>
      <c r="Q441" s="11"/>
      <c r="R441" s="11"/>
      <c r="S441" s="9">
        <v>440.0</v>
      </c>
      <c r="T441" s="11"/>
    </row>
    <row r="442" ht="15.75" customHeight="1">
      <c r="A442" s="7"/>
      <c r="B442" s="7"/>
      <c r="C442" s="7">
        <f>(S442*'Prestige Patterns'!$B$20)/60</f>
        <v>220.5</v>
      </c>
      <c r="D442" s="8">
        <f>if(L441=L442,N441*'Prestige Patterns'!$B$20+D441-F442,0)</f>
        <v>2913054110022</v>
      </c>
      <c r="E442" s="9">
        <f t="shared" si="2"/>
        <v>501</v>
      </c>
      <c r="F442" s="10">
        <f>'Prestige Patterns'!$B$5*('Prestige Patterns'!$B$6^E441-'Prestige Patterns'!$B$6^(E441+G442))/(1-'Prestige Patterns'!$B$6)</f>
        <v>157293047309</v>
      </c>
      <c r="G442" s="13">
        <f>floor(LOG('Prestige Patterns'!$B$6^(E441) - (D441*(1-'Prestige Patterns'!$B$6)/'Prestige Patterns'!$B$5),'Prestige Patterns'!$B$6)-E441,1)</f>
        <v>1</v>
      </c>
      <c r="H442" s="12">
        <f t="shared" si="3"/>
        <v>14277</v>
      </c>
      <c r="I442" s="11">
        <f>1+H442*'Prestige Patterns'!$B$25</f>
        <v>143.77</v>
      </c>
      <c r="J442" s="12">
        <f>floor((K442/'Prestige Patterns'!$B$22)^'Prestige Patterns'!$B$23,1)-H441</f>
        <v>2395</v>
      </c>
      <c r="K442" s="8">
        <f>K441+N441*'Prestige Patterns'!$B$20</f>
        <v>27798797755968</v>
      </c>
      <c r="L442" s="8">
        <f>if(J441&gt;='Prestige Patterns'!$B$28,if(J441/(H441+1)&gt;('Prestige Patterns'!$B$27+1),L441+1,L441),L441)</f>
        <v>7</v>
      </c>
      <c r="N442" s="12">
        <f t="shared" si="1"/>
        <v>94409549414</v>
      </c>
      <c r="O442" s="9">
        <f>'Prestige Patterns'!$B$4*E442</f>
        <v>10020</v>
      </c>
      <c r="P442" s="12">
        <f t="shared" si="4"/>
        <v>65536</v>
      </c>
      <c r="Q442" s="11"/>
      <c r="R442" s="11"/>
      <c r="S442" s="9">
        <v>441.0</v>
      </c>
      <c r="T442" s="11"/>
    </row>
    <row r="443" ht="15.75" customHeight="1">
      <c r="A443" s="7"/>
      <c r="B443" s="7"/>
      <c r="C443" s="7">
        <f>(S443*'Prestige Patterns'!$B$20)/60</f>
        <v>221</v>
      </c>
      <c r="D443" s="8">
        <f>if(L442=L443,N442*'Prestige Patterns'!$B$20+D442-F443,0)</f>
        <v>3116504590912</v>
      </c>
      <c r="E443" s="9">
        <f t="shared" si="2"/>
        <v>513</v>
      </c>
      <c r="F443" s="10">
        <f>'Prestige Patterns'!$B$5*('Prestige Patterns'!$B$6^E442-'Prestige Patterns'!$B$6^(E442+G443))/(1-'Prestige Patterns'!$B$6)</f>
        <v>2628836001541</v>
      </c>
      <c r="G443" s="13">
        <f>floor(LOG('Prestige Patterns'!$B$6^(E442) - (D442*(1-'Prestige Patterns'!$B$6)/'Prestige Patterns'!$B$5),'Prestige Patterns'!$B$6)-E442,1)</f>
        <v>12</v>
      </c>
      <c r="H443" s="12">
        <f t="shared" si="3"/>
        <v>14277</v>
      </c>
      <c r="I443" s="11">
        <f>1+H443*'Prestige Patterns'!$B$25</f>
        <v>143.77</v>
      </c>
      <c r="J443" s="12">
        <f>floor((K443/'Prestige Patterns'!$B$22)^'Prestige Patterns'!$B$23,1)-H442</f>
        <v>3224</v>
      </c>
      <c r="K443" s="8">
        <f>K442+N442*'Prestige Patterns'!$B$20</f>
        <v>30631084238400</v>
      </c>
      <c r="L443" s="8">
        <f>if(J442&gt;='Prestige Patterns'!$B$28,if(J442/(H442+1)&gt;('Prestige Patterns'!$B$27+1),L442+1,L442),L442)</f>
        <v>7</v>
      </c>
      <c r="N443" s="12">
        <f t="shared" si="1"/>
        <v>96670855987</v>
      </c>
      <c r="O443" s="9">
        <f>'Prestige Patterns'!$B$4*E443</f>
        <v>10260</v>
      </c>
      <c r="P443" s="12">
        <f t="shared" si="4"/>
        <v>65536</v>
      </c>
      <c r="Q443" s="11"/>
      <c r="R443" s="11"/>
      <c r="S443" s="9">
        <v>442.0</v>
      </c>
      <c r="T443" s="11"/>
    </row>
    <row r="444" ht="15.75" customHeight="1">
      <c r="A444" s="7"/>
      <c r="B444" s="7"/>
      <c r="C444" s="7">
        <f>(S444*'Prestige Patterns'!$B$20)/60</f>
        <v>221.5</v>
      </c>
      <c r="D444" s="8">
        <f>if(L443=L444,N443*'Prestige Patterns'!$B$20+D443-F444,0)</f>
        <v>3184369354900</v>
      </c>
      <c r="E444" s="9">
        <f t="shared" si="2"/>
        <v>521</v>
      </c>
      <c r="F444" s="10">
        <f>'Prestige Patterns'!$B$5*('Prestige Patterns'!$B$6^E443-'Prestige Patterns'!$B$6^(E443+G444))/(1-'Prestige Patterns'!$B$6)</f>
        <v>2832260915628</v>
      </c>
      <c r="G444" s="13">
        <f>floor(LOG('Prestige Patterns'!$B$6^(E443) - (D443*(1-'Prestige Patterns'!$B$6)/'Prestige Patterns'!$B$5),'Prestige Patterns'!$B$6)-E443,1)</f>
        <v>8</v>
      </c>
      <c r="H444" s="12">
        <f t="shared" si="3"/>
        <v>14277</v>
      </c>
      <c r="I444" s="11">
        <f>1+H444*'Prestige Patterns'!$B$25</f>
        <v>143.77</v>
      </c>
      <c r="J444" s="12">
        <f>floor((K444/'Prestige Patterns'!$B$22)^'Prestige Patterns'!$B$23,1)-H443</f>
        <v>4034</v>
      </c>
      <c r="K444" s="8">
        <f>K443+N443*'Prestige Patterns'!$B$20</f>
        <v>33531209918016</v>
      </c>
      <c r="L444" s="8">
        <f>if(J443&gt;='Prestige Patterns'!$B$28,if(J443/(H443+1)&gt;('Prestige Patterns'!$B$27+1),L443+1,L443),L443)</f>
        <v>7</v>
      </c>
      <c r="N444" s="12">
        <f t="shared" si="1"/>
        <v>98178393702</v>
      </c>
      <c r="O444" s="9">
        <f>'Prestige Patterns'!$B$4*E444</f>
        <v>10420</v>
      </c>
      <c r="P444" s="12">
        <f t="shared" si="4"/>
        <v>65536</v>
      </c>
      <c r="Q444" s="11"/>
      <c r="R444" s="11"/>
      <c r="S444" s="9">
        <v>443.0</v>
      </c>
      <c r="T444" s="11"/>
    </row>
    <row r="445" ht="15.75" customHeight="1">
      <c r="A445" s="7"/>
      <c r="B445" s="7"/>
      <c r="C445" s="7">
        <f>(S445*'Prestige Patterns'!$B$20)/60</f>
        <v>222</v>
      </c>
      <c r="D445" s="8">
        <f>if(L444=L445,N444*'Prestige Patterns'!$B$20+D444-F445,0)</f>
        <v>3149037637914</v>
      </c>
      <c r="E445" s="9">
        <f t="shared" si="2"/>
        <v>527</v>
      </c>
      <c r="F445" s="10">
        <f>'Prestige Patterns'!$B$5*('Prestige Patterns'!$B$6^E444-'Prestige Patterns'!$B$6^(E444+G445))/(1-'Prestige Patterns'!$B$6)</f>
        <v>2980683528058</v>
      </c>
      <c r="G445" s="13">
        <f>floor(LOG('Prestige Patterns'!$B$6^(E444) - (D444*(1-'Prestige Patterns'!$B$6)/'Prestige Patterns'!$B$5),'Prestige Patterns'!$B$6)-E444,1)</f>
        <v>6</v>
      </c>
      <c r="H445" s="12">
        <f t="shared" si="3"/>
        <v>14277</v>
      </c>
      <c r="I445" s="11">
        <f>1+H445*'Prestige Patterns'!$B$25</f>
        <v>143.77</v>
      </c>
      <c r="J445" s="12">
        <f>floor((K445/'Prestige Patterns'!$B$22)^'Prestige Patterns'!$B$23,1)-H444</f>
        <v>4821</v>
      </c>
      <c r="K445" s="8">
        <f>K444+N444*'Prestige Patterns'!$B$20</f>
        <v>36476561729088</v>
      </c>
      <c r="L445" s="8">
        <f>if(J444&gt;='Prestige Patterns'!$B$28,if(J444/(H444+1)&gt;('Prestige Patterns'!$B$27+1),L444+1,L444),L444)</f>
        <v>7</v>
      </c>
      <c r="N445" s="12">
        <f t="shared" si="1"/>
        <v>99309046989</v>
      </c>
      <c r="O445" s="9">
        <f>'Prestige Patterns'!$B$4*E445</f>
        <v>10540</v>
      </c>
      <c r="P445" s="12">
        <f t="shared" si="4"/>
        <v>65536</v>
      </c>
      <c r="Q445" s="11"/>
      <c r="R445" s="11"/>
      <c r="S445" s="9">
        <v>444.0</v>
      </c>
      <c r="T445" s="11"/>
    </row>
    <row r="446" ht="15.75" customHeight="1">
      <c r="A446" s="7"/>
      <c r="B446" s="7"/>
      <c r="C446" s="7">
        <f>(S446*'Prestige Patterns'!$B$20)/60</f>
        <v>222.5</v>
      </c>
      <c r="D446" s="8">
        <f>if(L445=L446,N445*'Prestige Patterns'!$B$20+D445-F446,0)</f>
        <v>3597202270195</v>
      </c>
      <c r="E446" s="9">
        <f t="shared" si="2"/>
        <v>531</v>
      </c>
      <c r="F446" s="10">
        <f>'Prestige Patterns'!$B$5*('Prestige Patterns'!$B$6^E445-'Prestige Patterns'!$B$6^(E445+G446))/(1-'Prestige Patterns'!$B$6)</f>
        <v>2531106777383</v>
      </c>
      <c r="G446" s="13">
        <f>floor(LOG('Prestige Patterns'!$B$6^(E445) - (D445*(1-'Prestige Patterns'!$B$6)/'Prestige Patterns'!$B$5),'Prestige Patterns'!$B$6)-E445,1)</f>
        <v>4</v>
      </c>
      <c r="H446" s="12">
        <f t="shared" si="3"/>
        <v>14277</v>
      </c>
      <c r="I446" s="11">
        <f>1+H446*'Prestige Patterns'!$B$25</f>
        <v>143.77</v>
      </c>
      <c r="J446" s="12">
        <f>floor((K446/'Prestige Patterns'!$B$22)^'Prestige Patterns'!$B$23,1)-H445</f>
        <v>5586</v>
      </c>
      <c r="K446" s="8">
        <f>K445+N445*'Prestige Patterns'!$B$20</f>
        <v>39455833138752</v>
      </c>
      <c r="L446" s="8">
        <f>if(J445&gt;='Prestige Patterns'!$B$28,if(J445/(H445+1)&gt;('Prestige Patterns'!$B$27+1),L445+1,L445),L445)</f>
        <v>7</v>
      </c>
      <c r="N446" s="12">
        <f t="shared" si="1"/>
        <v>100062815846</v>
      </c>
      <c r="O446" s="9">
        <f>'Prestige Patterns'!$B$4*E446</f>
        <v>10620</v>
      </c>
      <c r="P446" s="12">
        <f t="shared" si="4"/>
        <v>65536</v>
      </c>
      <c r="Q446" s="11"/>
      <c r="R446" s="11"/>
      <c r="S446" s="9">
        <v>445.0</v>
      </c>
      <c r="T446" s="11"/>
    </row>
    <row r="447" ht="15.75" customHeight="1">
      <c r="A447" s="7"/>
      <c r="B447" s="7"/>
      <c r="C447" s="7">
        <f>(S447*'Prestige Patterns'!$B$20)/60</f>
        <v>223</v>
      </c>
      <c r="D447" s="8">
        <f>if(L446=L447,N446*'Prestige Patterns'!$B$20+D446-F447,0)</f>
        <v>3522510638261</v>
      </c>
      <c r="E447" s="9">
        <f t="shared" si="2"/>
        <v>535</v>
      </c>
      <c r="F447" s="10">
        <f>'Prestige Patterns'!$B$5*('Prestige Patterns'!$B$6^E446-'Prestige Patterns'!$B$6^(E446+G447))/(1-'Prestige Patterns'!$B$6)</f>
        <v>3076576107326</v>
      </c>
      <c r="G447" s="13">
        <f>floor(LOG('Prestige Patterns'!$B$6^(E446) - (D446*(1-'Prestige Patterns'!$B$6)/'Prestige Patterns'!$B$5),'Prestige Patterns'!$B$6)-E446,1)</f>
        <v>4</v>
      </c>
      <c r="H447" s="12">
        <f t="shared" si="3"/>
        <v>14277</v>
      </c>
      <c r="I447" s="11">
        <f>1+H447*'Prestige Patterns'!$B$25</f>
        <v>143.77</v>
      </c>
      <c r="J447" s="12">
        <f>floor((K447/'Prestige Patterns'!$B$22)^'Prestige Patterns'!$B$23,1)-H446</f>
        <v>6328</v>
      </c>
      <c r="K447" s="8">
        <f>K446+N446*'Prestige Patterns'!$B$20</f>
        <v>42457717614144</v>
      </c>
      <c r="L447" s="8">
        <f>if(J446&gt;='Prestige Patterns'!$B$28,if(J446/(H446+1)&gt;('Prestige Patterns'!$B$27+1),L446+1,L446),L446)</f>
        <v>7</v>
      </c>
      <c r="N447" s="12">
        <f t="shared" si="1"/>
        <v>100816584704</v>
      </c>
      <c r="O447" s="9">
        <f>'Prestige Patterns'!$B$4*E447</f>
        <v>10700</v>
      </c>
      <c r="P447" s="12">
        <f t="shared" si="4"/>
        <v>65536</v>
      </c>
      <c r="Q447" s="11"/>
      <c r="R447" s="11"/>
      <c r="S447" s="9">
        <v>446.0</v>
      </c>
      <c r="T447" s="11"/>
    </row>
    <row r="448" ht="15.75" customHeight="1">
      <c r="A448" s="7"/>
      <c r="B448" s="7"/>
      <c r="C448" s="7">
        <f>(S448*'Prestige Patterns'!$B$20)/60</f>
        <v>223.5</v>
      </c>
      <c r="D448" s="8">
        <f>if(L447=L448,N447*'Prestige Patterns'!$B$20+D447-F448,0)</f>
        <v>3811801873776</v>
      </c>
      <c r="E448" s="9">
        <f t="shared" si="2"/>
        <v>538</v>
      </c>
      <c r="F448" s="10">
        <f>'Prestige Patterns'!$B$5*('Prestige Patterns'!$B$6^E447-'Prestige Patterns'!$B$6^(E447+G448))/(1-'Prestige Patterns'!$B$6)</f>
        <v>2735206305605</v>
      </c>
      <c r="G448" s="13">
        <f>floor(LOG('Prestige Patterns'!$B$6^(E447) - (D447*(1-'Prestige Patterns'!$B$6)/'Prestige Patterns'!$B$5),'Prestige Patterns'!$B$6)-E447,1)</f>
        <v>3</v>
      </c>
      <c r="H448" s="12">
        <f t="shared" si="3"/>
        <v>14277</v>
      </c>
      <c r="I448" s="11">
        <f>1+H448*'Prestige Patterns'!$B$25</f>
        <v>143.77</v>
      </c>
      <c r="J448" s="12">
        <f>floor((K448/'Prestige Patterns'!$B$22)^'Prestige Patterns'!$B$23,1)-H447</f>
        <v>7049</v>
      </c>
      <c r="K448" s="8">
        <f>K447+N447*'Prestige Patterns'!$B$20</f>
        <v>45482215155264</v>
      </c>
      <c r="L448" s="8">
        <f>if(J447&gt;='Prestige Patterns'!$B$28,if(J447/(H447+1)&gt;('Prestige Patterns'!$B$27+1),L447+1,L447),L447)</f>
        <v>7</v>
      </c>
      <c r="N448" s="12">
        <f t="shared" si="1"/>
        <v>101381911347</v>
      </c>
      <c r="O448" s="9">
        <f>'Prestige Patterns'!$B$4*E448</f>
        <v>10760</v>
      </c>
      <c r="P448" s="12">
        <f t="shared" si="4"/>
        <v>65536</v>
      </c>
      <c r="Q448" s="11"/>
      <c r="R448" s="11"/>
      <c r="S448" s="9">
        <v>447.0</v>
      </c>
      <c r="T448" s="11"/>
    </row>
    <row r="449" ht="15.75" customHeight="1">
      <c r="A449" s="7"/>
      <c r="B449" s="7"/>
      <c r="C449" s="7">
        <f>(S449*'Prestige Patterns'!$B$20)/60</f>
        <v>224</v>
      </c>
      <c r="D449" s="8">
        <f>if(L448=L449,N448*'Prestige Patterns'!$B$20+D448-F449,0)</f>
        <v>3686916014667</v>
      </c>
      <c r="E449" s="9">
        <f t="shared" si="2"/>
        <v>541</v>
      </c>
      <c r="F449" s="10">
        <f>'Prestige Patterns'!$B$5*('Prestige Patterns'!$B$6^E448-'Prestige Patterns'!$B$6^(E448+G449))/(1-'Prestige Patterns'!$B$6)</f>
        <v>3166343199526</v>
      </c>
      <c r="G449" s="13">
        <f>floor(LOG('Prestige Patterns'!$B$6^(E448) - (D448*(1-'Prestige Patterns'!$B$6)/'Prestige Patterns'!$B$5),'Prestige Patterns'!$B$6)-E448,1)</f>
        <v>3</v>
      </c>
      <c r="H449" s="12">
        <f t="shared" si="3"/>
        <v>14277</v>
      </c>
      <c r="I449" s="11">
        <f>1+H449*'Prestige Patterns'!$B$25</f>
        <v>143.77</v>
      </c>
      <c r="J449" s="12">
        <f>floor((K449/'Prestige Patterns'!$B$22)^'Prestige Patterns'!$B$23,1)-H448</f>
        <v>7751</v>
      </c>
      <c r="K449" s="8">
        <f>K448+N448*'Prestige Patterns'!$B$20</f>
        <v>48523672495680</v>
      </c>
      <c r="L449" s="8">
        <f>if(J448&gt;='Prestige Patterns'!$B$28,if(J448/(H448+1)&gt;('Prestige Patterns'!$B$27+1),L448+1,L448),L448)</f>
        <v>7</v>
      </c>
      <c r="N449" s="12">
        <f t="shared" si="1"/>
        <v>101947237990</v>
      </c>
      <c r="O449" s="9">
        <f>'Prestige Patterns'!$B$4*E449</f>
        <v>10820</v>
      </c>
      <c r="P449" s="12">
        <f t="shared" si="4"/>
        <v>65536</v>
      </c>
      <c r="Q449" s="11"/>
      <c r="R449" s="11"/>
      <c r="S449" s="9">
        <v>448.0</v>
      </c>
      <c r="T449" s="11"/>
    </row>
    <row r="450" ht="15.75" customHeight="1">
      <c r="A450" s="7"/>
      <c r="B450" s="7"/>
      <c r="C450" s="7">
        <f>(S450*'Prestige Patterns'!$B$20)/60</f>
        <v>224.5</v>
      </c>
      <c r="D450" s="8">
        <f>if(L449=L450,N449*'Prestige Patterns'!$B$20+D449-F450,0)</f>
        <v>3079895108028</v>
      </c>
      <c r="E450" s="9">
        <f t="shared" si="2"/>
        <v>544</v>
      </c>
      <c r="F450" s="10">
        <f>'Prestige Patterns'!$B$5*('Prestige Patterns'!$B$6^E449-'Prestige Patterns'!$B$6^(E449+G450))/(1-'Prestige Patterns'!$B$6)</f>
        <v>3665438046351</v>
      </c>
      <c r="G450" s="13">
        <f>floor(LOG('Prestige Patterns'!$B$6^(E449) - (D449*(1-'Prestige Patterns'!$B$6)/'Prestige Patterns'!$B$5),'Prestige Patterns'!$B$6)-E449,1)</f>
        <v>3</v>
      </c>
      <c r="H450" s="12">
        <f t="shared" si="3"/>
        <v>14277</v>
      </c>
      <c r="I450" s="11">
        <f>1+H450*'Prestige Patterns'!$B$25</f>
        <v>143.77</v>
      </c>
      <c r="J450" s="12">
        <f>floor((K450/'Prestige Patterns'!$B$22)^'Prestige Patterns'!$B$23,1)-H449</f>
        <v>8434</v>
      </c>
      <c r="K450" s="8">
        <f>K449+N449*'Prestige Patterns'!$B$20</f>
        <v>51582089635392</v>
      </c>
      <c r="L450" s="8">
        <f>if(J449&gt;='Prestige Patterns'!$B$28,if(J449/(H449+1)&gt;('Prestige Patterns'!$B$27+1),L449+1,L449),L449)</f>
        <v>7</v>
      </c>
      <c r="N450" s="12">
        <f t="shared" si="1"/>
        <v>102512564634</v>
      </c>
      <c r="O450" s="9">
        <f>'Prestige Patterns'!$B$4*E450</f>
        <v>10880</v>
      </c>
      <c r="P450" s="12">
        <f t="shared" si="4"/>
        <v>65536</v>
      </c>
      <c r="Q450" s="11"/>
      <c r="R450" s="11"/>
      <c r="S450" s="9">
        <v>449.0</v>
      </c>
      <c r="T450" s="11"/>
    </row>
    <row r="451" ht="15.75" customHeight="1">
      <c r="A451" s="7"/>
      <c r="B451" s="7"/>
      <c r="C451" s="7">
        <f>(S451*'Prestige Patterns'!$B$20)/60</f>
        <v>225</v>
      </c>
      <c r="D451" s="8">
        <f>if(L450=L451,N450*'Prestige Patterns'!$B$20+D450-F451,0)</f>
        <v>3396012547358</v>
      </c>
      <c r="E451" s="9">
        <f t="shared" si="2"/>
        <v>546</v>
      </c>
      <c r="F451" s="10">
        <f>'Prestige Patterns'!$B$5*('Prestige Patterns'!$B$6^E450-'Prestige Patterns'!$B$6^(E450+G451))/(1-'Prestige Patterns'!$B$6)</f>
        <v>2759259499678</v>
      </c>
      <c r="G451" s="13">
        <f>floor(LOG('Prestige Patterns'!$B$6^(E450) - (D450*(1-'Prestige Patterns'!$B$6)/'Prestige Patterns'!$B$5),'Prestige Patterns'!$B$6)-E450,1)</f>
        <v>2</v>
      </c>
      <c r="H451" s="12">
        <f t="shared" si="3"/>
        <v>14277</v>
      </c>
      <c r="I451" s="11">
        <f>1+H451*'Prestige Patterns'!$B$25</f>
        <v>143.77</v>
      </c>
      <c r="J451" s="12">
        <f>floor((K451/'Prestige Patterns'!$B$22)^'Prestige Patterns'!$B$23,1)-H450</f>
        <v>9101</v>
      </c>
      <c r="K451" s="8">
        <f>K450+N450*'Prestige Patterns'!$B$20</f>
        <v>54657466574400</v>
      </c>
      <c r="L451" s="8">
        <f>if(J450&gt;='Prestige Patterns'!$B$28,if(J450/(H450+1)&gt;('Prestige Patterns'!$B$27+1),L450+1,L450),L450)</f>
        <v>7</v>
      </c>
      <c r="N451" s="12">
        <f t="shared" si="1"/>
        <v>102889449062</v>
      </c>
      <c r="O451" s="9">
        <f>'Prestige Patterns'!$B$4*E451</f>
        <v>10920</v>
      </c>
      <c r="P451" s="12">
        <f t="shared" si="4"/>
        <v>65536</v>
      </c>
      <c r="Q451" s="11"/>
      <c r="R451" s="11"/>
      <c r="S451" s="9">
        <v>450.0</v>
      </c>
      <c r="T451" s="11"/>
    </row>
    <row r="452" ht="15.75" customHeight="1">
      <c r="A452" s="7"/>
      <c r="B452" s="7"/>
      <c r="C452" s="7">
        <f>(S452*'Prestige Patterns'!$B$20)/60</f>
        <v>225.5</v>
      </c>
      <c r="D452" s="8">
        <f>if(L451=L452,N451*'Prestige Patterns'!$B$20+D451-F452,0)</f>
        <v>3440612420835</v>
      </c>
      <c r="E452" s="9">
        <f t="shared" si="2"/>
        <v>548</v>
      </c>
      <c r="F452" s="10">
        <f>'Prestige Patterns'!$B$5*('Prestige Patterns'!$B$6^E451-'Prestige Patterns'!$B$6^(E451+G452))/(1-'Prestige Patterns'!$B$6)</f>
        <v>3042083598395</v>
      </c>
      <c r="G452" s="13">
        <f>floor(LOG('Prestige Patterns'!$B$6^(E451) - (D451*(1-'Prestige Patterns'!$B$6)/'Prestige Patterns'!$B$5),'Prestige Patterns'!$B$6)-E451,1)</f>
        <v>2</v>
      </c>
      <c r="H452" s="12">
        <f t="shared" si="3"/>
        <v>14277</v>
      </c>
      <c r="I452" s="11">
        <f>1+H452*'Prestige Patterns'!$B$25</f>
        <v>143.77</v>
      </c>
      <c r="J452" s="12">
        <f>floor((K452/'Prestige Patterns'!$B$22)^'Prestige Patterns'!$B$23,1)-H451</f>
        <v>9753</v>
      </c>
      <c r="K452" s="8">
        <f>K451+N451*'Prestige Patterns'!$B$20</f>
        <v>57744150046272</v>
      </c>
      <c r="L452" s="8">
        <f>if(J451&gt;='Prestige Patterns'!$B$28,if(J451/(H451+1)&gt;('Prestige Patterns'!$B$27+1),L451+1,L451),L451)</f>
        <v>7</v>
      </c>
      <c r="N452" s="12">
        <f t="shared" si="1"/>
        <v>103266333491</v>
      </c>
      <c r="O452" s="9">
        <f>'Prestige Patterns'!$B$4*E452</f>
        <v>10960</v>
      </c>
      <c r="P452" s="12">
        <f t="shared" si="4"/>
        <v>65536</v>
      </c>
      <c r="Q452" s="11"/>
      <c r="R452" s="11"/>
      <c r="S452" s="9">
        <v>451.0</v>
      </c>
      <c r="T452" s="11"/>
    </row>
    <row r="453" ht="15.75" customHeight="1">
      <c r="A453" s="7"/>
      <c r="B453" s="7"/>
      <c r="C453" s="7">
        <f>(S453*'Prestige Patterns'!$B$20)/60</f>
        <v>226</v>
      </c>
      <c r="D453" s="8">
        <f>if(L452=L453,N452*'Prestige Patterns'!$B$20+D452-F453,0)</f>
        <v>3184705258341</v>
      </c>
      <c r="E453" s="9">
        <f t="shared" si="2"/>
        <v>550</v>
      </c>
      <c r="F453" s="10">
        <f>'Prestige Patterns'!$B$5*('Prestige Patterns'!$B$6^E452-'Prestige Patterns'!$B$6^(E452+G453))/(1-'Prestige Patterns'!$B$6)</f>
        <v>3353897167230</v>
      </c>
      <c r="G453" s="13">
        <f>floor(LOG('Prestige Patterns'!$B$6^(E452) - (D452*(1-'Prestige Patterns'!$B$6)/'Prestige Patterns'!$B$5),'Prestige Patterns'!$B$6)-E452,1)</f>
        <v>2</v>
      </c>
      <c r="H453" s="12">
        <f t="shared" si="3"/>
        <v>14277</v>
      </c>
      <c r="I453" s="11">
        <f>1+H453*'Prestige Patterns'!$B$25</f>
        <v>143.77</v>
      </c>
      <c r="J453" s="12">
        <f>floor((K453/'Prestige Patterns'!$B$22)^'Prestige Patterns'!$B$23,1)-H452</f>
        <v>10389</v>
      </c>
      <c r="K453" s="8">
        <f>K452+N452*'Prestige Patterns'!$B$20</f>
        <v>60842140051008</v>
      </c>
      <c r="L453" s="8">
        <f>if(J452&gt;='Prestige Patterns'!$B$28,if(J452/(H452+1)&gt;('Prestige Patterns'!$B$27+1),L452+1,L452),L452)</f>
        <v>7</v>
      </c>
      <c r="N453" s="12">
        <f t="shared" si="1"/>
        <v>103643217920</v>
      </c>
      <c r="O453" s="9">
        <f>'Prestige Patterns'!$B$4*E453</f>
        <v>11000</v>
      </c>
      <c r="P453" s="12">
        <f t="shared" si="4"/>
        <v>65536</v>
      </c>
      <c r="Q453" s="11"/>
      <c r="R453" s="11"/>
      <c r="S453" s="9">
        <v>452.0</v>
      </c>
      <c r="T453" s="11"/>
    </row>
    <row r="454" ht="15.75" customHeight="1">
      <c r="A454" s="7"/>
      <c r="B454" s="7"/>
      <c r="C454" s="7">
        <f>(S454*'Prestige Patterns'!$B$20)/60</f>
        <v>226.5</v>
      </c>
      <c r="D454" s="8">
        <f>if(L453=L454,N453*'Prestige Patterns'!$B$20+D453-F454,0)</f>
        <v>4490259538931</v>
      </c>
      <c r="E454" s="9">
        <f t="shared" si="2"/>
        <v>551</v>
      </c>
      <c r="F454" s="10">
        <f>'Prestige Patterns'!$B$5*('Prestige Patterns'!$B$6^E453-'Prestige Patterns'!$B$6^(E453+G454))/(1-'Prestige Patterns'!$B$6)</f>
        <v>1803742257010</v>
      </c>
      <c r="G454" s="13">
        <f>floor(LOG('Prestige Patterns'!$B$6^(E453) - (D453*(1-'Prestige Patterns'!$B$6)/'Prestige Patterns'!$B$5),'Prestige Patterns'!$B$6)-E453,1)</f>
        <v>1</v>
      </c>
      <c r="H454" s="12">
        <f t="shared" si="3"/>
        <v>14277</v>
      </c>
      <c r="I454" s="11">
        <f>1+H454*'Prestige Patterns'!$B$25</f>
        <v>143.77</v>
      </c>
      <c r="J454" s="12">
        <f>floor((K454/'Prestige Patterns'!$B$22)^'Prestige Patterns'!$B$23,1)-H453</f>
        <v>11011</v>
      </c>
      <c r="K454" s="8">
        <f>K453+N453*'Prestige Patterns'!$B$20</f>
        <v>63951436588608</v>
      </c>
      <c r="L454" s="8">
        <f>if(J453&gt;='Prestige Patterns'!$B$28,if(J453/(H453+1)&gt;('Prestige Patterns'!$B$27+1),L453+1,L453),L453)</f>
        <v>7</v>
      </c>
      <c r="N454" s="12">
        <f t="shared" si="1"/>
        <v>103831660134</v>
      </c>
      <c r="O454" s="9">
        <f>'Prestige Patterns'!$B$4*E454</f>
        <v>11020</v>
      </c>
      <c r="P454" s="12">
        <f t="shared" si="4"/>
        <v>65536</v>
      </c>
      <c r="Q454" s="11"/>
      <c r="R454" s="11"/>
      <c r="S454" s="9">
        <v>453.0</v>
      </c>
      <c r="T454" s="11"/>
    </row>
    <row r="455" ht="15.75" customHeight="1">
      <c r="A455" s="7"/>
      <c r="B455" s="7"/>
      <c r="C455" s="7">
        <f>(S455*'Prestige Patterns'!$B$20)/60</f>
        <v>227</v>
      </c>
      <c r="D455" s="8">
        <f>if(L454=L455,N454*'Prestige Patterns'!$B$20+D454-F455,0)</f>
        <v>3722654134748</v>
      </c>
      <c r="E455" s="9">
        <f t="shared" si="2"/>
        <v>553</v>
      </c>
      <c r="F455" s="10">
        <f>'Prestige Patterns'!$B$5*('Prestige Patterns'!$B$6^E454-'Prestige Patterns'!$B$6^(E454+G455))/(1-'Prestige Patterns'!$B$6)</f>
        <v>3882555208215</v>
      </c>
      <c r="G455" s="13">
        <f>floor(LOG('Prestige Patterns'!$B$6^(E454) - (D454*(1-'Prestige Patterns'!$B$6)/'Prestige Patterns'!$B$5),'Prestige Patterns'!$B$6)-E454,1)</f>
        <v>2</v>
      </c>
      <c r="H455" s="12">
        <f t="shared" si="3"/>
        <v>14277</v>
      </c>
      <c r="I455" s="11">
        <f>1+H455*'Prestige Patterns'!$B$25</f>
        <v>143.77</v>
      </c>
      <c r="J455" s="12">
        <f>floor((K455/'Prestige Patterns'!$B$22)^'Prestige Patterns'!$B$23,1)-H454</f>
        <v>11620</v>
      </c>
      <c r="K455" s="8">
        <f>K454+N454*'Prestige Patterns'!$B$20</f>
        <v>67066386392640</v>
      </c>
      <c r="L455" s="8">
        <f>if(J454&gt;='Prestige Patterns'!$B$28,if(J454/(H454+1)&gt;('Prestige Patterns'!$B$27+1),L454+1,L454),L454)</f>
        <v>7</v>
      </c>
      <c r="N455" s="12">
        <f t="shared" si="1"/>
        <v>104208544563</v>
      </c>
      <c r="O455" s="9">
        <f>'Prestige Patterns'!$B$4*E455</f>
        <v>11060</v>
      </c>
      <c r="P455" s="12">
        <f t="shared" si="4"/>
        <v>65536</v>
      </c>
      <c r="Q455" s="11"/>
      <c r="R455" s="11"/>
      <c r="S455" s="9">
        <v>454.0</v>
      </c>
      <c r="T455" s="11"/>
    </row>
    <row r="456" ht="15.75" customHeight="1">
      <c r="A456" s="7"/>
      <c r="B456" s="7"/>
      <c r="C456" s="7">
        <f>(S456*'Prestige Patterns'!$B$20)/60</f>
        <v>227.5</v>
      </c>
      <c r="D456" s="8">
        <f>if(L455=L456,N455*'Prestige Patterns'!$B$20+D455-F456,0)</f>
        <v>4760853341373</v>
      </c>
      <c r="E456" s="9">
        <f t="shared" si="2"/>
        <v>554</v>
      </c>
      <c r="F456" s="10">
        <f>'Prestige Patterns'!$B$5*('Prestige Patterns'!$B$6^E455-'Prestige Patterns'!$B$6^(E455+G456))/(1-'Prestige Patterns'!$B$6)</f>
        <v>2088057130272</v>
      </c>
      <c r="G456" s="13">
        <f>floor(LOG('Prestige Patterns'!$B$6^(E455) - (D455*(1-'Prestige Patterns'!$B$6)/'Prestige Patterns'!$B$5),'Prestige Patterns'!$B$6)-E455,1)</f>
        <v>1</v>
      </c>
      <c r="H456" s="12">
        <f t="shared" si="3"/>
        <v>14277</v>
      </c>
      <c r="I456" s="11">
        <f>1+H456*'Prestige Patterns'!$B$25</f>
        <v>143.77</v>
      </c>
      <c r="J456" s="12">
        <f>floor((K456/'Prestige Patterns'!$B$22)^'Prestige Patterns'!$B$23,1)-H455</f>
        <v>12216</v>
      </c>
      <c r="K456" s="8">
        <f>K455+N455*'Prestige Patterns'!$B$20</f>
        <v>70192642729536</v>
      </c>
      <c r="L456" s="8">
        <f>if(J455&gt;='Prestige Patterns'!$B$28,if(J455/(H455+1)&gt;('Prestige Patterns'!$B$27+1),L455+1,L455),L455)</f>
        <v>7</v>
      </c>
      <c r="N456" s="12">
        <f t="shared" si="1"/>
        <v>104396986778</v>
      </c>
      <c r="O456" s="9">
        <f>'Prestige Patterns'!$B$4*E456</f>
        <v>11080</v>
      </c>
      <c r="P456" s="12">
        <f t="shared" si="4"/>
        <v>65536</v>
      </c>
      <c r="Q456" s="11"/>
      <c r="R456" s="11"/>
      <c r="S456" s="9">
        <v>455.0</v>
      </c>
      <c r="T456" s="11"/>
    </row>
    <row r="457" ht="15.75" customHeight="1">
      <c r="A457" s="7"/>
      <c r="B457" s="7"/>
      <c r="C457" s="7">
        <f>(S457*'Prestige Patterns'!$B$20)/60</f>
        <v>228</v>
      </c>
      <c r="D457" s="8">
        <f>if(L456=L457,N456*'Prestige Patterns'!$B$20+D456-F457,0)</f>
        <v>3398219971791</v>
      </c>
      <c r="E457" s="9">
        <f t="shared" si="2"/>
        <v>556</v>
      </c>
      <c r="F457" s="10">
        <f>'Prestige Patterns'!$B$5*('Prestige Patterns'!$B$6^E456-'Prestige Patterns'!$B$6^(E456+G457))/(1-'Prestige Patterns'!$B$6)</f>
        <v>4494542972910</v>
      </c>
      <c r="G457" s="13">
        <f>floor(LOG('Prestige Patterns'!$B$6^(E456) - (D456*(1-'Prestige Patterns'!$B$6)/'Prestige Patterns'!$B$5),'Prestige Patterns'!$B$6)-E456,1)</f>
        <v>2</v>
      </c>
      <c r="H457" s="12">
        <f t="shared" si="3"/>
        <v>14277</v>
      </c>
      <c r="I457" s="11">
        <f>1+H457*'Prestige Patterns'!$B$25</f>
        <v>143.77</v>
      </c>
      <c r="J457" s="12">
        <f>floor((K457/'Prestige Patterns'!$B$22)^'Prestige Patterns'!$B$23,1)-H456</f>
        <v>12801</v>
      </c>
      <c r="K457" s="8">
        <f>K456+N456*'Prestige Patterns'!$B$20</f>
        <v>73324552332864</v>
      </c>
      <c r="L457" s="8">
        <f>if(J456&gt;='Prestige Patterns'!$B$28,if(J456/(H456+1)&gt;('Prestige Patterns'!$B$27+1),L456+1,L456),L456)</f>
        <v>7</v>
      </c>
      <c r="N457" s="12">
        <f t="shared" si="1"/>
        <v>104773871206</v>
      </c>
      <c r="O457" s="9">
        <f>'Prestige Patterns'!$B$4*E457</f>
        <v>11120</v>
      </c>
      <c r="P457" s="12">
        <f t="shared" si="4"/>
        <v>65536</v>
      </c>
      <c r="Q457" s="11"/>
      <c r="R457" s="11"/>
      <c r="S457" s="9">
        <v>456.0</v>
      </c>
      <c r="T457" s="11"/>
    </row>
    <row r="458" ht="15.75" customHeight="1">
      <c r="A458" s="7"/>
      <c r="B458" s="7"/>
      <c r="C458" s="7">
        <f>(S458*'Prestige Patterns'!$B$20)/60</f>
        <v>228.5</v>
      </c>
      <c r="D458" s="8">
        <f>if(L457=L458,N457*'Prestige Patterns'!$B$20+D457-F458,0)</f>
        <v>4124248972552</v>
      </c>
      <c r="E458" s="9">
        <f t="shared" si="2"/>
        <v>557</v>
      </c>
      <c r="F458" s="10">
        <f>'Prestige Patterns'!$B$5*('Prestige Patterns'!$B$6^E457-'Prestige Patterns'!$B$6^(E457+G458))/(1-'Prestige Patterns'!$B$6)</f>
        <v>2417187135431</v>
      </c>
      <c r="G458" s="13">
        <f>floor(LOG('Prestige Patterns'!$B$6^(E457) - (D457*(1-'Prestige Patterns'!$B$6)/'Prestige Patterns'!$B$5),'Prestige Patterns'!$B$6)-E457,1)</f>
        <v>1</v>
      </c>
      <c r="H458" s="12">
        <f t="shared" si="3"/>
        <v>14277</v>
      </c>
      <c r="I458" s="11">
        <f>1+H458*'Prestige Patterns'!$B$25</f>
        <v>143.77</v>
      </c>
      <c r="J458" s="12">
        <f>floor((K458/'Prestige Patterns'!$B$22)^'Prestige Patterns'!$B$23,1)-H457</f>
        <v>13375</v>
      </c>
      <c r="K458" s="8">
        <f>K457+N457*'Prestige Patterns'!$B$20</f>
        <v>76467768469056</v>
      </c>
      <c r="L458" s="8">
        <f>if(J457&gt;='Prestige Patterns'!$B$28,if(J457/(H457+1)&gt;('Prestige Patterns'!$B$27+1),L457+1,L457),L457)</f>
        <v>7</v>
      </c>
      <c r="N458" s="12">
        <f t="shared" si="1"/>
        <v>104962313421</v>
      </c>
      <c r="O458" s="9">
        <f>'Prestige Patterns'!$B$4*E458</f>
        <v>11140</v>
      </c>
      <c r="P458" s="12">
        <f t="shared" si="4"/>
        <v>65536</v>
      </c>
      <c r="Q458" s="11"/>
      <c r="R458" s="11"/>
      <c r="S458" s="9">
        <v>457.0</v>
      </c>
      <c r="T458" s="11"/>
    </row>
    <row r="459" ht="15.75" customHeight="1">
      <c r="A459" s="7"/>
      <c r="B459" s="7"/>
      <c r="C459" s="7">
        <f>(S459*'Prestige Patterns'!$B$20)/60</f>
        <v>229</v>
      </c>
      <c r="D459" s="8">
        <f>if(L458=L459,N458*'Prestige Patterns'!$B$20+D458-F459,0)</f>
        <v>4735071882974</v>
      </c>
      <c r="E459" s="9">
        <f t="shared" si="2"/>
        <v>558</v>
      </c>
      <c r="F459" s="10">
        <f>'Prestige Patterns'!$B$5*('Prestige Patterns'!$B$6^E458-'Prestige Patterns'!$B$6^(E458+G459))/(1-'Prestige Patterns'!$B$6)</f>
        <v>2538046492202</v>
      </c>
      <c r="G459" s="13">
        <f>floor(LOG('Prestige Patterns'!$B$6^(E458) - (D458*(1-'Prestige Patterns'!$B$6)/'Prestige Patterns'!$B$5),'Prestige Patterns'!$B$6)-E458,1)</f>
        <v>1</v>
      </c>
      <c r="H459" s="12">
        <f t="shared" si="3"/>
        <v>14277</v>
      </c>
      <c r="I459" s="11">
        <f>1+H459*'Prestige Patterns'!$B$25</f>
        <v>143.77</v>
      </c>
      <c r="J459" s="12">
        <f>floor((K459/'Prestige Patterns'!$B$22)^'Prestige Patterns'!$B$23,1)-H458</f>
        <v>13939</v>
      </c>
      <c r="K459" s="8">
        <f>K458+N458*'Prestige Patterns'!$B$20</f>
        <v>79616637871680</v>
      </c>
      <c r="L459" s="8">
        <f>if(J458&gt;='Prestige Patterns'!$B$28,if(J458/(H458+1)&gt;('Prestige Patterns'!$B$27+1),L458+1,L458),L458)</f>
        <v>7</v>
      </c>
      <c r="N459" s="12">
        <f t="shared" si="1"/>
        <v>105150755635</v>
      </c>
      <c r="O459" s="9">
        <f>'Prestige Patterns'!$B$4*E459</f>
        <v>11160</v>
      </c>
      <c r="P459" s="12">
        <f t="shared" si="4"/>
        <v>65536</v>
      </c>
      <c r="Q459" s="11"/>
      <c r="R459" s="11"/>
      <c r="S459" s="9">
        <v>458.0</v>
      </c>
      <c r="T459" s="11"/>
    </row>
    <row r="460" ht="15.75" customHeight="1">
      <c r="A460" s="7"/>
      <c r="B460" s="7"/>
      <c r="C460" s="7">
        <f>(S460*'Prestige Patterns'!$B$20)/60</f>
        <v>229.5</v>
      </c>
      <c r="D460" s="8">
        <f>if(L459=L460,N459*'Prestige Patterns'!$B$20+D459-F460,0)</f>
        <v>5224645735218</v>
      </c>
      <c r="E460" s="9">
        <f t="shared" si="2"/>
        <v>559</v>
      </c>
      <c r="F460" s="10">
        <f>'Prestige Patterns'!$B$5*('Prestige Patterns'!$B$6^E459-'Prestige Patterns'!$B$6^(E459+G460))/(1-'Prestige Patterns'!$B$6)</f>
        <v>2664948816812</v>
      </c>
      <c r="G460" s="13">
        <f>floor(LOG('Prestige Patterns'!$B$6^(E459) - (D459*(1-'Prestige Patterns'!$B$6)/'Prestige Patterns'!$B$5),'Prestige Patterns'!$B$6)-E459,1)</f>
        <v>1</v>
      </c>
      <c r="H460" s="12">
        <f t="shared" si="3"/>
        <v>14277</v>
      </c>
      <c r="I460" s="11">
        <f>1+H460*'Prestige Patterns'!$B$25</f>
        <v>143.77</v>
      </c>
      <c r="J460" s="12">
        <f>floor((K460/'Prestige Patterns'!$B$22)^'Prestige Patterns'!$B$23,1)-H459</f>
        <v>14492</v>
      </c>
      <c r="K460" s="8">
        <f>K459+N459*'Prestige Patterns'!$B$20</f>
        <v>82771160540736</v>
      </c>
      <c r="L460" s="8">
        <f>if(J459&gt;='Prestige Patterns'!$B$28,if(J459/(H459+1)&gt;('Prestige Patterns'!$B$27+1),L459+1,L459),L459)</f>
        <v>7</v>
      </c>
      <c r="N460" s="12">
        <f t="shared" si="1"/>
        <v>105339197850</v>
      </c>
      <c r="O460" s="9">
        <f>'Prestige Patterns'!$B$4*E460</f>
        <v>11180</v>
      </c>
      <c r="P460" s="12">
        <f t="shared" si="4"/>
        <v>65536</v>
      </c>
      <c r="Q460" s="11"/>
      <c r="R460" s="11"/>
      <c r="S460" s="9">
        <v>459.0</v>
      </c>
      <c r="T460" s="11"/>
    </row>
    <row r="461" ht="15.75" customHeight="1">
      <c r="A461" s="7"/>
      <c r="B461" s="7"/>
      <c r="C461" s="7">
        <f>(S461*'Prestige Patterns'!$B$20)/60</f>
        <v>230</v>
      </c>
      <c r="D461" s="8">
        <f>if(L460=L461,N460*'Prestige Patterns'!$B$20+D460-F461,0)</f>
        <v>5586625413053</v>
      </c>
      <c r="E461" s="9">
        <f t="shared" si="2"/>
        <v>560</v>
      </c>
      <c r="F461" s="10">
        <f>'Prestige Patterns'!$B$5*('Prestige Patterns'!$B$6^E460-'Prestige Patterns'!$B$6^(E460+G461))/(1-'Prestige Patterns'!$B$6)</f>
        <v>2798196257653</v>
      </c>
      <c r="G461" s="13">
        <f>floor(LOG('Prestige Patterns'!$B$6^(E460) - (D460*(1-'Prestige Patterns'!$B$6)/'Prestige Patterns'!$B$5),'Prestige Patterns'!$B$6)-E460,1)</f>
        <v>1</v>
      </c>
      <c r="H461" s="12">
        <f t="shared" si="3"/>
        <v>14277</v>
      </c>
      <c r="I461" s="11">
        <f>1+H461*'Prestige Patterns'!$B$25</f>
        <v>143.77</v>
      </c>
      <c r="J461" s="12">
        <f>floor((K461/'Prestige Patterns'!$B$22)^'Prestige Patterns'!$B$23,1)-H460</f>
        <v>15037</v>
      </c>
      <c r="K461" s="8">
        <f>K460+N460*'Prestige Patterns'!$B$20</f>
        <v>85931336476224</v>
      </c>
      <c r="L461" s="8">
        <f>if(J460&gt;='Prestige Patterns'!$B$28,if(J460/(H460+1)&gt;('Prestige Patterns'!$B$27+1),L460+1,L460),L460)</f>
        <v>7</v>
      </c>
      <c r="N461" s="12">
        <f t="shared" si="1"/>
        <v>105527640064</v>
      </c>
      <c r="O461" s="9">
        <f>'Prestige Patterns'!$B$4*E461</f>
        <v>11200</v>
      </c>
      <c r="P461" s="12">
        <f t="shared" si="4"/>
        <v>65536</v>
      </c>
      <c r="Q461" s="11"/>
      <c r="R461" s="11"/>
      <c r="S461" s="9">
        <v>460.0</v>
      </c>
      <c r="T461" s="11"/>
    </row>
    <row r="462" ht="15.75" customHeight="1">
      <c r="A462" s="7"/>
      <c r="B462" s="7"/>
      <c r="C462" s="7">
        <f>(S462*'Prestige Patterns'!$B$20)/60</f>
        <v>230.5</v>
      </c>
      <c r="D462" s="8">
        <f>if(L461=L462,N461*'Prestige Patterns'!$B$20+D461-F462,0)</f>
        <v>5814348544437</v>
      </c>
      <c r="E462" s="9">
        <f t="shared" si="2"/>
        <v>561</v>
      </c>
      <c r="F462" s="10">
        <f>'Prestige Patterns'!$B$5*('Prestige Patterns'!$B$6^E461-'Prestige Patterns'!$B$6^(E461+G462))/(1-'Prestige Patterns'!$B$6)</f>
        <v>2938106070536</v>
      </c>
      <c r="G462" s="13">
        <f>floor(LOG('Prestige Patterns'!$B$6^(E461) - (D461*(1-'Prestige Patterns'!$B$6)/'Prestige Patterns'!$B$5),'Prestige Patterns'!$B$6)-E461,1)</f>
        <v>1</v>
      </c>
      <c r="H462" s="12">
        <f t="shared" si="3"/>
        <v>14277</v>
      </c>
      <c r="I462" s="11">
        <f>1+H462*'Prestige Patterns'!$B$25</f>
        <v>143.77</v>
      </c>
      <c r="J462" s="12">
        <f>floor((K462/'Prestige Patterns'!$B$22)^'Prestige Patterns'!$B$23,1)-H461</f>
        <v>15572</v>
      </c>
      <c r="K462" s="8">
        <f>K461+N461*'Prestige Patterns'!$B$20</f>
        <v>89097165678144</v>
      </c>
      <c r="L462" s="8">
        <f>if(J461&gt;='Prestige Patterns'!$B$28,if(J461/(H461+1)&gt;('Prestige Patterns'!$B$27+1),L461+1,L461),L461)</f>
        <v>7</v>
      </c>
      <c r="N462" s="12">
        <f t="shared" si="1"/>
        <v>105716082278</v>
      </c>
      <c r="O462" s="9">
        <f>'Prestige Patterns'!$B$4*E462</f>
        <v>11220</v>
      </c>
      <c r="P462" s="12">
        <f t="shared" si="4"/>
        <v>65536</v>
      </c>
      <c r="Q462" s="11"/>
      <c r="R462" s="11"/>
      <c r="S462" s="9">
        <v>461.0</v>
      </c>
      <c r="T462" s="11"/>
    </row>
    <row r="463" ht="15.75" customHeight="1">
      <c r="A463" s="7"/>
      <c r="B463" s="7"/>
      <c r="C463" s="7">
        <f>(S463*'Prestige Patterns'!$B$20)/60</f>
        <v>231</v>
      </c>
      <c r="D463" s="8">
        <f>if(L462=L463,N462*'Prestige Patterns'!$B$20+D462-F463,0)</f>
        <v>5900819638727</v>
      </c>
      <c r="E463" s="9">
        <f t="shared" si="2"/>
        <v>562</v>
      </c>
      <c r="F463" s="10">
        <f>'Prestige Patterns'!$B$5*('Prestige Patterns'!$B$6^E462-'Prestige Patterns'!$B$6^(E462+G463))/(1-'Prestige Patterns'!$B$6)</f>
        <v>3085011374062</v>
      </c>
      <c r="G463" s="13">
        <f>floor(LOG('Prestige Patterns'!$B$6^(E462) - (D462*(1-'Prestige Patterns'!$B$6)/'Prestige Patterns'!$B$5),'Prestige Patterns'!$B$6)-E462,1)</f>
        <v>1</v>
      </c>
      <c r="H463" s="12">
        <f t="shared" si="3"/>
        <v>14277</v>
      </c>
      <c r="I463" s="11">
        <f>1+H463*'Prestige Patterns'!$B$25</f>
        <v>143.77</v>
      </c>
      <c r="J463" s="12">
        <f>floor((K463/'Prestige Patterns'!$B$22)^'Prestige Patterns'!$B$23,1)-H462</f>
        <v>16098</v>
      </c>
      <c r="K463" s="8">
        <f>K462+N462*'Prestige Patterns'!$B$20</f>
        <v>92268648146496</v>
      </c>
      <c r="L463" s="8">
        <f>if(J462&gt;='Prestige Patterns'!$B$28,if(J462/(H462+1)&gt;('Prestige Patterns'!$B$27+1),L462+1,L462),L462)</f>
        <v>7</v>
      </c>
      <c r="N463" s="12">
        <f t="shared" si="1"/>
        <v>105904524493</v>
      </c>
      <c r="O463" s="9">
        <f>'Prestige Patterns'!$B$4*E463</f>
        <v>11240</v>
      </c>
      <c r="P463" s="12">
        <f t="shared" si="4"/>
        <v>65536</v>
      </c>
      <c r="Q463" s="11"/>
      <c r="R463" s="11"/>
      <c r="S463" s="9">
        <v>462.0</v>
      </c>
      <c r="T463" s="11"/>
    </row>
    <row r="464" ht="15.75" customHeight="1">
      <c r="A464" s="7"/>
      <c r="B464" s="7"/>
      <c r="C464" s="7">
        <f>(S464*'Prestige Patterns'!$B$20)/60</f>
        <v>231.5</v>
      </c>
      <c r="D464" s="8">
        <f>if(L463=L464,N463*'Prestige Patterns'!$B$20+D463-F464,0)</f>
        <v>5838693430746</v>
      </c>
      <c r="E464" s="9">
        <f t="shared" si="2"/>
        <v>563</v>
      </c>
      <c r="F464" s="10">
        <f>'Prestige Patterns'!$B$5*('Prestige Patterns'!$B$6^E463-'Prestige Patterns'!$B$6^(E463+G464))/(1-'Prestige Patterns'!$B$6)</f>
        <v>3239261942765</v>
      </c>
      <c r="G464" s="13">
        <f>floor(LOG('Prestige Patterns'!$B$6^(E463) - (D463*(1-'Prestige Patterns'!$B$6)/'Prestige Patterns'!$B$5),'Prestige Patterns'!$B$6)-E463,1)</f>
        <v>1</v>
      </c>
      <c r="H464" s="12">
        <f t="shared" si="3"/>
        <v>14277</v>
      </c>
      <c r="I464" s="11">
        <f>1+H464*'Prestige Patterns'!$B$25</f>
        <v>143.77</v>
      </c>
      <c r="J464" s="12">
        <f>floor((K464/'Prestige Patterns'!$B$22)^'Prestige Patterns'!$B$23,1)-H463</f>
        <v>16617</v>
      </c>
      <c r="K464" s="8">
        <f>K463+N463*'Prestige Patterns'!$B$20</f>
        <v>95445783881280</v>
      </c>
      <c r="L464" s="8">
        <f>if(J463&gt;='Prestige Patterns'!$B$28,if(J463/(H463+1)&gt;('Prestige Patterns'!$B$27+1),L463+1,L463),L463)</f>
        <v>7</v>
      </c>
      <c r="N464" s="12">
        <f t="shared" si="1"/>
        <v>106092966707</v>
      </c>
      <c r="O464" s="9">
        <f>'Prestige Patterns'!$B$4*E464</f>
        <v>11260</v>
      </c>
      <c r="P464" s="12">
        <f t="shared" si="4"/>
        <v>65536</v>
      </c>
      <c r="Q464" s="11"/>
      <c r="R464" s="11"/>
      <c r="S464" s="9">
        <v>463.0</v>
      </c>
      <c r="T464" s="11"/>
    </row>
    <row r="465" ht="15.75" customHeight="1">
      <c r="A465" s="7"/>
      <c r="B465" s="7"/>
      <c r="C465" s="7">
        <f>(S465*'Prestige Patterns'!$B$20)/60</f>
        <v>232</v>
      </c>
      <c r="D465" s="8">
        <f>if(L464=L465,N464*'Prestige Patterns'!$B$20+D464-F465,0)</f>
        <v>5620257392058</v>
      </c>
      <c r="E465" s="9">
        <f t="shared" si="2"/>
        <v>564</v>
      </c>
      <c r="F465" s="10">
        <f>'Prestige Patterns'!$B$5*('Prestige Patterns'!$B$6^E464-'Prestige Patterns'!$B$6^(E464+G465))/(1-'Prestige Patterns'!$B$6)</f>
        <v>3401225039904</v>
      </c>
      <c r="G465" s="13">
        <f>floor(LOG('Prestige Patterns'!$B$6^(E464) - (D464*(1-'Prestige Patterns'!$B$6)/'Prestige Patterns'!$B$5),'Prestige Patterns'!$B$6)-E464,1)</f>
        <v>1</v>
      </c>
      <c r="H465" s="12">
        <f t="shared" si="3"/>
        <v>14277</v>
      </c>
      <c r="I465" s="11">
        <f>1+H465*'Prestige Patterns'!$B$25</f>
        <v>143.77</v>
      </c>
      <c r="J465" s="12">
        <f>floor((K465/'Prestige Patterns'!$B$22)^'Prestige Patterns'!$B$23,1)-H464</f>
        <v>17128</v>
      </c>
      <c r="K465" s="8">
        <f>K464+N464*'Prestige Patterns'!$B$20</f>
        <v>98628572882496</v>
      </c>
      <c r="L465" s="8">
        <f>if(J464&gt;='Prestige Patterns'!$B$28,if(J464/(H464+1)&gt;('Prestige Patterns'!$B$27+1),L464+1,L464),L464)</f>
        <v>7</v>
      </c>
      <c r="N465" s="12">
        <f t="shared" si="1"/>
        <v>106281408922</v>
      </c>
      <c r="O465" s="9">
        <f>'Prestige Patterns'!$B$4*E465</f>
        <v>11280</v>
      </c>
      <c r="P465" s="12">
        <f t="shared" si="4"/>
        <v>65536</v>
      </c>
      <c r="Q465" s="11"/>
      <c r="R465" s="11"/>
      <c r="S465" s="9">
        <v>464.0</v>
      </c>
      <c r="T465" s="11"/>
    </row>
    <row r="466" ht="15.75" customHeight="1">
      <c r="A466" s="7"/>
      <c r="B466" s="7"/>
      <c r="C466" s="7">
        <f>(S466*'Prestige Patterns'!$B$20)/60</f>
        <v>232.5</v>
      </c>
      <c r="D466" s="8">
        <f>if(L465=L466,N465*'Prestige Patterns'!$B$20+D465-F466,0)</f>
        <v>5237413367807</v>
      </c>
      <c r="E466" s="9">
        <f t="shared" si="2"/>
        <v>565</v>
      </c>
      <c r="F466" s="10">
        <f>'Prestige Patterns'!$B$5*('Prestige Patterns'!$B$6^E465-'Prestige Patterns'!$B$6^(E465+G466))/(1-'Prestige Patterns'!$B$6)</f>
        <v>3571286291899</v>
      </c>
      <c r="G466" s="13">
        <f>floor(LOG('Prestige Patterns'!$B$6^(E465) - (D465*(1-'Prestige Patterns'!$B$6)/'Prestige Patterns'!$B$5),'Prestige Patterns'!$B$6)-E465,1)</f>
        <v>1</v>
      </c>
      <c r="H466" s="12">
        <f t="shared" si="3"/>
        <v>14277</v>
      </c>
      <c r="I466" s="11">
        <f>1+H466*'Prestige Patterns'!$B$25</f>
        <v>143.77</v>
      </c>
      <c r="J466" s="12">
        <f>floor((K466/'Prestige Patterns'!$B$22)^'Prestige Patterns'!$B$23,1)-H465</f>
        <v>17631</v>
      </c>
      <c r="K466" s="8">
        <f>K465+N465*'Prestige Patterns'!$B$20</f>
        <v>101817015150144</v>
      </c>
      <c r="L466" s="8">
        <f>if(J465&gt;='Prestige Patterns'!$B$28,if(J465/(H465+1)&gt;('Prestige Patterns'!$B$27+1),L465+1,L465),L465)</f>
        <v>7</v>
      </c>
      <c r="N466" s="12">
        <f t="shared" si="1"/>
        <v>106469851136</v>
      </c>
      <c r="O466" s="9">
        <f>'Prestige Patterns'!$B$4*E466</f>
        <v>11300</v>
      </c>
      <c r="P466" s="12">
        <f t="shared" si="4"/>
        <v>65536</v>
      </c>
      <c r="Q466" s="11"/>
      <c r="R466" s="11"/>
      <c r="S466" s="9">
        <v>465.0</v>
      </c>
      <c r="T466" s="11"/>
    </row>
    <row r="467" ht="15.75" customHeight="1">
      <c r="A467" s="7"/>
      <c r="B467" s="7"/>
      <c r="C467" s="7">
        <f>(S467*'Prestige Patterns'!$B$20)/60</f>
        <v>233</v>
      </c>
      <c r="D467" s="8">
        <f>if(L466=L467,N466*'Prestige Patterns'!$B$20+D466-F467,0)</f>
        <v>4681658295393</v>
      </c>
      <c r="E467" s="9">
        <f t="shared" si="2"/>
        <v>566</v>
      </c>
      <c r="F467" s="10">
        <f>'Prestige Patterns'!$B$5*('Prestige Patterns'!$B$6^E466-'Prestige Patterns'!$B$6^(E466+G467))/(1-'Prestige Patterns'!$B$6)</f>
        <v>3749850606494</v>
      </c>
      <c r="G467" s="13">
        <f>floor(LOG('Prestige Patterns'!$B$6^(E466) - (D466*(1-'Prestige Patterns'!$B$6)/'Prestige Patterns'!$B$5),'Prestige Patterns'!$B$6)-E466,1)</f>
        <v>1</v>
      </c>
      <c r="H467" s="12">
        <f t="shared" si="3"/>
        <v>14277</v>
      </c>
      <c r="I467" s="11">
        <f>1+H467*'Prestige Patterns'!$B$25</f>
        <v>143.77</v>
      </c>
      <c r="J467" s="12">
        <f>floor((K467/'Prestige Patterns'!$B$22)^'Prestige Patterns'!$B$23,1)-H466</f>
        <v>18128</v>
      </c>
      <c r="K467" s="8">
        <f>K466+N466*'Prestige Patterns'!$B$20</f>
        <v>105011110684224</v>
      </c>
      <c r="L467" s="8">
        <f>if(J466&gt;='Prestige Patterns'!$B$28,if(J466/(H466+1)&gt;('Prestige Patterns'!$B$27+1),L466+1,L466),L466)</f>
        <v>7</v>
      </c>
      <c r="N467" s="12">
        <f t="shared" si="1"/>
        <v>106658293350</v>
      </c>
      <c r="O467" s="9">
        <f>'Prestige Patterns'!$B$4*E467</f>
        <v>11320</v>
      </c>
      <c r="P467" s="12">
        <f t="shared" si="4"/>
        <v>65536</v>
      </c>
      <c r="Q467" s="11"/>
      <c r="R467" s="11"/>
      <c r="S467" s="9">
        <v>466.0</v>
      </c>
      <c r="T467" s="11"/>
    </row>
    <row r="468" ht="15.75" customHeight="1">
      <c r="A468" s="7"/>
      <c r="B468" s="7"/>
      <c r="C468" s="7">
        <f>(S468*'Prestige Patterns'!$B$20)/60</f>
        <v>233.5</v>
      </c>
      <c r="D468" s="8">
        <f>if(L467=L468,N467*'Prestige Patterns'!$B$20+D467-F468,0)</f>
        <v>3944063959087</v>
      </c>
      <c r="E468" s="9">
        <f t="shared" si="2"/>
        <v>567</v>
      </c>
      <c r="F468" s="10">
        <f>'Prestige Patterns'!$B$5*('Prestige Patterns'!$B$6^E467-'Prestige Patterns'!$B$6^(E467+G468))/(1-'Prestige Patterns'!$B$6)</f>
        <v>3937343136819</v>
      </c>
      <c r="G468" s="13">
        <f>floor(LOG('Prestige Patterns'!$B$6^(E467) - (D467*(1-'Prestige Patterns'!$B$6)/'Prestige Patterns'!$B$5),'Prestige Patterns'!$B$6)-E467,1)</f>
        <v>1</v>
      </c>
      <c r="H468" s="12">
        <f t="shared" si="3"/>
        <v>14277</v>
      </c>
      <c r="I468" s="11">
        <f>1+H468*'Prestige Patterns'!$B$25</f>
        <v>143.77</v>
      </c>
      <c r="J468" s="12">
        <f>floor((K468/'Prestige Patterns'!$B$22)^'Prestige Patterns'!$B$23,1)-H467</f>
        <v>18618</v>
      </c>
      <c r="K468" s="8">
        <f>K467+N467*'Prestige Patterns'!$B$20</f>
        <v>108210859484736</v>
      </c>
      <c r="L468" s="8">
        <f>if(J467&gt;='Prestige Patterns'!$B$28,if(J467/(H467+1)&gt;('Prestige Patterns'!$B$27+1),L467+1,L467),L467)</f>
        <v>7</v>
      </c>
      <c r="N468" s="12">
        <f t="shared" si="1"/>
        <v>106846735565</v>
      </c>
      <c r="O468" s="9">
        <f>'Prestige Patterns'!$B$4*E468</f>
        <v>11340</v>
      </c>
      <c r="P468" s="12">
        <f t="shared" si="4"/>
        <v>65536</v>
      </c>
      <c r="Q468" s="11"/>
      <c r="R468" s="11"/>
      <c r="S468" s="9">
        <v>467.0</v>
      </c>
      <c r="T468" s="11"/>
    </row>
    <row r="469" ht="15.75" customHeight="1">
      <c r="A469" s="7"/>
      <c r="B469" s="7"/>
      <c r="C469" s="7">
        <f>(S469*'Prestige Patterns'!$B$20)/60</f>
        <v>234</v>
      </c>
      <c r="D469" s="8">
        <f>if(L468=L469,N468*'Prestige Patterns'!$B$20+D468-F469,0)</f>
        <v>7149466026031</v>
      </c>
      <c r="E469" s="9">
        <f t="shared" si="2"/>
        <v>567</v>
      </c>
      <c r="F469" s="10">
        <f>'Prestige Patterns'!$B$5*('Prestige Patterns'!$B$6^E468-'Prestige Patterns'!$B$6^(E468+G469))/(1-'Prestige Patterns'!$B$6)</f>
        <v>0</v>
      </c>
      <c r="G469" s="13">
        <f>floor(LOG('Prestige Patterns'!$B$6^(E468) - (D468*(1-'Prestige Patterns'!$B$6)/'Prestige Patterns'!$B$5),'Prestige Patterns'!$B$6)-E468,1)</f>
        <v>0</v>
      </c>
      <c r="H469" s="12">
        <f t="shared" si="3"/>
        <v>14277</v>
      </c>
      <c r="I469" s="11">
        <f>1+H469*'Prestige Patterns'!$B$25</f>
        <v>143.77</v>
      </c>
      <c r="J469" s="12">
        <f>floor((K469/'Prestige Patterns'!$B$22)^'Prestige Patterns'!$B$23,1)-H468</f>
        <v>19102</v>
      </c>
      <c r="K469" s="8">
        <f>K468+N468*'Prestige Patterns'!$B$20</f>
        <v>111416261551680</v>
      </c>
      <c r="L469" s="8">
        <f>if(J468&gt;='Prestige Patterns'!$B$28,if(J468/(H468+1)&gt;('Prestige Patterns'!$B$27+1),L468+1,L468),L468)</f>
        <v>7</v>
      </c>
      <c r="N469" s="12">
        <f t="shared" si="1"/>
        <v>106846735565</v>
      </c>
      <c r="O469" s="9">
        <f>'Prestige Patterns'!$B$4*E469</f>
        <v>11340</v>
      </c>
      <c r="P469" s="12">
        <f t="shared" si="4"/>
        <v>65536</v>
      </c>
      <c r="Q469" s="11"/>
      <c r="R469" s="11"/>
      <c r="S469" s="9">
        <v>468.0</v>
      </c>
      <c r="T469" s="11"/>
    </row>
    <row r="470" ht="15.75" customHeight="1">
      <c r="A470" s="7"/>
      <c r="B470" s="7"/>
      <c r="C470" s="7">
        <f>(S470*'Prestige Patterns'!$B$20)/60</f>
        <v>234.5</v>
      </c>
      <c r="D470" s="8">
        <f>if(L469=L470,N469*'Prestige Patterns'!$B$20+D469-F470,0)</f>
        <v>6220657799315</v>
      </c>
      <c r="E470" s="9">
        <f t="shared" si="2"/>
        <v>568</v>
      </c>
      <c r="F470" s="10">
        <f>'Prestige Patterns'!$B$5*('Prestige Patterns'!$B$6^E469-'Prestige Patterns'!$B$6^(E469+G470))/(1-'Prestige Patterns'!$B$6)</f>
        <v>4134210293659</v>
      </c>
      <c r="G470" s="13">
        <f>floor(LOG('Prestige Patterns'!$B$6^(E469) - (D469*(1-'Prestige Patterns'!$B$6)/'Prestige Patterns'!$B$5),'Prestige Patterns'!$B$6)-E469,1)</f>
        <v>1</v>
      </c>
      <c r="H470" s="12">
        <f t="shared" si="3"/>
        <v>14277</v>
      </c>
      <c r="I470" s="11">
        <f>1+H470*'Prestige Patterns'!$B$25</f>
        <v>143.77</v>
      </c>
      <c r="J470" s="12">
        <f>floor((K470/'Prestige Patterns'!$B$22)^'Prestige Patterns'!$B$23,1)-H469</f>
        <v>19578</v>
      </c>
      <c r="K470" s="8">
        <f>K469+N469*'Prestige Patterns'!$B$20</f>
        <v>114621663618624</v>
      </c>
      <c r="L470" s="8">
        <f>if(J469&gt;='Prestige Patterns'!$B$28,if(J469/(H469+1)&gt;('Prestige Patterns'!$B$27+1),L469+1,L469),L469)</f>
        <v>7</v>
      </c>
      <c r="N470" s="12">
        <f t="shared" si="1"/>
        <v>107035177779</v>
      </c>
      <c r="O470" s="9">
        <f>'Prestige Patterns'!$B$4*E470</f>
        <v>11360</v>
      </c>
      <c r="P470" s="12">
        <f t="shared" si="4"/>
        <v>65536</v>
      </c>
      <c r="Q470" s="11"/>
      <c r="R470" s="11"/>
      <c r="S470" s="9">
        <v>469.0</v>
      </c>
      <c r="T470" s="11"/>
    </row>
    <row r="471" ht="15.75" customHeight="1">
      <c r="A471" s="7"/>
      <c r="B471" s="7"/>
      <c r="C471" s="7">
        <f>(S471*'Prestige Patterns'!$B$20)/60</f>
        <v>235</v>
      </c>
      <c r="D471" s="8">
        <f>if(L470=L471,N470*'Prestige Patterns'!$B$20+D470-F471,0)</f>
        <v>5090792324349</v>
      </c>
      <c r="E471" s="9">
        <f t="shared" si="2"/>
        <v>569</v>
      </c>
      <c r="F471" s="10">
        <f>'Prestige Patterns'!$B$5*('Prestige Patterns'!$B$6^E470-'Prestige Patterns'!$B$6^(E470+G471))/(1-'Prestige Patterns'!$B$6)</f>
        <v>4340920808342</v>
      </c>
      <c r="G471" s="13">
        <f>floor(LOG('Prestige Patterns'!$B$6^(E470) - (D470*(1-'Prestige Patterns'!$B$6)/'Prestige Patterns'!$B$5),'Prestige Patterns'!$B$6)-E470,1)</f>
        <v>1</v>
      </c>
      <c r="H471" s="12">
        <f t="shared" si="3"/>
        <v>14277</v>
      </c>
      <c r="I471" s="11">
        <f>1+H471*'Prestige Patterns'!$B$25</f>
        <v>143.77</v>
      </c>
      <c r="J471" s="12">
        <f>floor((K471/'Prestige Patterns'!$B$22)^'Prestige Patterns'!$B$23,1)-H470</f>
        <v>20049</v>
      </c>
      <c r="K471" s="8">
        <f>K470+N470*'Prestige Patterns'!$B$20</f>
        <v>117832718952000</v>
      </c>
      <c r="L471" s="8">
        <f>if(J470&gt;='Prestige Patterns'!$B$28,if(J470/(H470+1)&gt;('Prestige Patterns'!$B$27+1),L470+1,L470),L470)</f>
        <v>7</v>
      </c>
      <c r="N471" s="12">
        <f t="shared" si="1"/>
        <v>107223619994</v>
      </c>
      <c r="O471" s="9">
        <f>'Prestige Patterns'!$B$4*E471</f>
        <v>11380</v>
      </c>
      <c r="P471" s="12">
        <f t="shared" si="4"/>
        <v>65536</v>
      </c>
      <c r="Q471" s="11"/>
      <c r="R471" s="11"/>
      <c r="S471" s="9">
        <v>470.0</v>
      </c>
      <c r="T471" s="11"/>
    </row>
    <row r="472" ht="15.75" customHeight="1">
      <c r="A472" s="7"/>
      <c r="B472" s="7"/>
      <c r="C472" s="7">
        <f>(S472*'Prestige Patterns'!$B$20)/60</f>
        <v>235.5</v>
      </c>
      <c r="D472" s="8">
        <f>if(L471=L472,N471*'Prestige Patterns'!$B$20+D471-F472,0)</f>
        <v>3749534075397</v>
      </c>
      <c r="E472" s="9">
        <f t="shared" si="2"/>
        <v>570</v>
      </c>
      <c r="F472" s="10">
        <f>'Prestige Patterns'!$B$5*('Prestige Patterns'!$B$6^E471-'Prestige Patterns'!$B$6^(E471+G472))/(1-'Prestige Patterns'!$B$6)</f>
        <v>4557966848760</v>
      </c>
      <c r="G472" s="13">
        <f>floor(LOG('Prestige Patterns'!$B$6^(E471) - (D471*(1-'Prestige Patterns'!$B$6)/'Prestige Patterns'!$B$5),'Prestige Patterns'!$B$6)-E471,1)</f>
        <v>1</v>
      </c>
      <c r="H472" s="12">
        <f t="shared" si="3"/>
        <v>14277</v>
      </c>
      <c r="I472" s="11">
        <f>1+H472*'Prestige Patterns'!$B$25</f>
        <v>143.77</v>
      </c>
      <c r="J472" s="12">
        <f>floor((K472/'Prestige Patterns'!$B$22)^'Prestige Patterns'!$B$23,1)-H471</f>
        <v>20515</v>
      </c>
      <c r="K472" s="8">
        <f>K471+N471*'Prestige Patterns'!$B$20</f>
        <v>121049427551808</v>
      </c>
      <c r="L472" s="8">
        <f>if(J471&gt;='Prestige Patterns'!$B$28,if(J471/(H471+1)&gt;('Prestige Patterns'!$B$27+1),L471+1,L471),L471)</f>
        <v>7</v>
      </c>
      <c r="N472" s="12">
        <f t="shared" si="1"/>
        <v>107412062208</v>
      </c>
      <c r="O472" s="9">
        <f>'Prestige Patterns'!$B$4*E472</f>
        <v>11400</v>
      </c>
      <c r="P472" s="12">
        <f t="shared" si="4"/>
        <v>65536</v>
      </c>
      <c r="Q472" s="11"/>
      <c r="R472" s="11"/>
      <c r="S472" s="9">
        <v>471.0</v>
      </c>
      <c r="T472" s="11"/>
    </row>
    <row r="473" ht="15.75" customHeight="1">
      <c r="A473" s="7"/>
      <c r="B473" s="7"/>
      <c r="C473" s="7">
        <f>(S473*'Prestige Patterns'!$B$20)/60</f>
        <v>236</v>
      </c>
      <c r="D473" s="8">
        <f>if(L472=L473,N472*'Prestige Patterns'!$B$20+D472-F473,0)</f>
        <v>6971895941637</v>
      </c>
      <c r="E473" s="9">
        <f t="shared" si="2"/>
        <v>570</v>
      </c>
      <c r="F473" s="10">
        <f>'Prestige Patterns'!$B$5*('Prestige Patterns'!$B$6^E472-'Prestige Patterns'!$B$6^(E472+G473))/(1-'Prestige Patterns'!$B$6)</f>
        <v>0</v>
      </c>
      <c r="G473" s="13">
        <f>floor(LOG('Prestige Patterns'!$B$6^(E472) - (D472*(1-'Prestige Patterns'!$B$6)/'Prestige Patterns'!$B$5),'Prestige Patterns'!$B$6)-E472,1)</f>
        <v>0</v>
      </c>
      <c r="H473" s="12">
        <f t="shared" si="3"/>
        <v>14277</v>
      </c>
      <c r="I473" s="11">
        <f>1+H473*'Prestige Patterns'!$B$25</f>
        <v>143.77</v>
      </c>
      <c r="J473" s="12">
        <f>floor((K473/'Prestige Patterns'!$B$22)^'Prestige Patterns'!$B$23,1)-H472</f>
        <v>20975</v>
      </c>
      <c r="K473" s="8">
        <f>K472+N472*'Prestige Patterns'!$B$20</f>
        <v>124271789418048</v>
      </c>
      <c r="L473" s="8">
        <f>if(J472&gt;='Prestige Patterns'!$B$28,if(J472/(H472+1)&gt;('Prestige Patterns'!$B$27+1),L472+1,L472),L472)</f>
        <v>7</v>
      </c>
      <c r="N473" s="12">
        <f t="shared" si="1"/>
        <v>107412062208</v>
      </c>
      <c r="O473" s="9">
        <f>'Prestige Patterns'!$B$4*E473</f>
        <v>11400</v>
      </c>
      <c r="P473" s="12">
        <f t="shared" si="4"/>
        <v>65536</v>
      </c>
      <c r="Q473" s="11"/>
      <c r="R473" s="11"/>
      <c r="S473" s="9">
        <v>472.0</v>
      </c>
      <c r="T473" s="11"/>
    </row>
    <row r="474" ht="15.75" customHeight="1">
      <c r="A474" s="7"/>
      <c r="B474" s="7"/>
      <c r="C474" s="7">
        <f>(S474*'Prestige Patterns'!$B$20)/60</f>
        <v>236.5</v>
      </c>
      <c r="D474" s="8">
        <f>if(L473=L474,N473*'Prestige Patterns'!$B$20+D473-F474,0)</f>
        <v>5408392616680</v>
      </c>
      <c r="E474" s="9">
        <f t="shared" si="2"/>
        <v>571</v>
      </c>
      <c r="F474" s="10">
        <f>'Prestige Patterns'!$B$5*('Prestige Patterns'!$B$6^E473-'Prestige Patterns'!$B$6^(E473+G474))/(1-'Prestige Patterns'!$B$6)</f>
        <v>4785865191198</v>
      </c>
      <c r="G474" s="13">
        <f>floor(LOG('Prestige Patterns'!$B$6^(E473) - (D473*(1-'Prestige Patterns'!$B$6)/'Prestige Patterns'!$B$5),'Prestige Patterns'!$B$6)-E473,1)</f>
        <v>1</v>
      </c>
      <c r="H474" s="12">
        <f t="shared" si="3"/>
        <v>14277</v>
      </c>
      <c r="I474" s="11">
        <f>1+H474*'Prestige Patterns'!$B$25</f>
        <v>143.77</v>
      </c>
      <c r="J474" s="12">
        <f>floor((K474/'Prestige Patterns'!$B$22)^'Prestige Patterns'!$B$23,1)-H473</f>
        <v>21429</v>
      </c>
      <c r="K474" s="8">
        <f>K473+N473*'Prestige Patterns'!$B$20</f>
        <v>127494151284288</v>
      </c>
      <c r="L474" s="8">
        <f>if(J473&gt;='Prestige Patterns'!$B$28,if(J473/(H473+1)&gt;('Prestige Patterns'!$B$27+1),L473+1,L473),L473)</f>
        <v>7</v>
      </c>
      <c r="N474" s="12">
        <f t="shared" si="1"/>
        <v>107600504422</v>
      </c>
      <c r="O474" s="9">
        <f>'Prestige Patterns'!$B$4*E474</f>
        <v>11420</v>
      </c>
      <c r="P474" s="12">
        <f t="shared" si="4"/>
        <v>65536</v>
      </c>
      <c r="Q474" s="11"/>
      <c r="R474" s="11"/>
      <c r="S474" s="9">
        <v>473.0</v>
      </c>
      <c r="T474" s="11"/>
    </row>
    <row r="475" ht="15.75" customHeight="1">
      <c r="A475" s="7"/>
      <c r="B475" s="7"/>
      <c r="C475" s="7">
        <f>(S475*'Prestige Patterns'!$B$20)/60</f>
        <v>237</v>
      </c>
      <c r="D475" s="8">
        <f>if(L474=L475,N474*'Prestige Patterns'!$B$20+D474-F475,0)</f>
        <v>0</v>
      </c>
      <c r="E475" s="9">
        <f t="shared" si="2"/>
        <v>1</v>
      </c>
      <c r="F475" s="10">
        <f>'Prestige Patterns'!$B$5*('Prestige Patterns'!$B$6^E474-'Prestige Patterns'!$B$6^(E474+G475))/(1-'Prestige Patterns'!$B$6)</f>
        <v>5025158450757</v>
      </c>
      <c r="G475" s="13">
        <f>floor(LOG('Prestige Patterns'!$B$6^(E474) - (D474*(1-'Prestige Patterns'!$B$6)/'Prestige Patterns'!$B$5),'Prestige Patterns'!$B$6)-E474,1)</f>
        <v>1</v>
      </c>
      <c r="H475" s="12">
        <f t="shared" si="3"/>
        <v>35706</v>
      </c>
      <c r="I475" s="11">
        <f>1+H475*'Prestige Patterns'!$B$25</f>
        <v>358.06</v>
      </c>
      <c r="J475" s="12">
        <f>floor((K475/'Prestige Patterns'!$B$22)^'Prestige Patterns'!$B$23,1)-H474</f>
        <v>21878</v>
      </c>
      <c r="K475" s="8">
        <f>K474+N474*'Prestige Patterns'!$B$20</f>
        <v>130722166416960</v>
      </c>
      <c r="L475" s="8">
        <f>if(J474&gt;='Prestige Patterns'!$B$28,if(J474/(H474+1)&gt;('Prestige Patterns'!$B$27+1),L474+1,L474),L474)</f>
        <v>8</v>
      </c>
      <c r="N475" s="12">
        <f t="shared" si="1"/>
        <v>469316403.2</v>
      </c>
      <c r="O475" s="9">
        <f>'Prestige Patterns'!$B$4*E475</f>
        <v>20</v>
      </c>
      <c r="P475" s="12">
        <f t="shared" si="4"/>
        <v>65536</v>
      </c>
      <c r="Q475" s="11"/>
      <c r="R475" s="11"/>
      <c r="S475" s="9">
        <v>474.0</v>
      </c>
      <c r="T475" s="11"/>
    </row>
    <row r="476" ht="15.75" customHeight="1">
      <c r="A476" s="7"/>
      <c r="B476" s="7"/>
      <c r="C476" s="7">
        <f>(S476*'Prestige Patterns'!$B$20)/60</f>
        <v>237.5</v>
      </c>
      <c r="D476" s="8">
        <f>if(L475=L476,N475*'Prestige Patterns'!$B$20+D475-F476,0)</f>
        <v>14079492096</v>
      </c>
      <c r="E476" s="9">
        <f t="shared" si="2"/>
        <v>1</v>
      </c>
      <c r="F476" s="10">
        <f>'Prestige Patterns'!$B$5*('Prestige Patterns'!$B$6^E475-'Prestige Patterns'!$B$6^(E475+G476))/(1-'Prestige Patterns'!$B$6)</f>
        <v>0</v>
      </c>
      <c r="G476" s="13">
        <f>floor(LOG('Prestige Patterns'!$B$6^(E475) - (D475*(1-'Prestige Patterns'!$B$6)/'Prestige Patterns'!$B$5),'Prestige Patterns'!$B$6)-E475,1)</f>
        <v>0</v>
      </c>
      <c r="H476" s="12">
        <f t="shared" si="3"/>
        <v>35706</v>
      </c>
      <c r="I476" s="11">
        <f>1+H476*'Prestige Patterns'!$B$25</f>
        <v>358.06</v>
      </c>
      <c r="J476" s="12">
        <f>floor((K476/'Prestige Patterns'!$B$22)^'Prestige Patterns'!$B$23,1)-H475</f>
        <v>451</v>
      </c>
      <c r="K476" s="8">
        <f>K475+N475*'Prestige Patterns'!$B$20</f>
        <v>130736245909056</v>
      </c>
      <c r="L476" s="8">
        <f>if(J475&gt;='Prestige Patterns'!$B$28,if(J475/(H475+1)&gt;('Prestige Patterns'!$B$27+1),L475+1,L475),L475)</f>
        <v>8</v>
      </c>
      <c r="N476" s="12">
        <f t="shared" si="1"/>
        <v>469316403.2</v>
      </c>
      <c r="O476" s="9">
        <f>'Prestige Patterns'!$B$4*E476</f>
        <v>20</v>
      </c>
      <c r="P476" s="12">
        <f t="shared" si="4"/>
        <v>65536</v>
      </c>
      <c r="Q476" s="11"/>
      <c r="R476" s="11"/>
      <c r="S476" s="9">
        <v>475.0</v>
      </c>
      <c r="T476" s="11"/>
    </row>
    <row r="477" ht="15.75" customHeight="1">
      <c r="A477" s="7"/>
      <c r="B477" s="7"/>
      <c r="C477" s="7">
        <f>(S477*'Prestige Patterns'!$B$20)/60</f>
        <v>238</v>
      </c>
      <c r="D477" s="8">
        <f>if(L476=L477,N476*'Prestige Patterns'!$B$20+D476-F477,0)</f>
        <v>14171895698</v>
      </c>
      <c r="E477" s="9">
        <f t="shared" si="2"/>
        <v>389</v>
      </c>
      <c r="F477" s="10">
        <f>'Prestige Patterns'!$B$5*('Prestige Patterns'!$B$6^E476-'Prestige Patterns'!$B$6^(E476+G477))/(1-'Prestige Patterns'!$B$6)</f>
        <v>13987088494</v>
      </c>
      <c r="G477" s="13">
        <f>floor(LOG('Prestige Patterns'!$B$6^(E476) - (D476*(1-'Prestige Patterns'!$B$6)/'Prestige Patterns'!$B$5),'Prestige Patterns'!$B$6)-E476,1)</f>
        <v>388</v>
      </c>
      <c r="H477" s="12">
        <f t="shared" si="3"/>
        <v>35706</v>
      </c>
      <c r="I477" s="11">
        <f>1+H477*'Prestige Patterns'!$B$25</f>
        <v>358.06</v>
      </c>
      <c r="J477" s="12">
        <f>floor((K477/'Prestige Patterns'!$B$22)^'Prestige Patterns'!$B$23,1)-H476</f>
        <v>453</v>
      </c>
      <c r="K477" s="8">
        <f>K476+N476*'Prestige Patterns'!$B$20</f>
        <v>130750325401152</v>
      </c>
      <c r="L477" s="8">
        <f>if(J476&gt;='Prestige Patterns'!$B$28,if(J476/(H476+1)&gt;('Prestige Patterns'!$B$27+1),L476+1,L476),L476)</f>
        <v>8</v>
      </c>
      <c r="N477" s="12">
        <f t="shared" si="1"/>
        <v>1426281882</v>
      </c>
      <c r="O477" s="9">
        <f>'Prestige Patterns'!$B$4*E477</f>
        <v>7780</v>
      </c>
      <c r="P477" s="12">
        <f t="shared" si="4"/>
        <v>512</v>
      </c>
      <c r="Q477" s="11"/>
      <c r="R477" s="11"/>
      <c r="S477" s="9">
        <v>476.0</v>
      </c>
      <c r="T477" s="11"/>
    </row>
    <row r="478" ht="15.75" customHeight="1">
      <c r="A478" s="7"/>
      <c r="B478" s="7"/>
      <c r="C478" s="7">
        <f>(S478*'Prestige Patterns'!$B$20)/60</f>
        <v>238.5</v>
      </c>
      <c r="D478" s="8">
        <f>if(L477=L478,N477*'Prestige Patterns'!$B$20+D477-F478,0)</f>
        <v>43253962065</v>
      </c>
      <c r="E478" s="9">
        <f t="shared" si="2"/>
        <v>403</v>
      </c>
      <c r="F478" s="10">
        <f>'Prestige Patterns'!$B$5*('Prestige Patterns'!$B$6^E477-'Prestige Patterns'!$B$6^(E477+G478))/(1-'Prestige Patterns'!$B$6)</f>
        <v>13706390081</v>
      </c>
      <c r="G478" s="13">
        <f>floor(LOG('Prestige Patterns'!$B$6^(E477) - (D477*(1-'Prestige Patterns'!$B$6)/'Prestige Patterns'!$B$5),'Prestige Patterns'!$B$6)-E477,1)</f>
        <v>14</v>
      </c>
      <c r="H478" s="12">
        <f t="shared" si="3"/>
        <v>35706</v>
      </c>
      <c r="I478" s="11">
        <f>1+H478*'Prestige Patterns'!$B$25</f>
        <v>358.06</v>
      </c>
      <c r="J478" s="12">
        <f>floor((K478/'Prestige Patterns'!$B$22)^'Prestige Patterns'!$B$23,1)-H477</f>
        <v>459</v>
      </c>
      <c r="K478" s="8">
        <f>K477+N477*'Prestige Patterns'!$B$20</f>
        <v>130793113857600</v>
      </c>
      <c r="L478" s="8">
        <f>if(J477&gt;='Prestige Patterns'!$B$28,if(J477/(H477+1)&gt;('Prestige Patterns'!$B$27+1),L477+1,L477),L477)</f>
        <v>8</v>
      </c>
      <c r="N478" s="12">
        <f t="shared" si="1"/>
        <v>11820906906</v>
      </c>
      <c r="O478" s="9">
        <f>'Prestige Patterns'!$B$4*E478</f>
        <v>8060</v>
      </c>
      <c r="P478" s="12">
        <f t="shared" si="4"/>
        <v>4096</v>
      </c>
      <c r="Q478" s="11"/>
      <c r="R478" s="11"/>
      <c r="S478" s="9">
        <v>477.0</v>
      </c>
      <c r="T478" s="11"/>
    </row>
    <row r="479" ht="15.75" customHeight="1">
      <c r="A479" s="7"/>
      <c r="B479" s="7"/>
      <c r="C479" s="7">
        <f>(S479*'Prestige Patterns'!$B$20)/60</f>
        <v>239</v>
      </c>
      <c r="D479" s="8">
        <f>if(L478=L479,N478*'Prestige Patterns'!$B$20+D478-F479,0)</f>
        <v>355594606584</v>
      </c>
      <c r="E479" s="9">
        <f t="shared" si="2"/>
        <v>422</v>
      </c>
      <c r="F479" s="10">
        <f>'Prestige Patterns'!$B$5*('Prestige Patterns'!$B$6^E478-'Prestige Patterns'!$B$6^(E478+G479))/(1-'Prestige Patterns'!$B$6)</f>
        <v>42286562649</v>
      </c>
      <c r="G479" s="13">
        <f>floor(LOG('Prestige Patterns'!$B$6^(E478) - (D478*(1-'Prestige Patterns'!$B$6)/'Prestige Patterns'!$B$5),'Prestige Patterns'!$B$6)-E478,1)</f>
        <v>19</v>
      </c>
      <c r="H479" s="12">
        <f t="shared" si="3"/>
        <v>35706</v>
      </c>
      <c r="I479" s="11">
        <f>1+H479*'Prestige Patterns'!$B$25</f>
        <v>358.06</v>
      </c>
      <c r="J479" s="12">
        <f>floor((K479/'Prestige Patterns'!$B$22)^'Prestige Patterns'!$B$23,1)-H478</f>
        <v>508</v>
      </c>
      <c r="K479" s="8">
        <f>K478+N478*'Prestige Patterns'!$B$20</f>
        <v>131147741064768</v>
      </c>
      <c r="L479" s="8">
        <f>if(J478&gt;='Prestige Patterns'!$B$28,if(J478/(H478+1)&gt;('Prestige Patterns'!$B$27+1),L478+1,L478),L478)</f>
        <v>8</v>
      </c>
      <c r="N479" s="12">
        <f t="shared" si="1"/>
        <v>12378220134</v>
      </c>
      <c r="O479" s="9">
        <f>'Prestige Patterns'!$B$4*E479</f>
        <v>8440</v>
      </c>
      <c r="P479" s="12">
        <f t="shared" si="4"/>
        <v>4096</v>
      </c>
      <c r="Q479" s="11"/>
      <c r="R479" s="11"/>
      <c r="S479" s="9">
        <v>478.0</v>
      </c>
      <c r="T479" s="11"/>
    </row>
    <row r="480" ht="15.75" customHeight="1">
      <c r="A480" s="7"/>
      <c r="B480" s="7"/>
      <c r="C480" s="7">
        <f>(S480*'Prestige Patterns'!$B$20)/60</f>
        <v>239.5</v>
      </c>
      <c r="D480" s="8">
        <f>if(L479=L480,N479*'Prestige Patterns'!$B$20+D479-F480,0)</f>
        <v>391609719478</v>
      </c>
      <c r="E480" s="9">
        <f t="shared" si="2"/>
        <v>458</v>
      </c>
      <c r="F480" s="10">
        <f>'Prestige Patterns'!$B$5*('Prestige Patterns'!$B$6^E479-'Prestige Patterns'!$B$6^(E479+G480))/(1-'Prestige Patterns'!$B$6)</f>
        <v>335331491137</v>
      </c>
      <c r="G480" s="13">
        <f>floor(LOG('Prestige Patterns'!$B$6^(E479) - (D479*(1-'Prestige Patterns'!$B$6)/'Prestige Patterns'!$B$5),'Prestige Patterns'!$B$6)-E479,1)</f>
        <v>36</v>
      </c>
      <c r="H480" s="12">
        <f t="shared" si="3"/>
        <v>35706</v>
      </c>
      <c r="I480" s="11">
        <f>1+H480*'Prestige Patterns'!$B$25</f>
        <v>358.06</v>
      </c>
      <c r="J480" s="12">
        <f>floor((K480/'Prestige Patterns'!$B$22)^'Prestige Patterns'!$B$23,1)-H479</f>
        <v>559</v>
      </c>
      <c r="K480" s="8">
        <f>K479+N479*'Prestige Patterns'!$B$20</f>
        <v>131519087668800</v>
      </c>
      <c r="L480" s="8">
        <f>if(J479&gt;='Prestige Patterns'!$B$28,if(J479/(H479+1)&gt;('Prestige Patterns'!$B$27+1),L479+1,L479),L479)</f>
        <v>8</v>
      </c>
      <c r="N480" s="12">
        <f t="shared" si="1"/>
        <v>13434182042</v>
      </c>
      <c r="O480" s="9">
        <f>'Prestige Patterns'!$B$4*E480</f>
        <v>9160</v>
      </c>
      <c r="P480" s="12">
        <f t="shared" si="4"/>
        <v>4096</v>
      </c>
      <c r="Q480" s="11"/>
      <c r="R480" s="11"/>
      <c r="S480" s="9">
        <v>479.0</v>
      </c>
      <c r="T480" s="11"/>
    </row>
    <row r="481" ht="15.75" customHeight="1">
      <c r="A481" s="7"/>
      <c r="B481" s="7"/>
      <c r="C481" s="7">
        <f>(S481*'Prestige Patterns'!$B$20)/60</f>
        <v>240</v>
      </c>
      <c r="D481" s="8">
        <f>if(L480=L481,N480*'Prestige Patterns'!$B$20+D480-F481,0)</f>
        <v>435671369642</v>
      </c>
      <c r="E481" s="9">
        <f t="shared" si="2"/>
        <v>471</v>
      </c>
      <c r="F481" s="10">
        <f>'Prestige Patterns'!$B$5*('Prestige Patterns'!$B$6^E480-'Prestige Patterns'!$B$6^(E480+G481))/(1-'Prestige Patterns'!$B$6)</f>
        <v>358963811084</v>
      </c>
      <c r="G481" s="13">
        <f>floor(LOG('Prestige Patterns'!$B$6^(E480) - (D480*(1-'Prestige Patterns'!$B$6)/'Prestige Patterns'!$B$5),'Prestige Patterns'!$B$6)-E480,1)</f>
        <v>13</v>
      </c>
      <c r="H481" s="12">
        <f t="shared" si="3"/>
        <v>35706</v>
      </c>
      <c r="I481" s="11">
        <f>1+H481*'Prestige Patterns'!$B$25</f>
        <v>358.06</v>
      </c>
      <c r="J481" s="12">
        <f>floor((K481/'Prestige Patterns'!$B$22)^'Prestige Patterns'!$B$23,1)-H480</f>
        <v>615</v>
      </c>
      <c r="K481" s="8">
        <f>K480+N480*'Prestige Patterns'!$B$20</f>
        <v>131922113130048</v>
      </c>
      <c r="L481" s="8">
        <f>if(J480&gt;='Prestige Patterns'!$B$28,if(J480/(H480+1)&gt;('Prestige Patterns'!$B$27+1),L480+1,L480),L480)</f>
        <v>8</v>
      </c>
      <c r="N481" s="12">
        <f t="shared" si="1"/>
        <v>13815501619</v>
      </c>
      <c r="O481" s="9">
        <f>'Prestige Patterns'!$B$4*E481</f>
        <v>9420</v>
      </c>
      <c r="P481" s="12">
        <f t="shared" si="4"/>
        <v>4096</v>
      </c>
      <c r="Q481" s="11"/>
      <c r="R481" s="11"/>
      <c r="S481" s="9">
        <v>480.0</v>
      </c>
      <c r="T481" s="11"/>
    </row>
    <row r="482" ht="15.75" customHeight="1">
      <c r="A482" s="7"/>
      <c r="B482" s="7"/>
      <c r="C482" s="7">
        <f>(S482*'Prestige Patterns'!$B$20)/60</f>
        <v>240.5</v>
      </c>
      <c r="D482" s="8">
        <f>if(L481=L482,N481*'Prestige Patterns'!$B$20+D481-F482,0)</f>
        <v>428769856553</v>
      </c>
      <c r="E482" s="9">
        <f t="shared" si="2"/>
        <v>480</v>
      </c>
      <c r="F482" s="10">
        <f>'Prestige Patterns'!$B$5*('Prestige Patterns'!$B$6^E481-'Prestige Patterns'!$B$6^(E481+G482))/(1-'Prestige Patterns'!$B$6)</f>
        <v>421366561665</v>
      </c>
      <c r="G482" s="13">
        <f>floor(LOG('Prestige Patterns'!$B$6^(E481) - (D481*(1-'Prestige Patterns'!$B$6)/'Prestige Patterns'!$B$5),'Prestige Patterns'!$B$6)-E481,1)</f>
        <v>9</v>
      </c>
      <c r="H482" s="12">
        <f t="shared" si="3"/>
        <v>35706</v>
      </c>
      <c r="I482" s="11">
        <f>1+H482*'Prestige Patterns'!$B$25</f>
        <v>358.06</v>
      </c>
      <c r="J482" s="12">
        <f>floor((K482/'Prestige Patterns'!$B$22)^'Prestige Patterns'!$B$23,1)-H481</f>
        <v>672</v>
      </c>
      <c r="K482" s="8">
        <f>K481+N481*'Prestige Patterns'!$B$20</f>
        <v>132336578178624</v>
      </c>
      <c r="L482" s="8">
        <f>if(J481&gt;='Prestige Patterns'!$B$28,if(J481/(H481+1)&gt;('Prestige Patterns'!$B$27+1),L481+1,L481),L481)</f>
        <v>8</v>
      </c>
      <c r="N482" s="12">
        <f t="shared" si="1"/>
        <v>14079492096</v>
      </c>
      <c r="O482" s="9">
        <f>'Prestige Patterns'!$B$4*E482</f>
        <v>9600</v>
      </c>
      <c r="P482" s="12">
        <f t="shared" si="4"/>
        <v>4096</v>
      </c>
      <c r="Q482" s="11"/>
      <c r="R482" s="11"/>
      <c r="S482" s="9">
        <v>481.0</v>
      </c>
      <c r="T482" s="11"/>
    </row>
    <row r="483" ht="15.75" customHeight="1">
      <c r="A483" s="7"/>
      <c r="B483" s="7"/>
      <c r="C483" s="7">
        <f>(S483*'Prestige Patterns'!$B$20)/60</f>
        <v>241</v>
      </c>
      <c r="D483" s="8">
        <f>if(L482=L483,N482*'Prestige Patterns'!$B$20+D482-F483,0)</f>
        <v>447922976134</v>
      </c>
      <c r="E483" s="9">
        <f t="shared" si="2"/>
        <v>486</v>
      </c>
      <c r="F483" s="10">
        <f>'Prestige Patterns'!$B$5*('Prestige Patterns'!$B$6^E482-'Prestige Patterns'!$B$6^(E482+G483))/(1-'Prestige Patterns'!$B$6)</f>
        <v>403231643299</v>
      </c>
      <c r="G483" s="13">
        <f>floor(LOG('Prestige Patterns'!$B$6^(E482) - (D482*(1-'Prestige Patterns'!$B$6)/'Prestige Patterns'!$B$5),'Prestige Patterns'!$B$6)-E482,1)</f>
        <v>6</v>
      </c>
      <c r="H483" s="12">
        <f t="shared" si="3"/>
        <v>35706</v>
      </c>
      <c r="I483" s="11">
        <f>1+H483*'Prestige Patterns'!$B$25</f>
        <v>358.06</v>
      </c>
      <c r="J483" s="12">
        <f>floor((K483/'Prestige Patterns'!$B$22)^'Prestige Patterns'!$B$23,1)-H482</f>
        <v>730</v>
      </c>
      <c r="K483" s="8">
        <f>K482+N482*'Prestige Patterns'!$B$20</f>
        <v>132758962941504</v>
      </c>
      <c r="L483" s="8">
        <f>if(J482&gt;='Prestige Patterns'!$B$28,if(J482/(H482+1)&gt;('Prestige Patterns'!$B$27+1),L482+1,L482),L482)</f>
        <v>8</v>
      </c>
      <c r="N483" s="12">
        <f t="shared" si="1"/>
        <v>14255485747</v>
      </c>
      <c r="O483" s="9">
        <f>'Prestige Patterns'!$B$4*E483</f>
        <v>9720</v>
      </c>
      <c r="P483" s="12">
        <f t="shared" si="4"/>
        <v>4096</v>
      </c>
      <c r="Q483" s="11"/>
      <c r="R483" s="11"/>
      <c r="S483" s="9">
        <v>482.0</v>
      </c>
      <c r="T483" s="11"/>
    </row>
    <row r="484" ht="15.75" customHeight="1">
      <c r="A484" s="7"/>
      <c r="B484" s="7"/>
      <c r="C484" s="7">
        <f>(S484*'Prestige Patterns'!$B$20)/60</f>
        <v>241.5</v>
      </c>
      <c r="D484" s="8">
        <f>if(L483=L484,N483*'Prestige Patterns'!$B$20+D483-F484,0)</f>
        <v>436611081957</v>
      </c>
      <c r="E484" s="9">
        <f t="shared" si="2"/>
        <v>491</v>
      </c>
      <c r="F484" s="10">
        <f>'Prestige Patterns'!$B$5*('Prestige Patterns'!$B$6^E483-'Prestige Patterns'!$B$6^(E483+G484))/(1-'Prestige Patterns'!$B$6)</f>
        <v>438976466593</v>
      </c>
      <c r="G484" s="13">
        <f>floor(LOG('Prestige Patterns'!$B$6^(E483) - (D483*(1-'Prestige Patterns'!$B$6)/'Prestige Patterns'!$B$5),'Prestige Patterns'!$B$6)-E483,1)</f>
        <v>5</v>
      </c>
      <c r="H484" s="12">
        <f t="shared" si="3"/>
        <v>35706</v>
      </c>
      <c r="I484" s="11">
        <f>1+H484*'Prestige Patterns'!$B$25</f>
        <v>358.06</v>
      </c>
      <c r="J484" s="12">
        <f>floor((K484/'Prestige Patterns'!$B$22)^'Prestige Patterns'!$B$23,1)-H483</f>
        <v>788</v>
      </c>
      <c r="K484" s="8">
        <f>K483+N483*'Prestige Patterns'!$B$20</f>
        <v>133186627513920</v>
      </c>
      <c r="L484" s="8">
        <f>if(J483&gt;='Prestige Patterns'!$B$28,if(J483/(H483+1)&gt;('Prestige Patterns'!$B$27+1),L483+1,L483),L483)</f>
        <v>8</v>
      </c>
      <c r="N484" s="12">
        <f t="shared" si="1"/>
        <v>14402147123</v>
      </c>
      <c r="O484" s="9">
        <f>'Prestige Patterns'!$B$4*E484</f>
        <v>9820</v>
      </c>
      <c r="P484" s="12">
        <f t="shared" si="4"/>
        <v>4096</v>
      </c>
      <c r="Q484" s="11"/>
      <c r="R484" s="11"/>
      <c r="S484" s="9">
        <v>483.0</v>
      </c>
      <c r="T484" s="11"/>
    </row>
    <row r="485" ht="15.75" customHeight="1">
      <c r="A485" s="7"/>
      <c r="B485" s="7"/>
      <c r="C485" s="7">
        <f>(S485*'Prestige Patterns'!$B$20)/60</f>
        <v>242</v>
      </c>
      <c r="D485" s="8">
        <f>if(L484=L485,N484*'Prestige Patterns'!$B$20+D484-F485,0)</f>
        <v>549035637024</v>
      </c>
      <c r="E485" s="9">
        <f t="shared" si="2"/>
        <v>494</v>
      </c>
      <c r="F485" s="10">
        <f>'Prestige Patterns'!$B$5*('Prestige Patterns'!$B$6^E484-'Prestige Patterns'!$B$6^(E484+G485))/(1-'Prestige Patterns'!$B$6)</f>
        <v>319639858628</v>
      </c>
      <c r="G485" s="13">
        <f>floor(LOG('Prestige Patterns'!$B$6^(E484) - (D484*(1-'Prestige Patterns'!$B$6)/'Prestige Patterns'!$B$5),'Prestige Patterns'!$B$6)-E484,1)</f>
        <v>3</v>
      </c>
      <c r="H485" s="12">
        <f t="shared" si="3"/>
        <v>35706</v>
      </c>
      <c r="I485" s="11">
        <f>1+H485*'Prestige Patterns'!$B$25</f>
        <v>358.06</v>
      </c>
      <c r="J485" s="12">
        <f>floor((K485/'Prestige Patterns'!$B$22)^'Prestige Patterns'!$B$23,1)-H484</f>
        <v>847</v>
      </c>
      <c r="K485" s="8">
        <f>K484+N484*'Prestige Patterns'!$B$20</f>
        <v>133618691927616</v>
      </c>
      <c r="L485" s="8">
        <f>if(J484&gt;='Prestige Patterns'!$B$28,if(J484/(H484+1)&gt;('Prestige Patterns'!$B$27+1),L484+1,L484),L484)</f>
        <v>8</v>
      </c>
      <c r="N485" s="12">
        <f t="shared" si="1"/>
        <v>14490143949</v>
      </c>
      <c r="O485" s="9">
        <f>'Prestige Patterns'!$B$4*E485</f>
        <v>9880</v>
      </c>
      <c r="P485" s="12">
        <f t="shared" si="4"/>
        <v>4096</v>
      </c>
      <c r="Q485" s="11"/>
      <c r="R485" s="11"/>
      <c r="S485" s="9">
        <v>484.0</v>
      </c>
      <c r="T485" s="11"/>
    </row>
    <row r="486" ht="15.75" customHeight="1">
      <c r="A486" s="7"/>
      <c r="B486" s="7"/>
      <c r="C486" s="7">
        <f>(S486*'Prestige Patterns'!$B$20)/60</f>
        <v>242.5</v>
      </c>
      <c r="D486" s="8">
        <f>if(L485=L486,N485*'Prestige Patterns'!$B$20+D485-F486,0)</f>
        <v>477841215891</v>
      </c>
      <c r="E486" s="9">
        <f t="shared" si="2"/>
        <v>498</v>
      </c>
      <c r="F486" s="10">
        <f>'Prestige Patterns'!$B$5*('Prestige Patterns'!$B$6^E485-'Prestige Patterns'!$B$6^(E485+G486))/(1-'Prestige Patterns'!$B$6)</f>
        <v>505898739597</v>
      </c>
      <c r="G486" s="13">
        <f>floor(LOG('Prestige Patterns'!$B$6^(E485) - (D485*(1-'Prestige Patterns'!$B$6)/'Prestige Patterns'!$B$5),'Prestige Patterns'!$B$6)-E485,1)</f>
        <v>4</v>
      </c>
      <c r="H486" s="12">
        <f t="shared" si="3"/>
        <v>35706</v>
      </c>
      <c r="I486" s="11">
        <f>1+H486*'Prestige Patterns'!$B$25</f>
        <v>358.06</v>
      </c>
      <c r="J486" s="12">
        <f>floor((K486/'Prestige Patterns'!$B$22)^'Prestige Patterns'!$B$23,1)-H485</f>
        <v>907</v>
      </c>
      <c r="K486" s="8">
        <f>K485+N485*'Prestige Patterns'!$B$20</f>
        <v>134053396246080</v>
      </c>
      <c r="L486" s="8">
        <f>if(J485&gt;='Prestige Patterns'!$B$28,if(J485/(H485+1)&gt;('Prestige Patterns'!$B$27+1),L485+1,L485),L485)</f>
        <v>8</v>
      </c>
      <c r="N486" s="12">
        <f t="shared" si="1"/>
        <v>14607473050</v>
      </c>
      <c r="O486" s="9">
        <f>'Prestige Patterns'!$B$4*E486</f>
        <v>9960</v>
      </c>
      <c r="P486" s="12">
        <f t="shared" si="4"/>
        <v>4096</v>
      </c>
      <c r="Q486" s="11"/>
      <c r="R486" s="11"/>
      <c r="S486" s="9">
        <v>485.0</v>
      </c>
      <c r="T486" s="11"/>
    </row>
    <row r="487" ht="15.75" customHeight="1">
      <c r="A487" s="7"/>
      <c r="B487" s="7"/>
      <c r="C487" s="7">
        <f>(S487*'Prestige Patterns'!$B$20)/60</f>
        <v>243</v>
      </c>
      <c r="D487" s="8">
        <f>if(L486=L487,N486*'Prestige Patterns'!$B$20+D486-F487,0)</f>
        <v>466300027206</v>
      </c>
      <c r="E487" s="9">
        <f t="shared" si="2"/>
        <v>501</v>
      </c>
      <c r="F487" s="10">
        <f>'Prestige Patterns'!$B$5*('Prestige Patterns'!$B$6^E486-'Prestige Patterns'!$B$6^(E486+G487))/(1-'Prestige Patterns'!$B$6)</f>
        <v>449765380173</v>
      </c>
      <c r="G487" s="13">
        <f>floor(LOG('Prestige Patterns'!$B$6^(E486) - (D486*(1-'Prestige Patterns'!$B$6)/'Prestige Patterns'!$B$5),'Prestige Patterns'!$B$6)-E486,1)</f>
        <v>3</v>
      </c>
      <c r="H487" s="12">
        <f t="shared" si="3"/>
        <v>35706</v>
      </c>
      <c r="I487" s="11">
        <f>1+H487*'Prestige Patterns'!$B$25</f>
        <v>358.06</v>
      </c>
      <c r="J487" s="12">
        <f>floor((K487/'Prestige Patterns'!$B$22)^'Prestige Patterns'!$B$23,1)-H486</f>
        <v>967</v>
      </c>
      <c r="K487" s="8">
        <f>K486+N486*'Prestige Patterns'!$B$20</f>
        <v>134491620437568</v>
      </c>
      <c r="L487" s="8">
        <f>if(J486&gt;='Prestige Patterns'!$B$28,if(J486/(H486+1)&gt;('Prestige Patterns'!$B$27+1),L486+1,L486),L486)</f>
        <v>8</v>
      </c>
      <c r="N487" s="12">
        <f t="shared" si="1"/>
        <v>235127518003</v>
      </c>
      <c r="O487" s="9">
        <f>'Prestige Patterns'!$B$4*E487</f>
        <v>10020</v>
      </c>
      <c r="P487" s="12">
        <f t="shared" si="4"/>
        <v>65536</v>
      </c>
      <c r="Q487" s="11"/>
      <c r="R487" s="11"/>
      <c r="S487" s="9">
        <v>486.0</v>
      </c>
      <c r="T487" s="11"/>
    </row>
    <row r="488" ht="15.75" customHeight="1">
      <c r="A488" s="7"/>
      <c r="B488" s="7"/>
      <c r="C488" s="7">
        <f>(S488*'Prestige Patterns'!$B$20)/60</f>
        <v>243.5</v>
      </c>
      <c r="D488" s="8">
        <f>if(L487=L488,N487*'Prestige Patterns'!$B$20+D487-F488,0)</f>
        <v>7181552282969</v>
      </c>
      <c r="E488" s="9">
        <f t="shared" si="2"/>
        <v>503</v>
      </c>
      <c r="F488" s="10">
        <f>'Prestige Patterns'!$B$5*('Prestige Patterns'!$B$6^E487-'Prestige Patterns'!$B$6^(E487+G488))/(1-'Prestige Patterns'!$B$6)</f>
        <v>338573284332</v>
      </c>
      <c r="G488" s="13">
        <f>floor(LOG('Prestige Patterns'!$B$6^(E487) - (D487*(1-'Prestige Patterns'!$B$6)/'Prestige Patterns'!$B$5),'Prestige Patterns'!$B$6)-E487,1)</f>
        <v>2</v>
      </c>
      <c r="H488" s="12">
        <f t="shared" si="3"/>
        <v>35706</v>
      </c>
      <c r="I488" s="11">
        <f>1+H488*'Prestige Patterns'!$B$25</f>
        <v>358.06</v>
      </c>
      <c r="J488" s="12">
        <f>floor((K488/'Prestige Patterns'!$B$22)^'Prestige Patterns'!$B$23,1)-H487</f>
        <v>1916</v>
      </c>
      <c r="K488" s="8">
        <f>K487+N487*'Prestige Patterns'!$B$20</f>
        <v>141545445977664</v>
      </c>
      <c r="L488" s="8">
        <f>if(J487&gt;='Prestige Patterns'!$B$28,if(J487/(H487+1)&gt;('Prestige Patterns'!$B$27+1),L487+1,L487),L487)</f>
        <v>8</v>
      </c>
      <c r="N488" s="12">
        <f t="shared" si="1"/>
        <v>236066150810</v>
      </c>
      <c r="O488" s="9">
        <f>'Prestige Patterns'!$B$4*E488</f>
        <v>10060</v>
      </c>
      <c r="P488" s="12">
        <f t="shared" si="4"/>
        <v>65536</v>
      </c>
      <c r="Q488" s="11"/>
      <c r="R488" s="11"/>
      <c r="S488" s="9">
        <v>487.0</v>
      </c>
      <c r="T488" s="11"/>
    </row>
    <row r="489" ht="15.75" customHeight="1">
      <c r="A489" s="7"/>
      <c r="B489" s="7"/>
      <c r="C489" s="7">
        <f>(S489*'Prestige Patterns'!$B$20)/60</f>
        <v>244</v>
      </c>
      <c r="D489" s="8">
        <f>if(L488=L489,N488*'Prestige Patterns'!$B$20+D488-F489,0)</f>
        <v>7252262326605</v>
      </c>
      <c r="E489" s="9">
        <f t="shared" si="2"/>
        <v>525</v>
      </c>
      <c r="F489" s="10">
        <f>'Prestige Patterns'!$B$5*('Prestige Patterns'!$B$6^E488-'Prestige Patterns'!$B$6^(E488+G489))/(1-'Prestige Patterns'!$B$6)</f>
        <v>7011274480652</v>
      </c>
      <c r="G489" s="13">
        <f>floor(LOG('Prestige Patterns'!$B$6^(E488) - (D488*(1-'Prestige Patterns'!$B$6)/'Prestige Patterns'!$B$5),'Prestige Patterns'!$B$6)-E488,1)</f>
        <v>22</v>
      </c>
      <c r="H489" s="12">
        <f t="shared" si="3"/>
        <v>35706</v>
      </c>
      <c r="I489" s="11">
        <f>1+H489*'Prestige Patterns'!$B$25</f>
        <v>358.06</v>
      </c>
      <c r="J489" s="12">
        <f>floor((K489/'Prestige Patterns'!$B$22)^'Prestige Patterns'!$B$23,1)-H488</f>
        <v>2846</v>
      </c>
      <c r="K489" s="8">
        <f>K488+N488*'Prestige Patterns'!$B$20</f>
        <v>148627430501952</v>
      </c>
      <c r="L489" s="8">
        <f>if(J488&gt;='Prestige Patterns'!$B$28,if(J488/(H488+1)&gt;('Prestige Patterns'!$B$27+1),L488+1,L488),L488)</f>
        <v>8</v>
      </c>
      <c r="N489" s="12">
        <f t="shared" si="1"/>
        <v>246391111680</v>
      </c>
      <c r="O489" s="9">
        <f>'Prestige Patterns'!$B$4*E489</f>
        <v>10500</v>
      </c>
      <c r="P489" s="12">
        <f t="shared" si="4"/>
        <v>65536</v>
      </c>
      <c r="Q489" s="11"/>
      <c r="R489" s="11"/>
      <c r="S489" s="9">
        <v>488.0</v>
      </c>
      <c r="T489" s="11"/>
    </row>
    <row r="490" ht="15.75" customHeight="1">
      <c r="A490" s="7"/>
      <c r="B490" s="7"/>
      <c r="C490" s="7">
        <f>(S490*'Prestige Patterns'!$B$20)/60</f>
        <v>244.5</v>
      </c>
      <c r="D490" s="8">
        <f>if(L489=L490,N489*'Prestige Patterns'!$B$20+D489-F490,0)</f>
        <v>7944380112053</v>
      </c>
      <c r="E490" s="9">
        <f t="shared" si="2"/>
        <v>535</v>
      </c>
      <c r="F490" s="10">
        <f>'Prestige Patterns'!$B$5*('Prestige Patterns'!$B$6^E489-'Prestige Patterns'!$B$6^(E489+G490))/(1-'Prestige Patterns'!$B$6)</f>
        <v>6699615564953</v>
      </c>
      <c r="G490" s="13">
        <f>floor(LOG('Prestige Patterns'!$B$6^(E489) - (D489*(1-'Prestige Patterns'!$B$6)/'Prestige Patterns'!$B$5),'Prestige Patterns'!$B$6)-E489,1)</f>
        <v>10</v>
      </c>
      <c r="H490" s="12">
        <f t="shared" si="3"/>
        <v>35706</v>
      </c>
      <c r="I490" s="11">
        <f>1+H490*'Prestige Patterns'!$B$25</f>
        <v>358.06</v>
      </c>
      <c r="J490" s="12">
        <f>floor((K490/'Prestige Patterns'!$B$22)^'Prestige Patterns'!$B$23,1)-H489</f>
        <v>3793</v>
      </c>
      <c r="K490" s="8">
        <f>K489+N489*'Prestige Patterns'!$B$20</f>
        <v>156019163852352</v>
      </c>
      <c r="L490" s="8">
        <f>if(J489&gt;='Prestige Patterns'!$B$28,if(J489/(H489+1)&gt;('Prestige Patterns'!$B$27+1),L489+1,L489),L489)</f>
        <v>8</v>
      </c>
      <c r="N490" s="12">
        <f t="shared" si="1"/>
        <v>251084275712</v>
      </c>
      <c r="O490" s="9">
        <f>'Prestige Patterns'!$B$4*E490</f>
        <v>10700</v>
      </c>
      <c r="P490" s="12">
        <f t="shared" si="4"/>
        <v>65536</v>
      </c>
      <c r="Q490" s="11"/>
      <c r="R490" s="11"/>
      <c r="S490" s="9">
        <v>489.0</v>
      </c>
      <c r="T490" s="11"/>
    </row>
    <row r="491" ht="15.75" customHeight="1">
      <c r="A491" s="7"/>
      <c r="B491" s="7"/>
      <c r="C491" s="7">
        <f>(S491*'Prestige Patterns'!$B$20)/60</f>
        <v>245</v>
      </c>
      <c r="D491" s="8">
        <f>if(L490=L491,N490*'Prestige Patterns'!$B$20+D490-F491,0)</f>
        <v>8412650536855</v>
      </c>
      <c r="E491" s="9">
        <f t="shared" si="2"/>
        <v>542</v>
      </c>
      <c r="F491" s="10">
        <f>'Prestige Patterns'!$B$5*('Prestige Patterns'!$B$6^E490-'Prestige Patterns'!$B$6^(E490+G491))/(1-'Prestige Patterns'!$B$6)</f>
        <v>7064257846558</v>
      </c>
      <c r="G491" s="13">
        <f>floor(LOG('Prestige Patterns'!$B$6^(E490) - (D490*(1-'Prestige Patterns'!$B$6)/'Prestige Patterns'!$B$5),'Prestige Patterns'!$B$6)-E490,1)</f>
        <v>7</v>
      </c>
      <c r="H491" s="12">
        <f t="shared" si="3"/>
        <v>35706</v>
      </c>
      <c r="I491" s="11">
        <f>1+H491*'Prestige Patterns'!$B$25</f>
        <v>358.06</v>
      </c>
      <c r="J491" s="12">
        <f>floor((K491/'Prestige Patterns'!$B$22)^'Prestige Patterns'!$B$23,1)-H490</f>
        <v>4735</v>
      </c>
      <c r="K491" s="8">
        <f>K490+N490*'Prestige Patterns'!$B$20</f>
        <v>163551692123712</v>
      </c>
      <c r="L491" s="8">
        <f>if(J490&gt;='Prestige Patterns'!$B$28,if(J490/(H490+1)&gt;('Prestige Patterns'!$B$27+1),L490+1,L490),L490)</f>
        <v>8</v>
      </c>
      <c r="N491" s="12">
        <f t="shared" si="1"/>
        <v>254369490534</v>
      </c>
      <c r="O491" s="9">
        <f>'Prestige Patterns'!$B$4*E491</f>
        <v>10840</v>
      </c>
      <c r="P491" s="12">
        <f t="shared" si="4"/>
        <v>65536</v>
      </c>
      <c r="Q491" s="11"/>
      <c r="R491" s="11"/>
      <c r="S491" s="9">
        <v>490.0</v>
      </c>
      <c r="T491" s="11"/>
    </row>
    <row r="492" ht="15.75" customHeight="1">
      <c r="A492" s="7"/>
      <c r="B492" s="7"/>
      <c r="C492" s="7">
        <f>(S492*'Prestige Patterns'!$B$20)/60</f>
        <v>245.5</v>
      </c>
      <c r="D492" s="8">
        <f>if(L491=L492,N491*'Prestige Patterns'!$B$20+D491-F492,0)</f>
        <v>7739662449891</v>
      </c>
      <c r="E492" s="9">
        <f t="shared" si="2"/>
        <v>548</v>
      </c>
      <c r="F492" s="10">
        <f>'Prestige Patterns'!$B$5*('Prestige Patterns'!$B$6^E491-'Prestige Patterns'!$B$6^(E491+G492))/(1-'Prestige Patterns'!$B$6)</f>
        <v>8304072802995</v>
      </c>
      <c r="G492" s="13">
        <f>floor(LOG('Prestige Patterns'!$B$6^(E491) - (D491*(1-'Prestige Patterns'!$B$6)/'Prestige Patterns'!$B$5),'Prestige Patterns'!$B$6)-E491,1)</f>
        <v>6</v>
      </c>
      <c r="H492" s="12">
        <f t="shared" si="3"/>
        <v>35706</v>
      </c>
      <c r="I492" s="11">
        <f>1+H492*'Prestige Patterns'!$B$25</f>
        <v>358.06</v>
      </c>
      <c r="J492" s="12">
        <f>floor((K492/'Prestige Patterns'!$B$22)^'Prestige Patterns'!$B$23,1)-H491</f>
        <v>5668</v>
      </c>
      <c r="K492" s="8">
        <f>K491+N491*'Prestige Patterns'!$B$20</f>
        <v>171182776839744</v>
      </c>
      <c r="L492" s="8">
        <f>if(J491&gt;='Prestige Patterns'!$B$28,if(J491/(H491+1)&gt;('Prestige Patterns'!$B$27+1),L491+1,L491),L491)</f>
        <v>8</v>
      </c>
      <c r="N492" s="12">
        <f t="shared" si="1"/>
        <v>257185388954</v>
      </c>
      <c r="O492" s="9">
        <f>'Prestige Patterns'!$B$4*E492</f>
        <v>10960</v>
      </c>
      <c r="P492" s="12">
        <f t="shared" si="4"/>
        <v>65536</v>
      </c>
      <c r="Q492" s="11"/>
      <c r="R492" s="11"/>
      <c r="S492" s="9">
        <v>491.0</v>
      </c>
      <c r="T492" s="11"/>
    </row>
    <row r="493" ht="15.75" customHeight="1">
      <c r="A493" s="7"/>
      <c r="B493" s="7"/>
      <c r="C493" s="7">
        <f>(S493*'Prestige Patterns'!$B$20)/60</f>
        <v>246</v>
      </c>
      <c r="D493" s="8">
        <f>if(L492=L493,N492*'Prestige Patterns'!$B$20+D492-F493,0)</f>
        <v>8403655324398</v>
      </c>
      <c r="E493" s="9">
        <f t="shared" si="2"/>
        <v>552</v>
      </c>
      <c r="F493" s="10">
        <f>'Prestige Patterns'!$B$5*('Prestige Patterns'!$B$6^E492-'Prestige Patterns'!$B$6^(E492+G493))/(1-'Prestige Patterns'!$B$6)</f>
        <v>7051568794101</v>
      </c>
      <c r="G493" s="13">
        <f>floor(LOG('Prestige Patterns'!$B$6^(E492) - (D492*(1-'Prestige Patterns'!$B$6)/'Prestige Patterns'!$B$5),'Prestige Patterns'!$B$6)-E492,1)</f>
        <v>4</v>
      </c>
      <c r="H493" s="12">
        <f t="shared" si="3"/>
        <v>35706</v>
      </c>
      <c r="I493" s="11">
        <f>1+H493*'Prestige Patterns'!$B$25</f>
        <v>358.06</v>
      </c>
      <c r="J493" s="12">
        <f>floor((K493/'Prestige Patterns'!$B$22)^'Prestige Patterns'!$B$23,1)-H492</f>
        <v>6590</v>
      </c>
      <c r="K493" s="8">
        <f>K492+N492*'Prestige Patterns'!$B$20</f>
        <v>178898338508352</v>
      </c>
      <c r="L493" s="8">
        <f>if(J492&gt;='Prestige Patterns'!$B$28,if(J492/(H492+1)&gt;('Prestige Patterns'!$B$27+1),L492+1,L492),L492)</f>
        <v>8</v>
      </c>
      <c r="N493" s="12">
        <f t="shared" si="1"/>
        <v>259062654566</v>
      </c>
      <c r="O493" s="9">
        <f>'Prestige Patterns'!$B$4*E493</f>
        <v>11040</v>
      </c>
      <c r="P493" s="12">
        <f t="shared" si="4"/>
        <v>65536</v>
      </c>
      <c r="Q493" s="11"/>
      <c r="R493" s="11"/>
      <c r="S493" s="9">
        <v>492.0</v>
      </c>
      <c r="T493" s="11"/>
    </row>
    <row r="494" ht="15.75" customHeight="1">
      <c r="A494" s="7"/>
      <c r="B494" s="7"/>
      <c r="C494" s="7">
        <f>(S494*'Prestige Patterns'!$B$20)/60</f>
        <v>246.5</v>
      </c>
      <c r="D494" s="8">
        <f>if(L493=L494,N493*'Prestige Patterns'!$B$20+D493-F494,0)</f>
        <v>9906392005979</v>
      </c>
      <c r="E494" s="9">
        <f t="shared" si="2"/>
        <v>555</v>
      </c>
      <c r="F494" s="10">
        <f>'Prestige Patterns'!$B$5*('Prestige Patterns'!$B$6^E493-'Prestige Patterns'!$B$6^(E493+G494))/(1-'Prestige Patterns'!$B$6)</f>
        <v>6269142955411</v>
      </c>
      <c r="G494" s="13">
        <f>floor(LOG('Prestige Patterns'!$B$6^(E493) - (D493*(1-'Prestige Patterns'!$B$6)/'Prestige Patterns'!$B$5),'Prestige Patterns'!$B$6)-E493,1)</f>
        <v>3</v>
      </c>
      <c r="H494" s="12">
        <f t="shared" si="3"/>
        <v>35706</v>
      </c>
      <c r="I494" s="11">
        <f>1+H494*'Prestige Patterns'!$B$25</f>
        <v>358.06</v>
      </c>
      <c r="J494" s="12">
        <f>floor((K494/'Prestige Patterns'!$B$22)^'Prestige Patterns'!$B$23,1)-H493</f>
        <v>7499</v>
      </c>
      <c r="K494" s="8">
        <f>K493+N493*'Prestige Patterns'!$B$20</f>
        <v>186670218145344</v>
      </c>
      <c r="L494" s="8">
        <f>if(J493&gt;='Prestige Patterns'!$B$28,if(J493/(H493+1)&gt;('Prestige Patterns'!$B$27+1),L493+1,L493),L493)</f>
        <v>8</v>
      </c>
      <c r="N494" s="12">
        <f t="shared" si="1"/>
        <v>260470603776</v>
      </c>
      <c r="O494" s="9">
        <f>'Prestige Patterns'!$B$4*E494</f>
        <v>11100</v>
      </c>
      <c r="P494" s="12">
        <f t="shared" si="4"/>
        <v>65536</v>
      </c>
      <c r="Q494" s="11"/>
      <c r="R494" s="11"/>
      <c r="S494" s="9">
        <v>493.0</v>
      </c>
      <c r="T494" s="11"/>
    </row>
    <row r="495" ht="15.75" customHeight="1">
      <c r="A495" s="7"/>
      <c r="B495" s="7"/>
      <c r="C495" s="7">
        <f>(S495*'Prestige Patterns'!$B$20)/60</f>
        <v>247</v>
      </c>
      <c r="D495" s="8">
        <f>if(L494=L495,N494*'Prestige Patterns'!$B$20+D494-F495,0)</f>
        <v>10463193505502</v>
      </c>
      <c r="E495" s="9">
        <f t="shared" si="2"/>
        <v>558</v>
      </c>
      <c r="F495" s="10">
        <f>'Prestige Patterns'!$B$5*('Prestige Patterns'!$B$6^E494-'Prestige Patterns'!$B$6^(E494+G495))/(1-'Prestige Patterns'!$B$6)</f>
        <v>7257316613757</v>
      </c>
      <c r="G495" s="13">
        <f>floor(LOG('Prestige Patterns'!$B$6^(E494) - (D494*(1-'Prestige Patterns'!$B$6)/'Prestige Patterns'!$B$5),'Prestige Patterns'!$B$6)-E494,1)</f>
        <v>3</v>
      </c>
      <c r="H495" s="12">
        <f t="shared" si="3"/>
        <v>35706</v>
      </c>
      <c r="I495" s="11">
        <f>1+H495*'Prestige Patterns'!$B$25</f>
        <v>358.06</v>
      </c>
      <c r="J495" s="12">
        <f>floor((K495/'Prestige Patterns'!$B$22)^'Prestige Patterns'!$B$23,1)-H494</f>
        <v>8394</v>
      </c>
      <c r="K495" s="8">
        <f>K494+N494*'Prestige Patterns'!$B$20</f>
        <v>194484336258624</v>
      </c>
      <c r="L495" s="8">
        <f>if(J494&gt;='Prestige Patterns'!$B$28,if(J494/(H494+1)&gt;('Prestige Patterns'!$B$27+1),L494+1,L494),L494)</f>
        <v>8</v>
      </c>
      <c r="N495" s="12">
        <f t="shared" si="1"/>
        <v>261878552986</v>
      </c>
      <c r="O495" s="9">
        <f>'Prestige Patterns'!$B$4*E495</f>
        <v>11160</v>
      </c>
      <c r="P495" s="12">
        <f t="shared" si="4"/>
        <v>65536</v>
      </c>
      <c r="Q495" s="11"/>
      <c r="R495" s="11"/>
      <c r="S495" s="9">
        <v>494.0</v>
      </c>
      <c r="T495" s="11"/>
    </row>
    <row r="496" ht="15.75" customHeight="1">
      <c r="A496" s="7"/>
      <c r="B496" s="7"/>
      <c r="C496" s="7">
        <f>(S496*'Prestige Patterns'!$B$20)/60</f>
        <v>247.5</v>
      </c>
      <c r="D496" s="8">
        <f>if(L495=L496,N495*'Prestige Patterns'!$B$20+D495-F496,0)</f>
        <v>9918298950069</v>
      </c>
      <c r="E496" s="9">
        <f t="shared" si="2"/>
        <v>561</v>
      </c>
      <c r="F496" s="10">
        <f>'Prestige Patterns'!$B$5*('Prestige Patterns'!$B$6^E495-'Prestige Patterns'!$B$6^(E495+G496))/(1-'Prestige Patterns'!$B$6)</f>
        <v>8401251145001</v>
      </c>
      <c r="G496" s="13">
        <f>floor(LOG('Prestige Patterns'!$B$6^(E495) - (D495*(1-'Prestige Patterns'!$B$6)/'Prestige Patterns'!$B$5),'Prestige Patterns'!$B$6)-E495,1)</f>
        <v>3</v>
      </c>
      <c r="H496" s="12">
        <f t="shared" si="3"/>
        <v>35706</v>
      </c>
      <c r="I496" s="11">
        <f>1+H496*'Prestige Patterns'!$B$25</f>
        <v>358.06</v>
      </c>
      <c r="J496" s="12">
        <f>floor((K496/'Prestige Patterns'!$B$22)^'Prestige Patterns'!$B$23,1)-H495</f>
        <v>9276</v>
      </c>
      <c r="K496" s="8">
        <f>K495+N495*'Prestige Patterns'!$B$20</f>
        <v>202340692848192</v>
      </c>
      <c r="L496" s="8">
        <f>if(J495&gt;='Prestige Patterns'!$B$28,if(J495/(H495+1)&gt;('Prestige Patterns'!$B$27+1),L495+1,L495),L495)</f>
        <v>8</v>
      </c>
      <c r="N496" s="12">
        <f t="shared" si="1"/>
        <v>263286502195</v>
      </c>
      <c r="O496" s="9">
        <f>'Prestige Patterns'!$B$4*E496</f>
        <v>11220</v>
      </c>
      <c r="P496" s="12">
        <f t="shared" si="4"/>
        <v>65536</v>
      </c>
      <c r="Q496" s="11"/>
      <c r="R496" s="11"/>
      <c r="S496" s="9">
        <v>495.0</v>
      </c>
      <c r="T496" s="11"/>
    </row>
    <row r="497" ht="15.75" customHeight="1">
      <c r="A497" s="7"/>
      <c r="B497" s="7"/>
      <c r="C497" s="7">
        <f>(S497*'Prestige Patterns'!$B$20)/60</f>
        <v>248</v>
      </c>
      <c r="D497" s="8">
        <f>if(L496=L497,N496*'Prestige Patterns'!$B$20+D496-F497,0)</f>
        <v>8091395659194</v>
      </c>
      <c r="E497" s="9">
        <f t="shared" si="2"/>
        <v>564</v>
      </c>
      <c r="F497" s="10">
        <f>'Prestige Patterns'!$B$5*('Prestige Patterns'!$B$6^E496-'Prestige Patterns'!$B$6^(E496+G497))/(1-'Prestige Patterns'!$B$6)</f>
        <v>9725498356732</v>
      </c>
      <c r="G497" s="13">
        <f>floor(LOG('Prestige Patterns'!$B$6^(E496) - (D496*(1-'Prestige Patterns'!$B$6)/'Prestige Patterns'!$B$5),'Prestige Patterns'!$B$6)-E496,1)</f>
        <v>3</v>
      </c>
      <c r="H497" s="12">
        <f t="shared" si="3"/>
        <v>35706</v>
      </c>
      <c r="I497" s="11">
        <f>1+H497*'Prestige Patterns'!$B$25</f>
        <v>358.06</v>
      </c>
      <c r="J497" s="12">
        <f>floor((K497/'Prestige Patterns'!$B$22)^'Prestige Patterns'!$B$23,1)-H496</f>
        <v>10145</v>
      </c>
      <c r="K497" s="8">
        <f>K496+N496*'Prestige Patterns'!$B$20</f>
        <v>210239287914048</v>
      </c>
      <c r="L497" s="8">
        <f>if(J496&gt;='Prestige Patterns'!$B$28,if(J496/(H496+1)&gt;('Prestige Patterns'!$B$27+1),L496+1,L496),L496)</f>
        <v>8</v>
      </c>
      <c r="N497" s="12">
        <f t="shared" si="1"/>
        <v>264694451405</v>
      </c>
      <c r="O497" s="9">
        <f>'Prestige Patterns'!$B$4*E497</f>
        <v>11280</v>
      </c>
      <c r="P497" s="12">
        <f t="shared" si="4"/>
        <v>65536</v>
      </c>
      <c r="Q497" s="11"/>
      <c r="R497" s="11"/>
      <c r="S497" s="9">
        <v>496.0</v>
      </c>
      <c r="T497" s="11"/>
    </row>
    <row r="498" ht="15.75" customHeight="1">
      <c r="A498" s="7"/>
      <c r="B498" s="7"/>
      <c r="C498" s="7">
        <f>(S498*'Prestige Patterns'!$B$20)/60</f>
        <v>248.5</v>
      </c>
      <c r="D498" s="8">
        <f>if(L497=L498,N497*'Prestige Patterns'!$B$20+D497-F498,0)</f>
        <v>8711092302945</v>
      </c>
      <c r="E498" s="9">
        <f t="shared" si="2"/>
        <v>566</v>
      </c>
      <c r="F498" s="10">
        <f>'Prestige Patterns'!$B$5*('Prestige Patterns'!$B$6^E497-'Prestige Patterns'!$B$6^(E497+G498))/(1-'Prestige Patterns'!$B$6)</f>
        <v>7321136898393</v>
      </c>
      <c r="G498" s="13">
        <f>floor(LOG('Prestige Patterns'!$B$6^(E497) - (D497*(1-'Prestige Patterns'!$B$6)/'Prestige Patterns'!$B$5),'Prestige Patterns'!$B$6)-E497,1)</f>
        <v>2</v>
      </c>
      <c r="H498" s="12">
        <f t="shared" si="3"/>
        <v>35706</v>
      </c>
      <c r="I498" s="11">
        <f>1+H498*'Prestige Patterns'!$B$25</f>
        <v>358.06</v>
      </c>
      <c r="J498" s="12">
        <f>floor((K498/'Prestige Patterns'!$B$22)^'Prestige Patterns'!$B$23,1)-H497</f>
        <v>11003</v>
      </c>
      <c r="K498" s="8">
        <f>K497+N497*'Prestige Patterns'!$B$20</f>
        <v>218180121456192</v>
      </c>
      <c r="L498" s="8">
        <f>if(J497&gt;='Prestige Patterns'!$B$28,if(J497/(H497+1)&gt;('Prestige Patterns'!$B$27+1),L497+1,L497),L497)</f>
        <v>8</v>
      </c>
      <c r="N498" s="12">
        <f t="shared" si="1"/>
        <v>265633084211</v>
      </c>
      <c r="O498" s="9">
        <f>'Prestige Patterns'!$B$4*E498</f>
        <v>11320</v>
      </c>
      <c r="P498" s="12">
        <f t="shared" si="4"/>
        <v>65536</v>
      </c>
      <c r="Q498" s="11"/>
      <c r="R498" s="11"/>
      <c r="S498" s="9">
        <v>497.0</v>
      </c>
      <c r="T498" s="11"/>
    </row>
    <row r="499" ht="15.75" customHeight="1">
      <c r="A499" s="7"/>
      <c r="B499" s="7"/>
      <c r="C499" s="7">
        <f>(S499*'Prestige Patterns'!$B$20)/60</f>
        <v>249</v>
      </c>
      <c r="D499" s="8">
        <f>if(L498=L499,N498*'Prestige Patterns'!$B$20+D498-F499,0)</f>
        <v>8608531398803</v>
      </c>
      <c r="E499" s="9">
        <f t="shared" si="2"/>
        <v>568</v>
      </c>
      <c r="F499" s="10">
        <f>'Prestige Patterns'!$B$5*('Prestige Patterns'!$B$6^E498-'Prestige Patterns'!$B$6^(E498+G499))/(1-'Prestige Patterns'!$B$6)</f>
        <v>8071553430478</v>
      </c>
      <c r="G499" s="13">
        <f>floor(LOG('Prestige Patterns'!$B$6^(E498) - (D498*(1-'Prestige Patterns'!$B$6)/'Prestige Patterns'!$B$5),'Prestige Patterns'!$B$6)-E498,1)</f>
        <v>2</v>
      </c>
      <c r="H499" s="12">
        <f t="shared" si="3"/>
        <v>35706</v>
      </c>
      <c r="I499" s="11">
        <f>1+H499*'Prestige Patterns'!$B$25</f>
        <v>358.06</v>
      </c>
      <c r="J499" s="12">
        <f>floor((K499/'Prestige Patterns'!$B$22)^'Prestige Patterns'!$B$23,1)-H498</f>
        <v>11849</v>
      </c>
      <c r="K499" s="8">
        <f>K498+N498*'Prestige Patterns'!$B$20</f>
        <v>226149113982528</v>
      </c>
      <c r="L499" s="8">
        <f>if(J498&gt;='Prestige Patterns'!$B$28,if(J498/(H498+1)&gt;('Prestige Patterns'!$B$27+1),L498+1,L498),L498)</f>
        <v>8</v>
      </c>
      <c r="N499" s="12">
        <f t="shared" si="1"/>
        <v>266571717018</v>
      </c>
      <c r="O499" s="9">
        <f>'Prestige Patterns'!$B$4*E499</f>
        <v>11360</v>
      </c>
      <c r="P499" s="12">
        <f t="shared" si="4"/>
        <v>65536</v>
      </c>
      <c r="Q499" s="11"/>
      <c r="R499" s="11"/>
      <c r="S499" s="9">
        <v>498.0</v>
      </c>
      <c r="T499" s="11"/>
    </row>
    <row r="500" ht="15.75" customHeight="1">
      <c r="A500" s="7"/>
      <c r="B500" s="7"/>
      <c r="C500" s="7">
        <f>(S500*'Prestige Patterns'!$B$20)/60</f>
        <v>249.5</v>
      </c>
      <c r="D500" s="8">
        <f>if(L499=L500,N499*'Prestige Patterns'!$B$20+D499-F500,0)</f>
        <v>12264762100989</v>
      </c>
      <c r="E500" s="9">
        <f t="shared" si="2"/>
        <v>569</v>
      </c>
      <c r="F500" s="10">
        <f>'Prestige Patterns'!$B$5*('Prestige Patterns'!$B$6^E499-'Prestige Patterns'!$B$6^(E499+G500))/(1-'Prestige Patterns'!$B$6)</f>
        <v>4340920808342</v>
      </c>
      <c r="G500" s="13">
        <f>floor(LOG('Prestige Patterns'!$B$6^(E499) - (D499*(1-'Prestige Patterns'!$B$6)/'Prestige Patterns'!$B$5),'Prestige Patterns'!$B$6)-E499,1)</f>
        <v>1</v>
      </c>
      <c r="H500" s="12">
        <f t="shared" si="3"/>
        <v>35706</v>
      </c>
      <c r="I500" s="11">
        <f>1+H500*'Prestige Patterns'!$B$25</f>
        <v>358.06</v>
      </c>
      <c r="J500" s="12">
        <f>floor((K500/'Prestige Patterns'!$B$22)^'Prestige Patterns'!$B$23,1)-H499</f>
        <v>12682</v>
      </c>
      <c r="K500" s="8">
        <f>K499+N499*'Prestige Patterns'!$B$20</f>
        <v>234146265493056</v>
      </c>
      <c r="L500" s="8">
        <f>if(J499&gt;='Prestige Patterns'!$B$28,if(J499/(H499+1)&gt;('Prestige Patterns'!$B$27+1),L499+1,L499),L499)</f>
        <v>8</v>
      </c>
      <c r="N500" s="12">
        <f t="shared" si="1"/>
        <v>267041033421</v>
      </c>
      <c r="O500" s="9">
        <f>'Prestige Patterns'!$B$4*E500</f>
        <v>11380</v>
      </c>
      <c r="P500" s="12">
        <f t="shared" si="4"/>
        <v>65536</v>
      </c>
      <c r="Q500" s="11"/>
      <c r="R500" s="11"/>
      <c r="S500" s="9">
        <v>499.0</v>
      </c>
      <c r="T500" s="11"/>
    </row>
    <row r="501" ht="15.75" customHeight="1">
      <c r="A501" s="7"/>
      <c r="B501" s="7"/>
      <c r="C501" s="7">
        <f>(S501*'Prestige Patterns'!$B$20)/60</f>
        <v>250</v>
      </c>
      <c r="D501" s="8">
        <f>if(L500=L501,N500*'Prestige Patterns'!$B$20+D500-F501,0)</f>
        <v>10932161063656</v>
      </c>
      <c r="E501" s="9">
        <f t="shared" si="2"/>
        <v>571</v>
      </c>
      <c r="F501" s="10">
        <f>'Prestige Patterns'!$B$5*('Prestige Patterns'!$B$6^E500-'Prestige Patterns'!$B$6^(E500+G501))/(1-'Prestige Patterns'!$B$6)</f>
        <v>9343832039957</v>
      </c>
      <c r="G501" s="13">
        <f>floor(LOG('Prestige Patterns'!$B$6^(E500) - (D500*(1-'Prestige Patterns'!$B$6)/'Prestige Patterns'!$B$5),'Prestige Patterns'!$B$6)-E500,1)</f>
        <v>2</v>
      </c>
      <c r="H501" s="12">
        <f t="shared" si="3"/>
        <v>35706</v>
      </c>
      <c r="I501" s="11">
        <f>1+H501*'Prestige Patterns'!$B$25</f>
        <v>358.06</v>
      </c>
      <c r="J501" s="12">
        <f>floor((K501/'Prestige Patterns'!$B$22)^'Prestige Patterns'!$B$23,1)-H500</f>
        <v>13503</v>
      </c>
      <c r="K501" s="8">
        <f>K500+N500*'Prestige Patterns'!$B$20</f>
        <v>242157496495680</v>
      </c>
      <c r="L501" s="8">
        <f>if(J500&gt;='Prestige Patterns'!$B$28,if(J500/(H500+1)&gt;('Prestige Patterns'!$B$27+1),L500+1,L500),L500)</f>
        <v>8</v>
      </c>
      <c r="N501" s="12">
        <f t="shared" si="1"/>
        <v>267979666227</v>
      </c>
      <c r="O501" s="9">
        <f>'Prestige Patterns'!$B$4*E501</f>
        <v>11420</v>
      </c>
      <c r="P501" s="12">
        <f t="shared" si="4"/>
        <v>65536</v>
      </c>
      <c r="Q501" s="11"/>
      <c r="R501" s="11"/>
      <c r="S501" s="9">
        <v>500.0</v>
      </c>
      <c r="T501" s="11"/>
    </row>
    <row r="502" ht="15.75" customHeight="1">
      <c r="A502" s="7"/>
      <c r="B502" s="7"/>
      <c r="C502" s="7">
        <f>(S502*'Prestige Patterns'!$B$20)/60</f>
        <v>250.5</v>
      </c>
      <c r="D502" s="8">
        <f>if(L501=L502,N501*'Prestige Patterns'!$B$20+D501-F502,0)</f>
        <v>8669976226419</v>
      </c>
      <c r="E502" s="9">
        <f t="shared" si="2"/>
        <v>573</v>
      </c>
      <c r="F502" s="10">
        <f>'Prestige Patterns'!$B$5*('Prestige Patterns'!$B$6^E501-'Prestige Patterns'!$B$6^(E501+G502))/(1-'Prestige Patterns'!$B$6)</f>
        <v>10301574824053</v>
      </c>
      <c r="G502" s="13">
        <f>floor(LOG('Prestige Patterns'!$B$6^(E501) - (D501*(1-'Prestige Patterns'!$B$6)/'Prestige Patterns'!$B$5),'Prestige Patterns'!$B$6)-E501,1)</f>
        <v>2</v>
      </c>
      <c r="H502" s="12">
        <f t="shared" si="3"/>
        <v>35706</v>
      </c>
      <c r="I502" s="11">
        <f>1+H502*'Prestige Patterns'!$B$25</f>
        <v>358.06</v>
      </c>
      <c r="J502" s="12">
        <f>floor((K502/'Prestige Patterns'!$B$22)^'Prestige Patterns'!$B$23,1)-H501</f>
        <v>14313</v>
      </c>
      <c r="K502" s="8">
        <f>K501+N501*'Prestige Patterns'!$B$20</f>
        <v>250196886482496</v>
      </c>
      <c r="L502" s="8">
        <f>if(J501&gt;='Prestige Patterns'!$B$28,if(J501/(H501+1)&gt;('Prestige Patterns'!$B$27+1),L501+1,L501),L501)</f>
        <v>8</v>
      </c>
      <c r="N502" s="12">
        <f t="shared" si="1"/>
        <v>268918299034</v>
      </c>
      <c r="O502" s="9">
        <f>'Prestige Patterns'!$B$4*E502</f>
        <v>11460</v>
      </c>
      <c r="P502" s="12">
        <f t="shared" si="4"/>
        <v>65536</v>
      </c>
      <c r="Q502" s="11"/>
      <c r="R502" s="11"/>
      <c r="S502" s="9">
        <v>501.0</v>
      </c>
      <c r="T502" s="11"/>
    </row>
    <row r="503" ht="15.75" customHeight="1">
      <c r="A503" s="7"/>
      <c r="B503" s="7"/>
      <c r="C503" s="7">
        <f>(S503*'Prestige Patterns'!$B$20)/60</f>
        <v>251</v>
      </c>
      <c r="D503" s="8">
        <f>if(L502=L503,N502*'Prestige Patterns'!$B$20+D502-F503,0)</f>
        <v>11197288005467</v>
      </c>
      <c r="E503" s="9">
        <f t="shared" si="2"/>
        <v>574</v>
      </c>
      <c r="F503" s="10">
        <f>'Prestige Patterns'!$B$5*('Prestige Patterns'!$B$6^E502-'Prestige Patterns'!$B$6^(E502+G503))/(1-'Prestige Patterns'!$B$6)</f>
        <v>5540237191960</v>
      </c>
      <c r="G503" s="13">
        <f>floor(LOG('Prestige Patterns'!$B$6^(E502) - (D502*(1-'Prestige Patterns'!$B$6)/'Prestige Patterns'!$B$5),'Prestige Patterns'!$B$6)-E502,1)</f>
        <v>1</v>
      </c>
      <c r="H503" s="12">
        <f t="shared" si="3"/>
        <v>35706</v>
      </c>
      <c r="I503" s="11">
        <f>1+H503*'Prestige Patterns'!$B$25</f>
        <v>358.06</v>
      </c>
      <c r="J503" s="12">
        <f>floor((K503/'Prestige Patterns'!$B$22)^'Prestige Patterns'!$B$23,1)-H502</f>
        <v>15113</v>
      </c>
      <c r="K503" s="8">
        <f>K502+N502*'Prestige Patterns'!$B$20</f>
        <v>258264435453504</v>
      </c>
      <c r="L503" s="8">
        <f>if(J502&gt;='Prestige Patterns'!$B$28,if(J502/(H502+1)&gt;('Prestige Patterns'!$B$27+1),L502+1,L502),L502)</f>
        <v>8</v>
      </c>
      <c r="N503" s="12">
        <f t="shared" si="1"/>
        <v>269387615437</v>
      </c>
      <c r="O503" s="9">
        <f>'Prestige Patterns'!$B$4*E503</f>
        <v>11480</v>
      </c>
      <c r="P503" s="12">
        <f t="shared" si="4"/>
        <v>65536</v>
      </c>
      <c r="Q503" s="11"/>
      <c r="R503" s="11"/>
      <c r="S503" s="9">
        <v>502.0</v>
      </c>
      <c r="T503" s="11"/>
    </row>
    <row r="504" ht="15.75" customHeight="1">
      <c r="A504" s="7"/>
      <c r="B504" s="7"/>
      <c r="C504" s="7">
        <f>(S504*'Prestige Patterns'!$B$20)/60</f>
        <v>251.5</v>
      </c>
      <c r="D504" s="8">
        <f>if(L503=L504,N503*'Prestige Patterns'!$B$20+D503-F504,0)</f>
        <v>13461667417013</v>
      </c>
      <c r="E504" s="9">
        <f t="shared" si="2"/>
        <v>575</v>
      </c>
      <c r="F504" s="10">
        <f>'Prestige Patterns'!$B$5*('Prestige Patterns'!$B$6^E503-'Prestige Patterns'!$B$6^(E503+G504))/(1-'Prestige Patterns'!$B$6)</f>
        <v>5817249051558</v>
      </c>
      <c r="G504" s="13">
        <f>floor(LOG('Prestige Patterns'!$B$6^(E503) - (D503*(1-'Prestige Patterns'!$B$6)/'Prestige Patterns'!$B$5),'Prestige Patterns'!$B$6)-E503,1)</f>
        <v>1</v>
      </c>
      <c r="H504" s="12">
        <f t="shared" si="3"/>
        <v>35706</v>
      </c>
      <c r="I504" s="11">
        <f>1+H504*'Prestige Patterns'!$B$25</f>
        <v>358.06</v>
      </c>
      <c r="J504" s="12">
        <f>floor((K504/'Prestige Patterns'!$B$22)^'Prestige Patterns'!$B$23,1)-H503</f>
        <v>15902</v>
      </c>
      <c r="K504" s="8">
        <f>K503+N503*'Prestige Patterns'!$B$20</f>
        <v>266346063916608</v>
      </c>
      <c r="L504" s="8">
        <f>if(J503&gt;='Prestige Patterns'!$B$28,if(J503/(H503+1)&gt;('Prestige Patterns'!$B$27+1),L503+1,L503),L503)</f>
        <v>8</v>
      </c>
      <c r="N504" s="12">
        <f t="shared" si="1"/>
        <v>269856931840</v>
      </c>
      <c r="O504" s="9">
        <f>'Prestige Patterns'!$B$4*E504</f>
        <v>11500</v>
      </c>
      <c r="P504" s="12">
        <f t="shared" si="4"/>
        <v>65536</v>
      </c>
      <c r="Q504" s="11"/>
      <c r="R504" s="11"/>
      <c r="S504" s="9">
        <v>503.0</v>
      </c>
      <c r="T504" s="11"/>
    </row>
    <row r="505" ht="15.75" customHeight="1">
      <c r="A505" s="7"/>
      <c r="B505" s="7"/>
      <c r="C505" s="7">
        <f>(S505*'Prestige Patterns'!$B$20)/60</f>
        <v>252</v>
      </c>
      <c r="D505" s="8">
        <f>if(L504=L505,N504*'Prestige Patterns'!$B$20+D504-F505,0)</f>
        <v>9035746788734</v>
      </c>
      <c r="E505" s="9">
        <f t="shared" si="2"/>
        <v>577</v>
      </c>
      <c r="F505" s="10">
        <f>'Prestige Patterns'!$B$5*('Prestige Patterns'!$B$6^E504-'Prestige Patterns'!$B$6^(E504+G505))/(1-'Prestige Patterns'!$B$6)</f>
        <v>12521628583479</v>
      </c>
      <c r="G505" s="13">
        <f>floor(LOG('Prestige Patterns'!$B$6^(E504) - (D504*(1-'Prestige Patterns'!$B$6)/'Prestige Patterns'!$B$5),'Prestige Patterns'!$B$6)-E504,1)</f>
        <v>2</v>
      </c>
      <c r="H505" s="12">
        <f t="shared" si="3"/>
        <v>35706</v>
      </c>
      <c r="I505" s="11">
        <f>1+H505*'Prestige Patterns'!$B$25</f>
        <v>358.06</v>
      </c>
      <c r="J505" s="12">
        <f>floor((K505/'Prestige Patterns'!$B$22)^'Prestige Patterns'!$B$23,1)-H504</f>
        <v>16681</v>
      </c>
      <c r="K505" s="8">
        <f>K504+N504*'Prestige Patterns'!$B$20</f>
        <v>274441771871808</v>
      </c>
      <c r="L505" s="8">
        <f>if(J504&gt;='Prestige Patterns'!$B$28,if(J504/(H504+1)&gt;('Prestige Patterns'!$B$27+1),L504+1,L504),L504)</f>
        <v>8</v>
      </c>
      <c r="N505" s="12">
        <f t="shared" si="1"/>
        <v>270795564646</v>
      </c>
      <c r="O505" s="9">
        <f>'Prestige Patterns'!$B$4*E505</f>
        <v>11540</v>
      </c>
      <c r="P505" s="12">
        <f t="shared" si="4"/>
        <v>65536</v>
      </c>
      <c r="Q505" s="11"/>
      <c r="R505" s="11"/>
      <c r="S505" s="9">
        <v>504.0</v>
      </c>
      <c r="T505" s="11"/>
    </row>
    <row r="506" ht="15.75" customHeight="1">
      <c r="A506" s="7"/>
      <c r="B506" s="7"/>
      <c r="C506" s="7">
        <f>(S506*'Prestige Patterns'!$B$20)/60</f>
        <v>252.5</v>
      </c>
      <c r="D506" s="8">
        <f>if(L505=L506,N505*'Prestige Patterns'!$B$20+D505-F506,0)</f>
        <v>10425420794816</v>
      </c>
      <c r="E506" s="9">
        <f t="shared" si="2"/>
        <v>578</v>
      </c>
      <c r="F506" s="10">
        <f>'Prestige Patterns'!$B$5*('Prestige Patterns'!$B$6^E505-'Prestige Patterns'!$B$6^(E505+G506))/(1-'Prestige Patterns'!$B$6)</f>
        <v>6734192933310</v>
      </c>
      <c r="G506" s="13">
        <f>floor(LOG('Prestige Patterns'!$B$6^(E505) - (D505*(1-'Prestige Patterns'!$B$6)/'Prestige Patterns'!$B$5),'Prestige Patterns'!$B$6)-E505,1)</f>
        <v>1</v>
      </c>
      <c r="H506" s="12">
        <f t="shared" si="3"/>
        <v>35706</v>
      </c>
      <c r="I506" s="11">
        <f>1+H506*'Prestige Patterns'!$B$25</f>
        <v>358.06</v>
      </c>
      <c r="J506" s="12">
        <f>floor((K506/'Prestige Patterns'!$B$22)^'Prestige Patterns'!$B$23,1)-H505</f>
        <v>17450</v>
      </c>
      <c r="K506" s="8">
        <f>K505+N505*'Prestige Patterns'!$B$20</f>
        <v>282565638811200</v>
      </c>
      <c r="L506" s="8">
        <f>if(J505&gt;='Prestige Patterns'!$B$28,if(J505/(H505+1)&gt;('Prestige Patterns'!$B$27+1),L505+1,L505),L505)</f>
        <v>8</v>
      </c>
      <c r="N506" s="12">
        <f t="shared" si="1"/>
        <v>271264881050</v>
      </c>
      <c r="O506" s="9">
        <f>'Prestige Patterns'!$B$4*E506</f>
        <v>11560</v>
      </c>
      <c r="P506" s="12">
        <f t="shared" si="4"/>
        <v>65536</v>
      </c>
      <c r="Q506" s="11"/>
      <c r="R506" s="11"/>
      <c r="S506" s="9">
        <v>505.0</v>
      </c>
      <c r="T506" s="11"/>
    </row>
    <row r="507" ht="15.75" customHeight="1">
      <c r="A507" s="7"/>
      <c r="B507" s="7"/>
      <c r="C507" s="7">
        <f>(S507*'Prestige Patterns'!$B$20)/60</f>
        <v>253</v>
      </c>
      <c r="D507" s="8">
        <f>if(L506=L507,N506*'Prestige Patterns'!$B$20+D506-F507,0)</f>
        <v>11492464646329</v>
      </c>
      <c r="E507" s="9">
        <f t="shared" si="2"/>
        <v>579</v>
      </c>
      <c r="F507" s="10">
        <f>'Prestige Patterns'!$B$5*('Prestige Patterns'!$B$6^E506-'Prestige Patterns'!$B$6^(E506+G507))/(1-'Prestige Patterns'!$B$6)</f>
        <v>7070902579975</v>
      </c>
      <c r="G507" s="13">
        <f>floor(LOG('Prestige Patterns'!$B$6^(E506) - (D506*(1-'Prestige Patterns'!$B$6)/'Prestige Patterns'!$B$5),'Prestige Patterns'!$B$6)-E506,1)</f>
        <v>1</v>
      </c>
      <c r="H507" s="12">
        <f t="shared" si="3"/>
        <v>35706</v>
      </c>
      <c r="I507" s="11">
        <f>1+H507*'Prestige Patterns'!$B$25</f>
        <v>358.06</v>
      </c>
      <c r="J507" s="12">
        <f>floor((K507/'Prestige Patterns'!$B$22)^'Prestige Patterns'!$B$23,1)-H506</f>
        <v>18210</v>
      </c>
      <c r="K507" s="8">
        <f>K506+N506*'Prestige Patterns'!$B$20</f>
        <v>290703585242688</v>
      </c>
      <c r="L507" s="8">
        <f>if(J506&gt;='Prestige Patterns'!$B$28,if(J506/(H506+1)&gt;('Prestige Patterns'!$B$27+1),L506+1,L506),L506)</f>
        <v>8</v>
      </c>
      <c r="N507" s="12">
        <f t="shared" si="1"/>
        <v>271734197453</v>
      </c>
      <c r="O507" s="9">
        <f>'Prestige Patterns'!$B$4*E507</f>
        <v>11580</v>
      </c>
      <c r="P507" s="12">
        <f t="shared" si="4"/>
        <v>65536</v>
      </c>
      <c r="Q507" s="11"/>
      <c r="R507" s="11"/>
      <c r="S507" s="9">
        <v>506.0</v>
      </c>
      <c r="T507" s="11"/>
    </row>
    <row r="508" ht="15.75" customHeight="1">
      <c r="A508" s="7"/>
      <c r="B508" s="7"/>
      <c r="C508" s="7">
        <f>(S508*'Prestige Patterns'!$B$20)/60</f>
        <v>253.5</v>
      </c>
      <c r="D508" s="8">
        <f>if(L507=L508,N507*'Prestige Patterns'!$B$20+D507-F508,0)</f>
        <v>12220042860939</v>
      </c>
      <c r="E508" s="9">
        <f t="shared" si="2"/>
        <v>580</v>
      </c>
      <c r="F508" s="10">
        <f>'Prestige Patterns'!$B$5*('Prestige Patterns'!$B$6^E507-'Prestige Patterns'!$B$6^(E507+G508))/(1-'Prestige Patterns'!$B$6)</f>
        <v>7424447708974</v>
      </c>
      <c r="G508" s="13">
        <f>floor(LOG('Prestige Patterns'!$B$6^(E507) - (D507*(1-'Prestige Patterns'!$B$6)/'Prestige Patterns'!$B$5),'Prestige Patterns'!$B$6)-E507,1)</f>
        <v>1</v>
      </c>
      <c r="H508" s="12">
        <f t="shared" si="3"/>
        <v>35706</v>
      </c>
      <c r="I508" s="11">
        <f>1+H508*'Prestige Patterns'!$B$25</f>
        <v>358.06</v>
      </c>
      <c r="J508" s="12">
        <f>floor((K508/'Prestige Patterns'!$B$22)^'Prestige Patterns'!$B$23,1)-H507</f>
        <v>18961</v>
      </c>
      <c r="K508" s="8">
        <f>K507+N507*'Prestige Patterns'!$B$20</f>
        <v>298855611166272</v>
      </c>
      <c r="L508" s="8">
        <f>if(J507&gt;='Prestige Patterns'!$B$28,if(J507/(H507+1)&gt;('Prestige Patterns'!$B$27+1),L507+1,L507),L507)</f>
        <v>8</v>
      </c>
      <c r="N508" s="12">
        <f t="shared" si="1"/>
        <v>272203513856</v>
      </c>
      <c r="O508" s="9">
        <f>'Prestige Patterns'!$B$4*E508</f>
        <v>11600</v>
      </c>
      <c r="P508" s="12">
        <f t="shared" si="4"/>
        <v>65536</v>
      </c>
      <c r="Q508" s="11"/>
      <c r="R508" s="11"/>
      <c r="S508" s="9">
        <v>507.0</v>
      </c>
      <c r="T508" s="11"/>
    </row>
    <row r="509" ht="15.75" customHeight="1">
      <c r="A509" s="7"/>
      <c r="B509" s="7"/>
      <c r="C509" s="7">
        <f>(S509*'Prestige Patterns'!$B$20)/60</f>
        <v>254</v>
      </c>
      <c r="D509" s="8">
        <f>if(L508=L509,N508*'Prestige Patterns'!$B$20+D508-F509,0)</f>
        <v>12590478182196</v>
      </c>
      <c r="E509" s="9">
        <f t="shared" si="2"/>
        <v>581</v>
      </c>
      <c r="F509" s="10">
        <f>'Prestige Patterns'!$B$5*('Prestige Patterns'!$B$6^E508-'Prestige Patterns'!$B$6^(E508+G509))/(1-'Prestige Patterns'!$B$6)</f>
        <v>7795670094423</v>
      </c>
      <c r="G509" s="13">
        <f>floor(LOG('Prestige Patterns'!$B$6^(E508) - (D508*(1-'Prestige Patterns'!$B$6)/'Prestige Patterns'!$B$5),'Prestige Patterns'!$B$6)-E508,1)</f>
        <v>1</v>
      </c>
      <c r="H509" s="12">
        <f t="shared" si="3"/>
        <v>35706</v>
      </c>
      <c r="I509" s="11">
        <f>1+H509*'Prestige Patterns'!$B$25</f>
        <v>358.06</v>
      </c>
      <c r="J509" s="12">
        <f>floor((K509/'Prestige Patterns'!$B$22)^'Prestige Patterns'!$B$23,1)-H508</f>
        <v>19703</v>
      </c>
      <c r="K509" s="8">
        <f>K508+N508*'Prestige Patterns'!$B$20</f>
        <v>307021716581952</v>
      </c>
      <c r="L509" s="8">
        <f>if(J508&gt;='Prestige Patterns'!$B$28,if(J508/(H508+1)&gt;('Prestige Patterns'!$B$27+1),L508+1,L508),L508)</f>
        <v>8</v>
      </c>
      <c r="N509" s="12">
        <f t="shared" si="1"/>
        <v>272672830259</v>
      </c>
      <c r="O509" s="9">
        <f>'Prestige Patterns'!$B$4*E509</f>
        <v>11620</v>
      </c>
      <c r="P509" s="12">
        <f t="shared" si="4"/>
        <v>65536</v>
      </c>
      <c r="Q509" s="11"/>
      <c r="R509" s="11"/>
      <c r="S509" s="9">
        <v>508.0</v>
      </c>
      <c r="T509" s="11"/>
    </row>
    <row r="510" ht="15.75" customHeight="1">
      <c r="A510" s="7"/>
      <c r="B510" s="7"/>
      <c r="C510" s="7">
        <f>(S510*'Prestige Patterns'!$B$20)/60</f>
        <v>254.5</v>
      </c>
      <c r="D510" s="8">
        <f>if(L509=L510,N509*'Prestige Patterns'!$B$20+D509-F510,0)</f>
        <v>12585209490828</v>
      </c>
      <c r="E510" s="9">
        <f t="shared" si="2"/>
        <v>582</v>
      </c>
      <c r="F510" s="10">
        <f>'Prestige Patterns'!$B$5*('Prestige Patterns'!$B$6^E509-'Prestige Patterns'!$B$6^(E509+G510))/(1-'Prestige Patterns'!$B$6)</f>
        <v>8185453599144</v>
      </c>
      <c r="G510" s="13">
        <f>floor(LOG('Prestige Patterns'!$B$6^(E509) - (D509*(1-'Prestige Patterns'!$B$6)/'Prestige Patterns'!$B$5),'Prestige Patterns'!$B$6)-E509,1)</f>
        <v>1</v>
      </c>
      <c r="H510" s="12">
        <f t="shared" si="3"/>
        <v>35706</v>
      </c>
      <c r="I510" s="11">
        <f>1+H510*'Prestige Patterns'!$B$25</f>
        <v>358.06</v>
      </c>
      <c r="J510" s="12">
        <f>floor((K510/'Prestige Patterns'!$B$22)^'Prestige Patterns'!$B$23,1)-H509</f>
        <v>20436</v>
      </c>
      <c r="K510" s="8">
        <f>K509+N509*'Prestige Patterns'!$B$20</f>
        <v>315201901489728</v>
      </c>
      <c r="L510" s="8">
        <f>if(J509&gt;='Prestige Patterns'!$B$28,if(J509/(H509+1)&gt;('Prestige Patterns'!$B$27+1),L509+1,L509),L509)</f>
        <v>8</v>
      </c>
      <c r="N510" s="12">
        <f t="shared" si="1"/>
        <v>273142146662</v>
      </c>
      <c r="O510" s="9">
        <f>'Prestige Patterns'!$B$4*E510</f>
        <v>11640</v>
      </c>
      <c r="P510" s="12">
        <f t="shared" si="4"/>
        <v>65536</v>
      </c>
      <c r="Q510" s="11"/>
      <c r="R510" s="11"/>
      <c r="S510" s="9">
        <v>509.0</v>
      </c>
      <c r="T510" s="11"/>
    </row>
    <row r="511" ht="15.75" customHeight="1">
      <c r="A511" s="7"/>
      <c r="B511" s="7"/>
      <c r="C511" s="7">
        <f>(S511*'Prestige Patterns'!$B$20)/60</f>
        <v>255</v>
      </c>
      <c r="D511" s="8">
        <f>if(L510=L511,N510*'Prestige Patterns'!$B$20+D510-F511,0)</f>
        <v>12184747611599</v>
      </c>
      <c r="E511" s="9">
        <f t="shared" si="2"/>
        <v>583</v>
      </c>
      <c r="F511" s="10">
        <f>'Prestige Patterns'!$B$5*('Prestige Patterns'!$B$6^E510-'Prestige Patterns'!$B$6^(E510+G511))/(1-'Prestige Patterns'!$B$6)</f>
        <v>8594726279101</v>
      </c>
      <c r="G511" s="13">
        <f>floor(LOG('Prestige Patterns'!$B$6^(E510) - (D510*(1-'Prestige Patterns'!$B$6)/'Prestige Patterns'!$B$5),'Prestige Patterns'!$B$6)-E510,1)</f>
        <v>1</v>
      </c>
      <c r="H511" s="12">
        <f t="shared" si="3"/>
        <v>35706</v>
      </c>
      <c r="I511" s="11">
        <f>1+H511*'Prestige Patterns'!$B$25</f>
        <v>358.06</v>
      </c>
      <c r="J511" s="12">
        <f>floor((K511/'Prestige Patterns'!$B$22)^'Prestige Patterns'!$B$23,1)-H510</f>
        <v>21161</v>
      </c>
      <c r="K511" s="8">
        <f>K510+N510*'Prestige Patterns'!$B$20</f>
        <v>323396165889600</v>
      </c>
      <c r="L511" s="8">
        <f>if(J510&gt;='Prestige Patterns'!$B$28,if(J510/(H510+1)&gt;('Prestige Patterns'!$B$27+1),L510+1,L510),L510)</f>
        <v>8</v>
      </c>
      <c r="N511" s="12">
        <f t="shared" si="1"/>
        <v>273611463066</v>
      </c>
      <c r="O511" s="9">
        <f>'Prestige Patterns'!$B$4*E511</f>
        <v>11660</v>
      </c>
      <c r="P511" s="12">
        <f t="shared" si="4"/>
        <v>65536</v>
      </c>
      <c r="Q511" s="11"/>
      <c r="R511" s="11"/>
      <c r="S511" s="9">
        <v>510.0</v>
      </c>
      <c r="T511" s="11"/>
    </row>
    <row r="512" ht="15.75" customHeight="1">
      <c r="A512" s="7"/>
      <c r="B512" s="7"/>
      <c r="C512" s="7">
        <f>(S512*'Prestige Patterns'!$B$20)/60</f>
        <v>255.5</v>
      </c>
      <c r="D512" s="8">
        <f>if(L511=L512,N511*'Prestige Patterns'!$B$20+D511-F512,0)</f>
        <v>11368628910510</v>
      </c>
      <c r="E512" s="9">
        <f t="shared" si="2"/>
        <v>584</v>
      </c>
      <c r="F512" s="10">
        <f>'Prestige Patterns'!$B$5*('Prestige Patterns'!$B$6^E511-'Prestige Patterns'!$B$6^(E511+G512))/(1-'Prestige Patterns'!$B$6)</f>
        <v>9024462593056</v>
      </c>
      <c r="G512" s="13">
        <f>floor(LOG('Prestige Patterns'!$B$6^(E511) - (D511*(1-'Prestige Patterns'!$B$6)/'Prestige Patterns'!$B$5),'Prestige Patterns'!$B$6)-E511,1)</f>
        <v>1</v>
      </c>
      <c r="H512" s="12">
        <f t="shared" si="3"/>
        <v>35706</v>
      </c>
      <c r="I512" s="11">
        <f>1+H512*'Prestige Patterns'!$B$25</f>
        <v>358.06</v>
      </c>
      <c r="J512" s="12">
        <f>floor((K512/'Prestige Patterns'!$B$22)^'Prestige Patterns'!$B$23,1)-H511</f>
        <v>21879</v>
      </c>
      <c r="K512" s="8">
        <f>K511+N511*'Prestige Patterns'!$B$20</f>
        <v>331604509781568</v>
      </c>
      <c r="L512" s="8">
        <f>if(J511&gt;='Prestige Patterns'!$B$28,if(J511/(H511+1)&gt;('Prestige Patterns'!$B$27+1),L511+1,L511),L511)</f>
        <v>8</v>
      </c>
      <c r="N512" s="12">
        <f t="shared" si="1"/>
        <v>274080779469</v>
      </c>
      <c r="O512" s="9">
        <f>'Prestige Patterns'!$B$4*E512</f>
        <v>11680</v>
      </c>
      <c r="P512" s="12">
        <f t="shared" si="4"/>
        <v>65536</v>
      </c>
      <c r="Q512" s="11"/>
      <c r="R512" s="11"/>
      <c r="S512" s="9">
        <v>511.0</v>
      </c>
      <c r="T512" s="11"/>
    </row>
    <row r="513" ht="15.75" customHeight="1">
      <c r="A513" s="7"/>
      <c r="B513" s="7"/>
      <c r="C513" s="7">
        <f>(S513*'Prestige Patterns'!$B$20)/60</f>
        <v>256</v>
      </c>
      <c r="D513" s="8">
        <f>if(L512=L513,N512*'Prestige Patterns'!$B$20+D512-F513,0)</f>
        <v>10115366571865</v>
      </c>
      <c r="E513" s="9">
        <f t="shared" si="2"/>
        <v>585</v>
      </c>
      <c r="F513" s="10">
        <f>'Prestige Patterns'!$B$5*('Prestige Patterns'!$B$6^E512-'Prestige Patterns'!$B$6^(E512+G513))/(1-'Prestige Patterns'!$B$6)</f>
        <v>9475685722709</v>
      </c>
      <c r="G513" s="13">
        <f>floor(LOG('Prestige Patterns'!$B$6^(E512) - (D512*(1-'Prestige Patterns'!$B$6)/'Prestige Patterns'!$B$5),'Prestige Patterns'!$B$6)-E512,1)</f>
        <v>1</v>
      </c>
      <c r="H513" s="12">
        <f t="shared" si="3"/>
        <v>35706</v>
      </c>
      <c r="I513" s="11">
        <f>1+H513*'Prestige Patterns'!$B$25</f>
        <v>358.06</v>
      </c>
      <c r="J513" s="12">
        <f>floor((K513/'Prestige Patterns'!$B$22)^'Prestige Patterns'!$B$23,1)-H512</f>
        <v>22588</v>
      </c>
      <c r="K513" s="8">
        <f>K512+N512*'Prestige Patterns'!$B$20</f>
        <v>339826933165632</v>
      </c>
      <c r="L513" s="8">
        <f>if(J512&gt;='Prestige Patterns'!$B$28,if(J512/(H512+1)&gt;('Prestige Patterns'!$B$27+1),L512+1,L512),L512)</f>
        <v>8</v>
      </c>
      <c r="N513" s="12">
        <f t="shared" si="1"/>
        <v>274550095872</v>
      </c>
      <c r="O513" s="9">
        <f>'Prestige Patterns'!$B$4*E513</f>
        <v>11700</v>
      </c>
      <c r="P513" s="12">
        <f t="shared" si="4"/>
        <v>65536</v>
      </c>
      <c r="Q513" s="11"/>
      <c r="R513" s="11"/>
      <c r="S513" s="9">
        <v>512.0</v>
      </c>
      <c r="T513" s="11"/>
    </row>
    <row r="514" ht="15.75" customHeight="1">
      <c r="A514" s="7"/>
      <c r="B514" s="7"/>
      <c r="C514" s="7">
        <f>(S514*'Prestige Patterns'!$B$20)/60</f>
        <v>256.5</v>
      </c>
      <c r="D514" s="8">
        <f>if(L513=L514,N513*'Prestige Patterns'!$B$20+D513-F514,0)</f>
        <v>8402399439181</v>
      </c>
      <c r="E514" s="9">
        <f t="shared" si="2"/>
        <v>586</v>
      </c>
      <c r="F514" s="10">
        <f>'Prestige Patterns'!$B$5*('Prestige Patterns'!$B$6^E513-'Prestige Patterns'!$B$6^(E513+G514))/(1-'Prestige Patterns'!$B$6)</f>
        <v>9949470008845</v>
      </c>
      <c r="G514" s="13">
        <f>floor(LOG('Prestige Patterns'!$B$6^(E513) - (D513*(1-'Prestige Patterns'!$B$6)/'Prestige Patterns'!$B$5),'Prestige Patterns'!$B$6)-E513,1)</f>
        <v>1</v>
      </c>
      <c r="H514" s="12">
        <f t="shared" si="3"/>
        <v>35706</v>
      </c>
      <c r="I514" s="11">
        <f>1+H514*'Prestige Patterns'!$B$25</f>
        <v>358.06</v>
      </c>
      <c r="J514" s="12">
        <f>floor((K514/'Prestige Patterns'!$B$22)^'Prestige Patterns'!$B$23,1)-H513</f>
        <v>23290</v>
      </c>
      <c r="K514" s="8">
        <f>K513+N513*'Prestige Patterns'!$B$20</f>
        <v>348063436041792</v>
      </c>
      <c r="L514" s="8">
        <f>if(J513&gt;='Prestige Patterns'!$B$28,if(J513/(H513+1)&gt;('Prestige Patterns'!$B$27+1),L513+1,L513),L513)</f>
        <v>8</v>
      </c>
      <c r="N514" s="12">
        <f t="shared" si="1"/>
        <v>275019412275</v>
      </c>
      <c r="O514" s="9">
        <f>'Prestige Patterns'!$B$4*E514</f>
        <v>11720</v>
      </c>
      <c r="P514" s="12">
        <f t="shared" si="4"/>
        <v>65536</v>
      </c>
      <c r="Q514" s="11"/>
      <c r="R514" s="11"/>
      <c r="S514" s="9">
        <v>513.0</v>
      </c>
      <c r="T514" s="11"/>
    </row>
    <row r="515" ht="15.75" customHeight="1">
      <c r="A515" s="7"/>
      <c r="B515" s="7"/>
      <c r="C515" s="7">
        <f>(S515*'Prestige Patterns'!$B$20)/60</f>
        <v>257</v>
      </c>
      <c r="D515" s="8">
        <f>if(L514=L515,N514*'Prestige Patterns'!$B$20+D514-F515,0)</f>
        <v>16652981807437</v>
      </c>
      <c r="E515" s="9">
        <f t="shared" si="2"/>
        <v>586</v>
      </c>
      <c r="F515" s="10">
        <f>'Prestige Patterns'!$B$5*('Prestige Patterns'!$B$6^E514-'Prestige Patterns'!$B$6^(E514+G515))/(1-'Prestige Patterns'!$B$6)</f>
        <v>0</v>
      </c>
      <c r="G515" s="13">
        <f>floor(LOG('Prestige Patterns'!$B$6^(E514) - (D514*(1-'Prestige Patterns'!$B$6)/'Prestige Patterns'!$B$5),'Prestige Patterns'!$B$6)-E514,1)</f>
        <v>0</v>
      </c>
      <c r="H515" s="12">
        <f t="shared" si="3"/>
        <v>35706</v>
      </c>
      <c r="I515" s="11">
        <f>1+H515*'Prestige Patterns'!$B$25</f>
        <v>358.06</v>
      </c>
      <c r="J515" s="12">
        <f>floor((K515/'Prestige Patterns'!$B$22)^'Prestige Patterns'!$B$23,1)-H514</f>
        <v>23986</v>
      </c>
      <c r="K515" s="8">
        <f>K514+N514*'Prestige Patterns'!$B$20</f>
        <v>356314018410048</v>
      </c>
      <c r="L515" s="8">
        <f>if(J514&gt;='Prestige Patterns'!$B$28,if(J514/(H514+1)&gt;('Prestige Patterns'!$B$27+1),L514+1,L514),L514)</f>
        <v>8</v>
      </c>
      <c r="N515" s="12">
        <f t="shared" si="1"/>
        <v>275019412275</v>
      </c>
      <c r="O515" s="9">
        <f>'Prestige Patterns'!$B$4*E515</f>
        <v>11720</v>
      </c>
      <c r="P515" s="12">
        <f t="shared" si="4"/>
        <v>65536</v>
      </c>
      <c r="Q515" s="11"/>
      <c r="R515" s="11"/>
      <c r="S515" s="9">
        <v>514.0</v>
      </c>
      <c r="T515" s="11"/>
    </row>
    <row r="516" ht="15.75" customHeight="1">
      <c r="A516" s="7"/>
      <c r="B516" s="7"/>
      <c r="C516" s="7">
        <f>(S516*'Prestige Patterns'!$B$20)/60</f>
        <v>257.5</v>
      </c>
      <c r="D516" s="8">
        <f>if(L515=L516,N515*'Prestige Patterns'!$B$20+D515-F516,0)</f>
        <v>14456620666406</v>
      </c>
      <c r="E516" s="9">
        <f t="shared" si="2"/>
        <v>587</v>
      </c>
      <c r="F516" s="10">
        <f>'Prestige Patterns'!$B$5*('Prestige Patterns'!$B$6^E515-'Prestige Patterns'!$B$6^(E515+G516))/(1-'Prestige Patterns'!$B$6)</f>
        <v>10446943509287</v>
      </c>
      <c r="G516" s="13">
        <f>floor(LOG('Prestige Patterns'!$B$6^(E515) - (D515*(1-'Prestige Patterns'!$B$6)/'Prestige Patterns'!$B$5),'Prestige Patterns'!$B$6)-E515,1)</f>
        <v>1</v>
      </c>
      <c r="H516" s="12">
        <f t="shared" si="3"/>
        <v>35706</v>
      </c>
      <c r="I516" s="11">
        <f>1+H516*'Prestige Patterns'!$B$25</f>
        <v>358.06</v>
      </c>
      <c r="J516" s="12">
        <f>floor((K516/'Prestige Patterns'!$B$22)^'Prestige Patterns'!$B$23,1)-H515</f>
        <v>24673</v>
      </c>
      <c r="K516" s="8">
        <f>K515+N515*'Prestige Patterns'!$B$20</f>
        <v>364564600778304</v>
      </c>
      <c r="L516" s="8">
        <f>if(J515&gt;='Prestige Patterns'!$B$28,if(J515/(H515+1)&gt;('Prestige Patterns'!$B$27+1),L515+1,L515),L515)</f>
        <v>8</v>
      </c>
      <c r="N516" s="12">
        <f t="shared" si="1"/>
        <v>275488728678</v>
      </c>
      <c r="O516" s="9">
        <f>'Prestige Patterns'!$B$4*E516</f>
        <v>11740</v>
      </c>
      <c r="P516" s="12">
        <f t="shared" si="4"/>
        <v>65536</v>
      </c>
      <c r="Q516" s="11"/>
      <c r="R516" s="11"/>
      <c r="S516" s="9">
        <v>515.0</v>
      </c>
      <c r="T516" s="11"/>
    </row>
    <row r="517" ht="15.75" customHeight="1">
      <c r="A517" s="7"/>
      <c r="B517" s="7"/>
      <c r="C517" s="7">
        <f>(S517*'Prestige Patterns'!$B$20)/60</f>
        <v>258</v>
      </c>
      <c r="D517" s="8">
        <f>if(L516=L517,N516*'Prestige Patterns'!$B$20+D516-F517,0)</f>
        <v>11751991842007</v>
      </c>
      <c r="E517" s="9">
        <f t="shared" si="2"/>
        <v>588</v>
      </c>
      <c r="F517" s="10">
        <f>'Prestige Patterns'!$B$5*('Prestige Patterns'!$B$6^E516-'Prestige Patterns'!$B$6^(E516+G517))/(1-'Prestige Patterns'!$B$6)</f>
        <v>10969290684751</v>
      </c>
      <c r="G517" s="13">
        <f>floor(LOG('Prestige Patterns'!$B$6^(E516) - (D516*(1-'Prestige Patterns'!$B$6)/'Prestige Patterns'!$B$5),'Prestige Patterns'!$B$6)-E516,1)</f>
        <v>1</v>
      </c>
      <c r="H517" s="12">
        <f t="shared" si="3"/>
        <v>35706</v>
      </c>
      <c r="I517" s="11">
        <f>1+H517*'Prestige Patterns'!$B$25</f>
        <v>358.06</v>
      </c>
      <c r="J517" s="12">
        <f>floor((K517/'Prestige Patterns'!$B$22)^'Prestige Patterns'!$B$23,1)-H516</f>
        <v>25353</v>
      </c>
      <c r="K517" s="8">
        <f>K516+N516*'Prestige Patterns'!$B$20</f>
        <v>372829262638656</v>
      </c>
      <c r="L517" s="8">
        <f>if(J516&gt;='Prestige Patterns'!$B$28,if(J516/(H516+1)&gt;('Prestige Patterns'!$B$27+1),L516+1,L516),L516)</f>
        <v>8</v>
      </c>
      <c r="N517" s="12">
        <f t="shared" si="1"/>
        <v>275958045082</v>
      </c>
      <c r="O517" s="9">
        <f>'Prestige Patterns'!$B$4*E517</f>
        <v>11760</v>
      </c>
      <c r="P517" s="12">
        <f t="shared" si="4"/>
        <v>65536</v>
      </c>
      <c r="Q517" s="11"/>
      <c r="R517" s="11"/>
      <c r="S517" s="9">
        <v>516.0</v>
      </c>
      <c r="T517" s="11"/>
    </row>
    <row r="518" ht="15.75" customHeight="1">
      <c r="A518" s="7"/>
      <c r="B518" s="7"/>
      <c r="C518" s="7">
        <f>(S518*'Prestige Patterns'!$B$20)/60</f>
        <v>258.5</v>
      </c>
      <c r="D518" s="8">
        <f>if(L517=L518,N517*'Prestige Patterns'!$B$20+D517-F518,0)</f>
        <v>8512977975466</v>
      </c>
      <c r="E518" s="9">
        <f t="shared" si="2"/>
        <v>589</v>
      </c>
      <c r="F518" s="10">
        <f>'Prestige Patterns'!$B$5*('Prestige Patterns'!$B$6^E517-'Prestige Patterns'!$B$6^(E517+G518))/(1-'Prestige Patterns'!$B$6)</f>
        <v>11517755218989</v>
      </c>
      <c r="G518" s="13">
        <f>floor(LOG('Prestige Patterns'!$B$6^(E517) - (D517*(1-'Prestige Patterns'!$B$6)/'Prestige Patterns'!$B$5),'Prestige Patterns'!$B$6)-E517,1)</f>
        <v>1</v>
      </c>
      <c r="H518" s="12">
        <f t="shared" si="3"/>
        <v>35706</v>
      </c>
      <c r="I518" s="11">
        <f>1+H518*'Prestige Patterns'!$B$25</f>
        <v>358.06</v>
      </c>
      <c r="J518" s="12">
        <f>floor((K518/'Prestige Patterns'!$B$22)^'Prestige Patterns'!$B$23,1)-H517</f>
        <v>26027</v>
      </c>
      <c r="K518" s="8">
        <f>K517+N517*'Prestige Patterns'!$B$20</f>
        <v>381108003991104</v>
      </c>
      <c r="L518" s="8">
        <f>if(J517&gt;='Prestige Patterns'!$B$28,if(J517/(H517+1)&gt;('Prestige Patterns'!$B$27+1),L517+1,L517),L517)</f>
        <v>8</v>
      </c>
      <c r="N518" s="12">
        <f t="shared" si="1"/>
        <v>276427361485</v>
      </c>
      <c r="O518" s="9">
        <f>'Prestige Patterns'!$B$4*E518</f>
        <v>11780</v>
      </c>
      <c r="P518" s="12">
        <f t="shared" si="4"/>
        <v>65536</v>
      </c>
      <c r="Q518" s="11"/>
      <c r="R518" s="11"/>
      <c r="S518" s="9">
        <v>517.0</v>
      </c>
      <c r="T518" s="11"/>
    </row>
    <row r="519" ht="15.75" customHeight="1">
      <c r="A519" s="7"/>
      <c r="B519" s="7"/>
      <c r="C519" s="7">
        <f>(S519*'Prestige Patterns'!$B$20)/60</f>
        <v>259</v>
      </c>
      <c r="D519" s="8">
        <f>if(L518=L519,N518*'Prestige Patterns'!$B$20+D518-F519,0)</f>
        <v>16805798820010</v>
      </c>
      <c r="E519" s="9">
        <f t="shared" si="2"/>
        <v>589</v>
      </c>
      <c r="F519" s="10">
        <f>'Prestige Patterns'!$B$5*('Prestige Patterns'!$B$6^E518-'Prestige Patterns'!$B$6^(E518+G519))/(1-'Prestige Patterns'!$B$6)</f>
        <v>0</v>
      </c>
      <c r="G519" s="13">
        <f>floor(LOG('Prestige Patterns'!$B$6^(E518) - (D518*(1-'Prestige Patterns'!$B$6)/'Prestige Patterns'!$B$5),'Prestige Patterns'!$B$6)-E518,1)</f>
        <v>0</v>
      </c>
      <c r="H519" s="12">
        <f t="shared" si="3"/>
        <v>35706</v>
      </c>
      <c r="I519" s="11">
        <f>1+H519*'Prestige Patterns'!$B$25</f>
        <v>358.06</v>
      </c>
      <c r="J519" s="12">
        <f>floor((K519/'Prestige Patterns'!$B$22)^'Prestige Patterns'!$B$23,1)-H518</f>
        <v>26695</v>
      </c>
      <c r="K519" s="8">
        <f>K518+N518*'Prestige Patterns'!$B$20</f>
        <v>389400824835648</v>
      </c>
      <c r="L519" s="8">
        <f>if(J518&gt;='Prestige Patterns'!$B$28,if(J518/(H518+1)&gt;('Prestige Patterns'!$B$27+1),L518+1,L518),L518)</f>
        <v>8</v>
      </c>
      <c r="N519" s="12">
        <f t="shared" si="1"/>
        <v>276427361485</v>
      </c>
      <c r="O519" s="9">
        <f>'Prestige Patterns'!$B$4*E519</f>
        <v>11780</v>
      </c>
      <c r="P519" s="12">
        <f t="shared" si="4"/>
        <v>65536</v>
      </c>
      <c r="Q519" s="11"/>
      <c r="R519" s="11"/>
      <c r="S519" s="9">
        <v>518.0</v>
      </c>
      <c r="T519" s="11"/>
    </row>
    <row r="520" ht="15.75" customHeight="1">
      <c r="A520" s="7"/>
      <c r="B520" s="7"/>
      <c r="C520" s="7">
        <f>(S520*'Prestige Patterns'!$B$20)/60</f>
        <v>259.5</v>
      </c>
      <c r="D520" s="8">
        <f>if(L519=L520,N519*'Prestige Patterns'!$B$20+D519-F520,0)</f>
        <v>13004976684616</v>
      </c>
      <c r="E520" s="9">
        <f t="shared" si="2"/>
        <v>590</v>
      </c>
      <c r="F520" s="10">
        <f>'Prestige Patterns'!$B$5*('Prestige Patterns'!$B$6^E519-'Prestige Patterns'!$B$6^(E519+G520))/(1-'Prestige Patterns'!$B$6)</f>
        <v>12093642979938</v>
      </c>
      <c r="G520" s="13">
        <f>floor(LOG('Prestige Patterns'!$B$6^(E519) - (D519*(1-'Prestige Patterns'!$B$6)/'Prestige Patterns'!$B$5),'Prestige Patterns'!$B$6)-E519,1)</f>
        <v>1</v>
      </c>
      <c r="H520" s="12">
        <f t="shared" si="3"/>
        <v>35706</v>
      </c>
      <c r="I520" s="11">
        <f>1+H520*'Prestige Patterns'!$B$25</f>
        <v>358.06</v>
      </c>
      <c r="J520" s="12">
        <f>floor((K520/'Prestige Patterns'!$B$22)^'Prestige Patterns'!$B$23,1)-H519</f>
        <v>27356</v>
      </c>
      <c r="K520" s="8">
        <f>K519+N519*'Prestige Patterns'!$B$20</f>
        <v>397693645680192</v>
      </c>
      <c r="L520" s="8">
        <f>if(J519&gt;='Prestige Patterns'!$B$28,if(J519/(H519+1)&gt;('Prestige Patterns'!$B$27+1),L519+1,L519),L519)</f>
        <v>8</v>
      </c>
      <c r="N520" s="12">
        <f t="shared" si="1"/>
        <v>276896677888</v>
      </c>
      <c r="O520" s="9">
        <f>'Prestige Patterns'!$B$4*E520</f>
        <v>11800</v>
      </c>
      <c r="P520" s="12">
        <f t="shared" si="4"/>
        <v>65536</v>
      </c>
      <c r="Q520" s="11"/>
      <c r="R520" s="11"/>
      <c r="S520" s="9">
        <v>519.0</v>
      </c>
      <c r="T520" s="11"/>
    </row>
    <row r="521" ht="15.75" customHeight="1">
      <c r="A521" s="7"/>
      <c r="B521" s="7"/>
      <c r="C521" s="7">
        <f>(S521*'Prestige Patterns'!$B$20)/60</f>
        <v>260</v>
      </c>
      <c r="D521" s="8">
        <f>if(L520=L521,N520*'Prestige Patterns'!$B$20+D520-F521,0)</f>
        <v>8613551892321</v>
      </c>
      <c r="E521" s="9">
        <f t="shared" si="2"/>
        <v>591</v>
      </c>
      <c r="F521" s="10">
        <f>'Prestige Patterns'!$B$5*('Prestige Patterns'!$B$6^E520-'Prestige Patterns'!$B$6^(E520+G521))/(1-'Prestige Patterns'!$B$6)</f>
        <v>12698325128935</v>
      </c>
      <c r="G521" s="13">
        <f>floor(LOG('Prestige Patterns'!$B$6^(E520) - (D520*(1-'Prestige Patterns'!$B$6)/'Prestige Patterns'!$B$5),'Prestige Patterns'!$B$6)-E520,1)</f>
        <v>1</v>
      </c>
      <c r="H521" s="12">
        <f t="shared" si="3"/>
        <v>35706</v>
      </c>
      <c r="I521" s="11">
        <f>1+H521*'Prestige Patterns'!$B$25</f>
        <v>358.06</v>
      </c>
      <c r="J521" s="12">
        <f>floor((K521/'Prestige Patterns'!$B$22)^'Prestige Patterns'!$B$23,1)-H520</f>
        <v>28012</v>
      </c>
      <c r="K521" s="8">
        <f>K520+N520*'Prestige Patterns'!$B$20</f>
        <v>406000546016832</v>
      </c>
      <c r="L521" s="8">
        <f>if(J520&gt;='Prestige Patterns'!$B$28,if(J520/(H520+1)&gt;('Prestige Patterns'!$B$27+1),L520+1,L520),L520)</f>
        <v>8</v>
      </c>
      <c r="N521" s="12">
        <f t="shared" si="1"/>
        <v>277365994291</v>
      </c>
      <c r="O521" s="9">
        <f>'Prestige Patterns'!$B$4*E521</f>
        <v>11820</v>
      </c>
      <c r="P521" s="12">
        <f t="shared" si="4"/>
        <v>65536</v>
      </c>
      <c r="Q521" s="11"/>
      <c r="R521" s="11"/>
      <c r="S521" s="9">
        <v>520.0</v>
      </c>
      <c r="T521" s="11"/>
    </row>
    <row r="522" ht="15.75" customHeight="1">
      <c r="A522" s="7"/>
      <c r="B522" s="7"/>
      <c r="C522" s="7">
        <f>(S522*'Prestige Patterns'!$B$20)/60</f>
        <v>260.5</v>
      </c>
      <c r="D522" s="8">
        <f>if(L521=L522,N521*'Prestige Patterns'!$B$20+D521-F522,0)</f>
        <v>16934531721057</v>
      </c>
      <c r="E522" s="9">
        <f t="shared" si="2"/>
        <v>591</v>
      </c>
      <c r="F522" s="10">
        <f>'Prestige Patterns'!$B$5*('Prestige Patterns'!$B$6^E521-'Prestige Patterns'!$B$6^(E521+G522))/(1-'Prestige Patterns'!$B$6)</f>
        <v>0</v>
      </c>
      <c r="G522" s="13">
        <f>floor(LOG('Prestige Patterns'!$B$6^(E521) - (D521*(1-'Prestige Patterns'!$B$6)/'Prestige Patterns'!$B$5),'Prestige Patterns'!$B$6)-E521,1)</f>
        <v>0</v>
      </c>
      <c r="H522" s="12">
        <f t="shared" si="3"/>
        <v>35706</v>
      </c>
      <c r="I522" s="11">
        <f>1+H522*'Prestige Patterns'!$B$25</f>
        <v>358.06</v>
      </c>
      <c r="J522" s="12">
        <f>floor((K522/'Prestige Patterns'!$B$22)^'Prestige Patterns'!$B$23,1)-H521</f>
        <v>28661</v>
      </c>
      <c r="K522" s="8">
        <f>K521+N521*'Prestige Patterns'!$B$20</f>
        <v>414321525845568</v>
      </c>
      <c r="L522" s="8">
        <f>if(J521&gt;='Prestige Patterns'!$B$28,if(J521/(H521+1)&gt;('Prestige Patterns'!$B$27+1),L521+1,L521),L521)</f>
        <v>8</v>
      </c>
      <c r="N522" s="12">
        <f t="shared" si="1"/>
        <v>277365994291</v>
      </c>
      <c r="O522" s="9">
        <f>'Prestige Patterns'!$B$4*E522</f>
        <v>11820</v>
      </c>
      <c r="P522" s="12">
        <f t="shared" si="4"/>
        <v>65536</v>
      </c>
      <c r="Q522" s="11"/>
      <c r="R522" s="11"/>
      <c r="S522" s="9">
        <v>521.0</v>
      </c>
      <c r="T522" s="11"/>
    </row>
    <row r="523" ht="15.75" customHeight="1">
      <c r="A523" s="7"/>
      <c r="B523" s="7"/>
      <c r="C523" s="7">
        <f>(S523*'Prestige Patterns'!$B$20)/60</f>
        <v>261</v>
      </c>
      <c r="D523" s="8">
        <f>if(L522=L523,N522*'Prestige Patterns'!$B$20+D522-F523,0)</f>
        <v>11922270164411</v>
      </c>
      <c r="E523" s="9">
        <f t="shared" si="2"/>
        <v>592</v>
      </c>
      <c r="F523" s="10">
        <f>'Prestige Patterns'!$B$5*('Prestige Patterns'!$B$6^E522-'Prestige Patterns'!$B$6^(E522+G523))/(1-'Prestige Patterns'!$B$6)</f>
        <v>13333241385382</v>
      </c>
      <c r="G523" s="13">
        <f>floor(LOG('Prestige Patterns'!$B$6^(E522) - (D522*(1-'Prestige Patterns'!$B$6)/'Prestige Patterns'!$B$5),'Prestige Patterns'!$B$6)-E522,1)</f>
        <v>1</v>
      </c>
      <c r="H523" s="12">
        <f t="shared" si="3"/>
        <v>35706</v>
      </c>
      <c r="I523" s="11">
        <f>1+H523*'Prestige Patterns'!$B$25</f>
        <v>358.06</v>
      </c>
      <c r="J523" s="12">
        <f>floor((K523/'Prestige Patterns'!$B$22)^'Prestige Patterns'!$B$23,1)-H522</f>
        <v>29304</v>
      </c>
      <c r="K523" s="8">
        <f>K522+N522*'Prestige Patterns'!$B$20</f>
        <v>422642505674304</v>
      </c>
      <c r="L523" s="8">
        <f>if(J522&gt;='Prestige Patterns'!$B$28,if(J522/(H522+1)&gt;('Prestige Patterns'!$B$27+1),L522+1,L522),L522)</f>
        <v>8</v>
      </c>
      <c r="N523" s="12">
        <f t="shared" si="1"/>
        <v>277835310694</v>
      </c>
      <c r="O523" s="9">
        <f>'Prestige Patterns'!$B$4*E523</f>
        <v>11840</v>
      </c>
      <c r="P523" s="12">
        <f t="shared" si="4"/>
        <v>65536</v>
      </c>
      <c r="Q523" s="11"/>
      <c r="R523" s="11"/>
      <c r="S523" s="9">
        <v>522.0</v>
      </c>
      <c r="T523" s="11"/>
    </row>
    <row r="524" ht="15.75" customHeight="1">
      <c r="A524" s="7"/>
      <c r="B524" s="7"/>
      <c r="C524" s="7">
        <f>(S524*'Prestige Patterns'!$B$20)/60</f>
        <v>261.5</v>
      </c>
      <c r="D524" s="8">
        <f>if(L523=L524,N523*'Prestige Patterns'!$B$20+D523-F524,0)</f>
        <v>20257329485243</v>
      </c>
      <c r="E524" s="9">
        <f t="shared" si="2"/>
        <v>592</v>
      </c>
      <c r="F524" s="10">
        <f>'Prestige Patterns'!$B$5*('Prestige Patterns'!$B$6^E523-'Prestige Patterns'!$B$6^(E523+G524))/(1-'Prestige Patterns'!$B$6)</f>
        <v>0</v>
      </c>
      <c r="G524" s="13">
        <f>floor(LOG('Prestige Patterns'!$B$6^(E523) - (D523*(1-'Prestige Patterns'!$B$6)/'Prestige Patterns'!$B$5),'Prestige Patterns'!$B$6)-E523,1)</f>
        <v>0</v>
      </c>
      <c r="H524" s="12">
        <f t="shared" si="3"/>
        <v>35706</v>
      </c>
      <c r="I524" s="11">
        <f>1+H524*'Prestige Patterns'!$B$25</f>
        <v>358.06</v>
      </c>
      <c r="J524" s="12">
        <f>floor((K524/'Prestige Patterns'!$B$22)^'Prestige Patterns'!$B$23,1)-H523</f>
        <v>29942</v>
      </c>
      <c r="K524" s="8">
        <f>K523+N523*'Prestige Patterns'!$B$20</f>
        <v>430977564995136</v>
      </c>
      <c r="L524" s="8">
        <f>if(J523&gt;='Prestige Patterns'!$B$28,if(J523/(H523+1)&gt;('Prestige Patterns'!$B$27+1),L523+1,L523),L523)</f>
        <v>8</v>
      </c>
      <c r="N524" s="12">
        <f t="shared" si="1"/>
        <v>277835310694</v>
      </c>
      <c r="O524" s="9">
        <f>'Prestige Patterns'!$B$4*E524</f>
        <v>11840</v>
      </c>
      <c r="P524" s="12">
        <f t="shared" si="4"/>
        <v>65536</v>
      </c>
      <c r="Q524" s="11"/>
      <c r="R524" s="11"/>
      <c r="S524" s="9">
        <v>523.0</v>
      </c>
      <c r="T524" s="11"/>
    </row>
    <row r="525" ht="15.75" customHeight="1">
      <c r="A525" s="7"/>
      <c r="B525" s="7"/>
      <c r="C525" s="7">
        <f>(S525*'Prestige Patterns'!$B$20)/60</f>
        <v>262</v>
      </c>
      <c r="D525" s="8">
        <f>if(L524=L525,N524*'Prestige Patterns'!$B$20+D524-F525,0)</f>
        <v>14592485351424</v>
      </c>
      <c r="E525" s="9">
        <f t="shared" si="2"/>
        <v>593</v>
      </c>
      <c r="F525" s="10">
        <f>'Prestige Patterns'!$B$5*('Prestige Patterns'!$B$6^E524-'Prestige Patterns'!$B$6^(E524+G525))/(1-'Prestige Patterns'!$B$6)</f>
        <v>13999903454651</v>
      </c>
      <c r="G525" s="13">
        <f>floor(LOG('Prestige Patterns'!$B$6^(E524) - (D524*(1-'Prestige Patterns'!$B$6)/'Prestige Patterns'!$B$5),'Prestige Patterns'!$B$6)-E524,1)</f>
        <v>1</v>
      </c>
      <c r="H525" s="12">
        <f t="shared" si="3"/>
        <v>35706</v>
      </c>
      <c r="I525" s="11">
        <f>1+H525*'Prestige Patterns'!$B$25</f>
        <v>358.06</v>
      </c>
      <c r="J525" s="12">
        <f>floor((K525/'Prestige Patterns'!$B$22)^'Prestige Patterns'!$B$23,1)-H524</f>
        <v>30574</v>
      </c>
      <c r="K525" s="8">
        <f>K524+N524*'Prestige Patterns'!$B$20</f>
        <v>439312624315968</v>
      </c>
      <c r="L525" s="8">
        <f>if(J524&gt;='Prestige Patterns'!$B$28,if(J524/(H524+1)&gt;('Prestige Patterns'!$B$27+1),L524+1,L524),L524)</f>
        <v>8</v>
      </c>
      <c r="N525" s="12">
        <f t="shared" si="1"/>
        <v>278304627098</v>
      </c>
      <c r="O525" s="9">
        <f>'Prestige Patterns'!$B$4*E525</f>
        <v>11860</v>
      </c>
      <c r="P525" s="12">
        <f t="shared" si="4"/>
        <v>65536</v>
      </c>
      <c r="Q525" s="11"/>
      <c r="R525" s="11"/>
      <c r="S525" s="9">
        <v>524.0</v>
      </c>
      <c r="T525" s="11"/>
    </row>
    <row r="526" ht="15.75" customHeight="1">
      <c r="A526" s="7"/>
      <c r="B526" s="7"/>
      <c r="C526" s="7">
        <f>(S526*'Prestige Patterns'!$B$20)/60</f>
        <v>262.5</v>
      </c>
      <c r="D526" s="8">
        <f>if(L525=L526,N525*'Prestige Patterns'!$B$20+D525-F526,0)</f>
        <v>22941624164352</v>
      </c>
      <c r="E526" s="9">
        <f t="shared" si="2"/>
        <v>593</v>
      </c>
      <c r="F526" s="10">
        <f>'Prestige Patterns'!$B$5*('Prestige Patterns'!$B$6^E525-'Prestige Patterns'!$B$6^(E525+G526))/(1-'Prestige Patterns'!$B$6)</f>
        <v>0</v>
      </c>
      <c r="G526" s="13">
        <f>floor(LOG('Prestige Patterns'!$B$6^(E525) - (D525*(1-'Prestige Patterns'!$B$6)/'Prestige Patterns'!$B$5),'Prestige Patterns'!$B$6)-E525,1)</f>
        <v>0</v>
      </c>
      <c r="H526" s="12">
        <f t="shared" si="3"/>
        <v>35706</v>
      </c>
      <c r="I526" s="11">
        <f>1+H526*'Prestige Patterns'!$B$25</f>
        <v>358.06</v>
      </c>
      <c r="J526" s="12">
        <f>floor((K526/'Prestige Patterns'!$B$22)^'Prestige Patterns'!$B$23,1)-H525</f>
        <v>31201</v>
      </c>
      <c r="K526" s="8">
        <f>K525+N525*'Prestige Patterns'!$B$20</f>
        <v>447661763128896</v>
      </c>
      <c r="L526" s="8">
        <f>if(J525&gt;='Prestige Patterns'!$B$28,if(J525/(H525+1)&gt;('Prestige Patterns'!$B$27+1),L525+1,L525),L525)</f>
        <v>8</v>
      </c>
      <c r="N526" s="12">
        <f t="shared" si="1"/>
        <v>278304627098</v>
      </c>
      <c r="O526" s="9">
        <f>'Prestige Patterns'!$B$4*E526</f>
        <v>11860</v>
      </c>
      <c r="P526" s="12">
        <f t="shared" si="4"/>
        <v>65536</v>
      </c>
      <c r="Q526" s="11"/>
      <c r="R526" s="11"/>
      <c r="S526" s="9">
        <v>525.0</v>
      </c>
      <c r="T526" s="11"/>
    </row>
    <row r="527" ht="15.75" customHeight="1">
      <c r="A527" s="7"/>
      <c r="B527" s="7"/>
      <c r="C527" s="7">
        <f>(S527*'Prestige Patterns'!$B$20)/60</f>
        <v>263</v>
      </c>
      <c r="D527" s="8">
        <f>if(L526=L527,N526*'Prestige Patterns'!$B$20+D526-F527,0)</f>
        <v>16590864349897</v>
      </c>
      <c r="E527" s="9">
        <f t="shared" si="2"/>
        <v>594</v>
      </c>
      <c r="F527" s="10">
        <f>'Prestige Patterns'!$B$5*('Prestige Patterns'!$B$6^E526-'Prestige Patterns'!$B$6^(E526+G527))/(1-'Prestige Patterns'!$B$6)</f>
        <v>14699898627383</v>
      </c>
      <c r="G527" s="13">
        <f>floor(LOG('Prestige Patterns'!$B$6^(E526) - (D526*(1-'Prestige Patterns'!$B$6)/'Prestige Patterns'!$B$5),'Prestige Patterns'!$B$6)-E526,1)</f>
        <v>1</v>
      </c>
      <c r="H527" s="12">
        <f t="shared" si="3"/>
        <v>35706</v>
      </c>
      <c r="I527" s="11">
        <f>1+H527*'Prestige Patterns'!$B$25</f>
        <v>358.06</v>
      </c>
      <c r="J527" s="12">
        <f>floor((K527/'Prestige Patterns'!$B$22)^'Prestige Patterns'!$B$23,1)-H526</f>
        <v>31822</v>
      </c>
      <c r="K527" s="8">
        <f>K526+N526*'Prestige Patterns'!$B$20</f>
        <v>456010901941824</v>
      </c>
      <c r="L527" s="8">
        <f>if(J526&gt;='Prestige Patterns'!$B$28,if(J526/(H526+1)&gt;('Prestige Patterns'!$B$27+1),L526+1,L526),L526)</f>
        <v>8</v>
      </c>
      <c r="N527" s="12">
        <f t="shared" si="1"/>
        <v>278773943501</v>
      </c>
      <c r="O527" s="9">
        <f>'Prestige Patterns'!$B$4*E527</f>
        <v>11880</v>
      </c>
      <c r="P527" s="12">
        <f t="shared" si="4"/>
        <v>65536</v>
      </c>
      <c r="Q527" s="11"/>
      <c r="R527" s="11"/>
      <c r="S527" s="9">
        <v>526.0</v>
      </c>
      <c r="T527" s="11"/>
    </row>
    <row r="528" ht="15.75" customHeight="1">
      <c r="A528" s="7"/>
      <c r="B528" s="7"/>
      <c r="C528" s="7">
        <f>(S528*'Prestige Patterns'!$B$20)/60</f>
        <v>263.5</v>
      </c>
      <c r="D528" s="8">
        <f>if(L527=L528,N527*'Prestige Patterns'!$B$20+D527-F528,0)</f>
        <v>9519189096168</v>
      </c>
      <c r="E528" s="9">
        <f t="shared" si="2"/>
        <v>595</v>
      </c>
      <c r="F528" s="10">
        <f>'Prestige Patterns'!$B$5*('Prestige Patterns'!$B$6^E527-'Prestige Patterns'!$B$6^(E527+G528))/(1-'Prestige Patterns'!$B$6)</f>
        <v>15434893558753</v>
      </c>
      <c r="G528" s="13">
        <f>floor(LOG('Prestige Patterns'!$B$6^(E527) - (D527*(1-'Prestige Patterns'!$B$6)/'Prestige Patterns'!$B$5),'Prestige Patterns'!$B$6)-E527,1)</f>
        <v>1</v>
      </c>
      <c r="H528" s="12">
        <f t="shared" si="3"/>
        <v>35706</v>
      </c>
      <c r="I528" s="11">
        <f>1+H528*'Prestige Patterns'!$B$25</f>
        <v>358.06</v>
      </c>
      <c r="J528" s="12">
        <f>floor((K528/'Prestige Patterns'!$B$22)^'Prestige Patterns'!$B$23,1)-H527</f>
        <v>32439</v>
      </c>
      <c r="K528" s="8">
        <f>K527+N527*'Prestige Patterns'!$B$20</f>
        <v>464374120246848</v>
      </c>
      <c r="L528" s="8">
        <f>if(J527&gt;='Prestige Patterns'!$B$28,if(J527/(H527+1)&gt;('Prestige Patterns'!$B$27+1),L527+1,L527),L527)</f>
        <v>8</v>
      </c>
      <c r="N528" s="12">
        <f t="shared" si="1"/>
        <v>279243259904</v>
      </c>
      <c r="O528" s="9">
        <f>'Prestige Patterns'!$B$4*E528</f>
        <v>11900</v>
      </c>
      <c r="P528" s="12">
        <f t="shared" si="4"/>
        <v>65536</v>
      </c>
      <c r="Q528" s="11"/>
      <c r="R528" s="11"/>
      <c r="S528" s="9">
        <v>527.0</v>
      </c>
      <c r="T528" s="11"/>
    </row>
    <row r="529" ht="15.75" customHeight="1">
      <c r="A529" s="7"/>
      <c r="B529" s="7"/>
      <c r="C529" s="7">
        <f>(S529*'Prestige Patterns'!$B$20)/60</f>
        <v>264</v>
      </c>
      <c r="D529" s="8">
        <f>if(L528=L529,N528*'Prestige Patterns'!$B$20+D528-F529,0)</f>
        <v>17896486893288</v>
      </c>
      <c r="E529" s="9">
        <f t="shared" si="2"/>
        <v>595</v>
      </c>
      <c r="F529" s="10">
        <f>'Prestige Patterns'!$B$5*('Prestige Patterns'!$B$6^E528-'Prestige Patterns'!$B$6^(E528+G529))/(1-'Prestige Patterns'!$B$6)</f>
        <v>0</v>
      </c>
      <c r="G529" s="13">
        <f>floor(LOG('Prestige Patterns'!$B$6^(E528) - (D528*(1-'Prestige Patterns'!$B$6)/'Prestige Patterns'!$B$5),'Prestige Patterns'!$B$6)-E528,1)</f>
        <v>0</v>
      </c>
      <c r="H529" s="12">
        <f t="shared" si="3"/>
        <v>35706</v>
      </c>
      <c r="I529" s="11">
        <f>1+H529*'Prestige Patterns'!$B$25</f>
        <v>358.06</v>
      </c>
      <c r="J529" s="12">
        <f>floor((K529/'Prestige Patterns'!$B$22)^'Prestige Patterns'!$B$23,1)-H528</f>
        <v>33050</v>
      </c>
      <c r="K529" s="8">
        <f>K528+N528*'Prestige Patterns'!$B$20</f>
        <v>472751418043968</v>
      </c>
      <c r="L529" s="8">
        <f>if(J528&gt;='Prestige Patterns'!$B$28,if(J528/(H528+1)&gt;('Prestige Patterns'!$B$27+1),L528+1,L528),L528)</f>
        <v>8</v>
      </c>
      <c r="N529" s="12">
        <f t="shared" si="1"/>
        <v>279243259904</v>
      </c>
      <c r="O529" s="9">
        <f>'Prestige Patterns'!$B$4*E529</f>
        <v>11900</v>
      </c>
      <c r="P529" s="12">
        <f t="shared" si="4"/>
        <v>65536</v>
      </c>
      <c r="Q529" s="11"/>
      <c r="R529" s="11"/>
      <c r="S529" s="9">
        <v>528.0</v>
      </c>
      <c r="T529" s="11"/>
    </row>
    <row r="530" ht="15.75" customHeight="1">
      <c r="A530" s="7"/>
      <c r="B530" s="7"/>
      <c r="C530" s="7">
        <f>(S530*'Prestige Patterns'!$B$20)/60</f>
        <v>264.5</v>
      </c>
      <c r="D530" s="8">
        <f>if(L529=L530,N529*'Prestige Patterns'!$B$20+D529-F530,0)</f>
        <v>10067146453718</v>
      </c>
      <c r="E530" s="9">
        <f t="shared" si="2"/>
        <v>596</v>
      </c>
      <c r="F530" s="10">
        <f>'Prestige Patterns'!$B$5*('Prestige Patterns'!$B$6^E529-'Prestige Patterns'!$B$6^(E529+G530))/(1-'Prestige Patterns'!$B$6)</f>
        <v>16206638236690</v>
      </c>
      <c r="G530" s="13">
        <f>floor(LOG('Prestige Patterns'!$B$6^(E529) - (D529*(1-'Prestige Patterns'!$B$6)/'Prestige Patterns'!$B$5),'Prestige Patterns'!$B$6)-E529,1)</f>
        <v>1</v>
      </c>
      <c r="H530" s="12">
        <f t="shared" si="3"/>
        <v>35706</v>
      </c>
      <c r="I530" s="11">
        <f>1+H530*'Prestige Patterns'!$B$25</f>
        <v>358.06</v>
      </c>
      <c r="J530" s="12">
        <f>floor((K530/'Prestige Patterns'!$B$22)^'Prestige Patterns'!$B$23,1)-H529</f>
        <v>33657</v>
      </c>
      <c r="K530" s="8">
        <f>K529+N529*'Prestige Patterns'!$B$20</f>
        <v>481128715841088</v>
      </c>
      <c r="L530" s="8">
        <f>if(J529&gt;='Prestige Patterns'!$B$28,if(J529/(H529+1)&gt;('Prestige Patterns'!$B$27+1),L529+1,L529),L529)</f>
        <v>8</v>
      </c>
      <c r="N530" s="12">
        <f t="shared" si="1"/>
        <v>279712576307</v>
      </c>
      <c r="O530" s="9">
        <f>'Prestige Patterns'!$B$4*E530</f>
        <v>11920</v>
      </c>
      <c r="P530" s="12">
        <f t="shared" si="4"/>
        <v>65536</v>
      </c>
      <c r="Q530" s="11"/>
      <c r="R530" s="11"/>
      <c r="S530" s="9">
        <v>529.0</v>
      </c>
      <c r="T530" s="11"/>
    </row>
    <row r="531" ht="15.75" customHeight="1">
      <c r="A531" s="7"/>
      <c r="B531" s="7"/>
      <c r="C531" s="7">
        <f>(S531*'Prestige Patterns'!$B$20)/60</f>
        <v>265</v>
      </c>
      <c r="D531" s="8">
        <f>if(L530=L531,N530*'Prestige Patterns'!$B$20+D530-F531,0)</f>
        <v>18458523742934</v>
      </c>
      <c r="E531" s="9">
        <f t="shared" si="2"/>
        <v>596</v>
      </c>
      <c r="F531" s="10">
        <f>'Prestige Patterns'!$B$5*('Prestige Patterns'!$B$6^E530-'Prestige Patterns'!$B$6^(E530+G531))/(1-'Prestige Patterns'!$B$6)</f>
        <v>0</v>
      </c>
      <c r="G531" s="13">
        <f>floor(LOG('Prestige Patterns'!$B$6^(E530) - (D530*(1-'Prestige Patterns'!$B$6)/'Prestige Patterns'!$B$5),'Prestige Patterns'!$B$6)-E530,1)</f>
        <v>0</v>
      </c>
      <c r="H531" s="12">
        <f t="shared" si="3"/>
        <v>35706</v>
      </c>
      <c r="I531" s="11">
        <f>1+H531*'Prestige Patterns'!$B$25</f>
        <v>358.06</v>
      </c>
      <c r="J531" s="12">
        <f>floor((K531/'Prestige Patterns'!$B$22)^'Prestige Patterns'!$B$23,1)-H530</f>
        <v>34259</v>
      </c>
      <c r="K531" s="8">
        <f>K530+N530*'Prestige Patterns'!$B$20</f>
        <v>489520093130304</v>
      </c>
      <c r="L531" s="8">
        <f>if(J530&gt;='Prestige Patterns'!$B$28,if(J530/(H530+1)&gt;('Prestige Patterns'!$B$27+1),L530+1,L530),L530)</f>
        <v>8</v>
      </c>
      <c r="N531" s="12">
        <f t="shared" si="1"/>
        <v>279712576307</v>
      </c>
      <c r="O531" s="9">
        <f>'Prestige Patterns'!$B$4*E531</f>
        <v>11920</v>
      </c>
      <c r="P531" s="12">
        <f t="shared" si="4"/>
        <v>65536</v>
      </c>
      <c r="Q531" s="11"/>
      <c r="R531" s="11"/>
      <c r="S531" s="9">
        <v>530.0</v>
      </c>
      <c r="T531" s="11"/>
    </row>
    <row r="532" ht="15.75" customHeight="1">
      <c r="A532" s="7"/>
      <c r="B532" s="7"/>
      <c r="C532" s="7">
        <f>(S532*'Prestige Patterns'!$B$20)/60</f>
        <v>265.5</v>
      </c>
      <c r="D532" s="8">
        <f>if(L531=L532,N531*'Prestige Patterns'!$B$20+D531-F532,0)</f>
        <v>9832930883625</v>
      </c>
      <c r="E532" s="9">
        <f t="shared" si="2"/>
        <v>597</v>
      </c>
      <c r="F532" s="10">
        <f>'Prestige Patterns'!$B$5*('Prestige Patterns'!$B$6^E531-'Prestige Patterns'!$B$6^(E531+G532))/(1-'Prestige Patterns'!$B$6)</f>
        <v>17016970148525</v>
      </c>
      <c r="G532" s="13">
        <f>floor(LOG('Prestige Patterns'!$B$6^(E531) - (D531*(1-'Prestige Patterns'!$B$6)/'Prestige Patterns'!$B$5),'Prestige Patterns'!$B$6)-E531,1)</f>
        <v>1</v>
      </c>
      <c r="H532" s="12">
        <f t="shared" si="3"/>
        <v>35706</v>
      </c>
      <c r="I532" s="11">
        <f>1+H532*'Prestige Patterns'!$B$25</f>
        <v>358.06</v>
      </c>
      <c r="J532" s="12">
        <f>floor((K532/'Prestige Patterns'!$B$22)^'Prestige Patterns'!$B$23,1)-H531</f>
        <v>34856</v>
      </c>
      <c r="K532" s="8">
        <f>K531+N531*'Prestige Patterns'!$B$20</f>
        <v>497911470419520</v>
      </c>
      <c r="L532" s="8">
        <f>if(J531&gt;='Prestige Patterns'!$B$28,if(J531/(H531+1)&gt;('Prestige Patterns'!$B$27+1),L531+1,L531),L531)</f>
        <v>8</v>
      </c>
      <c r="N532" s="12">
        <f t="shared" si="1"/>
        <v>280181892710</v>
      </c>
      <c r="O532" s="9">
        <f>'Prestige Patterns'!$B$4*E532</f>
        <v>11940</v>
      </c>
      <c r="P532" s="12">
        <f t="shared" si="4"/>
        <v>65536</v>
      </c>
      <c r="Q532" s="11"/>
      <c r="R532" s="11"/>
      <c r="S532" s="9">
        <v>531.0</v>
      </c>
      <c r="T532" s="11"/>
    </row>
    <row r="533" ht="15.75" customHeight="1">
      <c r="A533" s="7"/>
      <c r="B533" s="7"/>
      <c r="C533" s="7">
        <f>(S533*'Prestige Patterns'!$B$20)/60</f>
        <v>266</v>
      </c>
      <c r="D533" s="8">
        <f>if(L532=L533,N532*'Prestige Patterns'!$B$20+D532-F533,0)</f>
        <v>18238387664937</v>
      </c>
      <c r="E533" s="9">
        <f t="shared" si="2"/>
        <v>597</v>
      </c>
      <c r="F533" s="10">
        <f>'Prestige Patterns'!$B$5*('Prestige Patterns'!$B$6^E532-'Prestige Patterns'!$B$6^(E532+G533))/(1-'Prestige Patterns'!$B$6)</f>
        <v>0</v>
      </c>
      <c r="G533" s="13">
        <f>floor(LOG('Prestige Patterns'!$B$6^(E532) - (D532*(1-'Prestige Patterns'!$B$6)/'Prestige Patterns'!$B$5),'Prestige Patterns'!$B$6)-E532,1)</f>
        <v>0</v>
      </c>
      <c r="H533" s="12">
        <f t="shared" si="3"/>
        <v>35706</v>
      </c>
      <c r="I533" s="11">
        <f>1+H533*'Prestige Patterns'!$B$25</f>
        <v>358.06</v>
      </c>
      <c r="J533" s="12">
        <f>floor((K533/'Prestige Patterns'!$B$22)^'Prestige Patterns'!$B$23,1)-H532</f>
        <v>35449</v>
      </c>
      <c r="K533" s="8">
        <f>K532+N532*'Prestige Patterns'!$B$20</f>
        <v>506316927200832</v>
      </c>
      <c r="L533" s="8">
        <f>if(J532&gt;='Prestige Patterns'!$B$28,if(J532/(H532+1)&gt;('Prestige Patterns'!$B$27+1),L532+1,L532),L532)</f>
        <v>8</v>
      </c>
      <c r="N533" s="12">
        <f t="shared" si="1"/>
        <v>280181892710</v>
      </c>
      <c r="O533" s="9">
        <f>'Prestige Patterns'!$B$4*E533</f>
        <v>11940</v>
      </c>
      <c r="P533" s="12">
        <f t="shared" si="4"/>
        <v>65536</v>
      </c>
      <c r="Q533" s="11"/>
      <c r="R533" s="11"/>
      <c r="S533" s="9">
        <v>532.0</v>
      </c>
      <c r="T533" s="11"/>
    </row>
    <row r="534" ht="15.75" customHeight="1">
      <c r="A534" s="7"/>
      <c r="B534" s="7"/>
      <c r="C534" s="7">
        <f>(S534*'Prestige Patterns'!$B$20)/60</f>
        <v>266.5</v>
      </c>
      <c r="D534" s="8">
        <f>if(L533=L534,N533*'Prestige Patterns'!$B$20+D533-F534,0)</f>
        <v>8776025790298</v>
      </c>
      <c r="E534" s="9">
        <f t="shared" si="2"/>
        <v>598</v>
      </c>
      <c r="F534" s="10">
        <f>'Prestige Patterns'!$B$5*('Prestige Patterns'!$B$6^E533-'Prestige Patterns'!$B$6^(E533+G534))/(1-'Prestige Patterns'!$B$6)</f>
        <v>17867818655951</v>
      </c>
      <c r="G534" s="13">
        <f>floor(LOG('Prestige Patterns'!$B$6^(E533) - (D533*(1-'Prestige Patterns'!$B$6)/'Prestige Patterns'!$B$5),'Prestige Patterns'!$B$6)-E533,1)</f>
        <v>1</v>
      </c>
      <c r="H534" s="12">
        <f t="shared" si="3"/>
        <v>35706</v>
      </c>
      <c r="I534" s="11">
        <f>1+H534*'Prestige Patterns'!$B$25</f>
        <v>358.06</v>
      </c>
      <c r="J534" s="12">
        <f>floor((K534/'Prestige Patterns'!$B$22)^'Prestige Patterns'!$B$23,1)-H533</f>
        <v>36038</v>
      </c>
      <c r="K534" s="8">
        <f>K533+N533*'Prestige Patterns'!$B$20</f>
        <v>514722383982144</v>
      </c>
      <c r="L534" s="8">
        <f>if(J533&gt;='Prestige Patterns'!$B$28,if(J533/(H533+1)&gt;('Prestige Patterns'!$B$27+1),L533+1,L533),L533)</f>
        <v>8</v>
      </c>
      <c r="N534" s="12">
        <f t="shared" si="1"/>
        <v>280651209114</v>
      </c>
      <c r="O534" s="9">
        <f>'Prestige Patterns'!$B$4*E534</f>
        <v>11960</v>
      </c>
      <c r="P534" s="12">
        <f t="shared" si="4"/>
        <v>65536</v>
      </c>
      <c r="Q534" s="11"/>
      <c r="R534" s="11"/>
      <c r="S534" s="9">
        <v>533.0</v>
      </c>
      <c r="T534" s="11"/>
    </row>
    <row r="535" ht="15.75" customHeight="1">
      <c r="A535" s="7"/>
      <c r="B535" s="7"/>
      <c r="C535" s="7">
        <f>(S535*'Prestige Patterns'!$B$20)/60</f>
        <v>267</v>
      </c>
      <c r="D535" s="8">
        <f>if(L534=L535,N534*'Prestige Patterns'!$B$20+D534-F535,0)</f>
        <v>17195562063706</v>
      </c>
      <c r="E535" s="9">
        <f t="shared" si="2"/>
        <v>598</v>
      </c>
      <c r="F535" s="10">
        <f>'Prestige Patterns'!$B$5*('Prestige Patterns'!$B$6^E534-'Prestige Patterns'!$B$6^(E534+G535))/(1-'Prestige Patterns'!$B$6)</f>
        <v>0</v>
      </c>
      <c r="G535" s="13">
        <f>floor(LOG('Prestige Patterns'!$B$6^(E534) - (D534*(1-'Prestige Patterns'!$B$6)/'Prestige Patterns'!$B$5),'Prestige Patterns'!$B$6)-E534,1)</f>
        <v>0</v>
      </c>
      <c r="H535" s="12">
        <f t="shared" si="3"/>
        <v>35706</v>
      </c>
      <c r="I535" s="11">
        <f>1+H535*'Prestige Patterns'!$B$25</f>
        <v>358.06</v>
      </c>
      <c r="J535" s="12">
        <f>floor((K535/'Prestige Patterns'!$B$22)^'Prestige Patterns'!$B$23,1)-H534</f>
        <v>36622</v>
      </c>
      <c r="K535" s="8">
        <f>K534+N534*'Prestige Patterns'!$B$20</f>
        <v>523141920255552</v>
      </c>
      <c r="L535" s="8">
        <f>if(J534&gt;='Prestige Patterns'!$B$28,if(J534/(H534+1)&gt;('Prestige Patterns'!$B$27+1),L534+1,L534),L534)</f>
        <v>8</v>
      </c>
      <c r="N535" s="12">
        <f t="shared" si="1"/>
        <v>280651209114</v>
      </c>
      <c r="O535" s="9">
        <f>'Prestige Patterns'!$B$4*E535</f>
        <v>11960</v>
      </c>
      <c r="P535" s="12">
        <f t="shared" si="4"/>
        <v>65536</v>
      </c>
      <c r="Q535" s="11"/>
      <c r="R535" s="11"/>
      <c r="S535" s="9">
        <v>534.0</v>
      </c>
      <c r="T535" s="11"/>
    </row>
    <row r="536" ht="15.75" customHeight="1">
      <c r="A536" s="7"/>
      <c r="B536" s="7"/>
      <c r="C536" s="7">
        <f>(S536*'Prestige Patterns'!$B$20)/60</f>
        <v>267.5</v>
      </c>
      <c r="D536" s="8">
        <f>if(L535=L536,N535*'Prestige Patterns'!$B$20+D535-F536,0)</f>
        <v>25615098337114</v>
      </c>
      <c r="E536" s="9">
        <f t="shared" si="2"/>
        <v>598</v>
      </c>
      <c r="F536" s="10">
        <f>'Prestige Patterns'!$B$5*('Prestige Patterns'!$B$6^E535-'Prestige Patterns'!$B$6^(E535+G536))/(1-'Prestige Patterns'!$B$6)</f>
        <v>0</v>
      </c>
      <c r="G536" s="13">
        <f>floor(LOG('Prestige Patterns'!$B$6^(E535) - (D535*(1-'Prestige Patterns'!$B$6)/'Prestige Patterns'!$B$5),'Prestige Patterns'!$B$6)-E535,1)</f>
        <v>0</v>
      </c>
      <c r="H536" s="12">
        <f t="shared" si="3"/>
        <v>35706</v>
      </c>
      <c r="I536" s="11">
        <f>1+H536*'Prestige Patterns'!$B$25</f>
        <v>358.06</v>
      </c>
      <c r="J536" s="12">
        <f>floor((K536/'Prestige Patterns'!$B$22)^'Prestige Patterns'!$B$23,1)-H535</f>
        <v>37202</v>
      </c>
      <c r="K536" s="8">
        <f>K535+N535*'Prestige Patterns'!$B$20</f>
        <v>531561456528960</v>
      </c>
      <c r="L536" s="8">
        <f>if(J535&gt;='Prestige Patterns'!$B$28,if(J535/(H535+1)&gt;('Prestige Patterns'!$B$27+1),L535+1,L535),L535)</f>
        <v>8</v>
      </c>
      <c r="N536" s="12">
        <f t="shared" si="1"/>
        <v>280651209114</v>
      </c>
      <c r="O536" s="9">
        <f>'Prestige Patterns'!$B$4*E536</f>
        <v>11960</v>
      </c>
      <c r="P536" s="12">
        <f t="shared" si="4"/>
        <v>65536</v>
      </c>
      <c r="Q536" s="11"/>
      <c r="R536" s="11"/>
      <c r="S536" s="9">
        <v>535.0</v>
      </c>
      <c r="T536" s="11"/>
    </row>
    <row r="537" ht="15.75" customHeight="1">
      <c r="A537" s="7"/>
      <c r="B537" s="7"/>
      <c r="C537" s="7">
        <f>(S537*'Prestige Patterns'!$B$20)/60</f>
        <v>268</v>
      </c>
      <c r="D537" s="8">
        <f>if(L536=L537,N536*'Prestige Patterns'!$B$20+D536-F537,0)</f>
        <v>15273425021774</v>
      </c>
      <c r="E537" s="9">
        <f t="shared" si="2"/>
        <v>599</v>
      </c>
      <c r="F537" s="10">
        <f>'Prestige Patterns'!$B$5*('Prestige Patterns'!$B$6^E536-'Prestige Patterns'!$B$6^(E536+G537))/(1-'Prestige Patterns'!$B$6)</f>
        <v>18761209588749</v>
      </c>
      <c r="G537" s="13">
        <f>floor(LOG('Prestige Patterns'!$B$6^(E536) - (D536*(1-'Prestige Patterns'!$B$6)/'Prestige Patterns'!$B$5),'Prestige Patterns'!$B$6)-E536,1)</f>
        <v>1</v>
      </c>
      <c r="H537" s="12">
        <f t="shared" si="3"/>
        <v>35706</v>
      </c>
      <c r="I537" s="11">
        <f>1+H537*'Prestige Patterns'!$B$25</f>
        <v>358.06</v>
      </c>
      <c r="J537" s="12">
        <f>floor((K537/'Prestige Patterns'!$B$22)^'Prestige Patterns'!$B$23,1)-H536</f>
        <v>37777</v>
      </c>
      <c r="K537" s="8">
        <f>K536+N536*'Prestige Patterns'!$B$20</f>
        <v>539980992802368</v>
      </c>
      <c r="L537" s="8">
        <f>if(J536&gt;='Prestige Patterns'!$B$28,if(J536/(H536+1)&gt;('Prestige Patterns'!$B$27+1),L536+1,L536),L536)</f>
        <v>8</v>
      </c>
      <c r="N537" s="12">
        <f t="shared" si="1"/>
        <v>281120525517</v>
      </c>
      <c r="O537" s="9">
        <f>'Prestige Patterns'!$B$4*E537</f>
        <v>11980</v>
      </c>
      <c r="P537" s="12">
        <f t="shared" si="4"/>
        <v>65536</v>
      </c>
      <c r="Q537" s="11"/>
      <c r="R537" s="11"/>
      <c r="S537" s="9">
        <v>536.0</v>
      </c>
      <c r="T537" s="11"/>
    </row>
    <row r="538" ht="15.75" customHeight="1">
      <c r="A538" s="7"/>
      <c r="B538" s="7"/>
      <c r="C538" s="7">
        <f>(S538*'Prestige Patterns'!$B$20)/60</f>
        <v>268.5</v>
      </c>
      <c r="D538" s="8">
        <f>if(L537=L538,N537*'Prestige Patterns'!$B$20+D537-F538,0)</f>
        <v>23707040787278</v>
      </c>
      <c r="E538" s="9">
        <f t="shared" si="2"/>
        <v>599</v>
      </c>
      <c r="F538" s="10">
        <f>'Prestige Patterns'!$B$5*('Prestige Patterns'!$B$6^E537-'Prestige Patterns'!$B$6^(E537+G538))/(1-'Prestige Patterns'!$B$6)</f>
        <v>0</v>
      </c>
      <c r="G538" s="13">
        <f>floor(LOG('Prestige Patterns'!$B$6^(E537) - (D537*(1-'Prestige Patterns'!$B$6)/'Prestige Patterns'!$B$5),'Prestige Patterns'!$B$6)-E537,1)</f>
        <v>0</v>
      </c>
      <c r="H538" s="12">
        <f t="shared" si="3"/>
        <v>35706</v>
      </c>
      <c r="I538" s="11">
        <f>1+H538*'Prestige Patterns'!$B$25</f>
        <v>358.06</v>
      </c>
      <c r="J538" s="12">
        <f>floor((K538/'Prestige Patterns'!$B$22)^'Prestige Patterns'!$B$23,1)-H537</f>
        <v>38349</v>
      </c>
      <c r="K538" s="8">
        <f>K537+N537*'Prestige Patterns'!$B$20</f>
        <v>548414608567872</v>
      </c>
      <c r="L538" s="8">
        <f>if(J537&gt;='Prestige Patterns'!$B$28,if(J537/(H537+1)&gt;('Prestige Patterns'!$B$27+1),L537+1,L537),L537)</f>
        <v>8</v>
      </c>
      <c r="N538" s="12">
        <f t="shared" si="1"/>
        <v>281120525517</v>
      </c>
      <c r="O538" s="9">
        <f>'Prestige Patterns'!$B$4*E538</f>
        <v>11980</v>
      </c>
      <c r="P538" s="12">
        <f t="shared" si="4"/>
        <v>65536</v>
      </c>
      <c r="Q538" s="11"/>
      <c r="R538" s="11"/>
      <c r="S538" s="9">
        <v>537.0</v>
      </c>
      <c r="T538" s="11"/>
    </row>
    <row r="539" ht="15.75" customHeight="1">
      <c r="A539" s="7"/>
      <c r="B539" s="7"/>
      <c r="C539" s="7">
        <f>(S539*'Prestige Patterns'!$B$20)/60</f>
        <v>269</v>
      </c>
      <c r="D539" s="8">
        <f>if(L538=L539,N538*'Prestige Patterns'!$B$20+D538-F539,0)</f>
        <v>12441386484596</v>
      </c>
      <c r="E539" s="9">
        <f t="shared" si="2"/>
        <v>600</v>
      </c>
      <c r="F539" s="10">
        <f>'Prestige Patterns'!$B$5*('Prestige Patterns'!$B$6^E538-'Prestige Patterns'!$B$6^(E538+G539))/(1-'Prestige Patterns'!$B$6)</f>
        <v>19699270068186</v>
      </c>
      <c r="G539" s="13">
        <f>floor(LOG('Prestige Patterns'!$B$6^(E538) - (D538*(1-'Prestige Patterns'!$B$6)/'Prestige Patterns'!$B$5),'Prestige Patterns'!$B$6)-E538,1)</f>
        <v>1</v>
      </c>
      <c r="H539" s="12">
        <f t="shared" si="3"/>
        <v>35706</v>
      </c>
      <c r="I539" s="11">
        <f>1+H539*'Prestige Patterns'!$B$25</f>
        <v>358.06</v>
      </c>
      <c r="J539" s="12">
        <f>floor((K539/'Prestige Patterns'!$B$22)^'Prestige Patterns'!$B$23,1)-H538</f>
        <v>38916</v>
      </c>
      <c r="K539" s="8">
        <f>K538+N538*'Prestige Patterns'!$B$20</f>
        <v>556848224333376</v>
      </c>
      <c r="L539" s="8">
        <f>if(J538&gt;='Prestige Patterns'!$B$28,if(J538/(H538+1)&gt;('Prestige Patterns'!$B$27+1),L538+1,L538),L538)</f>
        <v>8</v>
      </c>
      <c r="N539" s="12">
        <f t="shared" si="1"/>
        <v>4505437470720</v>
      </c>
      <c r="O539" s="9">
        <f>'Prestige Patterns'!$B$4*E539</f>
        <v>12000</v>
      </c>
      <c r="P539" s="12">
        <f t="shared" si="4"/>
        <v>1048576</v>
      </c>
      <c r="Q539" s="11"/>
      <c r="R539" s="11"/>
      <c r="S539" s="9">
        <v>538.0</v>
      </c>
      <c r="T539" s="11"/>
    </row>
    <row r="540" ht="15.75" customHeight="1">
      <c r="A540" s="7"/>
      <c r="B540" s="7"/>
      <c r="C540" s="7">
        <f>(S540*'Prestige Patterns'!$B$20)/60</f>
        <v>269.5</v>
      </c>
      <c r="D540" s="8">
        <f>if(L539=L540,N539*'Prestige Patterns'!$B$20+D539-F540,0)</f>
        <v>147604510606196</v>
      </c>
      <c r="E540" s="9">
        <f t="shared" si="2"/>
        <v>600</v>
      </c>
      <c r="F540" s="10">
        <f>'Prestige Patterns'!$B$5*('Prestige Patterns'!$B$6^E539-'Prestige Patterns'!$B$6^(E539+G540))/(1-'Prestige Patterns'!$B$6)</f>
        <v>0</v>
      </c>
      <c r="G540" s="13">
        <f>floor(LOG('Prestige Patterns'!$B$6^(E539) - (D539*(1-'Prestige Patterns'!$B$6)/'Prestige Patterns'!$B$5),'Prestige Patterns'!$B$6)-E539,1)</f>
        <v>0</v>
      </c>
      <c r="H540" s="12">
        <f t="shared" si="3"/>
        <v>35706</v>
      </c>
      <c r="I540" s="11">
        <f>1+H540*'Prestige Patterns'!$B$25</f>
        <v>358.06</v>
      </c>
      <c r="J540" s="12">
        <f>floor((K540/'Prestige Patterns'!$B$22)^'Prestige Patterns'!$B$23,1)-H539</f>
        <v>47481</v>
      </c>
      <c r="K540" s="8">
        <f>K539+N539*'Prestige Patterns'!$B$20</f>
        <v>692011348454976</v>
      </c>
      <c r="L540" s="8">
        <f>if(J539&gt;='Prestige Patterns'!$B$28,if(J539/(H539+1)&gt;('Prestige Patterns'!$B$27+1),L539+1,L539),L539)</f>
        <v>8</v>
      </c>
      <c r="N540" s="12">
        <f t="shared" si="1"/>
        <v>4505437470720</v>
      </c>
      <c r="O540" s="9">
        <f>'Prestige Patterns'!$B$4*E540</f>
        <v>12000</v>
      </c>
      <c r="P540" s="12">
        <f t="shared" si="4"/>
        <v>1048576</v>
      </c>
      <c r="Q540" s="11"/>
      <c r="R540" s="11"/>
      <c r="S540" s="9">
        <v>539.0</v>
      </c>
      <c r="T540" s="11"/>
    </row>
    <row r="541" ht="15.75" customHeight="1">
      <c r="A541" s="7"/>
      <c r="B541" s="7"/>
      <c r="C541" s="7">
        <f>(S541*'Prestige Patterns'!$B$20)/60</f>
        <v>270</v>
      </c>
      <c r="D541" s="8">
        <f>if(L540=L541,N540*'Prestige Patterns'!$B$20+D540-F541,0)</f>
        <v>142075281380420</v>
      </c>
      <c r="E541" s="9">
        <f t="shared" si="2"/>
        <v>606</v>
      </c>
      <c r="F541" s="10">
        <f>'Prestige Patterns'!$B$5*('Prestige Patterns'!$B$6^E540-'Prestige Patterns'!$B$6^(E540+G541))/(1-'Prestige Patterns'!$B$6)</f>
        <v>140692353347376</v>
      </c>
      <c r="G541" s="13">
        <f>floor(LOG('Prestige Patterns'!$B$6^(E540) - (D540*(1-'Prestige Patterns'!$B$6)/'Prestige Patterns'!$B$5),'Prestige Patterns'!$B$6)-E540,1)</f>
        <v>6</v>
      </c>
      <c r="H541" s="12">
        <f t="shared" si="3"/>
        <v>35706</v>
      </c>
      <c r="I541" s="11">
        <f>1+H541*'Prestige Patterns'!$B$25</f>
        <v>358.06</v>
      </c>
      <c r="J541" s="12">
        <f>floor((K541/'Prestige Patterns'!$B$22)^'Prestige Patterns'!$B$23,1)-H540</f>
        <v>55243</v>
      </c>
      <c r="K541" s="8">
        <f>K540+N540*'Prestige Patterns'!$B$20</f>
        <v>827174472576576</v>
      </c>
      <c r="L541" s="8">
        <f>if(J540&gt;='Prestige Patterns'!$B$28,if(J540/(H540+1)&gt;('Prestige Patterns'!$B$27+1),L540+1,L540),L540)</f>
        <v>8</v>
      </c>
      <c r="N541" s="12">
        <f t="shared" si="1"/>
        <v>4550491845427</v>
      </c>
      <c r="O541" s="9">
        <f>'Prestige Patterns'!$B$4*E541</f>
        <v>12120</v>
      </c>
      <c r="P541" s="12">
        <f t="shared" si="4"/>
        <v>1048576</v>
      </c>
      <c r="Q541" s="11"/>
      <c r="R541" s="11"/>
      <c r="S541" s="9">
        <v>540.0</v>
      </c>
      <c r="T541" s="11"/>
    </row>
    <row r="542" ht="15.75" customHeight="1">
      <c r="A542" s="7"/>
      <c r="B542" s="7"/>
      <c r="C542" s="7">
        <f>(S542*'Prestige Patterns'!$B$20)/60</f>
        <v>270.5</v>
      </c>
      <c r="D542" s="8">
        <f>if(L541=L542,N541*'Prestige Patterns'!$B$20+D541-F542,0)</f>
        <v>0</v>
      </c>
      <c r="E542" s="9">
        <f t="shared" si="2"/>
        <v>1</v>
      </c>
      <c r="F542" s="10">
        <f>'Prestige Patterns'!$B$5*('Prestige Patterns'!$B$6^E541-'Prestige Patterns'!$B$6^(E541+G542))/(1-'Prestige Patterns'!$B$6)</f>
        <v>119471713696340</v>
      </c>
      <c r="G542" s="13">
        <f>floor(LOG('Prestige Patterns'!$B$6^(E541) - (D541*(1-'Prestige Patterns'!$B$6)/'Prestige Patterns'!$B$5),'Prestige Patterns'!$B$6)-E541,1)</f>
        <v>4</v>
      </c>
      <c r="H542" s="12">
        <f t="shared" si="3"/>
        <v>90949</v>
      </c>
      <c r="I542" s="11">
        <f>1+H542*'Prestige Patterns'!$B$25</f>
        <v>910.49</v>
      </c>
      <c r="J542" s="12">
        <f>floor((K542/'Prestige Patterns'!$B$22)^'Prestige Patterns'!$B$23,1)-H541</f>
        <v>62461</v>
      </c>
      <c r="K542" s="8">
        <f>K541+N541*'Prestige Patterns'!$B$20</f>
        <v>963689227939392</v>
      </c>
      <c r="L542" s="8">
        <f>if(J541&gt;='Prestige Patterns'!$B$28,if(J541/(H541+1)&gt;('Prestige Patterns'!$B$27+1),L541+1,L541),L541)</f>
        <v>9</v>
      </c>
      <c r="N542" s="12">
        <f t="shared" si="1"/>
        <v>19094359245</v>
      </c>
      <c r="O542" s="9">
        <f>'Prestige Patterns'!$B$4*E542</f>
        <v>20</v>
      </c>
      <c r="P542" s="12">
        <f t="shared" si="4"/>
        <v>1048576</v>
      </c>
      <c r="Q542" s="11"/>
      <c r="R542" s="11"/>
      <c r="S542" s="9">
        <v>541.0</v>
      </c>
      <c r="T542" s="11"/>
    </row>
    <row r="543" ht="15.75" customHeight="1">
      <c r="A543" s="7"/>
      <c r="B543" s="7"/>
      <c r="C543" s="7">
        <f>(S543*'Prestige Patterns'!$B$20)/60</f>
        <v>271</v>
      </c>
      <c r="D543" s="8">
        <f>if(L542=L543,N542*'Prestige Patterns'!$B$20+D542-F543,0)</f>
        <v>572830777344</v>
      </c>
      <c r="E543" s="9">
        <f t="shared" si="2"/>
        <v>1</v>
      </c>
      <c r="F543" s="10">
        <f>'Prestige Patterns'!$B$5*('Prestige Patterns'!$B$6^E542-'Prestige Patterns'!$B$6^(E542+G543))/(1-'Prestige Patterns'!$B$6)</f>
        <v>0</v>
      </c>
      <c r="G543" s="13">
        <f>floor(LOG('Prestige Patterns'!$B$6^(E542) - (D542*(1-'Prestige Patterns'!$B$6)/'Prestige Patterns'!$B$5),'Prestige Patterns'!$B$6)-E542,1)</f>
        <v>0</v>
      </c>
      <c r="H543" s="12">
        <f t="shared" si="3"/>
        <v>90949</v>
      </c>
      <c r="I543" s="11">
        <f>1+H543*'Prestige Patterns'!$B$25</f>
        <v>910.49</v>
      </c>
      <c r="J543" s="12">
        <f>floor((K543/'Prestige Patterns'!$B$22)^'Prestige Patterns'!$B$23,1)-H542</f>
        <v>7247</v>
      </c>
      <c r="K543" s="8">
        <f>K542+N542*'Prestige Patterns'!$B$20</f>
        <v>964262058716736</v>
      </c>
      <c r="L543" s="8">
        <f>if(J542&gt;='Prestige Patterns'!$B$28,if(J542/(H542+1)&gt;('Prestige Patterns'!$B$27+1),L542+1,L542),L542)</f>
        <v>9</v>
      </c>
      <c r="N543" s="12">
        <f t="shared" si="1"/>
        <v>19094359245</v>
      </c>
      <c r="O543" s="9">
        <f>'Prestige Patterns'!$B$4*E543</f>
        <v>20</v>
      </c>
      <c r="P543" s="12">
        <f t="shared" si="4"/>
        <v>1048576</v>
      </c>
      <c r="Q543" s="11"/>
      <c r="R543" s="11"/>
      <c r="S543" s="9">
        <v>542.0</v>
      </c>
      <c r="T543" s="11"/>
    </row>
    <row r="544" ht="15.75" customHeight="1">
      <c r="A544" s="7"/>
      <c r="B544" s="7"/>
      <c r="C544" s="7">
        <f>(S544*'Prestige Patterns'!$B$20)/60</f>
        <v>271.5</v>
      </c>
      <c r="D544" s="8">
        <f>if(L543=L544,N543*'Prestige Patterns'!$B$20+D543-F544,0)</f>
        <v>575347526160</v>
      </c>
      <c r="E544" s="9">
        <f t="shared" si="2"/>
        <v>465</v>
      </c>
      <c r="F544" s="10">
        <f>'Prestige Patterns'!$B$5*('Prestige Patterns'!$B$6^E543-'Prestige Patterns'!$B$6^(E543+G544))/(1-'Prestige Patterns'!$B$6)</f>
        <v>570314028528</v>
      </c>
      <c r="G544" s="13">
        <f>floor(LOG('Prestige Patterns'!$B$6^(E543) - (D543*(1-'Prestige Patterns'!$B$6)/'Prestige Patterns'!$B$5),'Prestige Patterns'!$B$6)-E543,1)</f>
        <v>464</v>
      </c>
      <c r="H544" s="12">
        <f t="shared" si="3"/>
        <v>90949</v>
      </c>
      <c r="I544" s="11">
        <f>1+H544*'Prestige Patterns'!$B$25</f>
        <v>910.49</v>
      </c>
      <c r="J544" s="12">
        <f>floor((K544/'Prestige Patterns'!$B$22)^'Prestige Patterns'!$B$23,1)-H543</f>
        <v>7277</v>
      </c>
      <c r="K544" s="8">
        <f>K543+N543*'Prestige Patterns'!$B$20</f>
        <v>964834889494080</v>
      </c>
      <c r="L544" s="8">
        <f>if(J543&gt;='Prestige Patterns'!$B$28,if(J543/(H543+1)&gt;('Prestige Patterns'!$B$27+1),L543+1,L543),L543)</f>
        <v>9</v>
      </c>
      <c r="N544" s="12">
        <f t="shared" si="1"/>
        <v>34683113472</v>
      </c>
      <c r="O544" s="9">
        <f>'Prestige Patterns'!$B$4*E544</f>
        <v>9300</v>
      </c>
      <c r="P544" s="12">
        <f t="shared" si="4"/>
        <v>4096</v>
      </c>
      <c r="Q544" s="11"/>
      <c r="R544" s="11"/>
      <c r="S544" s="9">
        <v>543.0</v>
      </c>
      <c r="T544" s="11"/>
    </row>
    <row r="545" ht="15.75" customHeight="1">
      <c r="A545" s="7"/>
      <c r="B545" s="7"/>
      <c r="C545" s="7">
        <f>(S545*'Prestige Patterns'!$B$20)/60</f>
        <v>272</v>
      </c>
      <c r="D545" s="8">
        <f>if(L544=L545,N544*'Prestige Patterns'!$B$20+D544-F545,0)</f>
        <v>1056972192079</v>
      </c>
      <c r="E545" s="9">
        <f t="shared" si="2"/>
        <v>479</v>
      </c>
      <c r="F545" s="10">
        <f>'Prestige Patterns'!$B$5*('Prestige Patterns'!$B$6^E544-'Prestige Patterns'!$B$6^(E544+G545))/(1-'Prestige Patterns'!$B$6)</f>
        <v>558868738241</v>
      </c>
      <c r="G545" s="13">
        <f>floor(LOG('Prestige Patterns'!$B$6^(E544) - (D544*(1-'Prestige Patterns'!$B$6)/'Prestige Patterns'!$B$5),'Prestige Patterns'!$B$6)-E544,1)</f>
        <v>14</v>
      </c>
      <c r="H545" s="12">
        <f t="shared" si="3"/>
        <v>90949</v>
      </c>
      <c r="I545" s="11">
        <f>1+H545*'Prestige Patterns'!$B$25</f>
        <v>910.49</v>
      </c>
      <c r="J545" s="12">
        <f>floor((K545/'Prestige Patterns'!$B$22)^'Prestige Patterns'!$B$23,1)-H544</f>
        <v>7329</v>
      </c>
      <c r="K545" s="8">
        <f>K544+N544*'Prestige Patterns'!$B$20</f>
        <v>965875382898240</v>
      </c>
      <c r="L545" s="8">
        <f>if(J544&gt;='Prestige Patterns'!$B$28,if(J544/(H544+1)&gt;('Prestige Patterns'!$B$27+1),L544+1,L544),L544)</f>
        <v>9</v>
      </c>
      <c r="N545" s="12">
        <f t="shared" si="1"/>
        <v>35727336243</v>
      </c>
      <c r="O545" s="9">
        <f>'Prestige Patterns'!$B$4*E545</f>
        <v>9580</v>
      </c>
      <c r="P545" s="12">
        <f t="shared" si="4"/>
        <v>4096</v>
      </c>
      <c r="Q545" s="11"/>
      <c r="R545" s="11"/>
      <c r="S545" s="9">
        <v>544.0</v>
      </c>
      <c r="T545" s="11"/>
    </row>
    <row r="546" ht="15.75" customHeight="1">
      <c r="A546" s="7"/>
      <c r="B546" s="7"/>
      <c r="C546" s="7">
        <f>(S546*'Prestige Patterns'!$B$20)/60</f>
        <v>272.5</v>
      </c>
      <c r="D546" s="8">
        <f>if(L545=L546,N545*'Prestige Patterns'!$B$20+D545-F546,0)</f>
        <v>1128732530386</v>
      </c>
      <c r="E546" s="9">
        <f t="shared" si="2"/>
        <v>492</v>
      </c>
      <c r="F546" s="10">
        <f>'Prestige Patterns'!$B$5*('Prestige Patterns'!$B$6^E545-'Prestige Patterns'!$B$6^(E545+G546))/(1-'Prestige Patterns'!$B$6)</f>
        <v>1000059748989</v>
      </c>
      <c r="G546" s="13">
        <f>floor(LOG('Prestige Patterns'!$B$6^(E545) - (D545*(1-'Prestige Patterns'!$B$6)/'Prestige Patterns'!$B$5),'Prestige Patterns'!$B$6)-E545,1)</f>
        <v>13</v>
      </c>
      <c r="H546" s="12">
        <f t="shared" si="3"/>
        <v>90949</v>
      </c>
      <c r="I546" s="11">
        <f>1+H546*'Prestige Patterns'!$B$25</f>
        <v>910.49</v>
      </c>
      <c r="J546" s="12">
        <f>floor((K546/'Prestige Patterns'!$B$22)^'Prestige Patterns'!$B$23,1)-H545</f>
        <v>7384</v>
      </c>
      <c r="K546" s="8">
        <f>K545+N545*'Prestige Patterns'!$B$20</f>
        <v>966947202985536</v>
      </c>
      <c r="L546" s="8">
        <f>if(J545&gt;='Prestige Patterns'!$B$28,if(J545/(H545+1)&gt;('Prestige Patterns'!$B$27+1),L545+1,L545),L545)</f>
        <v>9</v>
      </c>
      <c r="N546" s="12">
        <f t="shared" si="1"/>
        <v>36696971674</v>
      </c>
      <c r="O546" s="9">
        <f>'Prestige Patterns'!$B$4*E546</f>
        <v>9840</v>
      </c>
      <c r="P546" s="12">
        <f t="shared" si="4"/>
        <v>4096</v>
      </c>
      <c r="Q546" s="11"/>
      <c r="R546" s="11"/>
      <c r="S546" s="9">
        <v>545.0</v>
      </c>
      <c r="T546" s="11"/>
    </row>
    <row r="547" ht="15.75" customHeight="1">
      <c r="A547" s="7"/>
      <c r="B547" s="7"/>
      <c r="C547" s="7">
        <f>(S547*'Prestige Patterns'!$B$20)/60</f>
        <v>273</v>
      </c>
      <c r="D547" s="8">
        <f>if(L546=L547,N546*'Prestige Patterns'!$B$20+D546-F547,0)</f>
        <v>1213023250259</v>
      </c>
      <c r="E547" s="9">
        <f t="shared" si="2"/>
        <v>500</v>
      </c>
      <c r="F547" s="10">
        <f>'Prestige Patterns'!$B$5*('Prestige Patterns'!$B$6^E546-'Prestige Patterns'!$B$6^(E546+G547))/(1-'Prestige Patterns'!$B$6)</f>
        <v>1016618430336</v>
      </c>
      <c r="G547" s="13">
        <f>floor(LOG('Prestige Patterns'!$B$6^(E546) - (D546*(1-'Prestige Patterns'!$B$6)/'Prestige Patterns'!$B$5),'Prestige Patterns'!$B$6)-E546,1)</f>
        <v>8</v>
      </c>
      <c r="H547" s="12">
        <f t="shared" si="3"/>
        <v>90949</v>
      </c>
      <c r="I547" s="11">
        <f>1+H547*'Prestige Patterns'!$B$25</f>
        <v>910.49</v>
      </c>
      <c r="J547" s="12">
        <f>floor((K547/'Prestige Patterns'!$B$22)^'Prestige Patterns'!$B$23,1)-H546</f>
        <v>7440</v>
      </c>
      <c r="K547" s="8">
        <f>K546+N546*'Prestige Patterns'!$B$20</f>
        <v>968048112135744</v>
      </c>
      <c r="L547" s="8">
        <f>if(J546&gt;='Prestige Patterns'!$B$28,if(J546/(H546+1)&gt;('Prestige Patterns'!$B$27+1),L546+1,L546),L546)</f>
        <v>9</v>
      </c>
      <c r="N547" s="12">
        <f t="shared" si="1"/>
        <v>596698726400</v>
      </c>
      <c r="O547" s="9">
        <f>'Prestige Patterns'!$B$4*E547</f>
        <v>10000</v>
      </c>
      <c r="P547" s="12">
        <f t="shared" si="4"/>
        <v>65536</v>
      </c>
      <c r="Q547" s="11"/>
      <c r="R547" s="11"/>
      <c r="S547" s="9">
        <v>546.0</v>
      </c>
      <c r="T547" s="11"/>
    </row>
    <row r="548" ht="15.75" customHeight="1">
      <c r="A548" s="7"/>
      <c r="B548" s="7"/>
      <c r="C548" s="7">
        <f>(S548*'Prestige Patterns'!$B$20)/60</f>
        <v>273.5</v>
      </c>
      <c r="D548" s="8">
        <f>if(L547=L548,N547*'Prestige Patterns'!$B$20+D547-F548,0)</f>
        <v>18044091448451</v>
      </c>
      <c r="E548" s="9">
        <f t="shared" si="2"/>
        <v>506</v>
      </c>
      <c r="F548" s="10">
        <f>'Prestige Patterns'!$B$5*('Prestige Patterns'!$B$6^E547-'Prestige Patterns'!$B$6^(E547+G548))/(1-'Prestige Patterns'!$B$6)</f>
        <v>1069893593807</v>
      </c>
      <c r="G548" s="13">
        <f>floor(LOG('Prestige Patterns'!$B$6^(E547) - (D547*(1-'Prestige Patterns'!$B$6)/'Prestige Patterns'!$B$5),'Prestige Patterns'!$B$6)-E547,1)</f>
        <v>6</v>
      </c>
      <c r="H548" s="12">
        <f t="shared" si="3"/>
        <v>90949</v>
      </c>
      <c r="I548" s="11">
        <f>1+H548*'Prestige Patterns'!$B$25</f>
        <v>910.49</v>
      </c>
      <c r="J548" s="12">
        <f>floor((K548/'Prestige Patterns'!$B$22)^'Prestige Patterns'!$B$23,1)-H547</f>
        <v>8345</v>
      </c>
      <c r="K548" s="8">
        <f>K547+N547*'Prestige Patterns'!$B$20</f>
        <v>985949073927744</v>
      </c>
      <c r="L548" s="8">
        <f>if(J547&gt;='Prestige Patterns'!$B$28,if(J547/(H547+1)&gt;('Prestige Patterns'!$B$27+1),L547+1,L547),L547)</f>
        <v>9</v>
      </c>
      <c r="N548" s="12">
        <f t="shared" si="1"/>
        <v>603859111117</v>
      </c>
      <c r="O548" s="9">
        <f>'Prestige Patterns'!$B$4*E548</f>
        <v>10120</v>
      </c>
      <c r="P548" s="12">
        <f t="shared" si="4"/>
        <v>65536</v>
      </c>
      <c r="Q548" s="11"/>
      <c r="R548" s="11"/>
      <c r="S548" s="9">
        <v>547.0</v>
      </c>
      <c r="T548" s="11"/>
    </row>
    <row r="549" ht="15.75" customHeight="1">
      <c r="A549" s="7"/>
      <c r="B549" s="7"/>
      <c r="C549" s="7">
        <f>(S549*'Prestige Patterns'!$B$20)/60</f>
        <v>274</v>
      </c>
      <c r="D549" s="8">
        <f>if(L548=L549,N548*'Prestige Patterns'!$B$20+D548-F549,0)</f>
        <v>18228793770937</v>
      </c>
      <c r="E549" s="9">
        <f t="shared" si="2"/>
        <v>540</v>
      </c>
      <c r="F549" s="10">
        <f>'Prestige Patterns'!$B$5*('Prestige Patterns'!$B$6^E548-'Prestige Patterns'!$B$6^(E548+G549))/(1-'Prestige Patterns'!$B$6)</f>
        <v>17931071011018</v>
      </c>
      <c r="G549" s="13">
        <f>floor(LOG('Prestige Patterns'!$B$6^(E548) - (D548*(1-'Prestige Patterns'!$B$6)/'Prestige Patterns'!$B$5),'Prestige Patterns'!$B$6)-E548,1)</f>
        <v>34</v>
      </c>
      <c r="H549" s="12">
        <f t="shared" si="3"/>
        <v>90949</v>
      </c>
      <c r="I549" s="11">
        <f>1+H549*'Prestige Patterns'!$B$25</f>
        <v>910.49</v>
      </c>
      <c r="J549" s="12">
        <f>floor((K549/'Prestige Patterns'!$B$22)^'Prestige Patterns'!$B$23,1)-H548</f>
        <v>9254</v>
      </c>
      <c r="K549" s="8">
        <f>K548+N548*'Prestige Patterns'!$B$20</f>
        <v>1.00406E+15</v>
      </c>
      <c r="L549" s="8">
        <f>if(J548&gt;='Prestige Patterns'!$B$28,if(J548/(H548+1)&gt;('Prestige Patterns'!$B$27+1),L548+1,L548),L548)</f>
        <v>9</v>
      </c>
      <c r="N549" s="12">
        <f t="shared" si="1"/>
        <v>644434624512</v>
      </c>
      <c r="O549" s="9">
        <f>'Prestige Patterns'!$B$4*E549</f>
        <v>10800</v>
      </c>
      <c r="P549" s="12">
        <f t="shared" si="4"/>
        <v>65536</v>
      </c>
      <c r="Q549" s="11"/>
      <c r="R549" s="11"/>
      <c r="S549" s="9">
        <v>548.0</v>
      </c>
      <c r="T549" s="11"/>
    </row>
    <row r="550" ht="15.75" customHeight="1">
      <c r="A550" s="7"/>
      <c r="B550" s="7"/>
      <c r="C550" s="7">
        <f>(S550*'Prestige Patterns'!$B$20)/60</f>
        <v>274.5</v>
      </c>
      <c r="D550" s="8">
        <f>if(L549=L550,N549*'Prestige Patterns'!$B$20+D549-F550,0)</f>
        <v>19936141290222</v>
      </c>
      <c r="E550" s="9">
        <f t="shared" si="2"/>
        <v>552</v>
      </c>
      <c r="F550" s="10">
        <f>'Prestige Patterns'!$B$5*('Prestige Patterns'!$B$6^E549-'Prestige Patterns'!$B$6^(E549+G550))/(1-'Prestige Patterns'!$B$6)</f>
        <v>17625691216075</v>
      </c>
      <c r="G550" s="13">
        <f>floor(LOG('Prestige Patterns'!$B$6^(E549) - (D549*(1-'Prestige Patterns'!$B$6)/'Prestige Patterns'!$B$5),'Prestige Patterns'!$B$6)-E549,1)</f>
        <v>12</v>
      </c>
      <c r="H550" s="12">
        <f t="shared" si="3"/>
        <v>90949</v>
      </c>
      <c r="I550" s="11">
        <f>1+H550*'Prestige Patterns'!$B$25</f>
        <v>910.49</v>
      </c>
      <c r="J550" s="12">
        <f>floor((K550/'Prestige Patterns'!$B$22)^'Prestige Patterns'!$B$23,1)-H549</f>
        <v>10214</v>
      </c>
      <c r="K550" s="8">
        <f>K549+N549*'Prestige Patterns'!$B$20</f>
        <v>1.0234E+15</v>
      </c>
      <c r="L550" s="8">
        <f>if(J549&gt;='Prestige Patterns'!$B$28,if(J549/(H549+1)&gt;('Prestige Patterns'!$B$27+1),L549+1,L549),L549)</f>
        <v>9</v>
      </c>
      <c r="N550" s="12">
        <f t="shared" si="1"/>
        <v>658755393946</v>
      </c>
      <c r="O550" s="9">
        <f>'Prestige Patterns'!$B$4*E550</f>
        <v>11040</v>
      </c>
      <c r="P550" s="12">
        <f t="shared" si="4"/>
        <v>65536</v>
      </c>
      <c r="Q550" s="11"/>
      <c r="R550" s="11"/>
      <c r="S550" s="9">
        <v>549.0</v>
      </c>
      <c r="T550" s="11"/>
    </row>
    <row r="551" ht="15.75" customHeight="1">
      <c r="A551" s="7"/>
      <c r="B551" s="7"/>
      <c r="C551" s="7">
        <f>(S551*'Prestige Patterns'!$B$20)/60</f>
        <v>275</v>
      </c>
      <c r="D551" s="8">
        <f>if(L550=L551,N550*'Prestige Patterns'!$B$20+D550-F551,0)</f>
        <v>20709198464957</v>
      </c>
      <c r="E551" s="9">
        <f t="shared" si="2"/>
        <v>560</v>
      </c>
      <c r="F551" s="10">
        <f>'Prestige Patterns'!$B$5*('Prestige Patterns'!$B$6^E550-'Prestige Patterns'!$B$6^(E550+G551))/(1-'Prestige Patterns'!$B$6)</f>
        <v>18989604643633</v>
      </c>
      <c r="G551" s="13">
        <f>floor(LOG('Prestige Patterns'!$B$6^(E550) - (D550*(1-'Prestige Patterns'!$B$6)/'Prestige Patterns'!$B$5),'Prestige Patterns'!$B$6)-E550,1)</f>
        <v>8</v>
      </c>
      <c r="H551" s="12">
        <f t="shared" si="3"/>
        <v>90949</v>
      </c>
      <c r="I551" s="11">
        <f>1+H551*'Prestige Patterns'!$B$25</f>
        <v>910.49</v>
      </c>
      <c r="J551" s="12">
        <f>floor((K551/'Prestige Patterns'!$B$22)^'Prestige Patterns'!$B$23,1)-H550</f>
        <v>11186</v>
      </c>
      <c r="K551" s="8">
        <f>K550+N550*'Prestige Patterns'!$B$20</f>
        <v>1.04316E+15</v>
      </c>
      <c r="L551" s="8">
        <f>if(J550&gt;='Prestige Patterns'!$B$28,if(J550/(H550+1)&gt;('Prestige Patterns'!$B$27+1),L550+1,L550),L550)</f>
        <v>9</v>
      </c>
      <c r="N551" s="12">
        <f t="shared" si="1"/>
        <v>668302573568</v>
      </c>
      <c r="O551" s="9">
        <f>'Prestige Patterns'!$B$4*E551</f>
        <v>11200</v>
      </c>
      <c r="P551" s="12">
        <f t="shared" si="4"/>
        <v>65536</v>
      </c>
      <c r="Q551" s="11"/>
      <c r="R551" s="11"/>
      <c r="S551" s="9">
        <v>550.0</v>
      </c>
      <c r="T551" s="11"/>
    </row>
    <row r="552" ht="15.75" customHeight="1">
      <c r="A552" s="7"/>
      <c r="B552" s="7"/>
      <c r="C552" s="7">
        <f>(S552*'Prestige Patterns'!$B$20)/60</f>
        <v>275.5</v>
      </c>
      <c r="D552" s="8">
        <f>if(L551=L552,N551*'Prestige Patterns'!$B$20+D551-F552,0)</f>
        <v>20773534346337</v>
      </c>
      <c r="E552" s="9">
        <f t="shared" si="2"/>
        <v>566</v>
      </c>
      <c r="F552" s="10">
        <f>'Prestige Patterns'!$B$5*('Prestige Patterns'!$B$6^E551-'Prestige Patterns'!$B$6^(E551+G552))/(1-'Prestige Patterns'!$B$6)</f>
        <v>19984741325660</v>
      </c>
      <c r="G552" s="13">
        <f>floor(LOG('Prestige Patterns'!$B$6^(E551) - (D551*(1-'Prestige Patterns'!$B$6)/'Prestige Patterns'!$B$5),'Prestige Patterns'!$B$6)-E551,1)</f>
        <v>6</v>
      </c>
      <c r="H552" s="12">
        <f t="shared" si="3"/>
        <v>90949</v>
      </c>
      <c r="I552" s="11">
        <f>1+H552*'Prestige Patterns'!$B$25</f>
        <v>910.49</v>
      </c>
      <c r="J552" s="12">
        <f>floor((K552/'Prestige Patterns'!$B$22)^'Prestige Patterns'!$B$23,1)-H551</f>
        <v>12163</v>
      </c>
      <c r="K552" s="8">
        <f>K551+N551*'Prestige Patterns'!$B$20</f>
        <v>1.06321E+15</v>
      </c>
      <c r="L552" s="8">
        <f>if(J551&gt;='Prestige Patterns'!$B$28,if(J551/(H551+1)&gt;('Prestige Patterns'!$B$27+1),L551+1,L551),L551)</f>
        <v>9</v>
      </c>
      <c r="N552" s="12">
        <f t="shared" si="1"/>
        <v>675462958285</v>
      </c>
      <c r="O552" s="9">
        <f>'Prestige Patterns'!$B$4*E552</f>
        <v>11320</v>
      </c>
      <c r="P552" s="12">
        <f t="shared" si="4"/>
        <v>65536</v>
      </c>
      <c r="Q552" s="11"/>
      <c r="R552" s="11"/>
      <c r="S552" s="9">
        <v>551.0</v>
      </c>
      <c r="T552" s="11"/>
    </row>
    <row r="553" ht="15.75" customHeight="1">
      <c r="A553" s="7"/>
      <c r="B553" s="7"/>
      <c r="C553" s="7">
        <f>(S553*'Prestige Patterns'!$B$20)/60</f>
        <v>276</v>
      </c>
      <c r="D553" s="8">
        <f>if(L552=L553,N552*'Prestige Patterns'!$B$20+D552-F553,0)</f>
        <v>24066982007301</v>
      </c>
      <c r="E553" s="9">
        <f t="shared" si="2"/>
        <v>570</v>
      </c>
      <c r="F553" s="10">
        <f>'Prestige Patterns'!$B$5*('Prestige Patterns'!$B$6^E552-'Prestige Patterns'!$B$6^(E552+G553))/(1-'Prestige Patterns'!$B$6)</f>
        <v>16970441087580</v>
      </c>
      <c r="G553" s="13">
        <f>floor(LOG('Prestige Patterns'!$B$6^(E552) - (D552*(1-'Prestige Patterns'!$B$6)/'Prestige Patterns'!$B$5),'Prestige Patterns'!$B$6)-E552,1)</f>
        <v>4</v>
      </c>
      <c r="H553" s="12">
        <f t="shared" si="3"/>
        <v>90949</v>
      </c>
      <c r="I553" s="11">
        <f>1+H553*'Prestige Patterns'!$B$25</f>
        <v>910.49</v>
      </c>
      <c r="J553" s="12">
        <f>floor((K553/'Prestige Patterns'!$B$22)^'Prestige Patterns'!$B$23,1)-H552</f>
        <v>13141</v>
      </c>
      <c r="K553" s="8">
        <f>K552+N552*'Prestige Patterns'!$B$20</f>
        <v>1.08347E+15</v>
      </c>
      <c r="L553" s="8">
        <f>if(J552&gt;='Prestige Patterns'!$B$28,if(J552/(H552+1)&gt;('Prestige Patterns'!$B$27+1),L552+1,L552),L552)</f>
        <v>9</v>
      </c>
      <c r="N553" s="12">
        <f t="shared" si="1"/>
        <v>680236548096</v>
      </c>
      <c r="O553" s="9">
        <f>'Prestige Patterns'!$B$4*E553</f>
        <v>11400</v>
      </c>
      <c r="P553" s="12">
        <f t="shared" si="4"/>
        <v>65536</v>
      </c>
      <c r="Q553" s="11"/>
      <c r="R553" s="11"/>
      <c r="S553" s="9">
        <v>552.0</v>
      </c>
      <c r="T553" s="11"/>
    </row>
    <row r="554" ht="15.75" customHeight="1">
      <c r="A554" s="7"/>
      <c r="B554" s="7"/>
      <c r="C554" s="7">
        <f>(S554*'Prestige Patterns'!$B$20)/60</f>
        <v>276.5</v>
      </c>
      <c r="D554" s="8">
        <f>if(L553=L554,N553*'Prestige Patterns'!$B$20+D553-F554,0)</f>
        <v>23846401242971</v>
      </c>
      <c r="E554" s="9">
        <f t="shared" si="2"/>
        <v>574</v>
      </c>
      <c r="F554" s="10">
        <f>'Prestige Patterns'!$B$5*('Prestige Patterns'!$B$6^E553-'Prestige Patterns'!$B$6^(E553+G554))/(1-'Prestige Patterns'!$B$6)</f>
        <v>20627677207210</v>
      </c>
      <c r="G554" s="13">
        <f>floor(LOG('Prestige Patterns'!$B$6^(E553) - (D553*(1-'Prestige Patterns'!$B$6)/'Prestige Patterns'!$B$5),'Prestige Patterns'!$B$6)-E553,1)</f>
        <v>4</v>
      </c>
      <c r="H554" s="12">
        <f t="shared" si="3"/>
        <v>90949</v>
      </c>
      <c r="I554" s="11">
        <f>1+H554*'Prestige Patterns'!$B$25</f>
        <v>910.49</v>
      </c>
      <c r="J554" s="12">
        <f>floor((K554/'Prestige Patterns'!$B$22)^'Prestige Patterns'!$B$23,1)-H553</f>
        <v>14116</v>
      </c>
      <c r="K554" s="8">
        <f>K553+N553*'Prestige Patterns'!$B$20</f>
        <v>1.10388E+15</v>
      </c>
      <c r="L554" s="8">
        <f>if(J553&gt;='Prestige Patterns'!$B$28,if(J553/(H553+1)&gt;('Prestige Patterns'!$B$27+1),L553+1,L553),L553)</f>
        <v>9</v>
      </c>
      <c r="N554" s="12">
        <f t="shared" si="1"/>
        <v>685010137907</v>
      </c>
      <c r="O554" s="9">
        <f>'Prestige Patterns'!$B$4*E554</f>
        <v>11480</v>
      </c>
      <c r="P554" s="12">
        <f t="shared" si="4"/>
        <v>65536</v>
      </c>
      <c r="Q554" s="11"/>
      <c r="R554" s="11"/>
      <c r="S554" s="9">
        <v>553.0</v>
      </c>
      <c r="T554" s="11"/>
    </row>
    <row r="555" ht="15.75" customHeight="1">
      <c r="A555" s="7"/>
      <c r="B555" s="7"/>
      <c r="C555" s="7">
        <f>(S555*'Prestige Patterns'!$B$20)/60</f>
        <v>277</v>
      </c>
      <c r="D555" s="8">
        <f>if(L554=L555,N554*'Prestige Patterns'!$B$20+D554-F555,0)</f>
        <v>26057827745150</v>
      </c>
      <c r="E555" s="9">
        <f t="shared" si="2"/>
        <v>577</v>
      </c>
      <c r="F555" s="10">
        <f>'Prestige Patterns'!$B$5*('Prestige Patterns'!$B$6^E554-'Prestige Patterns'!$B$6^(E554+G555))/(1-'Prestige Patterns'!$B$6)</f>
        <v>18338877635037</v>
      </c>
      <c r="G555" s="13">
        <f>floor(LOG('Prestige Patterns'!$B$6^(E554) - (D554*(1-'Prestige Patterns'!$B$6)/'Prestige Patterns'!$B$5),'Prestige Patterns'!$B$6)-E554,1)</f>
        <v>3</v>
      </c>
      <c r="H555" s="12">
        <f t="shared" si="3"/>
        <v>90949</v>
      </c>
      <c r="I555" s="11">
        <f>1+H555*'Prestige Patterns'!$B$25</f>
        <v>910.49</v>
      </c>
      <c r="J555" s="12">
        <f>floor((K555/'Prestige Patterns'!$B$22)^'Prestige Patterns'!$B$23,1)-H554</f>
        <v>15090</v>
      </c>
      <c r="K555" s="8">
        <f>K554+N554*'Prestige Patterns'!$B$20</f>
        <v>1.12443E+15</v>
      </c>
      <c r="L555" s="8">
        <f>if(J554&gt;='Prestige Patterns'!$B$28,if(J554/(H554+1)&gt;('Prestige Patterns'!$B$27+1),L554+1,L554),L554)</f>
        <v>9</v>
      </c>
      <c r="N555" s="12">
        <f t="shared" si="1"/>
        <v>688590330266</v>
      </c>
      <c r="O555" s="9">
        <f>'Prestige Patterns'!$B$4*E555</f>
        <v>11540</v>
      </c>
      <c r="P555" s="12">
        <f t="shared" si="4"/>
        <v>65536</v>
      </c>
      <c r="Q555" s="11"/>
      <c r="R555" s="11"/>
      <c r="S555" s="9">
        <v>554.0</v>
      </c>
      <c r="T555" s="11"/>
    </row>
    <row r="556" ht="15.75" customHeight="1">
      <c r="A556" s="7"/>
      <c r="B556" s="7"/>
      <c r="C556" s="7">
        <f>(S556*'Prestige Patterns'!$B$20)/60</f>
        <v>277.5</v>
      </c>
      <c r="D556" s="8">
        <f>if(L555=L556,N555*'Prestige Patterns'!$B$20+D555-F556,0)</f>
        <v>25485994430859</v>
      </c>
      <c r="E556" s="9">
        <f t="shared" si="2"/>
        <v>580</v>
      </c>
      <c r="F556" s="10">
        <f>'Prestige Patterns'!$B$5*('Prestige Patterns'!$B$6^E555-'Prestige Patterns'!$B$6^(E555+G556))/(1-'Prestige Patterns'!$B$6)</f>
        <v>21229543222260</v>
      </c>
      <c r="G556" s="13">
        <f>floor(LOG('Prestige Patterns'!$B$6^(E555) - (D555*(1-'Prestige Patterns'!$B$6)/'Prestige Patterns'!$B$5),'Prestige Patterns'!$B$6)-E555,1)</f>
        <v>3</v>
      </c>
      <c r="H556" s="12">
        <f t="shared" si="3"/>
        <v>90949</v>
      </c>
      <c r="I556" s="11">
        <f>1+H556*'Prestige Patterns'!$B$25</f>
        <v>910.49</v>
      </c>
      <c r="J556" s="12">
        <f>floor((K556/'Prestige Patterns'!$B$22)^'Prestige Patterns'!$B$23,1)-H555</f>
        <v>16059</v>
      </c>
      <c r="K556" s="8">
        <f>K555+N555*'Prestige Patterns'!$B$20</f>
        <v>1.14509E+15</v>
      </c>
      <c r="L556" s="8">
        <f>if(J555&gt;='Prestige Patterns'!$B$28,if(J555/(H555+1)&gt;('Prestige Patterns'!$B$27+1),L555+1,L555),L555)</f>
        <v>9</v>
      </c>
      <c r="N556" s="12">
        <f t="shared" si="1"/>
        <v>692170522624</v>
      </c>
      <c r="O556" s="9">
        <f>'Prestige Patterns'!$B$4*E556</f>
        <v>11600</v>
      </c>
      <c r="P556" s="12">
        <f t="shared" si="4"/>
        <v>65536</v>
      </c>
      <c r="Q556" s="11"/>
      <c r="R556" s="11"/>
      <c r="S556" s="9">
        <v>555.0</v>
      </c>
      <c r="T556" s="11"/>
    </row>
    <row r="557" ht="15.75" customHeight="1">
      <c r="A557" s="7"/>
      <c r="B557" s="7"/>
      <c r="C557" s="7">
        <f>(S557*'Prestige Patterns'!$B$20)/60</f>
        <v>278</v>
      </c>
      <c r="D557" s="8">
        <f>if(L556=L557,N556*'Prestige Patterns'!$B$20+D556-F557,0)</f>
        <v>21675260136911</v>
      </c>
      <c r="E557" s="9">
        <f t="shared" si="2"/>
        <v>583</v>
      </c>
      <c r="F557" s="10">
        <f>'Prestige Patterns'!$B$5*('Prestige Patterns'!$B$6^E556-'Prestige Patterns'!$B$6^(E556+G557))/(1-'Prestige Patterns'!$B$6)</f>
        <v>24575849972668</v>
      </c>
      <c r="G557" s="13">
        <f>floor(LOG('Prestige Patterns'!$B$6^(E556) - (D556*(1-'Prestige Patterns'!$B$6)/'Prestige Patterns'!$B$5),'Prestige Patterns'!$B$6)-E556,1)</f>
        <v>3</v>
      </c>
      <c r="H557" s="12">
        <f t="shared" si="3"/>
        <v>90949</v>
      </c>
      <c r="I557" s="11">
        <f>1+H557*'Prestige Patterns'!$B$25</f>
        <v>910.49</v>
      </c>
      <c r="J557" s="12">
        <f>floor((K557/'Prestige Patterns'!$B$22)^'Prestige Patterns'!$B$23,1)-H556</f>
        <v>17025</v>
      </c>
      <c r="K557" s="8">
        <f>K556+N556*'Prestige Patterns'!$B$20</f>
        <v>1.16585E+15</v>
      </c>
      <c r="L557" s="8">
        <f>if(J556&gt;='Prestige Patterns'!$B$28,if(J556/(H556+1)&gt;('Prestige Patterns'!$B$27+1),L556+1,L556),L556)</f>
        <v>9</v>
      </c>
      <c r="N557" s="12">
        <f t="shared" si="1"/>
        <v>695750714982</v>
      </c>
      <c r="O557" s="9">
        <f>'Prestige Patterns'!$B$4*E557</f>
        <v>11660</v>
      </c>
      <c r="P557" s="12">
        <f t="shared" si="4"/>
        <v>65536</v>
      </c>
      <c r="Q557" s="11"/>
      <c r="R557" s="11"/>
      <c r="S557" s="9">
        <v>556.0</v>
      </c>
      <c r="T557" s="11"/>
    </row>
    <row r="558" ht="15.75" customHeight="1">
      <c r="A558" s="7"/>
      <c r="B558" s="7"/>
      <c r="C558" s="7">
        <f>(S558*'Prestige Patterns'!$B$20)/60</f>
        <v>278.5</v>
      </c>
      <c r="D558" s="8">
        <f>if(L557=L558,N557*'Prestige Patterns'!$B$20+D557-F558,0)</f>
        <v>24047633270617</v>
      </c>
      <c r="E558" s="9">
        <f t="shared" si="2"/>
        <v>585</v>
      </c>
      <c r="F558" s="10">
        <f>'Prestige Patterns'!$B$5*('Prestige Patterns'!$B$6^E557-'Prestige Patterns'!$B$6^(E557+G558))/(1-'Prestige Patterns'!$B$6)</f>
        <v>18500148315765</v>
      </c>
      <c r="G558" s="13">
        <f>floor(LOG('Prestige Patterns'!$B$6^(E557) - (D557*(1-'Prestige Patterns'!$B$6)/'Prestige Patterns'!$B$5),'Prestige Patterns'!$B$6)-E557,1)</f>
        <v>2</v>
      </c>
      <c r="H558" s="12">
        <f t="shared" si="3"/>
        <v>90949</v>
      </c>
      <c r="I558" s="11">
        <f>1+H558*'Prestige Patterns'!$B$25</f>
        <v>910.49</v>
      </c>
      <c r="J558" s="12">
        <f>floor((K558/'Prestige Patterns'!$B$22)^'Prestige Patterns'!$B$23,1)-H557</f>
        <v>17987</v>
      </c>
      <c r="K558" s="8">
        <f>K557+N557*'Prestige Patterns'!$B$20</f>
        <v>1.18673E+15</v>
      </c>
      <c r="L558" s="8">
        <f>if(J557&gt;='Prestige Patterns'!$B$28,if(J557/(H557+1)&gt;('Prestige Patterns'!$B$27+1),L557+1,L557),L557)</f>
        <v>9</v>
      </c>
      <c r="N558" s="12">
        <f t="shared" si="1"/>
        <v>698137509888</v>
      </c>
      <c r="O558" s="9">
        <f>'Prestige Patterns'!$B$4*E558</f>
        <v>11700</v>
      </c>
      <c r="P558" s="12">
        <f t="shared" si="4"/>
        <v>65536</v>
      </c>
      <c r="Q558" s="11"/>
      <c r="R558" s="11"/>
      <c r="S558" s="9">
        <v>557.0</v>
      </c>
      <c r="T558" s="11"/>
    </row>
    <row r="559" ht="15.75" customHeight="1">
      <c r="A559" s="7"/>
      <c r="B559" s="7"/>
      <c r="C559" s="7">
        <f>(S559*'Prestige Patterns'!$B$20)/60</f>
        <v>279</v>
      </c>
      <c r="D559" s="8">
        <f>if(L558=L559,N558*'Prestige Patterns'!$B$20+D558-F559,0)</f>
        <v>24595345049126</v>
      </c>
      <c r="E559" s="9">
        <f t="shared" si="2"/>
        <v>587</v>
      </c>
      <c r="F559" s="10">
        <f>'Prestige Patterns'!$B$5*('Prestige Patterns'!$B$6^E558-'Prestige Patterns'!$B$6^(E558+G559))/(1-'Prestige Patterns'!$B$6)</f>
        <v>20396413518131</v>
      </c>
      <c r="G559" s="13">
        <f>floor(LOG('Prestige Patterns'!$B$6^(E558) - (D558*(1-'Prestige Patterns'!$B$6)/'Prestige Patterns'!$B$5),'Prestige Patterns'!$B$6)-E558,1)</f>
        <v>2</v>
      </c>
      <c r="H559" s="12">
        <f t="shared" si="3"/>
        <v>90949</v>
      </c>
      <c r="I559" s="11">
        <f>1+H559*'Prestige Patterns'!$B$25</f>
        <v>910.49</v>
      </c>
      <c r="J559" s="12">
        <f>floor((K559/'Prestige Patterns'!$B$22)^'Prestige Patterns'!$B$23,1)-H558</f>
        <v>18945</v>
      </c>
      <c r="K559" s="8">
        <f>K558+N558*'Prestige Patterns'!$B$20</f>
        <v>1.20767E+15</v>
      </c>
      <c r="L559" s="8">
        <f>if(J558&gt;='Prestige Patterns'!$B$28,if(J558/(H558+1)&gt;('Prestige Patterns'!$B$27+1),L558+1,L558),L558)</f>
        <v>9</v>
      </c>
      <c r="N559" s="12">
        <f t="shared" si="1"/>
        <v>700524304794</v>
      </c>
      <c r="O559" s="9">
        <f>'Prestige Patterns'!$B$4*E559</f>
        <v>11740</v>
      </c>
      <c r="P559" s="12">
        <f t="shared" si="4"/>
        <v>65536</v>
      </c>
      <c r="Q559" s="11"/>
      <c r="R559" s="11"/>
      <c r="S559" s="9">
        <v>558.0</v>
      </c>
      <c r="T559" s="11"/>
    </row>
    <row r="560" ht="15.75" customHeight="1">
      <c r="A560" s="7"/>
      <c r="B560" s="7"/>
      <c r="C560" s="7">
        <f>(S560*'Prestige Patterns'!$B$20)/60</f>
        <v>279.5</v>
      </c>
      <c r="D560" s="8">
        <f>if(L559=L560,N559*'Prestige Patterns'!$B$20+D559-F560,0)</f>
        <v>23124028289194</v>
      </c>
      <c r="E560" s="9">
        <f t="shared" si="2"/>
        <v>589</v>
      </c>
      <c r="F560" s="10">
        <f>'Prestige Patterns'!$B$5*('Prestige Patterns'!$B$6^E559-'Prestige Patterns'!$B$6^(E559+G560))/(1-'Prestige Patterns'!$B$6)</f>
        <v>22487045903740</v>
      </c>
      <c r="G560" s="13">
        <f>floor(LOG('Prestige Patterns'!$B$6^(E559) - (D559*(1-'Prestige Patterns'!$B$6)/'Prestige Patterns'!$B$5),'Prestige Patterns'!$B$6)-E559,1)</f>
        <v>2</v>
      </c>
      <c r="H560" s="12">
        <f t="shared" si="3"/>
        <v>90949</v>
      </c>
      <c r="I560" s="11">
        <f>1+H560*'Prestige Patterns'!$B$25</f>
        <v>910.49</v>
      </c>
      <c r="J560" s="12">
        <f>floor((K560/'Prestige Patterns'!$B$22)^'Prestige Patterns'!$B$23,1)-H559</f>
        <v>19897</v>
      </c>
      <c r="K560" s="8">
        <f>K559+N559*'Prestige Patterns'!$B$20</f>
        <v>1.22869E+15</v>
      </c>
      <c r="L560" s="8">
        <f>if(J559&gt;='Prestige Patterns'!$B$28,if(J559/(H559+1)&gt;('Prestige Patterns'!$B$27+1),L559+1,L559),L559)</f>
        <v>9</v>
      </c>
      <c r="N560" s="12">
        <f t="shared" si="1"/>
        <v>702911099699</v>
      </c>
      <c r="O560" s="9">
        <f>'Prestige Patterns'!$B$4*E560</f>
        <v>11780</v>
      </c>
      <c r="P560" s="12">
        <f t="shared" si="4"/>
        <v>65536</v>
      </c>
      <c r="Q560" s="11"/>
      <c r="R560" s="11"/>
      <c r="S560" s="9">
        <v>559.0</v>
      </c>
      <c r="T560" s="11"/>
    </row>
    <row r="561" ht="15.75" customHeight="1">
      <c r="A561" s="7"/>
      <c r="B561" s="7"/>
      <c r="C561" s="7">
        <f>(S561*'Prestige Patterns'!$B$20)/60</f>
        <v>280</v>
      </c>
      <c r="D561" s="8">
        <f>if(L560=L561,N560*'Prestige Patterns'!$B$20+D560-F561,0)</f>
        <v>32117718300232</v>
      </c>
      <c r="E561" s="9">
        <f t="shared" si="2"/>
        <v>590</v>
      </c>
      <c r="F561" s="10">
        <f>'Prestige Patterns'!$B$5*('Prestige Patterns'!$B$6^E560-'Prestige Patterns'!$B$6^(E560+G561))/(1-'Prestige Patterns'!$B$6)</f>
        <v>12093642979938</v>
      </c>
      <c r="G561" s="13">
        <f>floor(LOG('Prestige Patterns'!$B$6^(E560) - (D560*(1-'Prestige Patterns'!$B$6)/'Prestige Patterns'!$B$5),'Prestige Patterns'!$B$6)-E560,1)</f>
        <v>1</v>
      </c>
      <c r="H561" s="12">
        <f t="shared" si="3"/>
        <v>90949</v>
      </c>
      <c r="I561" s="11">
        <f>1+H561*'Prestige Patterns'!$B$25</f>
        <v>910.49</v>
      </c>
      <c r="J561" s="12">
        <f>floor((K561/'Prestige Patterns'!$B$22)^'Prestige Patterns'!$B$23,1)-H560</f>
        <v>20844</v>
      </c>
      <c r="K561" s="8">
        <f>K560+N560*'Prestige Patterns'!$B$20</f>
        <v>1.24977E+15</v>
      </c>
      <c r="L561" s="8">
        <f>if(J560&gt;='Prestige Patterns'!$B$28,if(J560/(H560+1)&gt;('Prestige Patterns'!$B$27+1),L560+1,L560),L560)</f>
        <v>9</v>
      </c>
      <c r="N561" s="12">
        <f t="shared" si="1"/>
        <v>704104497152</v>
      </c>
      <c r="O561" s="9">
        <f>'Prestige Patterns'!$B$4*E561</f>
        <v>11800</v>
      </c>
      <c r="P561" s="12">
        <f t="shared" si="4"/>
        <v>65536</v>
      </c>
      <c r="Q561" s="11"/>
      <c r="R561" s="11"/>
      <c r="S561" s="9">
        <v>560.0</v>
      </c>
      <c r="T561" s="11"/>
    </row>
    <row r="562" ht="15.75" customHeight="1">
      <c r="A562" s="7"/>
      <c r="B562" s="7"/>
      <c r="C562" s="7">
        <f>(S562*'Prestige Patterns'!$B$20)/60</f>
        <v>280.5</v>
      </c>
      <c r="D562" s="8">
        <f>if(L561=L562,N561*'Prestige Patterns'!$B$20+D561-F562,0)</f>
        <v>27209286700475</v>
      </c>
      <c r="E562" s="9">
        <f t="shared" si="2"/>
        <v>592</v>
      </c>
      <c r="F562" s="10">
        <f>'Prestige Patterns'!$B$5*('Prestige Patterns'!$B$6^E561-'Prestige Patterns'!$B$6^(E561+G562))/(1-'Prestige Patterns'!$B$6)</f>
        <v>26031566514317</v>
      </c>
      <c r="G562" s="13">
        <f>floor(LOG('Prestige Patterns'!$B$6^(E561) - (D561*(1-'Prestige Patterns'!$B$6)/'Prestige Patterns'!$B$5),'Prestige Patterns'!$B$6)-E561,1)</f>
        <v>2</v>
      </c>
      <c r="H562" s="12">
        <f t="shared" si="3"/>
        <v>90949</v>
      </c>
      <c r="I562" s="11">
        <f>1+H562*'Prestige Patterns'!$B$25</f>
        <v>910.49</v>
      </c>
      <c r="J562" s="12">
        <f>floor((K562/'Prestige Patterns'!$B$22)^'Prestige Patterns'!$B$23,1)-H561</f>
        <v>21785</v>
      </c>
      <c r="K562" s="8">
        <f>K561+N561*'Prestige Patterns'!$B$20</f>
        <v>1.2709E+15</v>
      </c>
      <c r="L562" s="8">
        <f>if(J561&gt;='Prestige Patterns'!$B$28,if(J561/(H561+1)&gt;('Prestige Patterns'!$B$27+1),L561+1,L561),L561)</f>
        <v>9</v>
      </c>
      <c r="N562" s="12">
        <f t="shared" si="1"/>
        <v>706491292058</v>
      </c>
      <c r="O562" s="9">
        <f>'Prestige Patterns'!$B$4*E562</f>
        <v>11840</v>
      </c>
      <c r="P562" s="12">
        <f t="shared" si="4"/>
        <v>65536</v>
      </c>
      <c r="Q562" s="11"/>
      <c r="R562" s="11"/>
      <c r="S562" s="9">
        <v>561.0</v>
      </c>
      <c r="T562" s="11"/>
    </row>
    <row r="563" ht="15.75" customHeight="1">
      <c r="A563" s="7"/>
      <c r="B563" s="7"/>
      <c r="C563" s="7">
        <f>(S563*'Prestige Patterns'!$B$20)/60</f>
        <v>281</v>
      </c>
      <c r="D563" s="8">
        <f>if(L562=L563,N562*'Prestige Patterns'!$B$20+D562-F563,0)</f>
        <v>34404122007552</v>
      </c>
      <c r="E563" s="9">
        <f t="shared" si="2"/>
        <v>593</v>
      </c>
      <c r="F563" s="10">
        <f>'Prestige Patterns'!$B$5*('Prestige Patterns'!$B$6^E562-'Prestige Patterns'!$B$6^(E562+G563))/(1-'Prestige Patterns'!$B$6)</f>
        <v>13999903454651</v>
      </c>
      <c r="G563" s="13">
        <f>floor(LOG('Prestige Patterns'!$B$6^(E562) - (D562*(1-'Prestige Patterns'!$B$6)/'Prestige Patterns'!$B$5),'Prestige Patterns'!$B$6)-E562,1)</f>
        <v>1</v>
      </c>
      <c r="H563" s="12">
        <f t="shared" si="3"/>
        <v>90949</v>
      </c>
      <c r="I563" s="11">
        <f>1+H563*'Prestige Patterns'!$B$25</f>
        <v>910.49</v>
      </c>
      <c r="J563" s="12">
        <f>floor((K563/'Prestige Patterns'!$B$22)^'Prestige Patterns'!$B$23,1)-H562</f>
        <v>22721</v>
      </c>
      <c r="K563" s="8">
        <f>K562+N562*'Prestige Patterns'!$B$20</f>
        <v>1.29209E+15</v>
      </c>
      <c r="L563" s="8">
        <f>if(J562&gt;='Prestige Patterns'!$B$28,if(J562/(H562+1)&gt;('Prestige Patterns'!$B$27+1),L562+1,L562),L562)</f>
        <v>9</v>
      </c>
      <c r="N563" s="12">
        <f t="shared" si="1"/>
        <v>707684689510</v>
      </c>
      <c r="O563" s="9">
        <f>'Prestige Patterns'!$B$4*E563</f>
        <v>11860</v>
      </c>
      <c r="P563" s="12">
        <f t="shared" si="4"/>
        <v>65536</v>
      </c>
      <c r="Q563" s="11"/>
      <c r="R563" s="11"/>
      <c r="S563" s="9">
        <v>562.0</v>
      </c>
      <c r="T563" s="11"/>
    </row>
    <row r="564" ht="15.75" customHeight="1">
      <c r="A564" s="7"/>
      <c r="B564" s="7"/>
      <c r="C564" s="7">
        <f>(S564*'Prestige Patterns'!$B$20)/60</f>
        <v>281.5</v>
      </c>
      <c r="D564" s="8">
        <f>if(L563=L564,N563*'Prestige Patterns'!$B$20+D563-F564,0)</f>
        <v>25499870506728</v>
      </c>
      <c r="E564" s="9">
        <f t="shared" si="2"/>
        <v>595</v>
      </c>
      <c r="F564" s="10">
        <f>'Prestige Patterns'!$B$5*('Prestige Patterns'!$B$6^E563-'Prestige Patterns'!$B$6^(E563+G564))/(1-'Prestige Patterns'!$B$6)</f>
        <v>30134792186136</v>
      </c>
      <c r="G564" s="13">
        <f>floor(LOG('Prestige Patterns'!$B$6^(E563) - (D563*(1-'Prestige Patterns'!$B$6)/'Prestige Patterns'!$B$5),'Prestige Patterns'!$B$6)-E563,1)</f>
        <v>2</v>
      </c>
      <c r="H564" s="12">
        <f t="shared" si="3"/>
        <v>90949</v>
      </c>
      <c r="I564" s="11">
        <f>1+H564*'Prestige Patterns'!$B$25</f>
        <v>910.49</v>
      </c>
      <c r="J564" s="12">
        <f>floor((K564/'Prestige Patterns'!$B$22)^'Prestige Patterns'!$B$23,1)-H563</f>
        <v>23651</v>
      </c>
      <c r="K564" s="8">
        <f>K563+N563*'Prestige Patterns'!$B$20</f>
        <v>1.31332E+15</v>
      </c>
      <c r="L564" s="8">
        <f>if(J563&gt;='Prestige Patterns'!$B$28,if(J563/(H563+1)&gt;('Prestige Patterns'!$B$27+1),L563+1,L563),L563)</f>
        <v>9</v>
      </c>
      <c r="N564" s="12">
        <f t="shared" si="1"/>
        <v>710071484416</v>
      </c>
      <c r="O564" s="9">
        <f>'Prestige Patterns'!$B$4*E564</f>
        <v>11900</v>
      </c>
      <c r="P564" s="12">
        <f t="shared" si="4"/>
        <v>65536</v>
      </c>
      <c r="Q564" s="11"/>
      <c r="R564" s="11"/>
      <c r="S564" s="9">
        <v>563.0</v>
      </c>
      <c r="T564" s="11"/>
    </row>
    <row r="565" ht="15.75" customHeight="1">
      <c r="A565" s="7"/>
      <c r="B565" s="7"/>
      <c r="C565" s="7">
        <f>(S565*'Prestige Patterns'!$B$20)/60</f>
        <v>282</v>
      </c>
      <c r="D565" s="8">
        <f>if(L564=L565,N564*'Prestige Patterns'!$B$20+D564-F565,0)</f>
        <v>30595376802518</v>
      </c>
      <c r="E565" s="9">
        <f t="shared" si="2"/>
        <v>596</v>
      </c>
      <c r="F565" s="10">
        <f>'Prestige Patterns'!$B$5*('Prestige Patterns'!$B$6^E564-'Prestige Patterns'!$B$6^(E564+G565))/(1-'Prestige Patterns'!$B$6)</f>
        <v>16206638236690</v>
      </c>
      <c r="G565" s="13">
        <f>floor(LOG('Prestige Patterns'!$B$6^(E564) - (D564*(1-'Prestige Patterns'!$B$6)/'Prestige Patterns'!$B$5),'Prestige Patterns'!$B$6)-E564,1)</f>
        <v>1</v>
      </c>
      <c r="H565" s="12">
        <f t="shared" si="3"/>
        <v>90949</v>
      </c>
      <c r="I565" s="11">
        <f>1+H565*'Prestige Patterns'!$B$25</f>
        <v>910.49</v>
      </c>
      <c r="J565" s="12">
        <f>floor((K565/'Prestige Patterns'!$B$22)^'Prestige Patterns'!$B$23,1)-H564</f>
        <v>24576</v>
      </c>
      <c r="K565" s="8">
        <f>K564+N564*'Prestige Patterns'!$B$20</f>
        <v>1.33462E+15</v>
      </c>
      <c r="L565" s="8">
        <f>if(J564&gt;='Prestige Patterns'!$B$28,if(J564/(H564+1)&gt;('Prestige Patterns'!$B$27+1),L564+1,L564),L564)</f>
        <v>9</v>
      </c>
      <c r="N565" s="12">
        <f t="shared" si="1"/>
        <v>711264881869</v>
      </c>
      <c r="O565" s="9">
        <f>'Prestige Patterns'!$B$4*E565</f>
        <v>11920</v>
      </c>
      <c r="P565" s="12">
        <f t="shared" si="4"/>
        <v>65536</v>
      </c>
      <c r="Q565" s="11"/>
      <c r="R565" s="11"/>
      <c r="S565" s="9">
        <v>564.0</v>
      </c>
      <c r="T565" s="11"/>
    </row>
    <row r="566" ht="15.75" customHeight="1">
      <c r="A566" s="7"/>
      <c r="B566" s="7"/>
      <c r="C566" s="7">
        <f>(S566*'Prestige Patterns'!$B$20)/60</f>
        <v>282.5</v>
      </c>
      <c r="D566" s="8">
        <f>if(L565=L566,N565*'Prestige Patterns'!$B$20+D565-F566,0)</f>
        <v>34916353110057</v>
      </c>
      <c r="E566" s="9">
        <f t="shared" si="2"/>
        <v>597</v>
      </c>
      <c r="F566" s="10">
        <f>'Prestige Patterns'!$B$5*('Prestige Patterns'!$B$6^E565-'Prestige Patterns'!$B$6^(E565+G566))/(1-'Prestige Patterns'!$B$6)</f>
        <v>17016970148525</v>
      </c>
      <c r="G566" s="13">
        <f>floor(LOG('Prestige Patterns'!$B$6^(E565) - (D565*(1-'Prestige Patterns'!$B$6)/'Prestige Patterns'!$B$5),'Prestige Patterns'!$B$6)-E565,1)</f>
        <v>1</v>
      </c>
      <c r="H566" s="12">
        <f t="shared" si="3"/>
        <v>90949</v>
      </c>
      <c r="I566" s="11">
        <f>1+H566*'Prestige Patterns'!$B$25</f>
        <v>910.49</v>
      </c>
      <c r="J566" s="12">
        <f>floor((K566/'Prestige Patterns'!$B$22)^'Prestige Patterns'!$B$23,1)-H565</f>
        <v>25496</v>
      </c>
      <c r="K566" s="8">
        <f>K565+N565*'Prestige Patterns'!$B$20</f>
        <v>1.35596E+15</v>
      </c>
      <c r="L566" s="8">
        <f>if(J565&gt;='Prestige Patterns'!$B$28,if(J565/(H565+1)&gt;('Prestige Patterns'!$B$27+1),L565+1,L565),L565)</f>
        <v>9</v>
      </c>
      <c r="N566" s="12">
        <f t="shared" si="1"/>
        <v>712458279322</v>
      </c>
      <c r="O566" s="9">
        <f>'Prestige Patterns'!$B$4*E566</f>
        <v>11940</v>
      </c>
      <c r="P566" s="12">
        <f t="shared" si="4"/>
        <v>65536</v>
      </c>
      <c r="Q566" s="11"/>
      <c r="R566" s="11"/>
      <c r="S566" s="9">
        <v>565.0</v>
      </c>
      <c r="T566" s="11"/>
    </row>
    <row r="567" ht="15.75" customHeight="1">
      <c r="A567" s="7"/>
      <c r="B567" s="7"/>
      <c r="C567" s="7">
        <f>(S567*'Prestige Patterns'!$B$20)/60</f>
        <v>283</v>
      </c>
      <c r="D567" s="8">
        <f>if(L566=L567,N566*'Prestige Patterns'!$B$20+D566-F567,0)</f>
        <v>38422282833754</v>
      </c>
      <c r="E567" s="9">
        <f t="shared" si="2"/>
        <v>598</v>
      </c>
      <c r="F567" s="10">
        <f>'Prestige Patterns'!$B$5*('Prestige Patterns'!$B$6^E566-'Prestige Patterns'!$B$6^(E566+G567))/(1-'Prestige Patterns'!$B$6)</f>
        <v>17867818655951</v>
      </c>
      <c r="G567" s="13">
        <f>floor(LOG('Prestige Patterns'!$B$6^(E566) - (D566*(1-'Prestige Patterns'!$B$6)/'Prestige Patterns'!$B$5),'Prestige Patterns'!$B$6)-E566,1)</f>
        <v>1</v>
      </c>
      <c r="H567" s="12">
        <f t="shared" si="3"/>
        <v>90949</v>
      </c>
      <c r="I567" s="11">
        <f>1+H567*'Prestige Patterns'!$B$25</f>
        <v>910.49</v>
      </c>
      <c r="J567" s="12">
        <f>floor((K567/'Prestige Patterns'!$B$22)^'Prestige Patterns'!$B$23,1)-H566</f>
        <v>26410</v>
      </c>
      <c r="K567" s="8">
        <f>K566+N566*'Prestige Patterns'!$B$20</f>
        <v>1.37734E+15</v>
      </c>
      <c r="L567" s="8">
        <f>if(J566&gt;='Prestige Patterns'!$B$28,if(J566/(H566+1)&gt;('Prestige Patterns'!$B$27+1),L566+1,L566),L566)</f>
        <v>9</v>
      </c>
      <c r="N567" s="12">
        <f t="shared" si="1"/>
        <v>713651676774</v>
      </c>
      <c r="O567" s="9">
        <f>'Prestige Patterns'!$B$4*E567</f>
        <v>11960</v>
      </c>
      <c r="P567" s="12">
        <f t="shared" si="4"/>
        <v>65536</v>
      </c>
      <c r="Q567" s="11"/>
      <c r="R567" s="11"/>
      <c r="S567" s="9">
        <v>566.0</v>
      </c>
      <c r="T567" s="11"/>
    </row>
    <row r="568" ht="15.75" customHeight="1">
      <c r="A568" s="7"/>
      <c r="B568" s="7"/>
      <c r="C568" s="7">
        <f>(S568*'Prestige Patterns'!$B$20)/60</f>
        <v>283.5</v>
      </c>
      <c r="D568" s="8">
        <f>if(L567=L568,N567*'Prestige Patterns'!$B$20+D567-F568,0)</f>
        <v>41070623548238</v>
      </c>
      <c r="E568" s="9">
        <f t="shared" si="2"/>
        <v>599</v>
      </c>
      <c r="F568" s="10">
        <f>'Prestige Patterns'!$B$5*('Prestige Patterns'!$B$6^E567-'Prestige Patterns'!$B$6^(E567+G568))/(1-'Prestige Patterns'!$B$6)</f>
        <v>18761209588749</v>
      </c>
      <c r="G568" s="13">
        <f>floor(LOG('Prestige Patterns'!$B$6^(E567) - (D567*(1-'Prestige Patterns'!$B$6)/'Prestige Patterns'!$B$5),'Prestige Patterns'!$B$6)-E567,1)</f>
        <v>1</v>
      </c>
      <c r="H568" s="12">
        <f t="shared" si="3"/>
        <v>90949</v>
      </c>
      <c r="I568" s="11">
        <f>1+H568*'Prestige Patterns'!$B$25</f>
        <v>910.49</v>
      </c>
      <c r="J568" s="12">
        <f>floor((K568/'Prestige Patterns'!$B$22)^'Prestige Patterns'!$B$23,1)-H567</f>
        <v>27319</v>
      </c>
      <c r="K568" s="8">
        <f>K567+N567*'Prestige Patterns'!$B$20</f>
        <v>1.39875E+15</v>
      </c>
      <c r="L568" s="8">
        <f>if(J567&gt;='Prestige Patterns'!$B$28,if(J567/(H567+1)&gt;('Prestige Patterns'!$B$27+1),L567+1,L567),L567)</f>
        <v>9</v>
      </c>
      <c r="N568" s="12">
        <f t="shared" si="1"/>
        <v>714845074227</v>
      </c>
      <c r="O568" s="9">
        <f>'Prestige Patterns'!$B$4*E568</f>
        <v>11980</v>
      </c>
      <c r="P568" s="12">
        <f t="shared" si="4"/>
        <v>65536</v>
      </c>
      <c r="Q568" s="11"/>
      <c r="R568" s="11"/>
      <c r="S568" s="9">
        <v>567.0</v>
      </c>
      <c r="T568" s="11"/>
    </row>
    <row r="569" ht="15.75" customHeight="1">
      <c r="A569" s="7"/>
      <c r="B569" s="7"/>
      <c r="C569" s="7">
        <f>(S569*'Prestige Patterns'!$B$20)/60</f>
        <v>284</v>
      </c>
      <c r="D569" s="8">
        <f>if(L568=L569,N568*'Prestige Patterns'!$B$20+D568-F569,0)</f>
        <v>22132472135273</v>
      </c>
      <c r="E569" s="9">
        <f t="shared" si="2"/>
        <v>601</v>
      </c>
      <c r="F569" s="10">
        <f>'Prestige Patterns'!$B$5*('Prestige Patterns'!$B$6^E568-'Prestige Patterns'!$B$6^(E568+G569))/(1-'Prestige Patterns'!$B$6)</f>
        <v>40383503639781</v>
      </c>
      <c r="G569" s="13">
        <f>floor(LOG('Prestige Patterns'!$B$6^(E568) - (D568*(1-'Prestige Patterns'!$B$6)/'Prestige Patterns'!$B$5),'Prestige Patterns'!$B$6)-E568,1)</f>
        <v>2</v>
      </c>
      <c r="H569" s="12">
        <f t="shared" si="3"/>
        <v>90949</v>
      </c>
      <c r="I569" s="11">
        <f>1+H569*'Prestige Patterns'!$B$25</f>
        <v>910.49</v>
      </c>
      <c r="J569" s="12">
        <f>floor((K569/'Prestige Patterns'!$B$22)^'Prestige Patterns'!$B$23,1)-H568</f>
        <v>28222</v>
      </c>
      <c r="K569" s="8">
        <f>K568+N568*'Prestige Patterns'!$B$20</f>
        <v>1.42019E+15</v>
      </c>
      <c r="L569" s="8">
        <f>if(J568&gt;='Prestige Patterns'!$B$28,if(J568/(H568+1)&gt;('Prestige Patterns'!$B$27+1),L568+1,L568),L568)</f>
        <v>9</v>
      </c>
      <c r="N569" s="12">
        <f t="shared" si="1"/>
        <v>11475709906125</v>
      </c>
      <c r="O569" s="9">
        <f>'Prestige Patterns'!$B$4*E569</f>
        <v>12020</v>
      </c>
      <c r="P569" s="12">
        <f t="shared" si="4"/>
        <v>1048576</v>
      </c>
      <c r="Q569" s="11"/>
      <c r="R569" s="11"/>
      <c r="S569" s="9">
        <v>568.0</v>
      </c>
      <c r="T569" s="11"/>
    </row>
    <row r="570" ht="15.75" customHeight="1">
      <c r="A570" s="7"/>
      <c r="B570" s="7"/>
      <c r="C570" s="7">
        <f>(S570*'Prestige Patterns'!$B$20)/60</f>
        <v>284.5</v>
      </c>
      <c r="D570" s="8">
        <f>if(L569=L570,N569*'Prestige Patterns'!$B$20+D569-F570,0)</f>
        <v>344685324068842</v>
      </c>
      <c r="E570" s="9">
        <f t="shared" si="2"/>
        <v>602</v>
      </c>
      <c r="F570" s="10">
        <f>'Prestige Patterns'!$B$5*('Prestige Patterns'!$B$6^E569-'Prestige Patterns'!$B$6^(E569+G570))/(1-'Prestige Patterns'!$B$6)</f>
        <v>21718445250175</v>
      </c>
      <c r="G570" s="13">
        <f>floor(LOG('Prestige Patterns'!$B$6^(E569) - (D569*(1-'Prestige Patterns'!$B$6)/'Prestige Patterns'!$B$5),'Prestige Patterns'!$B$6)-E569,1)</f>
        <v>1</v>
      </c>
      <c r="H570" s="12">
        <f t="shared" si="3"/>
        <v>90949</v>
      </c>
      <c r="I570" s="11">
        <f>1+H570*'Prestige Patterns'!$B$25</f>
        <v>910.49</v>
      </c>
      <c r="J570" s="12">
        <f>floor((K570/'Prestige Patterns'!$B$22)^'Prestige Patterns'!$B$23,1)-H569</f>
        <v>41884</v>
      </c>
      <c r="K570" s="8">
        <f>K569+N569*'Prestige Patterns'!$B$20</f>
        <v>1.76446E+15</v>
      </c>
      <c r="L570" s="8">
        <f>if(J569&gt;='Prestige Patterns'!$B$28,if(J569/(H569+1)&gt;('Prestige Patterns'!$B$27+1),L569+1,L569),L569)</f>
        <v>9</v>
      </c>
      <c r="N570" s="12">
        <f t="shared" si="1"/>
        <v>11494804265370</v>
      </c>
      <c r="O570" s="9">
        <f>'Prestige Patterns'!$B$4*E570</f>
        <v>12040</v>
      </c>
      <c r="P570" s="12">
        <f t="shared" si="4"/>
        <v>1048576</v>
      </c>
      <c r="Q570" s="11"/>
      <c r="R570" s="11"/>
      <c r="S570" s="9">
        <v>569.0</v>
      </c>
      <c r="T570" s="11"/>
    </row>
    <row r="571" ht="15.75" customHeight="1">
      <c r="A571" s="7"/>
      <c r="B571" s="7"/>
      <c r="C571" s="7">
        <f>(S571*'Prestige Patterns'!$B$20)/60</f>
        <v>285</v>
      </c>
      <c r="D571" s="8">
        <f>if(L570=L571,N570*'Prestige Patterns'!$B$20+D570-F571,0)</f>
        <v>365552656405764</v>
      </c>
      <c r="E571" s="9">
        <f t="shared" si="2"/>
        <v>613</v>
      </c>
      <c r="F571" s="10">
        <f>'Prestige Patterns'!$B$5*('Prestige Patterns'!$B$6^E570-'Prestige Patterns'!$B$6^(E570+G571))/(1-'Prestige Patterns'!$B$6)</f>
        <v>323976795624166</v>
      </c>
      <c r="G571" s="13">
        <f>floor(LOG('Prestige Patterns'!$B$6^(E570) - (D570*(1-'Prestige Patterns'!$B$6)/'Prestige Patterns'!$B$5),'Prestige Patterns'!$B$6)-E570,1)</f>
        <v>11</v>
      </c>
      <c r="H571" s="12">
        <f t="shared" si="3"/>
        <v>90949</v>
      </c>
      <c r="I571" s="11">
        <f>1+H571*'Prestige Patterns'!$B$25</f>
        <v>910.49</v>
      </c>
      <c r="J571" s="12">
        <f>floor((K571/'Prestige Patterns'!$B$22)^'Prestige Patterns'!$B$23,1)-H570</f>
        <v>54285</v>
      </c>
      <c r="K571" s="8">
        <f>K570+N570*'Prestige Patterns'!$B$20</f>
        <v>2.10931E+15</v>
      </c>
      <c r="L571" s="8">
        <f>if(J570&gt;='Prestige Patterns'!$B$28,if(J570/(H570+1)&gt;('Prestige Patterns'!$B$27+1),L570+1,L570),L570)</f>
        <v>9</v>
      </c>
      <c r="N571" s="12">
        <f t="shared" si="1"/>
        <v>11704842217062</v>
      </c>
      <c r="O571" s="9">
        <f>'Prestige Patterns'!$B$4*E571</f>
        <v>12260</v>
      </c>
      <c r="P571" s="12">
        <f t="shared" si="4"/>
        <v>1048576</v>
      </c>
      <c r="Q571" s="11"/>
      <c r="R571" s="11"/>
      <c r="S571" s="9">
        <v>570.0</v>
      </c>
      <c r="T571" s="11"/>
    </row>
    <row r="572" ht="15.75" customHeight="1">
      <c r="A572" s="7"/>
      <c r="B572" s="7"/>
      <c r="C572" s="7">
        <f>(S572*'Prestige Patterns'!$B$20)/60</f>
        <v>285.5</v>
      </c>
      <c r="D572" s="8">
        <f>if(L571=L572,N571*'Prestige Patterns'!$B$20+D571-F572,0)</f>
        <v>399133479431781</v>
      </c>
      <c r="E572" s="9">
        <f t="shared" si="2"/>
        <v>620</v>
      </c>
      <c r="F572" s="10">
        <f>'Prestige Patterns'!$B$5*('Prestige Patterns'!$B$6^E571-'Prestige Patterns'!$B$6^(E571+G572))/(1-'Prestige Patterns'!$B$6)</f>
        <v>317564443485856</v>
      </c>
      <c r="G572" s="13">
        <f>floor(LOG('Prestige Patterns'!$B$6^(E571) - (D571*(1-'Prestige Patterns'!$B$6)/'Prestige Patterns'!$B$5),'Prestige Patterns'!$B$6)-E571,1)</f>
        <v>7</v>
      </c>
      <c r="H572" s="12">
        <f t="shared" si="3"/>
        <v>90949</v>
      </c>
      <c r="I572" s="11">
        <f>1+H572*'Prestige Patterns'!$B$25</f>
        <v>910.49</v>
      </c>
      <c r="J572" s="12">
        <f>floor((K572/'Prestige Patterns'!$B$22)^'Prestige Patterns'!$B$23,1)-H571</f>
        <v>65909</v>
      </c>
      <c r="K572" s="8">
        <f>K571+N571*'Prestige Patterns'!$B$20</f>
        <v>2.46045E+15</v>
      </c>
      <c r="L572" s="8">
        <f>if(J571&gt;='Prestige Patterns'!$B$28,if(J571/(H571+1)&gt;('Prestige Patterns'!$B$27+1),L571+1,L571),L571)</f>
        <v>9</v>
      </c>
      <c r="N572" s="12">
        <f t="shared" si="1"/>
        <v>11838502731776</v>
      </c>
      <c r="O572" s="9">
        <f>'Prestige Patterns'!$B$4*E572</f>
        <v>12400</v>
      </c>
      <c r="P572" s="12">
        <f t="shared" si="4"/>
        <v>1048576</v>
      </c>
      <c r="Q572" s="11"/>
      <c r="R572" s="11"/>
      <c r="S572" s="9">
        <v>571.0</v>
      </c>
      <c r="T572" s="11"/>
    </row>
    <row r="573" ht="15.75" customHeight="1">
      <c r="A573" s="7"/>
      <c r="B573" s="7"/>
      <c r="C573" s="7">
        <f>(S573*'Prestige Patterns'!$B$20)/60</f>
        <v>286</v>
      </c>
      <c r="D573" s="8">
        <f>if(L572=L573,N572*'Prestige Patterns'!$B$20+D572-F573,0)</f>
        <v>380989863117099</v>
      </c>
      <c r="E573" s="9">
        <f t="shared" si="2"/>
        <v>626</v>
      </c>
      <c r="F573" s="10">
        <f>'Prestige Patterns'!$B$5*('Prestige Patterns'!$B$6^E572-'Prestige Patterns'!$B$6^(E572+G573))/(1-'Prestige Patterns'!$B$6)</f>
        <v>373298698267961</v>
      </c>
      <c r="G573" s="13">
        <f>floor(LOG('Prestige Patterns'!$B$6^(E572) - (D572*(1-'Prestige Patterns'!$B$6)/'Prestige Patterns'!$B$5),'Prestige Patterns'!$B$6)-E572,1)</f>
        <v>6</v>
      </c>
      <c r="H573" s="12">
        <f t="shared" si="3"/>
        <v>90949</v>
      </c>
      <c r="I573" s="11">
        <f>1+H573*'Prestige Patterns'!$B$25</f>
        <v>910.49</v>
      </c>
      <c r="J573" s="12">
        <f>floor((K573/'Prestige Patterns'!$B$22)^'Prestige Patterns'!$B$23,1)-H572</f>
        <v>76848</v>
      </c>
      <c r="K573" s="8">
        <f>K572+N572*'Prestige Patterns'!$B$20</f>
        <v>2.81561E+15</v>
      </c>
      <c r="L573" s="8">
        <f>if(J572&gt;='Prestige Patterns'!$B$28,if(J572/(H572+1)&gt;('Prestige Patterns'!$B$27+1),L572+1,L572),L572)</f>
        <v>9</v>
      </c>
      <c r="N573" s="12">
        <f t="shared" si="1"/>
        <v>11953068887245</v>
      </c>
      <c r="O573" s="9">
        <f>'Prestige Patterns'!$B$4*E573</f>
        <v>12520</v>
      </c>
      <c r="P573" s="12">
        <f t="shared" si="4"/>
        <v>1048576</v>
      </c>
      <c r="Q573" s="11"/>
      <c r="R573" s="11"/>
      <c r="S573" s="9">
        <v>572.0</v>
      </c>
      <c r="T573" s="11"/>
    </row>
    <row r="574" ht="15.75" customHeight="1">
      <c r="A574" s="7"/>
      <c r="B574" s="7"/>
      <c r="C574" s="7">
        <f>(S574*'Prestige Patterns'!$B$20)/60</f>
        <v>286.5</v>
      </c>
      <c r="D574" s="8">
        <f>if(L573=L574,N573*'Prestige Patterns'!$B$20+D573-F574,0)</f>
        <v>422587905954273</v>
      </c>
      <c r="E574" s="9">
        <f t="shared" si="2"/>
        <v>630</v>
      </c>
      <c r="F574" s="10">
        <f>'Prestige Patterns'!$B$5*('Prestige Patterns'!$B$6^E573-'Prestige Patterns'!$B$6^(E573+G574))/(1-'Prestige Patterns'!$B$6)</f>
        <v>316994023780170</v>
      </c>
      <c r="G574" s="13">
        <f>floor(LOG('Prestige Patterns'!$B$6^(E573) - (D573*(1-'Prestige Patterns'!$B$6)/'Prestige Patterns'!$B$5),'Prestige Patterns'!$B$6)-E573,1)</f>
        <v>4</v>
      </c>
      <c r="H574" s="12">
        <f t="shared" si="3"/>
        <v>90949</v>
      </c>
      <c r="I574" s="11">
        <f>1+H574*'Prestige Patterns'!$B$25</f>
        <v>910.49</v>
      </c>
      <c r="J574" s="12">
        <f>floor((K574/'Prestige Patterns'!$B$22)^'Prestige Patterns'!$B$23,1)-H573</f>
        <v>87213</v>
      </c>
      <c r="K574" s="8">
        <f>K573+N573*'Prestige Patterns'!$B$20</f>
        <v>3.1742E+15</v>
      </c>
      <c r="L574" s="8">
        <f>if(J573&gt;='Prestige Patterns'!$B$28,if(J573/(H573+1)&gt;('Prestige Patterns'!$B$27+1),L573+1,L573),L573)</f>
        <v>9</v>
      </c>
      <c r="N574" s="12">
        <f t="shared" si="1"/>
        <v>12029446324224</v>
      </c>
      <c r="O574" s="9">
        <f>'Prestige Patterns'!$B$4*E574</f>
        <v>12600</v>
      </c>
      <c r="P574" s="12">
        <f t="shared" si="4"/>
        <v>1048576</v>
      </c>
      <c r="Q574" s="11"/>
      <c r="R574" s="11"/>
      <c r="S574" s="9">
        <v>573.0</v>
      </c>
      <c r="T574" s="11"/>
    </row>
    <row r="575" ht="15.75" customHeight="1">
      <c r="A575" s="7"/>
      <c r="B575" s="7"/>
      <c r="C575" s="7">
        <f>(S575*'Prestige Patterns'!$B$20)/60</f>
        <v>287</v>
      </c>
      <c r="D575" s="8">
        <f>if(L574=L575,N574*'Prestige Patterns'!$B$20+D574-F575,0)</f>
        <v>398163078563548</v>
      </c>
      <c r="E575" s="9">
        <f t="shared" si="2"/>
        <v>634</v>
      </c>
      <c r="F575" s="10">
        <f>'Prestige Patterns'!$B$5*('Prestige Patterns'!$B$6^E574-'Prestige Patterns'!$B$6^(E574+G575))/(1-'Prestige Patterns'!$B$6)</f>
        <v>385308217117446</v>
      </c>
      <c r="G575" s="13">
        <f>floor(LOG('Prestige Patterns'!$B$6^(E574) - (D574*(1-'Prestige Patterns'!$B$6)/'Prestige Patterns'!$B$5),'Prestige Patterns'!$B$6)-E574,1)</f>
        <v>4</v>
      </c>
      <c r="H575" s="12">
        <f t="shared" si="3"/>
        <v>90949</v>
      </c>
      <c r="I575" s="11">
        <f>1+H575*'Prestige Patterns'!$B$25</f>
        <v>910.49</v>
      </c>
      <c r="J575" s="12">
        <f>floor((K575/'Prestige Patterns'!$B$22)^'Prestige Patterns'!$B$23,1)-H574</f>
        <v>97069</v>
      </c>
      <c r="K575" s="8">
        <f>K574+N574*'Prestige Patterns'!$B$20</f>
        <v>3.53508E+15</v>
      </c>
      <c r="L575" s="8">
        <f>if(J574&gt;='Prestige Patterns'!$B$28,if(J574/(H574+1)&gt;('Prestige Patterns'!$B$27+1),L574+1,L574),L574)</f>
        <v>9</v>
      </c>
      <c r="N575" s="12">
        <f t="shared" si="1"/>
        <v>12105823761203</v>
      </c>
      <c r="O575" s="9">
        <f>'Prestige Patterns'!$B$4*E575</f>
        <v>12680</v>
      </c>
      <c r="P575" s="12">
        <f t="shared" si="4"/>
        <v>1048576</v>
      </c>
      <c r="Q575" s="11"/>
      <c r="R575" s="11"/>
      <c r="S575" s="9">
        <v>574.0</v>
      </c>
      <c r="T575" s="11"/>
    </row>
    <row r="576" ht="15.75" customHeight="1">
      <c r="A576" s="7"/>
      <c r="B576" s="7"/>
      <c r="C576" s="7">
        <f>(S576*'Prestige Patterns'!$B$20)/60</f>
        <v>287.5</v>
      </c>
      <c r="D576" s="8">
        <f>if(L575=L576,N575*'Prestige Patterns'!$B$20+D575-F576,0)</f>
        <v>418782486965217</v>
      </c>
      <c r="E576" s="9">
        <f t="shared" si="2"/>
        <v>637</v>
      </c>
      <c r="F576" s="10">
        <f>'Prestige Patterns'!$B$5*('Prestige Patterns'!$B$6^E575-'Prestige Patterns'!$B$6^(E575+G576))/(1-'Prestige Patterns'!$B$6)</f>
        <v>342555304434427</v>
      </c>
      <c r="G576" s="13">
        <f>floor(LOG('Prestige Patterns'!$B$6^(E575) - (D575*(1-'Prestige Patterns'!$B$6)/'Prestige Patterns'!$B$5),'Prestige Patterns'!$B$6)-E575,1)</f>
        <v>3</v>
      </c>
      <c r="H576" s="12">
        <f t="shared" si="3"/>
        <v>90949</v>
      </c>
      <c r="I576" s="11">
        <f>1+H576*'Prestige Patterns'!$B$25</f>
        <v>910.49</v>
      </c>
      <c r="J576" s="12">
        <f>floor((K576/'Prestige Patterns'!$B$22)^'Prestige Patterns'!$B$23,1)-H575</f>
        <v>106491</v>
      </c>
      <c r="K576" s="8">
        <f>K575+N575*'Prestige Patterns'!$B$20</f>
        <v>3.89826E+15</v>
      </c>
      <c r="L576" s="8">
        <f>if(J575&gt;='Prestige Patterns'!$B$28,if(J575/(H575+1)&gt;('Prestige Patterns'!$B$27+1),L575+1,L575),L575)</f>
        <v>9</v>
      </c>
      <c r="N576" s="12">
        <f t="shared" si="1"/>
        <v>12163106838938</v>
      </c>
      <c r="O576" s="9">
        <f>'Prestige Patterns'!$B$4*E576</f>
        <v>12740</v>
      </c>
      <c r="P576" s="12">
        <f t="shared" si="4"/>
        <v>1048576</v>
      </c>
      <c r="Q576" s="11"/>
      <c r="R576" s="11"/>
      <c r="S576" s="9">
        <v>575.0</v>
      </c>
      <c r="T576" s="11"/>
    </row>
    <row r="577" ht="15.75" customHeight="1">
      <c r="A577" s="7"/>
      <c r="B577" s="7"/>
      <c r="C577" s="7">
        <f>(S577*'Prestige Patterns'!$B$20)/60</f>
        <v>288</v>
      </c>
      <c r="D577" s="8">
        <f>if(L576=L577,N576*'Prestige Patterns'!$B$20+D576-F577,0)</f>
        <v>387125107837442</v>
      </c>
      <c r="E577" s="9">
        <f t="shared" si="2"/>
        <v>640</v>
      </c>
      <c r="F577" s="10">
        <f>'Prestige Patterns'!$B$5*('Prestige Patterns'!$B$6^E576-'Prestige Patterns'!$B$6^(E576+G577))/(1-'Prestige Patterns'!$B$6)</f>
        <v>396550584295903</v>
      </c>
      <c r="G577" s="13">
        <f>floor(LOG('Prestige Patterns'!$B$6^(E576) - (D576*(1-'Prestige Patterns'!$B$6)/'Prestige Patterns'!$B$5),'Prestige Patterns'!$B$6)-E576,1)</f>
        <v>3</v>
      </c>
      <c r="H577" s="12">
        <f t="shared" si="3"/>
        <v>90949</v>
      </c>
      <c r="I577" s="11">
        <f>1+H577*'Prestige Patterns'!$B$25</f>
        <v>910.49</v>
      </c>
      <c r="J577" s="12">
        <f>floor((K577/'Prestige Patterns'!$B$22)^'Prestige Patterns'!$B$23,1)-H576</f>
        <v>115524</v>
      </c>
      <c r="K577" s="8">
        <f>K576+N576*'Prestige Patterns'!$B$20</f>
        <v>4.26315E+15</v>
      </c>
      <c r="L577" s="8">
        <f>if(J576&gt;='Prestige Patterns'!$B$28,if(J576/(H576+1)&gt;('Prestige Patterns'!$B$27+1),L576+1,L576),L576)</f>
        <v>9</v>
      </c>
      <c r="N577" s="12">
        <f t="shared" si="1"/>
        <v>12220389916672</v>
      </c>
      <c r="O577" s="9">
        <f>'Prestige Patterns'!$B$4*E577</f>
        <v>12800</v>
      </c>
      <c r="P577" s="12">
        <f t="shared" si="4"/>
        <v>1048576</v>
      </c>
      <c r="Q577" s="11"/>
      <c r="R577" s="11"/>
      <c r="S577" s="9">
        <v>576.0</v>
      </c>
      <c r="T577" s="11"/>
    </row>
    <row r="578" ht="15.75" customHeight="1">
      <c r="A578" s="7"/>
      <c r="B578" s="7"/>
      <c r="C578" s="7">
        <f>(S578*'Prestige Patterns'!$B$20)/60</f>
        <v>288.5</v>
      </c>
      <c r="D578" s="8">
        <f>if(L577=L578,N577*'Prestige Patterns'!$B$20+D577-F578,0)</f>
        <v>455222425068492</v>
      </c>
      <c r="E578" s="9">
        <f t="shared" si="2"/>
        <v>642</v>
      </c>
      <c r="F578" s="10">
        <f>'Prestige Patterns'!$B$5*('Prestige Patterns'!$B$6^E577-'Prestige Patterns'!$B$6^(E577+G578))/(1-'Prestige Patterns'!$B$6)</f>
        <v>298514380269110</v>
      </c>
      <c r="G578" s="13">
        <f>floor(LOG('Prestige Patterns'!$B$6^(E577) - (D577*(1-'Prestige Patterns'!$B$6)/'Prestige Patterns'!$B$5),'Prestige Patterns'!$B$6)-E577,1)</f>
        <v>2</v>
      </c>
      <c r="H578" s="12">
        <f t="shared" si="3"/>
        <v>90949</v>
      </c>
      <c r="I578" s="11">
        <f>1+H578*'Prestige Patterns'!$B$25</f>
        <v>910.49</v>
      </c>
      <c r="J578" s="12">
        <f>floor((K578/'Prestige Patterns'!$B$22)^'Prestige Patterns'!$B$23,1)-H577</f>
        <v>124219</v>
      </c>
      <c r="K578" s="8">
        <f>K577+N577*'Prestige Patterns'!$B$20</f>
        <v>4.62976E+15</v>
      </c>
      <c r="L578" s="8">
        <f>if(J577&gt;='Prestige Patterns'!$B$28,if(J577/(H577+1)&gt;('Prestige Patterns'!$B$27+1),L577+1,L577),L577)</f>
        <v>9</v>
      </c>
      <c r="N578" s="12">
        <f t="shared" si="1"/>
        <v>12258578635162</v>
      </c>
      <c r="O578" s="9">
        <f>'Prestige Patterns'!$B$4*E578</f>
        <v>12840</v>
      </c>
      <c r="P578" s="12">
        <f t="shared" si="4"/>
        <v>1048576</v>
      </c>
      <c r="Q578" s="11"/>
      <c r="R578" s="11"/>
      <c r="S578" s="9">
        <v>577.0</v>
      </c>
      <c r="T578" s="11"/>
    </row>
    <row r="579" ht="15.75" customHeight="1">
      <c r="A579" s="7"/>
      <c r="B579" s="7"/>
      <c r="C579" s="7">
        <f>(S579*'Prestige Patterns'!$B$20)/60</f>
        <v>289</v>
      </c>
      <c r="D579" s="8">
        <f>if(L578=L579,N578*'Prestige Patterns'!$B$20+D578-F579,0)</f>
        <v>493867679876647</v>
      </c>
      <c r="E579" s="9">
        <f t="shared" si="2"/>
        <v>644</v>
      </c>
      <c r="F579" s="10">
        <f>'Prestige Patterns'!$B$5*('Prestige Patterns'!$B$6^E578-'Prestige Patterns'!$B$6^(E578+G579))/(1-'Prestige Patterns'!$B$6)</f>
        <v>329112104246693</v>
      </c>
      <c r="G579" s="13">
        <f>floor(LOG('Prestige Patterns'!$B$6^(E578) - (D578*(1-'Prestige Patterns'!$B$6)/'Prestige Patterns'!$B$5),'Prestige Patterns'!$B$6)-E578,1)</f>
        <v>2</v>
      </c>
      <c r="H579" s="12">
        <f t="shared" si="3"/>
        <v>90949</v>
      </c>
      <c r="I579" s="11">
        <f>1+H579*'Prestige Patterns'!$B$25</f>
        <v>910.49</v>
      </c>
      <c r="J579" s="12">
        <f>floor((K579/'Prestige Patterns'!$B$22)^'Prestige Patterns'!$B$23,1)-H578</f>
        <v>132602</v>
      </c>
      <c r="K579" s="8">
        <f>K578+N578*'Prestige Patterns'!$B$20</f>
        <v>4.99752E+15</v>
      </c>
      <c r="L579" s="8">
        <f>if(J578&gt;='Prestige Patterns'!$B$28,if(J578/(H578+1)&gt;('Prestige Patterns'!$B$27+1),L578+1,L578),L578)</f>
        <v>9</v>
      </c>
      <c r="N579" s="12">
        <f t="shared" si="1"/>
        <v>12296767353651</v>
      </c>
      <c r="O579" s="9">
        <f>'Prestige Patterns'!$B$4*E579</f>
        <v>12880</v>
      </c>
      <c r="P579" s="12">
        <f t="shared" si="4"/>
        <v>1048576</v>
      </c>
      <c r="Q579" s="11"/>
      <c r="R579" s="11"/>
      <c r="S579" s="9">
        <v>578.0</v>
      </c>
      <c r="T579" s="11"/>
    </row>
    <row r="580" ht="15.75" customHeight="1">
      <c r="A580" s="7"/>
      <c r="B580" s="7"/>
      <c r="C580" s="7">
        <f>(S580*'Prestige Patterns'!$B$20)/60</f>
        <v>289.5</v>
      </c>
      <c r="D580" s="8">
        <f>if(L579=L580,N579*'Prestige Patterns'!$B$20+D579-F580,0)</f>
        <v>499924605554203</v>
      </c>
      <c r="E580" s="9">
        <f t="shared" si="2"/>
        <v>646</v>
      </c>
      <c r="F580" s="10">
        <f>'Prestige Patterns'!$B$5*('Prestige Patterns'!$B$6^E579-'Prestige Patterns'!$B$6^(E579+G580))/(1-'Prestige Patterns'!$B$6)</f>
        <v>362846094931980</v>
      </c>
      <c r="G580" s="13">
        <f>floor(LOG('Prestige Patterns'!$B$6^(E579) - (D579*(1-'Prestige Patterns'!$B$6)/'Prestige Patterns'!$B$5),'Prestige Patterns'!$B$6)-E579,1)</f>
        <v>2</v>
      </c>
      <c r="H580" s="12">
        <f t="shared" si="3"/>
        <v>90949</v>
      </c>
      <c r="I580" s="11">
        <f>1+H580*'Prestige Patterns'!$B$25</f>
        <v>910.49</v>
      </c>
      <c r="J580" s="12">
        <f>floor((K580/'Prestige Patterns'!$B$22)^'Prestige Patterns'!$B$23,1)-H579</f>
        <v>140706</v>
      </c>
      <c r="K580" s="8">
        <f>K579+N579*'Prestige Patterns'!$B$20</f>
        <v>5.36642E+15</v>
      </c>
      <c r="L580" s="8">
        <f>if(J579&gt;='Prestige Patterns'!$B$28,if(J579/(H579+1)&gt;('Prestige Patterns'!$B$27+1),L579+1,L579),L579)</f>
        <v>9</v>
      </c>
      <c r="N580" s="12">
        <f t="shared" si="1"/>
        <v>12334956072141</v>
      </c>
      <c r="O580" s="9">
        <f>'Prestige Patterns'!$B$4*E580</f>
        <v>12920</v>
      </c>
      <c r="P580" s="12">
        <f t="shared" si="4"/>
        <v>1048576</v>
      </c>
      <c r="Q580" s="11"/>
      <c r="R580" s="11"/>
      <c r="S580" s="9">
        <v>579.0</v>
      </c>
      <c r="T580" s="11"/>
    </row>
    <row r="581" ht="15.75" customHeight="1">
      <c r="A581" s="7"/>
      <c r="B581" s="7"/>
      <c r="C581" s="7">
        <f>(S581*'Prestige Patterns'!$B$20)/60</f>
        <v>290</v>
      </c>
      <c r="D581" s="8">
        <f>if(L580=L581,N580*'Prestige Patterns'!$B$20+D580-F581,0)</f>
        <v>0</v>
      </c>
      <c r="E581" s="9">
        <f t="shared" si="2"/>
        <v>1</v>
      </c>
      <c r="F581" s="10">
        <f>'Prestige Patterns'!$B$5*('Prestige Patterns'!$B$6^E580-'Prestige Patterns'!$B$6^(E580+G581))/(1-'Prestige Patterns'!$B$6)</f>
        <v>400037819662507</v>
      </c>
      <c r="G581" s="13">
        <f>floor(LOG('Prestige Patterns'!$B$6^(E580) - (D580*(1-'Prestige Patterns'!$B$6)/'Prestige Patterns'!$B$5),'Prestige Patterns'!$B$6)-E580,1)</f>
        <v>2</v>
      </c>
      <c r="H581" s="12">
        <f t="shared" si="3"/>
        <v>231655</v>
      </c>
      <c r="I581" s="11">
        <f>1+H581*'Prestige Patterns'!$B$25</f>
        <v>2317.55</v>
      </c>
      <c r="J581" s="12">
        <f>floor((K581/'Prestige Patterns'!$B$22)^'Prestige Patterns'!$B$23,1)-H580</f>
        <v>148560</v>
      </c>
      <c r="K581" s="8">
        <f>K580+N580*'Prestige Patterns'!$B$20</f>
        <v>5.73647E+15</v>
      </c>
      <c r="L581" s="8">
        <f>if(J580&gt;='Prestige Patterns'!$B$28,if(J580/(H580+1)&gt;('Prestige Patterns'!$B$27+1),L580+1,L580),L580)</f>
        <v>10</v>
      </c>
      <c r="N581" s="12">
        <f t="shared" si="1"/>
        <v>48602546176</v>
      </c>
      <c r="O581" s="9">
        <f>'Prestige Patterns'!$B$4*E581</f>
        <v>20</v>
      </c>
      <c r="P581" s="12">
        <f t="shared" si="4"/>
        <v>1048576</v>
      </c>
      <c r="Q581" s="11"/>
      <c r="R581" s="11"/>
      <c r="S581" s="9">
        <v>580.0</v>
      </c>
      <c r="T581" s="11"/>
    </row>
    <row r="582" ht="15.75" customHeight="1">
      <c r="A582" s="7"/>
      <c r="B582" s="7"/>
      <c r="C582" s="7">
        <f>(S582*'Prestige Patterns'!$B$20)/60</f>
        <v>290.5</v>
      </c>
      <c r="D582" s="8">
        <f>if(L581=L582,N581*'Prestige Patterns'!$B$20+D581-F582,0)</f>
        <v>1458076385280</v>
      </c>
      <c r="E582" s="9">
        <f t="shared" si="2"/>
        <v>1</v>
      </c>
      <c r="F582" s="10">
        <f>'Prestige Patterns'!$B$5*('Prestige Patterns'!$B$6^E581-'Prestige Patterns'!$B$6^(E581+G582))/(1-'Prestige Patterns'!$B$6)</f>
        <v>0</v>
      </c>
      <c r="G582" s="13">
        <f>floor(LOG('Prestige Patterns'!$B$6^(E581) - (D581*(1-'Prestige Patterns'!$B$6)/'Prestige Patterns'!$B$5),'Prestige Patterns'!$B$6)-E581,1)</f>
        <v>0</v>
      </c>
      <c r="H582" s="12">
        <f t="shared" si="3"/>
        <v>231655</v>
      </c>
      <c r="I582" s="11">
        <f>1+H582*'Prestige Patterns'!$B$25</f>
        <v>2317.55</v>
      </c>
      <c r="J582" s="12">
        <f>floor((K582/'Prestige Patterns'!$B$22)^'Prestige Patterns'!$B$23,1)-H581</f>
        <v>7884</v>
      </c>
      <c r="K582" s="8">
        <f>K581+N581*'Prestige Patterns'!$B$20</f>
        <v>5.73793E+15</v>
      </c>
      <c r="L582" s="8">
        <f>if(J581&gt;='Prestige Patterns'!$B$28,if(J581/(H581+1)&gt;('Prestige Patterns'!$B$27+1),L581+1,L581),L581)</f>
        <v>10</v>
      </c>
      <c r="N582" s="12">
        <f t="shared" si="1"/>
        <v>48602546176</v>
      </c>
      <c r="O582" s="9">
        <f>'Prestige Patterns'!$B$4*E582</f>
        <v>20</v>
      </c>
      <c r="P582" s="12">
        <f t="shared" si="4"/>
        <v>1048576</v>
      </c>
      <c r="Q582" s="11"/>
      <c r="R582" s="11"/>
      <c r="S582" s="9">
        <v>581.0</v>
      </c>
      <c r="T582" s="11"/>
    </row>
    <row r="583" ht="15.75" customHeight="1">
      <c r="A583" s="7"/>
      <c r="B583" s="7"/>
      <c r="C583" s="7">
        <f>(S583*'Prestige Patterns'!$B$20)/60</f>
        <v>291</v>
      </c>
      <c r="D583" s="8">
        <f>if(L582=L583,N582*'Prestige Patterns'!$B$20+D582-F583,0)</f>
        <v>1474997624617</v>
      </c>
      <c r="E583" s="9">
        <f t="shared" si="2"/>
        <v>484</v>
      </c>
      <c r="F583" s="10">
        <f>'Prestige Patterns'!$B$5*('Prestige Patterns'!$B$6^E582-'Prestige Patterns'!$B$6^(E582+G583))/(1-'Prestige Patterns'!$B$6)</f>
        <v>1441155145943</v>
      </c>
      <c r="G583" s="13">
        <f>floor(LOG('Prestige Patterns'!$B$6^(E582) - (D582*(1-'Prestige Patterns'!$B$6)/'Prestige Patterns'!$B$5),'Prestige Patterns'!$B$6)-E582,1)</f>
        <v>483</v>
      </c>
      <c r="H583" s="12">
        <f t="shared" si="3"/>
        <v>231655</v>
      </c>
      <c r="I583" s="11">
        <f>1+H583*'Prestige Patterns'!$B$25</f>
        <v>2317.55</v>
      </c>
      <c r="J583" s="12">
        <f>floor((K583/'Prestige Patterns'!$B$22)^'Prestige Patterns'!$B$23,1)-H582</f>
        <v>7915</v>
      </c>
      <c r="K583" s="8">
        <f>K582+N582*'Prestige Patterns'!$B$20</f>
        <v>5.73939E+15</v>
      </c>
      <c r="L583" s="8">
        <f>if(J582&gt;='Prestige Patterns'!$B$28,if(J582/(H582+1)&gt;('Prestige Patterns'!$B$27+1),L582+1,L582),L582)</f>
        <v>10</v>
      </c>
      <c r="N583" s="12">
        <f t="shared" si="1"/>
        <v>91889188864</v>
      </c>
      <c r="O583" s="9">
        <f>'Prestige Patterns'!$B$4*E583</f>
        <v>9680</v>
      </c>
      <c r="P583" s="12">
        <f t="shared" si="4"/>
        <v>4096</v>
      </c>
      <c r="Q583" s="11"/>
      <c r="R583" s="11"/>
      <c r="S583" s="9">
        <v>582.0</v>
      </c>
      <c r="T583" s="11"/>
    </row>
    <row r="584" ht="15.75" customHeight="1">
      <c r="A584" s="7"/>
      <c r="B584" s="7"/>
      <c r="C584" s="7">
        <f>(S584*'Prestige Patterns'!$B$20)/60</f>
        <v>291.5</v>
      </c>
      <c r="D584" s="8">
        <f>if(L583=L584,N583*'Prestige Patterns'!$B$20+D583-F584,0)</f>
        <v>2819439823251</v>
      </c>
      <c r="E584" s="9">
        <f t="shared" si="2"/>
        <v>498</v>
      </c>
      <c r="F584" s="10">
        <f>'Prestige Patterns'!$B$5*('Prestige Patterns'!$B$6^E583-'Prestige Patterns'!$B$6^(E583+G584))/(1-'Prestige Patterns'!$B$6)</f>
        <v>1412233467286</v>
      </c>
      <c r="G584" s="13">
        <f>floor(LOG('Prestige Patterns'!$B$6^(E583) - (D583*(1-'Prestige Patterns'!$B$6)/'Prestige Patterns'!$B$5),'Prestige Patterns'!$B$6)-E583,1)</f>
        <v>14</v>
      </c>
      <c r="H584" s="12">
        <f t="shared" si="3"/>
        <v>231655</v>
      </c>
      <c r="I584" s="11">
        <f>1+H584*'Prestige Patterns'!$B$25</f>
        <v>2317.55</v>
      </c>
      <c r="J584" s="12">
        <f>floor((K584/'Prestige Patterns'!$B$22)^'Prestige Patterns'!$B$23,1)-H583</f>
        <v>7972</v>
      </c>
      <c r="K584" s="8">
        <f>K583+N583*'Prestige Patterns'!$B$20</f>
        <v>5.74214E+15</v>
      </c>
      <c r="L584" s="8">
        <f>if(J583&gt;='Prestige Patterns'!$B$28,if(J583/(H583+1)&gt;('Prestige Patterns'!$B$27+1),L583+1,L583),L583)</f>
        <v>10</v>
      </c>
      <c r="N584" s="12">
        <f t="shared" si="1"/>
        <v>94547140608</v>
      </c>
      <c r="O584" s="9">
        <f>'Prestige Patterns'!$B$4*E584</f>
        <v>9960</v>
      </c>
      <c r="P584" s="12">
        <f t="shared" si="4"/>
        <v>4096</v>
      </c>
      <c r="Q584" s="11"/>
      <c r="R584" s="11"/>
      <c r="S584" s="9">
        <v>583.0</v>
      </c>
      <c r="T584" s="11"/>
    </row>
    <row r="585" ht="15.75" customHeight="1">
      <c r="A585" s="7"/>
      <c r="B585" s="7"/>
      <c r="C585" s="7">
        <f>(S585*'Prestige Patterns'!$B$20)/60</f>
        <v>292</v>
      </c>
      <c r="D585" s="8">
        <f>if(L584=L585,N584*'Prestige Patterns'!$B$20+D584-F585,0)</f>
        <v>2859728373825</v>
      </c>
      <c r="E585" s="9">
        <f t="shared" si="2"/>
        <v>512</v>
      </c>
      <c r="F585" s="10">
        <f>'Prestige Patterns'!$B$5*('Prestige Patterns'!$B$6^E584-'Prestige Patterns'!$B$6^(E584+G585))/(1-'Prestige Patterns'!$B$6)</f>
        <v>2796125667666</v>
      </c>
      <c r="G585" s="13">
        <f>floor(LOG('Prestige Patterns'!$B$6^(E584) - (D584*(1-'Prestige Patterns'!$B$6)/'Prestige Patterns'!$B$5),'Prestige Patterns'!$B$6)-E584,1)</f>
        <v>14</v>
      </c>
      <c r="H585" s="12">
        <f t="shared" si="3"/>
        <v>231655</v>
      </c>
      <c r="I585" s="11">
        <f>1+H585*'Prestige Patterns'!$B$25</f>
        <v>2317.55</v>
      </c>
      <c r="J585" s="12">
        <f>floor((K585/'Prestige Patterns'!$B$22)^'Prestige Patterns'!$B$23,1)-H584</f>
        <v>8031</v>
      </c>
      <c r="K585" s="8">
        <f>K584+N584*'Prestige Patterns'!$B$20</f>
        <v>5.74498E+15</v>
      </c>
      <c r="L585" s="8">
        <f>if(J584&gt;='Prestige Patterns'!$B$28,if(J584/(H584+1)&gt;('Prestige Patterns'!$B$27+1),L584+1,L584),L584)</f>
        <v>10</v>
      </c>
      <c r="N585" s="12">
        <f t="shared" si="1"/>
        <v>1555281477632</v>
      </c>
      <c r="O585" s="9">
        <f>'Prestige Patterns'!$B$4*E585</f>
        <v>10240</v>
      </c>
      <c r="P585" s="12">
        <f t="shared" si="4"/>
        <v>65536</v>
      </c>
      <c r="Q585" s="11"/>
      <c r="R585" s="11"/>
      <c r="S585" s="9">
        <v>584.0</v>
      </c>
      <c r="T585" s="11"/>
    </row>
    <row r="586" ht="15.75" customHeight="1">
      <c r="A586" s="7"/>
      <c r="B586" s="7"/>
      <c r="C586" s="7">
        <f>(S586*'Prestige Patterns'!$B$20)/60</f>
        <v>292.5</v>
      </c>
      <c r="D586" s="8">
        <f>if(L585=L586,N585*'Prestige Patterns'!$B$20+D585-F586,0)</f>
        <v>46820781354568</v>
      </c>
      <c r="E586" s="9">
        <f t="shared" si="2"/>
        <v>520</v>
      </c>
      <c r="F586" s="10">
        <f>'Prestige Patterns'!$B$5*('Prestige Patterns'!$B$6^E585-'Prestige Patterns'!$B$6^(E585+G586))/(1-'Prestige Patterns'!$B$6)</f>
        <v>2697391348217</v>
      </c>
      <c r="G586" s="13">
        <f>floor(LOG('Prestige Patterns'!$B$6^(E585) - (D585*(1-'Prestige Patterns'!$B$6)/'Prestige Patterns'!$B$5),'Prestige Patterns'!$B$6)-E585,1)</f>
        <v>8</v>
      </c>
      <c r="H586" s="12">
        <f t="shared" si="3"/>
        <v>231655</v>
      </c>
      <c r="I586" s="11">
        <f>1+H586*'Prestige Patterns'!$B$25</f>
        <v>2317.55</v>
      </c>
      <c r="J586" s="12">
        <f>floor((K586/'Prestige Patterns'!$B$22)^'Prestige Patterns'!$B$23,1)-H585</f>
        <v>9003</v>
      </c>
      <c r="K586" s="8">
        <f>K585+N585*'Prestige Patterns'!$B$20</f>
        <v>5.79164E+15</v>
      </c>
      <c r="L586" s="8">
        <f>if(J585&gt;='Prestige Patterns'!$B$28,if(J585/(H585+1)&gt;('Prestige Patterns'!$B$27+1),L585+1,L585),L585)</f>
        <v>10</v>
      </c>
      <c r="N586" s="12">
        <f t="shared" si="1"/>
        <v>1579582750720</v>
      </c>
      <c r="O586" s="9">
        <f>'Prestige Patterns'!$B$4*E586</f>
        <v>10400</v>
      </c>
      <c r="P586" s="12">
        <f t="shared" si="4"/>
        <v>65536</v>
      </c>
      <c r="Q586" s="11"/>
      <c r="R586" s="11"/>
      <c r="S586" s="9">
        <v>585.0</v>
      </c>
      <c r="T586" s="11"/>
    </row>
    <row r="587" ht="15.75" customHeight="1">
      <c r="A587" s="7"/>
      <c r="B587" s="7"/>
      <c r="C587" s="7">
        <f>(S587*'Prestige Patterns'!$B$20)/60</f>
        <v>293</v>
      </c>
      <c r="D587" s="8">
        <f>if(L586=L587,N586*'Prestige Patterns'!$B$20+D586-F587,0)</f>
        <v>49256193169118</v>
      </c>
      <c r="E587" s="9">
        <f t="shared" si="2"/>
        <v>558</v>
      </c>
      <c r="F587" s="10">
        <f>'Prestige Patterns'!$B$5*('Prestige Patterns'!$B$6^E586-'Prestige Patterns'!$B$6^(E586+G587))/(1-'Prestige Patterns'!$B$6)</f>
        <v>44952070707050</v>
      </c>
      <c r="G587" s="13">
        <f>floor(LOG('Prestige Patterns'!$B$6^(E586) - (D586*(1-'Prestige Patterns'!$B$6)/'Prestige Patterns'!$B$5),'Prestige Patterns'!$B$6)-E586,1)</f>
        <v>38</v>
      </c>
      <c r="H587" s="12">
        <f t="shared" si="3"/>
        <v>231655</v>
      </c>
      <c r="I587" s="11">
        <f>1+H587*'Prestige Patterns'!$B$25</f>
        <v>2317.55</v>
      </c>
      <c r="J587" s="12">
        <f>floor((K587/'Prestige Patterns'!$B$22)^'Prestige Patterns'!$B$23,1)-H586</f>
        <v>9985</v>
      </c>
      <c r="K587" s="8">
        <f>K586+N586*'Prestige Patterns'!$B$20</f>
        <v>5.83903E+15</v>
      </c>
      <c r="L587" s="8">
        <f>if(J586&gt;='Prestige Patterns'!$B$28,if(J586/(H586+1)&gt;('Prestige Patterns'!$B$27+1),L586+1,L586),L586)</f>
        <v>10</v>
      </c>
      <c r="N587" s="12">
        <f t="shared" si="1"/>
        <v>1695013797888</v>
      </c>
      <c r="O587" s="9">
        <f>'Prestige Patterns'!$B$4*E587</f>
        <v>11160</v>
      </c>
      <c r="P587" s="12">
        <f t="shared" si="4"/>
        <v>65536</v>
      </c>
      <c r="Q587" s="11"/>
      <c r="R587" s="11"/>
      <c r="S587" s="9">
        <v>586.0</v>
      </c>
      <c r="T587" s="11"/>
    </row>
    <row r="588" ht="15.75" customHeight="1">
      <c r="A588" s="7"/>
      <c r="B588" s="7"/>
      <c r="C588" s="7">
        <f>(S588*'Prestige Patterns'!$B$20)/60</f>
        <v>293.5</v>
      </c>
      <c r="D588" s="8">
        <f>if(L587=L588,N587*'Prestige Patterns'!$B$20+D587-F588,0)</f>
        <v>52902414426856</v>
      </c>
      <c r="E588" s="9">
        <f t="shared" si="2"/>
        <v>571</v>
      </c>
      <c r="F588" s="10">
        <f>'Prestige Patterns'!$B$5*('Prestige Patterns'!$B$6^E587-'Prestige Patterns'!$B$6^(E587+G588))/(1-'Prestige Patterns'!$B$6)</f>
        <v>47204192678903</v>
      </c>
      <c r="G588" s="13">
        <f>floor(LOG('Prestige Patterns'!$B$6^(E587) - (D587*(1-'Prestige Patterns'!$B$6)/'Prestige Patterns'!$B$5),'Prestige Patterns'!$B$6)-E587,1)</f>
        <v>13</v>
      </c>
      <c r="H588" s="12">
        <f t="shared" si="3"/>
        <v>231655</v>
      </c>
      <c r="I588" s="11">
        <f>1+H588*'Prestige Patterns'!$B$25</f>
        <v>2317.55</v>
      </c>
      <c r="J588" s="12">
        <f>floor((K588/'Prestige Patterns'!$B$22)^'Prestige Patterns'!$B$23,1)-H587</f>
        <v>11035</v>
      </c>
      <c r="K588" s="8">
        <f>K587+N587*'Prestige Patterns'!$B$20</f>
        <v>5.88988E+15</v>
      </c>
      <c r="L588" s="8">
        <f>if(J587&gt;='Prestige Patterns'!$B$28,if(J587/(H587+1)&gt;('Prestige Patterns'!$B$27+1),L587+1,L587),L587)</f>
        <v>10</v>
      </c>
      <c r="N588" s="12">
        <f t="shared" si="1"/>
        <v>1734503366656</v>
      </c>
      <c r="O588" s="9">
        <f>'Prestige Patterns'!$B$4*E588</f>
        <v>11420</v>
      </c>
      <c r="P588" s="12">
        <f t="shared" si="4"/>
        <v>65536</v>
      </c>
      <c r="Q588" s="11"/>
      <c r="R588" s="11"/>
      <c r="S588" s="9">
        <v>587.0</v>
      </c>
      <c r="T588" s="11"/>
    </row>
    <row r="589" ht="15.75" customHeight="1">
      <c r="A589" s="7"/>
      <c r="B589" s="7"/>
      <c r="C589" s="7">
        <f>(S589*'Prestige Patterns'!$B$20)/60</f>
        <v>294</v>
      </c>
      <c r="D589" s="8">
        <f>if(L588=L589,N588*'Prestige Patterns'!$B$20+D588-F589,0)</f>
        <v>56951730262201</v>
      </c>
      <c r="E589" s="9">
        <f t="shared" si="2"/>
        <v>579</v>
      </c>
      <c r="F589" s="10">
        <f>'Prestige Patterns'!$B$5*('Prestige Patterns'!$B$6^E588-'Prestige Patterns'!$B$6^(E588+G589))/(1-'Prestige Patterns'!$B$6)</f>
        <v>47985785164335</v>
      </c>
      <c r="G589" s="13">
        <f>floor(LOG('Prestige Patterns'!$B$6^(E588) - (D588*(1-'Prestige Patterns'!$B$6)/'Prestige Patterns'!$B$5),'Prestige Patterns'!$B$6)-E588,1)</f>
        <v>8</v>
      </c>
      <c r="H589" s="12">
        <f t="shared" si="3"/>
        <v>231655</v>
      </c>
      <c r="I589" s="11">
        <f>1+H589*'Prestige Patterns'!$B$25</f>
        <v>2317.55</v>
      </c>
      <c r="J589" s="12">
        <f>floor((K589/'Prestige Patterns'!$B$22)^'Prestige Patterns'!$B$23,1)-H588</f>
        <v>12105</v>
      </c>
      <c r="K589" s="8">
        <f>K588+N588*'Prestige Patterns'!$B$20</f>
        <v>5.94191E+15</v>
      </c>
      <c r="L589" s="8">
        <f>if(J588&gt;='Prestige Patterns'!$B$28,if(J588/(H588+1)&gt;('Prestige Patterns'!$B$27+1),L588+1,L588),L588)</f>
        <v>10</v>
      </c>
      <c r="N589" s="12">
        <f t="shared" si="1"/>
        <v>1758804639744</v>
      </c>
      <c r="O589" s="9">
        <f>'Prestige Patterns'!$B$4*E589</f>
        <v>11580</v>
      </c>
      <c r="P589" s="12">
        <f t="shared" si="4"/>
        <v>65536</v>
      </c>
      <c r="Q589" s="11"/>
      <c r="R589" s="11"/>
      <c r="S589" s="9">
        <v>588.0</v>
      </c>
      <c r="T589" s="11"/>
    </row>
    <row r="590" ht="15.75" customHeight="1">
      <c r="A590" s="7"/>
      <c r="B590" s="7"/>
      <c r="C590" s="7">
        <f>(S590*'Prestige Patterns'!$B$20)/60</f>
        <v>294.5</v>
      </c>
      <c r="D590" s="8">
        <f>if(L589=L590,N589*'Prestige Patterns'!$B$20+D589-F590,0)</f>
        <v>59215423457113</v>
      </c>
      <c r="E590" s="9">
        <f t="shared" si="2"/>
        <v>585</v>
      </c>
      <c r="F590" s="10">
        <f>'Prestige Patterns'!$B$5*('Prestige Patterns'!$B$6^E589-'Prestige Patterns'!$B$6^(E589+G590))/(1-'Prestige Patterns'!$B$6)</f>
        <v>50500445997408</v>
      </c>
      <c r="G590" s="13">
        <f>floor(LOG('Prestige Patterns'!$B$6^(E589) - (D589*(1-'Prestige Patterns'!$B$6)/'Prestige Patterns'!$B$5),'Prestige Patterns'!$B$6)-E589,1)</f>
        <v>6</v>
      </c>
      <c r="H590" s="12">
        <f t="shared" si="3"/>
        <v>231655</v>
      </c>
      <c r="I590" s="11">
        <f>1+H590*'Prestige Patterns'!$B$25</f>
        <v>2317.55</v>
      </c>
      <c r="J590" s="12">
        <f>floor((K590/'Prestige Patterns'!$B$22)^'Prestige Patterns'!$B$23,1)-H589</f>
        <v>13185</v>
      </c>
      <c r="K590" s="8">
        <f>K589+N589*'Prestige Patterns'!$B$20</f>
        <v>5.99468E+15</v>
      </c>
      <c r="L590" s="8">
        <f>if(J589&gt;='Prestige Patterns'!$B$28,if(J589/(H589+1)&gt;('Prestige Patterns'!$B$27+1),L589+1,L589),L589)</f>
        <v>10</v>
      </c>
      <c r="N590" s="12">
        <f t="shared" si="1"/>
        <v>1777030594560</v>
      </c>
      <c r="O590" s="9">
        <f>'Prestige Patterns'!$B$4*E590</f>
        <v>11700</v>
      </c>
      <c r="P590" s="12">
        <f t="shared" si="4"/>
        <v>65536</v>
      </c>
      <c r="Q590" s="11"/>
      <c r="R590" s="11"/>
      <c r="S590" s="9">
        <v>589.0</v>
      </c>
      <c r="T590" s="11"/>
    </row>
    <row r="591" ht="15.75" customHeight="1">
      <c r="A591" s="7"/>
      <c r="B591" s="7"/>
      <c r="C591" s="7">
        <f>(S591*'Prestige Patterns'!$B$20)/60</f>
        <v>295</v>
      </c>
      <c r="D591" s="8">
        <f>if(L590=L591,N590*'Prestige Patterns'!$B$20+D590-F591,0)</f>
        <v>57549238892104</v>
      </c>
      <c r="E591" s="9">
        <f t="shared" si="2"/>
        <v>590</v>
      </c>
      <c r="F591" s="10">
        <f>'Prestige Patterns'!$B$5*('Prestige Patterns'!$B$6^E590-'Prestige Patterns'!$B$6^(E590+G591))/(1-'Prestige Patterns'!$B$6)</f>
        <v>54977102401809</v>
      </c>
      <c r="G591" s="13">
        <f>floor(LOG('Prestige Patterns'!$B$6^(E590) - (D590*(1-'Prestige Patterns'!$B$6)/'Prestige Patterns'!$B$5),'Prestige Patterns'!$B$6)-E590,1)</f>
        <v>5</v>
      </c>
      <c r="H591" s="12">
        <f t="shared" si="3"/>
        <v>231655</v>
      </c>
      <c r="I591" s="11">
        <f>1+H591*'Prestige Patterns'!$B$25</f>
        <v>2317.55</v>
      </c>
      <c r="J591" s="12">
        <f>floor((K591/'Prestige Patterns'!$B$22)^'Prestige Patterns'!$B$23,1)-H590</f>
        <v>14271</v>
      </c>
      <c r="K591" s="8">
        <f>K590+N590*'Prestige Patterns'!$B$20</f>
        <v>6.04799E+15</v>
      </c>
      <c r="L591" s="8">
        <f>if(J590&gt;='Prestige Patterns'!$B$28,if(J590/(H590+1)&gt;('Prestige Patterns'!$B$27+1),L590+1,L590),L590)</f>
        <v>10</v>
      </c>
      <c r="N591" s="12">
        <f t="shared" si="1"/>
        <v>1792218890240</v>
      </c>
      <c r="O591" s="9">
        <f>'Prestige Patterns'!$B$4*E591</f>
        <v>11800</v>
      </c>
      <c r="P591" s="12">
        <f t="shared" si="4"/>
        <v>65536</v>
      </c>
      <c r="Q591" s="11"/>
      <c r="R591" s="11"/>
      <c r="S591" s="9">
        <v>590.0</v>
      </c>
      <c r="T591" s="11"/>
    </row>
    <row r="592" ht="15.75" customHeight="1">
      <c r="A592" s="7"/>
      <c r="B592" s="7"/>
      <c r="C592" s="7">
        <f>(S592*'Prestige Patterns'!$B$20)/60</f>
        <v>295.5</v>
      </c>
      <c r="D592" s="8">
        <f>if(L591=L592,N591*'Prestige Patterns'!$B$20+D591-F592,0)</f>
        <v>56584437002953</v>
      </c>
      <c r="E592" s="9">
        <f t="shared" si="2"/>
        <v>594</v>
      </c>
      <c r="F592" s="10">
        <f>'Prestige Patterns'!$B$5*('Prestige Patterns'!$B$6^E591-'Prestige Patterns'!$B$6^(E591+G592))/(1-'Prestige Patterns'!$B$6)</f>
        <v>54731368596351</v>
      </c>
      <c r="G592" s="13">
        <f>floor(LOG('Prestige Patterns'!$B$6^(E591) - (D591*(1-'Prestige Patterns'!$B$6)/'Prestige Patterns'!$B$5),'Prestige Patterns'!$B$6)-E591,1)</f>
        <v>4</v>
      </c>
      <c r="H592" s="12">
        <f t="shared" si="3"/>
        <v>231655</v>
      </c>
      <c r="I592" s="11">
        <f>1+H592*'Prestige Patterns'!$B$25</f>
        <v>2317.55</v>
      </c>
      <c r="J592" s="12">
        <f>floor((K592/'Prestige Patterns'!$B$22)^'Prestige Patterns'!$B$23,1)-H591</f>
        <v>15362</v>
      </c>
      <c r="K592" s="8">
        <f>K591+N591*'Prestige Patterns'!$B$20</f>
        <v>6.10175E+15</v>
      </c>
      <c r="L592" s="8">
        <f>if(J591&gt;='Prestige Patterns'!$B$28,if(J591/(H591+1)&gt;('Prestige Patterns'!$B$27+1),L591+1,L591),L591)</f>
        <v>10</v>
      </c>
      <c r="N592" s="12">
        <f t="shared" si="1"/>
        <v>1804369526784</v>
      </c>
      <c r="O592" s="9">
        <f>'Prestige Patterns'!$B$4*E592</f>
        <v>11880</v>
      </c>
      <c r="P592" s="12">
        <f t="shared" si="4"/>
        <v>65536</v>
      </c>
      <c r="Q592" s="11"/>
      <c r="R592" s="11"/>
      <c r="S592" s="9">
        <v>591.0</v>
      </c>
      <c r="T592" s="11"/>
    </row>
    <row r="593" ht="15.75" customHeight="1">
      <c r="A593" s="7"/>
      <c r="B593" s="7"/>
      <c r="C593" s="7">
        <f>(S593*'Prestige Patterns'!$B$20)/60</f>
        <v>296</v>
      </c>
      <c r="D593" s="8">
        <f>if(L592=L593,N592*'Prestige Patterns'!$B$20+D592-F593,0)</f>
        <v>62057020862505</v>
      </c>
      <c r="E593" s="9">
        <f t="shared" si="2"/>
        <v>597</v>
      </c>
      <c r="F593" s="10">
        <f>'Prestige Patterns'!$B$5*('Prestige Patterns'!$B$6^E592-'Prestige Patterns'!$B$6^(E592+G593))/(1-'Prestige Patterns'!$B$6)</f>
        <v>48658501943968</v>
      </c>
      <c r="G593" s="13">
        <f>floor(LOG('Prestige Patterns'!$B$6^(E592) - (D592*(1-'Prestige Patterns'!$B$6)/'Prestige Patterns'!$B$5),'Prestige Patterns'!$B$6)-E592,1)</f>
        <v>3</v>
      </c>
      <c r="H593" s="12">
        <f t="shared" si="3"/>
        <v>231655</v>
      </c>
      <c r="I593" s="11">
        <f>1+H593*'Prestige Patterns'!$B$25</f>
        <v>2317.55</v>
      </c>
      <c r="J593" s="12">
        <f>floor((K593/'Prestige Patterns'!$B$22)^'Prestige Patterns'!$B$23,1)-H592</f>
        <v>16455</v>
      </c>
      <c r="K593" s="8">
        <f>K592+N592*'Prestige Patterns'!$B$20</f>
        <v>6.15588E+15</v>
      </c>
      <c r="L593" s="8">
        <f>if(J592&gt;='Prestige Patterns'!$B$28,if(J592/(H592+1)&gt;('Prestige Patterns'!$B$27+1),L592+1,L592),L592)</f>
        <v>10</v>
      </c>
      <c r="N593" s="12">
        <f t="shared" si="1"/>
        <v>1813482504192</v>
      </c>
      <c r="O593" s="9">
        <f>'Prestige Patterns'!$B$4*E593</f>
        <v>11940</v>
      </c>
      <c r="P593" s="12">
        <f t="shared" si="4"/>
        <v>65536</v>
      </c>
      <c r="Q593" s="11"/>
      <c r="R593" s="11"/>
      <c r="S593" s="9">
        <v>592.0</v>
      </c>
      <c r="T593" s="11"/>
    </row>
    <row r="594" ht="15.75" customHeight="1">
      <c r="A594" s="7"/>
      <c r="B594" s="7"/>
      <c r="C594" s="7">
        <f>(S594*'Prestige Patterns'!$B$20)/60</f>
        <v>296.5</v>
      </c>
      <c r="D594" s="8">
        <f>if(L593=L594,N593*'Prestige Patterns'!$B$20+D593-F594,0)</f>
        <v>60133197675380</v>
      </c>
      <c r="E594" s="9">
        <f t="shared" si="2"/>
        <v>600</v>
      </c>
      <c r="F594" s="10">
        <f>'Prestige Patterns'!$B$5*('Prestige Patterns'!$B$6^E593-'Prestige Patterns'!$B$6^(E593+G594))/(1-'Prestige Patterns'!$B$6)</f>
        <v>56328298312885</v>
      </c>
      <c r="G594" s="13">
        <f>floor(LOG('Prestige Patterns'!$B$6^(E593) - (D593*(1-'Prestige Patterns'!$B$6)/'Prestige Patterns'!$B$5),'Prestige Patterns'!$B$6)-E593,1)</f>
        <v>3</v>
      </c>
      <c r="H594" s="12">
        <f t="shared" si="3"/>
        <v>231655</v>
      </c>
      <c r="I594" s="11">
        <f>1+H594*'Prestige Patterns'!$B$25</f>
        <v>2317.55</v>
      </c>
      <c r="J594" s="12">
        <f>floor((K594/'Prestige Patterns'!$B$22)^'Prestige Patterns'!$B$23,1)-H593</f>
        <v>17549</v>
      </c>
      <c r="K594" s="8">
        <f>K593+N593*'Prestige Patterns'!$B$20</f>
        <v>6.21029E+15</v>
      </c>
      <c r="L594" s="8">
        <f>if(J593&gt;='Prestige Patterns'!$B$28,if(J593/(H593+1)&gt;('Prestige Patterns'!$B$27+1),L593+1,L593),L593)</f>
        <v>10</v>
      </c>
      <c r="N594" s="12">
        <f t="shared" si="1"/>
        <v>29161527705600</v>
      </c>
      <c r="O594" s="9">
        <f>'Prestige Patterns'!$B$4*E594</f>
        <v>12000</v>
      </c>
      <c r="P594" s="12">
        <f t="shared" si="4"/>
        <v>1048576</v>
      </c>
      <c r="Q594" s="11"/>
      <c r="R594" s="11"/>
      <c r="S594" s="9">
        <v>593.0</v>
      </c>
      <c r="T594" s="11"/>
    </row>
    <row r="595" ht="15.75" customHeight="1">
      <c r="A595" s="7"/>
      <c r="B595" s="7"/>
      <c r="C595" s="7">
        <f>(S595*'Prestige Patterns'!$B$20)/60</f>
        <v>297</v>
      </c>
      <c r="D595" s="8">
        <f>if(L594=L595,N594*'Prestige Patterns'!$B$20+D594-F595,0)</f>
        <v>892576350021610</v>
      </c>
      <c r="E595" s="9">
        <f t="shared" si="2"/>
        <v>602</v>
      </c>
      <c r="F595" s="10">
        <f>'Prestige Patterns'!$B$5*('Prestige Patterns'!$B$6^E594-'Prestige Patterns'!$B$6^(E594+G595))/(1-'Prestige Patterns'!$B$6)</f>
        <v>42402678821770</v>
      </c>
      <c r="G595" s="13">
        <f>floor(LOG('Prestige Patterns'!$B$6^(E594) - (D594*(1-'Prestige Patterns'!$B$6)/'Prestige Patterns'!$B$5),'Prestige Patterns'!$B$6)-E594,1)</f>
        <v>2</v>
      </c>
      <c r="H595" s="12">
        <f t="shared" si="3"/>
        <v>231655</v>
      </c>
      <c r="I595" s="11">
        <f>1+H595*'Prestige Patterns'!$B$25</f>
        <v>2317.55</v>
      </c>
      <c r="J595" s="12">
        <f>floor((K595/'Prestige Patterns'!$B$22)^'Prestige Patterns'!$B$23,1)-H594</f>
        <v>34524</v>
      </c>
      <c r="K595" s="8">
        <f>K594+N594*'Prestige Patterns'!$B$20</f>
        <v>7.08513E+15</v>
      </c>
      <c r="L595" s="8">
        <f>if(J594&gt;='Prestige Patterns'!$B$28,if(J594/(H594+1)&gt;('Prestige Patterns'!$B$27+1),L594+1,L594),L594)</f>
        <v>10</v>
      </c>
      <c r="N595" s="12">
        <f t="shared" si="1"/>
        <v>29258732797952</v>
      </c>
      <c r="O595" s="9">
        <f>'Prestige Patterns'!$B$4*E595</f>
        <v>12040</v>
      </c>
      <c r="P595" s="12">
        <f t="shared" si="4"/>
        <v>1048576</v>
      </c>
      <c r="Q595" s="11"/>
      <c r="R595" s="11"/>
      <c r="S595" s="9">
        <v>594.0</v>
      </c>
      <c r="T595" s="11"/>
    </row>
    <row r="596" ht="15.75" customHeight="1">
      <c r="A596" s="7"/>
      <c r="B596" s="7"/>
      <c r="C596" s="7">
        <f>(S596*'Prestige Patterns'!$B$20)/60</f>
        <v>297.5</v>
      </c>
      <c r="D596" s="8">
        <f>if(L595=L596,N595*'Prestige Patterns'!$B$20+D595-F596,0)</f>
        <v>892251273663589</v>
      </c>
      <c r="E596" s="9">
        <f t="shared" si="2"/>
        <v>624</v>
      </c>
      <c r="F596" s="10">
        <f>'Prestige Patterns'!$B$5*('Prestige Patterns'!$B$6^E595-'Prestige Patterns'!$B$6^(E595+G596))/(1-'Prestige Patterns'!$B$6)</f>
        <v>878087060296581</v>
      </c>
      <c r="G596" s="13">
        <f>floor(LOG('Prestige Patterns'!$B$6^(E595) - (D595*(1-'Prestige Patterns'!$B$6)/'Prestige Patterns'!$B$5),'Prestige Patterns'!$B$6)-E595,1)</f>
        <v>22</v>
      </c>
      <c r="H596" s="12">
        <f t="shared" si="3"/>
        <v>231655</v>
      </c>
      <c r="I596" s="11">
        <f>1+H596*'Prestige Patterns'!$B$25</f>
        <v>2317.55</v>
      </c>
      <c r="J596" s="12">
        <f>floor((K596/'Prestige Patterns'!$B$22)^'Prestige Patterns'!$B$23,1)-H595</f>
        <v>50531</v>
      </c>
      <c r="K596" s="8">
        <f>K595+N595*'Prestige Patterns'!$B$20</f>
        <v>7.9629E+15</v>
      </c>
      <c r="L596" s="8">
        <f>if(J595&gt;='Prestige Patterns'!$B$28,if(J595/(H595+1)&gt;('Prestige Patterns'!$B$27+1),L595+1,L595),L595)</f>
        <v>10</v>
      </c>
      <c r="N596" s="12">
        <f t="shared" si="1"/>
        <v>30327988813824</v>
      </c>
      <c r="O596" s="9">
        <f>'Prestige Patterns'!$B$4*E596</f>
        <v>12480</v>
      </c>
      <c r="P596" s="12">
        <f t="shared" si="4"/>
        <v>1048576</v>
      </c>
      <c r="Q596" s="11"/>
      <c r="R596" s="11"/>
      <c r="S596" s="9">
        <v>595.0</v>
      </c>
      <c r="T596" s="11"/>
    </row>
    <row r="597" ht="15.75" customHeight="1">
      <c r="A597" s="7"/>
      <c r="B597" s="7"/>
      <c r="C597" s="7">
        <f>(S597*'Prestige Patterns'!$B$20)/60</f>
        <v>298</v>
      </c>
      <c r="D597" s="8">
        <f>if(L596=L597,N596*'Prestige Patterns'!$B$20+D596-F597,0)</f>
        <v>963035820099292</v>
      </c>
      <c r="E597" s="9">
        <f t="shared" si="2"/>
        <v>634</v>
      </c>
      <c r="F597" s="10">
        <f>'Prestige Patterns'!$B$5*('Prestige Patterns'!$B$6^E596-'Prestige Patterns'!$B$6^(E596+G597))/(1-'Prestige Patterns'!$B$6)</f>
        <v>839055117979017</v>
      </c>
      <c r="G597" s="13">
        <f>floor(LOG('Prestige Patterns'!$B$6^(E596) - (D596*(1-'Prestige Patterns'!$B$6)/'Prestige Patterns'!$B$5),'Prestige Patterns'!$B$6)-E596,1)</f>
        <v>10</v>
      </c>
      <c r="H597" s="12">
        <f t="shared" si="3"/>
        <v>231655</v>
      </c>
      <c r="I597" s="11">
        <f>1+H597*'Prestige Patterns'!$B$25</f>
        <v>2317.55</v>
      </c>
      <c r="J597" s="12">
        <f>floor((K597/'Prestige Patterns'!$B$22)^'Prestige Patterns'!$B$23,1)-H596</f>
        <v>66216</v>
      </c>
      <c r="K597" s="8">
        <f>K596+N596*'Prestige Patterns'!$B$20</f>
        <v>8.87274E+15</v>
      </c>
      <c r="L597" s="8">
        <f>if(J596&gt;='Prestige Patterns'!$B$28,if(J596/(H596+1)&gt;('Prestige Patterns'!$B$27+1),L596+1,L596),L596)</f>
        <v>10</v>
      </c>
      <c r="N597" s="12">
        <f t="shared" si="1"/>
        <v>30814014275584</v>
      </c>
      <c r="O597" s="9">
        <f>'Prestige Patterns'!$B$4*E597</f>
        <v>12680</v>
      </c>
      <c r="P597" s="12">
        <f t="shared" si="4"/>
        <v>1048576</v>
      </c>
      <c r="Q597" s="11"/>
      <c r="R597" s="11"/>
      <c r="S597" s="9">
        <v>596.0</v>
      </c>
      <c r="T597" s="11"/>
    </row>
    <row r="598" ht="15.75" customHeight="1">
      <c r="A598" s="7"/>
      <c r="B598" s="7"/>
      <c r="C598" s="7">
        <f>(S598*'Prestige Patterns'!$B$20)/60</f>
        <v>298.5</v>
      </c>
      <c r="D598" s="8">
        <f>if(L597=L598,N597*'Prestige Patterns'!$B$20+D597-F598,0)</f>
        <v>1.00273E+15</v>
      </c>
      <c r="E598" s="9">
        <f t="shared" si="2"/>
        <v>641</v>
      </c>
      <c r="F598" s="10">
        <f>'Prestige Patterns'!$B$5*('Prestige Patterns'!$B$6^E597-'Prestige Patterns'!$B$6^(E597+G598))/(1-'Prestige Patterns'!$B$6)</f>
        <v>884722659593311</v>
      </c>
      <c r="G598" s="13">
        <f>floor(LOG('Prestige Patterns'!$B$6^(E597) - (D597*(1-'Prestige Patterns'!$B$6)/'Prestige Patterns'!$B$5),'Prestige Patterns'!$B$6)-E597,1)</f>
        <v>7</v>
      </c>
      <c r="H598" s="12">
        <f t="shared" si="3"/>
        <v>231655</v>
      </c>
      <c r="I598" s="11">
        <f>1+H598*'Prestige Patterns'!$B$25</f>
        <v>2317.55</v>
      </c>
      <c r="J598" s="12">
        <f>floor((K598/'Prestige Patterns'!$B$22)^'Prestige Patterns'!$B$23,1)-H597</f>
        <v>81349</v>
      </c>
      <c r="K598" s="8">
        <f>K597+N597*'Prestige Patterns'!$B$20</f>
        <v>9.79716E+15</v>
      </c>
      <c r="L598" s="8">
        <f>if(J597&gt;='Prestige Patterns'!$B$28,if(J597/(H597+1)&gt;('Prestige Patterns'!$B$27+1),L597+1,L597),L597)</f>
        <v>10</v>
      </c>
      <c r="N598" s="12">
        <f t="shared" si="1"/>
        <v>31154232098816</v>
      </c>
      <c r="O598" s="9">
        <f>'Prestige Patterns'!$B$4*E598</f>
        <v>12820</v>
      </c>
      <c r="P598" s="12">
        <f t="shared" si="4"/>
        <v>1048576</v>
      </c>
      <c r="Q598" s="11"/>
      <c r="R598" s="11"/>
      <c r="S598" s="9">
        <v>597.0</v>
      </c>
      <c r="T598" s="11"/>
    </row>
    <row r="599" ht="15.75" customHeight="1">
      <c r="A599" s="7"/>
      <c r="B599" s="7"/>
      <c r="C599" s="7">
        <f>(S599*'Prestige Patterns'!$B$20)/60</f>
        <v>299</v>
      </c>
      <c r="D599" s="8">
        <f>if(L598=L599,N598*'Prestige Patterns'!$B$20+D598-F599,0)</f>
        <v>1.0925E+15</v>
      </c>
      <c r="E599" s="9">
        <f t="shared" si="2"/>
        <v>646</v>
      </c>
      <c r="F599" s="10">
        <f>'Prestige Patterns'!$B$5*('Prestige Patterns'!$B$6^E598-'Prestige Patterns'!$B$6^(E598+G599))/(1-'Prestige Patterns'!$B$6)</f>
        <v>844855808584802</v>
      </c>
      <c r="G599" s="13">
        <f>floor(LOG('Prestige Patterns'!$B$6^(E598) - (D598*(1-'Prestige Patterns'!$B$6)/'Prestige Patterns'!$B$5),'Prestige Patterns'!$B$6)-E598,1)</f>
        <v>5</v>
      </c>
      <c r="H599" s="12">
        <f t="shared" si="3"/>
        <v>231655</v>
      </c>
      <c r="I599" s="11">
        <f>1+H599*'Prestige Patterns'!$B$25</f>
        <v>2317.55</v>
      </c>
      <c r="J599" s="12">
        <f>floor((K599/'Prestige Patterns'!$B$22)^'Prestige Patterns'!$B$23,1)-H598</f>
        <v>95939</v>
      </c>
      <c r="K599" s="8">
        <f>K598+N598*'Prestige Patterns'!$B$20</f>
        <v>1.07318E+16</v>
      </c>
      <c r="L599" s="8">
        <f>if(J598&gt;='Prestige Patterns'!$B$28,if(J598/(H598+1)&gt;('Prestige Patterns'!$B$27+1),L598+1,L598),L598)</f>
        <v>10</v>
      </c>
      <c r="N599" s="12">
        <f t="shared" si="1"/>
        <v>31397244829696</v>
      </c>
      <c r="O599" s="9">
        <f>'Prestige Patterns'!$B$4*E599</f>
        <v>12920</v>
      </c>
      <c r="P599" s="12">
        <f t="shared" si="4"/>
        <v>1048576</v>
      </c>
      <c r="Q599" s="11"/>
      <c r="R599" s="11"/>
      <c r="S599" s="9">
        <v>598.0</v>
      </c>
      <c r="T599" s="11"/>
    </row>
    <row r="600" ht="15.75" customHeight="1">
      <c r="A600" s="7"/>
      <c r="B600" s="7"/>
      <c r="C600" s="7">
        <f>(S600*'Prestige Patterns'!$B$20)/60</f>
        <v>299.5</v>
      </c>
      <c r="D600" s="8">
        <f>if(L599=L600,N599*'Prestige Patterns'!$B$20+D599-F600,0)</f>
        <v>956148196576248</v>
      </c>
      <c r="E600" s="9">
        <f t="shared" si="2"/>
        <v>651</v>
      </c>
      <c r="F600" s="10">
        <f>'Prestige Patterns'!$B$5*('Prestige Patterns'!$B$6^E599-'Prestige Patterns'!$B$6^(E599+G600))/(1-'Prestige Patterns'!$B$6)</f>
        <v>1.07827E+15</v>
      </c>
      <c r="G600" s="13">
        <f>floor(LOG('Prestige Patterns'!$B$6^(E599) - (D599*(1-'Prestige Patterns'!$B$6)/'Prestige Patterns'!$B$5),'Prestige Patterns'!$B$6)-E599,1)</f>
        <v>5</v>
      </c>
      <c r="H600" s="12">
        <f t="shared" si="3"/>
        <v>231655</v>
      </c>
      <c r="I600" s="11">
        <f>1+H600*'Prestige Patterns'!$B$25</f>
        <v>2317.55</v>
      </c>
      <c r="J600" s="12">
        <f>floor((K600/'Prestige Patterns'!$B$22)^'Prestige Patterns'!$B$23,1)-H599</f>
        <v>110012</v>
      </c>
      <c r="K600" s="8">
        <f>K599+N599*'Prestige Patterns'!$B$20</f>
        <v>1.16737E+16</v>
      </c>
      <c r="L600" s="8">
        <f>if(J599&gt;='Prestige Patterns'!$B$28,if(J599/(H599+1)&gt;('Prestige Patterns'!$B$27+1),L599+1,L599),L599)</f>
        <v>10</v>
      </c>
      <c r="N600" s="12">
        <f t="shared" si="1"/>
        <v>31640257560576</v>
      </c>
      <c r="O600" s="9">
        <f>'Prestige Patterns'!$B$4*E600</f>
        <v>13020</v>
      </c>
      <c r="P600" s="12">
        <f t="shared" si="4"/>
        <v>1048576</v>
      </c>
      <c r="Q600" s="11"/>
      <c r="R600" s="11"/>
      <c r="S600" s="9">
        <v>599.0</v>
      </c>
      <c r="T600" s="11"/>
    </row>
    <row r="601" ht="15.75" customHeight="1">
      <c r="A601" s="7"/>
      <c r="B601" s="7"/>
      <c r="C601" s="7">
        <f>(S601*'Prestige Patterns'!$B$20)/60</f>
        <v>300</v>
      </c>
      <c r="D601" s="8">
        <f>if(L600=L601,N600*'Prestige Patterns'!$B$20+D600-F601,0)</f>
        <v>1.12021E+15</v>
      </c>
      <c r="E601" s="9">
        <f t="shared" si="2"/>
        <v>654</v>
      </c>
      <c r="F601" s="10">
        <f>'Prestige Patterns'!$B$5*('Prestige Patterns'!$B$6^E600-'Prestige Patterns'!$B$6^(E600+G601))/(1-'Prestige Patterns'!$B$6)</f>
        <v>785143032623616</v>
      </c>
      <c r="G601" s="13">
        <f>floor(LOG('Prestige Patterns'!$B$6^(E600) - (D600*(1-'Prestige Patterns'!$B$6)/'Prestige Patterns'!$B$5),'Prestige Patterns'!$B$6)-E600,1)</f>
        <v>3</v>
      </c>
      <c r="H601" s="12">
        <f t="shared" si="3"/>
        <v>231655</v>
      </c>
      <c r="I601" s="11">
        <f>1+H601*'Prestige Patterns'!$B$25</f>
        <v>2317.55</v>
      </c>
      <c r="J601" s="12">
        <f>floor((K601/'Prestige Patterns'!$B$22)^'Prestige Patterns'!$B$23,1)-H600</f>
        <v>123632</v>
      </c>
      <c r="K601" s="8">
        <f>K600+N600*'Prestige Patterns'!$B$20</f>
        <v>1.26229E+16</v>
      </c>
      <c r="L601" s="8">
        <f>if(J600&gt;='Prestige Patterns'!$B$28,if(J600/(H600+1)&gt;('Prestige Patterns'!$B$27+1),L600+1,L600),L600)</f>
        <v>10</v>
      </c>
      <c r="N601" s="12">
        <f t="shared" si="1"/>
        <v>31786065199104</v>
      </c>
      <c r="O601" s="9">
        <f>'Prestige Patterns'!$B$4*E601</f>
        <v>13080</v>
      </c>
      <c r="P601" s="12">
        <f t="shared" si="4"/>
        <v>1048576</v>
      </c>
      <c r="Q601" s="11"/>
      <c r="R601" s="11"/>
      <c r="S601" s="9">
        <v>600.0</v>
      </c>
      <c r="T601" s="11"/>
    </row>
    <row r="602" ht="15.75" customHeight="1">
      <c r="A602" s="7"/>
      <c r="B602" s="7"/>
      <c r="C602" s="7">
        <f>(S602*'Prestige Patterns'!$B$20)/60</f>
        <v>300.5</v>
      </c>
      <c r="D602" s="8">
        <f>if(L601=L602,N601*'Prestige Patterns'!$B$20+D601-F602,0)</f>
        <v>1.16489E+15</v>
      </c>
      <c r="E602" s="9">
        <f t="shared" si="2"/>
        <v>657</v>
      </c>
      <c r="F602" s="10">
        <f>'Prestige Patterns'!$B$5*('Prestige Patterns'!$B$6^E601-'Prestige Patterns'!$B$6^(E601+G602))/(1-'Prestige Patterns'!$B$6)</f>
        <v>908901203140914</v>
      </c>
      <c r="G602" s="13">
        <f>floor(LOG('Prestige Patterns'!$B$6^(E601) - (D601*(1-'Prestige Patterns'!$B$6)/'Prestige Patterns'!$B$5),'Prestige Patterns'!$B$6)-E601,1)</f>
        <v>3</v>
      </c>
      <c r="H602" s="12">
        <f t="shared" si="3"/>
        <v>231655</v>
      </c>
      <c r="I602" s="11">
        <f>1+H602*'Prestige Patterns'!$B$25</f>
        <v>2317.55</v>
      </c>
      <c r="J602" s="12">
        <f>floor((K602/'Prestige Patterns'!$B$22)^'Prestige Patterns'!$B$23,1)-H601</f>
        <v>136807</v>
      </c>
      <c r="K602" s="8">
        <f>K601+N601*'Prestige Patterns'!$B$20</f>
        <v>1.35765E+16</v>
      </c>
      <c r="L602" s="8">
        <f>if(J601&gt;='Prestige Patterns'!$B$28,if(J601/(H601+1)&gt;('Prestige Patterns'!$B$27+1),L601+1,L601),L601)</f>
        <v>10</v>
      </c>
      <c r="N602" s="12">
        <f t="shared" si="1"/>
        <v>31931872837632</v>
      </c>
      <c r="O602" s="9">
        <f>'Prestige Patterns'!$B$4*E602</f>
        <v>13140</v>
      </c>
      <c r="P602" s="12">
        <f t="shared" si="4"/>
        <v>1048576</v>
      </c>
      <c r="Q602" s="11"/>
      <c r="R602" s="11"/>
      <c r="S602" s="9">
        <v>601.0</v>
      </c>
      <c r="T602" s="11"/>
    </row>
    <row r="603" ht="15.75" customHeight="1">
      <c r="A603" s="7"/>
      <c r="B603" s="7"/>
      <c r="C603" s="7">
        <f>(S603*'Prestige Patterns'!$B$20)/60</f>
        <v>301</v>
      </c>
      <c r="D603" s="8">
        <f>if(L602=L603,N602*'Prestige Patterns'!$B$20+D602-F603,0)</f>
        <v>1.07068E+15</v>
      </c>
      <c r="E603" s="9">
        <f t="shared" si="2"/>
        <v>660</v>
      </c>
      <c r="F603" s="10">
        <f>'Prestige Patterns'!$B$5*('Prestige Patterns'!$B$6^E602-'Prestige Patterns'!$B$6^(E602+G603))/(1-'Prestige Patterns'!$B$6)</f>
        <v>1.05217E+15</v>
      </c>
      <c r="G603" s="13">
        <f>floor(LOG('Prestige Patterns'!$B$6^(E602) - (D602*(1-'Prestige Patterns'!$B$6)/'Prestige Patterns'!$B$5),'Prestige Patterns'!$B$6)-E602,1)</f>
        <v>3</v>
      </c>
      <c r="H603" s="12">
        <f t="shared" si="3"/>
        <v>231655</v>
      </c>
      <c r="I603" s="11">
        <f>1+H603*'Prestige Patterns'!$B$25</f>
        <v>2317.55</v>
      </c>
      <c r="J603" s="12">
        <f>floor((K603/'Prestige Patterns'!$B$22)^'Prestige Patterns'!$B$23,1)-H602</f>
        <v>149585</v>
      </c>
      <c r="K603" s="8">
        <f>K602+N602*'Prestige Patterns'!$B$20</f>
        <v>1.45344E+16</v>
      </c>
      <c r="L603" s="8">
        <f>if(J602&gt;='Prestige Patterns'!$B$28,if(J602/(H602+1)&gt;('Prestige Patterns'!$B$27+1),L602+1,L602),L602)</f>
        <v>10</v>
      </c>
      <c r="N603" s="12">
        <f t="shared" si="1"/>
        <v>32077680476160</v>
      </c>
      <c r="O603" s="9">
        <f>'Prestige Patterns'!$B$4*E603</f>
        <v>13200</v>
      </c>
      <c r="P603" s="12">
        <f t="shared" si="4"/>
        <v>1048576</v>
      </c>
      <c r="Q603" s="11"/>
      <c r="R603" s="11"/>
      <c r="S603" s="9">
        <v>602.0</v>
      </c>
      <c r="T603" s="11"/>
    </row>
    <row r="604" ht="15.75" customHeight="1">
      <c r="A604" s="7"/>
      <c r="B604" s="7"/>
      <c r="C604" s="7">
        <f>(S604*'Prestige Patterns'!$B$20)/60</f>
        <v>301.5</v>
      </c>
      <c r="D604" s="8">
        <f>if(L603=L604,N603*'Prestige Patterns'!$B$20+D603-F604,0)</f>
        <v>1.24097E+15</v>
      </c>
      <c r="E604" s="9">
        <f t="shared" si="2"/>
        <v>662</v>
      </c>
      <c r="F604" s="10">
        <f>'Prestige Patterns'!$B$5*('Prestige Patterns'!$B$6^E603-'Prestige Patterns'!$B$6^(E603+G604))/(1-'Prestige Patterns'!$B$6)</f>
        <v>792047520120637</v>
      </c>
      <c r="G604" s="13">
        <f>floor(LOG('Prestige Patterns'!$B$6^(E603) - (D603*(1-'Prestige Patterns'!$B$6)/'Prestige Patterns'!$B$5),'Prestige Patterns'!$B$6)-E603,1)</f>
        <v>2</v>
      </c>
      <c r="H604" s="12">
        <f t="shared" si="3"/>
        <v>231655</v>
      </c>
      <c r="I604" s="11">
        <f>1+H604*'Prestige Patterns'!$B$25</f>
        <v>2317.55</v>
      </c>
      <c r="J604" s="12">
        <f>floor((K604/'Prestige Patterns'!$B$22)^'Prestige Patterns'!$B$23,1)-H603</f>
        <v>162004</v>
      </c>
      <c r="K604" s="8">
        <f>K603+N603*'Prestige Patterns'!$B$20</f>
        <v>1.54968E+16</v>
      </c>
      <c r="L604" s="8">
        <f>if(J603&gt;='Prestige Patterns'!$B$28,if(J603/(H603+1)&gt;('Prestige Patterns'!$B$27+1),L603+1,L603),L603)</f>
        <v>10</v>
      </c>
      <c r="N604" s="12">
        <f t="shared" si="1"/>
        <v>32174885568512</v>
      </c>
      <c r="O604" s="9">
        <f>'Prestige Patterns'!$B$4*E604</f>
        <v>13240</v>
      </c>
      <c r="P604" s="12">
        <f t="shared" si="4"/>
        <v>1048576</v>
      </c>
      <c r="Q604" s="11"/>
      <c r="R604" s="11"/>
      <c r="S604" s="9">
        <v>603.0</v>
      </c>
      <c r="T604" s="11"/>
    </row>
    <row r="605" ht="15.75" customHeight="1">
      <c r="A605" s="7"/>
      <c r="B605" s="7"/>
      <c r="C605" s="7">
        <f>(S605*'Prestige Patterns'!$B$20)/60</f>
        <v>302</v>
      </c>
      <c r="D605" s="8">
        <f>if(L604=L605,N604*'Prestige Patterns'!$B$20+D604-F605,0)</f>
        <v>1.33298E+15</v>
      </c>
      <c r="E605" s="9">
        <f t="shared" si="2"/>
        <v>664</v>
      </c>
      <c r="F605" s="10">
        <f>'Prestige Patterns'!$B$5*('Prestige Patterns'!$B$6^E604-'Prestige Patterns'!$B$6^(E604+G605))/(1-'Prestige Patterns'!$B$6)</f>
        <v>873232390933004</v>
      </c>
      <c r="G605" s="13">
        <f>floor(LOG('Prestige Patterns'!$B$6^(E604) - (D604*(1-'Prestige Patterns'!$B$6)/'Prestige Patterns'!$B$5),'Prestige Patterns'!$B$6)-E604,1)</f>
        <v>2</v>
      </c>
      <c r="H605" s="12">
        <f t="shared" si="3"/>
        <v>231655</v>
      </c>
      <c r="I605" s="11">
        <f>1+H605*'Prestige Patterns'!$B$25</f>
        <v>2317.55</v>
      </c>
      <c r="J605" s="12">
        <f>floor((K605/'Prestige Patterns'!$B$22)^'Prestige Patterns'!$B$23,1)-H604</f>
        <v>174079</v>
      </c>
      <c r="K605" s="8">
        <f>K604+N604*'Prestige Patterns'!$B$20</f>
        <v>1.6462E+16</v>
      </c>
      <c r="L605" s="8">
        <f>if(J604&gt;='Prestige Patterns'!$B$28,if(J604/(H604+1)&gt;('Prestige Patterns'!$B$27+1),L604+1,L604),L604)</f>
        <v>10</v>
      </c>
      <c r="N605" s="12">
        <f t="shared" si="1"/>
        <v>32272090660864</v>
      </c>
      <c r="O605" s="9">
        <f>'Prestige Patterns'!$B$4*E605</f>
        <v>13280</v>
      </c>
      <c r="P605" s="12">
        <f t="shared" si="4"/>
        <v>1048576</v>
      </c>
      <c r="Q605" s="11"/>
      <c r="R605" s="11"/>
      <c r="S605" s="9">
        <v>604.0</v>
      </c>
      <c r="T605" s="11"/>
    </row>
    <row r="606" ht="15.75" customHeight="1">
      <c r="A606" s="7"/>
      <c r="B606" s="7"/>
      <c r="C606" s="7">
        <f>(S606*'Prestige Patterns'!$B$20)/60</f>
        <v>302.5</v>
      </c>
      <c r="D606" s="8">
        <f>if(L605=L606,N605*'Prestige Patterns'!$B$20+D605-F606,0)</f>
        <v>1.3384E+15</v>
      </c>
      <c r="E606" s="9">
        <f t="shared" si="2"/>
        <v>666</v>
      </c>
      <c r="F606" s="10">
        <f>'Prestige Patterns'!$B$5*('Prestige Patterns'!$B$6^E605-'Prestige Patterns'!$B$6^(E605+G606))/(1-'Prestige Patterns'!$B$6)</f>
        <v>962738711003635</v>
      </c>
      <c r="G606" s="13">
        <f>floor(LOG('Prestige Patterns'!$B$6^(E605) - (D605*(1-'Prestige Patterns'!$B$6)/'Prestige Patterns'!$B$5),'Prestige Patterns'!$B$6)-E605,1)</f>
        <v>2</v>
      </c>
      <c r="H606" s="12">
        <f t="shared" si="3"/>
        <v>231655</v>
      </c>
      <c r="I606" s="11">
        <f>1+H606*'Prestige Patterns'!$B$25</f>
        <v>2317.55</v>
      </c>
      <c r="J606" s="12">
        <f>floor((K606/'Prestige Patterns'!$B$22)^'Prestige Patterns'!$B$23,1)-H605</f>
        <v>185839</v>
      </c>
      <c r="K606" s="8">
        <f>K605+N605*'Prestige Patterns'!$B$20</f>
        <v>1.74302E+16</v>
      </c>
      <c r="L606" s="8">
        <f>if(J605&gt;='Prestige Patterns'!$B$28,if(J605/(H605+1)&gt;('Prestige Patterns'!$B$27+1),L605+1,L605),L605)</f>
        <v>10</v>
      </c>
      <c r="N606" s="12">
        <f t="shared" si="1"/>
        <v>32369295753216</v>
      </c>
      <c r="O606" s="9">
        <f>'Prestige Patterns'!$B$4*E606</f>
        <v>13320</v>
      </c>
      <c r="P606" s="12">
        <f t="shared" si="4"/>
        <v>1048576</v>
      </c>
      <c r="Q606" s="11"/>
      <c r="R606" s="11"/>
      <c r="S606" s="9">
        <v>605.0</v>
      </c>
      <c r="T606" s="11"/>
    </row>
    <row r="607" ht="15.75" customHeight="1">
      <c r="A607" s="7"/>
      <c r="B607" s="7"/>
      <c r="C607" s="7">
        <f>(S607*'Prestige Patterns'!$B$20)/60</f>
        <v>303</v>
      </c>
      <c r="D607" s="8">
        <f>if(L606=L607,N606*'Prestige Patterns'!$B$20+D606-F607,0)</f>
        <v>1.24806E+15</v>
      </c>
      <c r="E607" s="9">
        <f t="shared" si="2"/>
        <v>668</v>
      </c>
      <c r="F607" s="10">
        <f>'Prestige Patterns'!$B$5*('Prestige Patterns'!$B$6^E606-'Prestige Patterns'!$B$6^(E606+G607))/(1-'Prestige Patterns'!$B$6)</f>
        <v>1.06142E+15</v>
      </c>
      <c r="G607" s="13">
        <f>floor(LOG('Prestige Patterns'!$B$6^(E606) - (D606*(1-'Prestige Patterns'!$B$6)/'Prestige Patterns'!$B$5),'Prestige Patterns'!$B$6)-E606,1)</f>
        <v>2</v>
      </c>
      <c r="H607" s="12">
        <f t="shared" si="3"/>
        <v>231655</v>
      </c>
      <c r="I607" s="11">
        <f>1+H607*'Prestige Patterns'!$B$25</f>
        <v>2317.55</v>
      </c>
      <c r="J607" s="12">
        <f>floor((K607/'Prestige Patterns'!$B$22)^'Prestige Patterns'!$B$23,1)-H606</f>
        <v>197311</v>
      </c>
      <c r="K607" s="8">
        <f>K606+N606*'Prestige Patterns'!$B$20</f>
        <v>1.84013E+16</v>
      </c>
      <c r="L607" s="8">
        <f>if(J606&gt;='Prestige Patterns'!$B$28,if(J606/(H606+1)&gt;('Prestige Patterns'!$B$27+1),L606+1,L606),L606)</f>
        <v>10</v>
      </c>
      <c r="N607" s="12">
        <f t="shared" si="1"/>
        <v>32466500845568</v>
      </c>
      <c r="O607" s="9">
        <f>'Prestige Patterns'!$B$4*E607</f>
        <v>13360</v>
      </c>
      <c r="P607" s="12">
        <f t="shared" si="4"/>
        <v>1048576</v>
      </c>
      <c r="Q607" s="11"/>
      <c r="R607" s="11"/>
      <c r="S607" s="9">
        <v>606.0</v>
      </c>
      <c r="T607" s="11"/>
    </row>
    <row r="608" ht="15.75" customHeight="1">
      <c r="A608" s="7"/>
      <c r="B608" s="7"/>
      <c r="C608" s="7">
        <f>(S608*'Prestige Patterns'!$B$20)/60</f>
        <v>303.5</v>
      </c>
      <c r="D608" s="8">
        <f>if(L607=L608,N607*'Prestige Patterns'!$B$20+D607-F608,0)</f>
        <v>1.05184E+15</v>
      </c>
      <c r="E608" s="9">
        <f t="shared" si="2"/>
        <v>670</v>
      </c>
      <c r="F608" s="10">
        <f>'Prestige Patterns'!$B$5*('Prestige Patterns'!$B$6^E607-'Prestige Patterns'!$B$6^(E607+G608))/(1-'Prestige Patterns'!$B$6)</f>
        <v>1.17021E+15</v>
      </c>
      <c r="G608" s="13">
        <f>floor(LOG('Prestige Patterns'!$B$6^(E607) - (D607*(1-'Prestige Patterns'!$B$6)/'Prestige Patterns'!$B$5),'Prestige Patterns'!$B$6)-E607,1)</f>
        <v>2</v>
      </c>
      <c r="H608" s="12">
        <f t="shared" si="3"/>
        <v>231655</v>
      </c>
      <c r="I608" s="11">
        <f>1+H608*'Prestige Patterns'!$B$25</f>
        <v>2317.55</v>
      </c>
      <c r="J608" s="12">
        <f>floor((K608/'Prestige Patterns'!$B$22)^'Prestige Patterns'!$B$23,1)-H607</f>
        <v>208518</v>
      </c>
      <c r="K608" s="8">
        <f>K607+N607*'Prestige Patterns'!$B$20</f>
        <v>1.93753E+16</v>
      </c>
      <c r="L608" s="8">
        <f>if(J607&gt;='Prestige Patterns'!$B$28,if(J607/(H607+1)&gt;('Prestige Patterns'!$B$27+1),L607+1,L607),L607)</f>
        <v>10</v>
      </c>
      <c r="N608" s="12">
        <f t="shared" si="1"/>
        <v>32563705937920</v>
      </c>
      <c r="O608" s="9">
        <f>'Prestige Patterns'!$B$4*E608</f>
        <v>13400</v>
      </c>
      <c r="P608" s="12">
        <f t="shared" si="4"/>
        <v>1048576</v>
      </c>
      <c r="Q608" s="11"/>
      <c r="R608" s="11"/>
      <c r="S608" s="9">
        <v>607.0</v>
      </c>
      <c r="T608" s="11"/>
    </row>
    <row r="609" ht="15.75" customHeight="1">
      <c r="A609" s="7"/>
      <c r="B609" s="7"/>
      <c r="C609" s="7">
        <f>(S609*'Prestige Patterns'!$B$20)/60</f>
        <v>304</v>
      </c>
      <c r="D609" s="8">
        <f>if(L608=L609,N608*'Prestige Patterns'!$B$20+D608-F609,0)</f>
        <v>1.39941E+15</v>
      </c>
      <c r="E609" s="9">
        <f t="shared" si="2"/>
        <v>671</v>
      </c>
      <c r="F609" s="10">
        <f>'Prestige Patterns'!$B$5*('Prestige Patterns'!$B$6^E608-'Prestige Patterns'!$B$6^(E608+G609))/(1-'Prestige Patterns'!$B$6)</f>
        <v>629347292525320</v>
      </c>
      <c r="G609" s="13">
        <f>floor(LOG('Prestige Patterns'!$B$6^(E608) - (D608*(1-'Prestige Patterns'!$B$6)/'Prestige Patterns'!$B$5),'Prestige Patterns'!$B$6)-E608,1)</f>
        <v>1</v>
      </c>
      <c r="H609" s="12">
        <f t="shared" si="3"/>
        <v>231655</v>
      </c>
      <c r="I609" s="11">
        <f>1+H609*'Prestige Patterns'!$B$25</f>
        <v>2317.55</v>
      </c>
      <c r="J609" s="12">
        <f>floor((K609/'Prestige Patterns'!$B$22)^'Prestige Patterns'!$B$23,1)-H608</f>
        <v>219478</v>
      </c>
      <c r="K609" s="8">
        <f>K608+N608*'Prestige Patterns'!$B$20</f>
        <v>2.03522E+16</v>
      </c>
      <c r="L609" s="8">
        <f>if(J608&gt;='Prestige Patterns'!$B$28,if(J608/(H608+1)&gt;('Prestige Patterns'!$B$27+1),L608+1,L608),L608)</f>
        <v>10</v>
      </c>
      <c r="N609" s="12">
        <f t="shared" si="1"/>
        <v>32612308484096</v>
      </c>
      <c r="O609" s="9">
        <f>'Prestige Patterns'!$B$4*E609</f>
        <v>13420</v>
      </c>
      <c r="P609" s="12">
        <f t="shared" si="4"/>
        <v>1048576</v>
      </c>
      <c r="Q609" s="11"/>
      <c r="R609" s="11"/>
      <c r="S609" s="9">
        <v>608.0</v>
      </c>
      <c r="T609" s="11"/>
    </row>
    <row r="610" ht="15.75" customHeight="1">
      <c r="A610" s="7"/>
      <c r="B610" s="7"/>
      <c r="C610" s="7">
        <f>(S610*'Prestige Patterns'!$B$20)/60</f>
        <v>304.5</v>
      </c>
      <c r="D610" s="8">
        <f>if(L609=L610,N609*'Prestige Patterns'!$B$20+D609-F610,0)</f>
        <v>1.02311E+15</v>
      </c>
      <c r="E610" s="9">
        <f t="shared" si="2"/>
        <v>673</v>
      </c>
      <c r="F610" s="10">
        <f>'Prestige Patterns'!$B$5*('Prestige Patterns'!$B$6^E609-'Prestige Patterns'!$B$6^(E609+G610))/(1-'Prestige Patterns'!$B$6)</f>
        <v>1.35467E+15</v>
      </c>
      <c r="G610" s="13">
        <f>floor(LOG('Prestige Patterns'!$B$6^(E609) - (D609*(1-'Prestige Patterns'!$B$6)/'Prestige Patterns'!$B$5),'Prestige Patterns'!$B$6)-E609,1)</f>
        <v>2</v>
      </c>
      <c r="H610" s="12">
        <f t="shared" si="3"/>
        <v>231655</v>
      </c>
      <c r="I610" s="11">
        <f>1+H610*'Prestige Patterns'!$B$25</f>
        <v>2317.55</v>
      </c>
      <c r="J610" s="12">
        <f>floor((K610/'Prestige Patterns'!$B$22)^'Prestige Patterns'!$B$23,1)-H609</f>
        <v>230194</v>
      </c>
      <c r="K610" s="8">
        <f>K609+N609*'Prestige Patterns'!$B$20</f>
        <v>2.13305E+16</v>
      </c>
      <c r="L610" s="8">
        <f>if(J609&gt;='Prestige Patterns'!$B$28,if(J609/(H609+1)&gt;('Prestige Patterns'!$B$27+1),L609+1,L609),L609)</f>
        <v>10</v>
      </c>
      <c r="N610" s="12">
        <f t="shared" si="1"/>
        <v>32709513576448</v>
      </c>
      <c r="O610" s="9">
        <f>'Prestige Patterns'!$B$4*E610</f>
        <v>13460</v>
      </c>
      <c r="P610" s="12">
        <f t="shared" si="4"/>
        <v>1048576</v>
      </c>
      <c r="Q610" s="11"/>
      <c r="R610" s="11"/>
      <c r="S610" s="9">
        <v>609.0</v>
      </c>
      <c r="T610" s="11"/>
    </row>
    <row r="611" ht="15.75" customHeight="1">
      <c r="A611" s="7"/>
      <c r="B611" s="7"/>
      <c r="C611" s="7">
        <f>(S611*'Prestige Patterns'!$B$20)/60</f>
        <v>305</v>
      </c>
      <c r="D611" s="8">
        <f>if(L610=L611,N610*'Prestige Patterns'!$B$20+D610-F611,0)</f>
        <v>1.27584E+15</v>
      </c>
      <c r="E611" s="9">
        <f t="shared" si="2"/>
        <v>674</v>
      </c>
      <c r="F611" s="10">
        <f>'Prestige Patterns'!$B$5*('Prestige Patterns'!$B$6^E610-'Prestige Patterns'!$B$6^(E610+G611))/(1-'Prestige Patterns'!$B$6)</f>
        <v>728548159509624</v>
      </c>
      <c r="G611" s="13">
        <f>floor(LOG('Prestige Patterns'!$B$6^(E610) - (D610*(1-'Prestige Patterns'!$B$6)/'Prestige Patterns'!$B$5),'Prestige Patterns'!$B$6)-E610,1)</f>
        <v>1</v>
      </c>
      <c r="H611" s="12">
        <f t="shared" si="3"/>
        <v>231655</v>
      </c>
      <c r="I611" s="11">
        <f>1+H611*'Prestige Patterns'!$B$25</f>
        <v>2317.55</v>
      </c>
      <c r="J611" s="12">
        <f>floor((K611/'Prestige Patterns'!$B$22)^'Prestige Patterns'!$B$23,1)-H610</f>
        <v>240698</v>
      </c>
      <c r="K611" s="8">
        <f>K610+N610*'Prestige Patterns'!$B$20</f>
        <v>2.23118E+16</v>
      </c>
      <c r="L611" s="8">
        <f>if(J610&gt;='Prestige Patterns'!$B$28,if(J610/(H610+1)&gt;('Prestige Patterns'!$B$27+1),L610+1,L610),L610)</f>
        <v>10</v>
      </c>
      <c r="N611" s="12">
        <f t="shared" si="1"/>
        <v>32758116122624</v>
      </c>
      <c r="O611" s="9">
        <f>'Prestige Patterns'!$B$4*E611</f>
        <v>13480</v>
      </c>
      <c r="P611" s="12">
        <f t="shared" si="4"/>
        <v>1048576</v>
      </c>
      <c r="Q611" s="11"/>
      <c r="R611" s="11"/>
      <c r="S611" s="9">
        <v>610.0</v>
      </c>
      <c r="T611" s="11"/>
    </row>
    <row r="612" ht="15.75" customHeight="1">
      <c r="A612" s="7"/>
      <c r="B612" s="7"/>
      <c r="C612" s="7">
        <f>(S612*'Prestige Patterns'!$B$20)/60</f>
        <v>305.5</v>
      </c>
      <c r="D612" s="8">
        <f>if(L611=L612,N611*'Prestige Patterns'!$B$20+D611-F612,0)</f>
        <v>1.49361E+15</v>
      </c>
      <c r="E612" s="9">
        <f t="shared" si="2"/>
        <v>675</v>
      </c>
      <c r="F612" s="10">
        <f>'Prestige Patterns'!$B$5*('Prestige Patterns'!$B$6^E611-'Prestige Patterns'!$B$6^(E611+G612))/(1-'Prestige Patterns'!$B$6)</f>
        <v>764975567485104</v>
      </c>
      <c r="G612" s="13">
        <f>floor(LOG('Prestige Patterns'!$B$6^(E611) - (D611*(1-'Prestige Patterns'!$B$6)/'Prestige Patterns'!$B$5),'Prestige Patterns'!$B$6)-E611,1)</f>
        <v>1</v>
      </c>
      <c r="H612" s="12">
        <f t="shared" si="3"/>
        <v>231655</v>
      </c>
      <c r="I612" s="11">
        <f>1+H612*'Prestige Patterns'!$B$25</f>
        <v>2317.55</v>
      </c>
      <c r="J612" s="12">
        <f>floor((K612/'Prestige Patterns'!$B$22)^'Prestige Patterns'!$B$23,1)-H611</f>
        <v>250989</v>
      </c>
      <c r="K612" s="8">
        <f>K611+N611*'Prestige Patterns'!$B$20</f>
        <v>2.32946E+16</v>
      </c>
      <c r="L612" s="8">
        <f>if(J611&gt;='Prestige Patterns'!$B$28,if(J611/(H611+1)&gt;('Prestige Patterns'!$B$27+1),L611+1,L611),L611)</f>
        <v>10</v>
      </c>
      <c r="N612" s="12">
        <f t="shared" si="1"/>
        <v>32806718668800</v>
      </c>
      <c r="O612" s="9">
        <f>'Prestige Patterns'!$B$4*E612</f>
        <v>13500</v>
      </c>
      <c r="P612" s="12">
        <f t="shared" si="4"/>
        <v>1048576</v>
      </c>
      <c r="Q612" s="11"/>
      <c r="R612" s="11"/>
      <c r="S612" s="9">
        <v>611.0</v>
      </c>
      <c r="T612" s="11"/>
    </row>
    <row r="613" ht="15.75" customHeight="1">
      <c r="A613" s="7"/>
      <c r="B613" s="7"/>
      <c r="C613" s="7">
        <f>(S613*'Prestige Patterns'!$B$20)/60</f>
        <v>306</v>
      </c>
      <c r="D613" s="8">
        <f>if(L612=L613,N612*'Prestige Patterns'!$B$20+D612-F613,0)</f>
        <v>1.67459E+15</v>
      </c>
      <c r="E613" s="9">
        <f t="shared" si="2"/>
        <v>676</v>
      </c>
      <c r="F613" s="10">
        <f>'Prestige Patterns'!$B$5*('Prestige Patterns'!$B$6^E612-'Prestige Patterns'!$B$6^(E612+G613))/(1-'Prestige Patterns'!$B$6)</f>
        <v>803224345859359</v>
      </c>
      <c r="G613" s="13">
        <f>floor(LOG('Prestige Patterns'!$B$6^(E612) - (D612*(1-'Prestige Patterns'!$B$6)/'Prestige Patterns'!$B$5),'Prestige Patterns'!$B$6)-E612,1)</f>
        <v>1</v>
      </c>
      <c r="H613" s="12">
        <f t="shared" si="3"/>
        <v>231655</v>
      </c>
      <c r="I613" s="11">
        <f>1+H613*'Prestige Patterns'!$B$25</f>
        <v>2317.55</v>
      </c>
      <c r="J613" s="12">
        <f>floor((K613/'Prestige Patterns'!$B$22)^'Prestige Patterns'!$B$23,1)-H612</f>
        <v>261079</v>
      </c>
      <c r="K613" s="8">
        <f>K612+N612*'Prestige Patterns'!$B$20</f>
        <v>2.42788E+16</v>
      </c>
      <c r="L613" s="8">
        <f>if(J612&gt;='Prestige Patterns'!$B$28,if(J612/(H612+1)&gt;('Prestige Patterns'!$B$27+1),L612+1,L612),L612)</f>
        <v>10</v>
      </c>
      <c r="N613" s="12">
        <f t="shared" si="1"/>
        <v>32855321214976</v>
      </c>
      <c r="O613" s="9">
        <f>'Prestige Patterns'!$B$4*E613</f>
        <v>13520</v>
      </c>
      <c r="P613" s="12">
        <f t="shared" si="4"/>
        <v>1048576</v>
      </c>
      <c r="Q613" s="11"/>
      <c r="R613" s="11"/>
      <c r="S613" s="9">
        <v>612.0</v>
      </c>
      <c r="T613" s="11"/>
    </row>
    <row r="614" ht="15.75" customHeight="1">
      <c r="A614" s="7"/>
      <c r="B614" s="7"/>
      <c r="C614" s="7">
        <f>(S614*'Prestige Patterns'!$B$20)/60</f>
        <v>306.5</v>
      </c>
      <c r="D614" s="8">
        <f>if(L613=L614,N613*'Prestige Patterns'!$B$20+D613-F614,0)</f>
        <v>1.81686E+15</v>
      </c>
      <c r="E614" s="9">
        <f t="shared" si="2"/>
        <v>677</v>
      </c>
      <c r="F614" s="10">
        <f>'Prestige Patterns'!$B$5*('Prestige Patterns'!$B$6^E613-'Prestige Patterns'!$B$6^(E613+G614))/(1-'Prestige Patterns'!$B$6)</f>
        <v>843385563152327</v>
      </c>
      <c r="G614" s="13">
        <f>floor(LOG('Prestige Patterns'!$B$6^(E613) - (D613*(1-'Prestige Patterns'!$B$6)/'Prestige Patterns'!$B$5),'Prestige Patterns'!$B$6)-E613,1)</f>
        <v>1</v>
      </c>
      <c r="H614" s="12">
        <f t="shared" si="3"/>
        <v>231655</v>
      </c>
      <c r="I614" s="11">
        <f>1+H614*'Prestige Patterns'!$B$25</f>
        <v>2317.55</v>
      </c>
      <c r="J614" s="12">
        <f>floor((K614/'Prestige Patterns'!$B$22)^'Prestige Patterns'!$B$23,1)-H613</f>
        <v>270982</v>
      </c>
      <c r="K614" s="8">
        <f>K613+N613*'Prestige Patterns'!$B$20</f>
        <v>2.52644E+16</v>
      </c>
      <c r="L614" s="8">
        <f>if(J613&gt;='Prestige Patterns'!$B$28,if(J613/(H613+1)&gt;('Prestige Patterns'!$B$27+1),L613+1,L613),L613)</f>
        <v>10</v>
      </c>
      <c r="N614" s="12">
        <f t="shared" si="1"/>
        <v>32903923761152</v>
      </c>
      <c r="O614" s="9">
        <f>'Prestige Patterns'!$B$4*E614</f>
        <v>13540</v>
      </c>
      <c r="P614" s="12">
        <f t="shared" si="4"/>
        <v>1048576</v>
      </c>
      <c r="Q614" s="11"/>
      <c r="R614" s="11"/>
      <c r="S614" s="9">
        <v>613.0</v>
      </c>
      <c r="T614" s="11"/>
    </row>
    <row r="615" ht="15.75" customHeight="1">
      <c r="A615" s="7"/>
      <c r="B615" s="7"/>
      <c r="C615" s="7">
        <f>(S615*'Prestige Patterns'!$B$20)/60</f>
        <v>307</v>
      </c>
      <c r="D615" s="8">
        <f>if(L614=L615,N614*'Prestige Patterns'!$B$20+D614-F615,0)</f>
        <v>988593533896641</v>
      </c>
      <c r="E615" s="9">
        <f t="shared" si="2"/>
        <v>679</v>
      </c>
      <c r="F615" s="10">
        <f>'Prestige Patterns'!$B$5*('Prestige Patterns'!$B$6^E614-'Prestige Patterns'!$B$6^(E614+G615))/(1-'Prestige Patterns'!$B$6)</f>
        <v>1.81539E+15</v>
      </c>
      <c r="G615" s="13">
        <f>floor(LOG('Prestige Patterns'!$B$6^(E614) - (D614*(1-'Prestige Patterns'!$B$6)/'Prestige Patterns'!$B$5),'Prestige Patterns'!$B$6)-E614,1)</f>
        <v>2</v>
      </c>
      <c r="H615" s="12">
        <f t="shared" si="3"/>
        <v>231655</v>
      </c>
      <c r="I615" s="11">
        <f>1+H615*'Prestige Patterns'!$B$25</f>
        <v>2317.55</v>
      </c>
      <c r="J615" s="12">
        <f>floor((K615/'Prestige Patterns'!$B$22)^'Prestige Patterns'!$B$23,1)-H614</f>
        <v>280707</v>
      </c>
      <c r="K615" s="8">
        <f>K614+N614*'Prestige Patterns'!$B$20</f>
        <v>2.62515E+16</v>
      </c>
      <c r="L615" s="8">
        <f>if(J614&gt;='Prestige Patterns'!$B$28,if(J614/(H614+1)&gt;('Prestige Patterns'!$B$27+1),L614+1,L614),L614)</f>
        <v>10</v>
      </c>
      <c r="N615" s="12">
        <f t="shared" si="1"/>
        <v>33001128853504</v>
      </c>
      <c r="O615" s="9">
        <f>'Prestige Patterns'!$B$4*E615</f>
        <v>13580</v>
      </c>
      <c r="P615" s="12">
        <f t="shared" si="4"/>
        <v>1048576</v>
      </c>
      <c r="Q615" s="11"/>
      <c r="R615" s="11"/>
      <c r="S615" s="9">
        <v>614.0</v>
      </c>
      <c r="T615" s="11"/>
    </row>
    <row r="616" ht="15.75" customHeight="1">
      <c r="A616" s="7"/>
      <c r="B616" s="7"/>
      <c r="C616" s="7">
        <f>(S616*'Prestige Patterns'!$B$20)/60</f>
        <v>307.5</v>
      </c>
      <c r="D616" s="8">
        <f>if(L615=L616,N615*'Prestige Patterns'!$B$20+D615-F616,0)</f>
        <v>1.0023E+15</v>
      </c>
      <c r="E616" s="9">
        <f t="shared" si="2"/>
        <v>680</v>
      </c>
      <c r="F616" s="10">
        <f>'Prestige Patterns'!$B$5*('Prestige Patterns'!$B$6^E615-'Prestige Patterns'!$B$6^(E615+G616))/(1-'Prestige Patterns'!$B$6)</f>
        <v>976324212544214</v>
      </c>
      <c r="G616" s="13">
        <f>floor(LOG('Prestige Patterns'!$B$6^(E615) - (D615*(1-'Prestige Patterns'!$B$6)/'Prestige Patterns'!$B$5),'Prestige Patterns'!$B$6)-E615,1)</f>
        <v>1</v>
      </c>
      <c r="H616" s="12">
        <f t="shared" si="3"/>
        <v>231655</v>
      </c>
      <c r="I616" s="11">
        <f>1+H616*'Prestige Patterns'!$B$25</f>
        <v>2317.55</v>
      </c>
      <c r="J616" s="12">
        <f>floor((K616/'Prestige Patterns'!$B$22)^'Prestige Patterns'!$B$23,1)-H615</f>
        <v>290279</v>
      </c>
      <c r="K616" s="8">
        <f>K615+N615*'Prestige Patterns'!$B$20</f>
        <v>2.72416E+16</v>
      </c>
      <c r="L616" s="8">
        <f>if(J615&gt;='Prestige Patterns'!$B$28,if(J615/(H615+1)&gt;('Prestige Patterns'!$B$27+1),L615+1,L615),L615)</f>
        <v>10</v>
      </c>
      <c r="N616" s="12">
        <f t="shared" si="1"/>
        <v>33049731399680</v>
      </c>
      <c r="O616" s="9">
        <f>'Prestige Patterns'!$B$4*E616</f>
        <v>13600</v>
      </c>
      <c r="P616" s="12">
        <f t="shared" si="4"/>
        <v>1048576</v>
      </c>
      <c r="Q616" s="11"/>
      <c r="R616" s="11"/>
      <c r="S616" s="9">
        <v>615.0</v>
      </c>
      <c r="T616" s="11"/>
    </row>
    <row r="617" ht="15.75" customHeight="1">
      <c r="A617" s="7"/>
      <c r="B617" s="7"/>
      <c r="C617" s="7">
        <f>(S617*'Prestige Patterns'!$B$20)/60</f>
        <v>308</v>
      </c>
      <c r="D617" s="8">
        <f>if(L616=L617,N616*'Prestige Patterns'!$B$20+D616-F617,0)</f>
        <v>1.9938E+15</v>
      </c>
      <c r="E617" s="9">
        <f t="shared" si="2"/>
        <v>680</v>
      </c>
      <c r="F617" s="10">
        <f>'Prestige Patterns'!$B$5*('Prestige Patterns'!$B$6^E616-'Prestige Patterns'!$B$6^(E616+G617))/(1-'Prestige Patterns'!$B$6)</f>
        <v>0</v>
      </c>
      <c r="G617" s="13">
        <f>floor(LOG('Prestige Patterns'!$B$6^(E616) - (D616*(1-'Prestige Patterns'!$B$6)/'Prestige Patterns'!$B$5),'Prestige Patterns'!$B$6)-E616,1)</f>
        <v>0</v>
      </c>
      <c r="H617" s="12">
        <f t="shared" si="3"/>
        <v>231655</v>
      </c>
      <c r="I617" s="11">
        <f>1+H617*'Prestige Patterns'!$B$25</f>
        <v>2317.55</v>
      </c>
      <c r="J617" s="12">
        <f>floor((K617/'Prestige Patterns'!$B$22)^'Prestige Patterns'!$B$23,1)-H616</f>
        <v>299693</v>
      </c>
      <c r="K617" s="8">
        <f>K616+N616*'Prestige Patterns'!$B$20</f>
        <v>2.82331E+16</v>
      </c>
      <c r="L617" s="8">
        <f>if(J616&gt;='Prestige Patterns'!$B$28,if(J616/(H616+1)&gt;('Prestige Patterns'!$B$27+1),L616+1,L616),L616)</f>
        <v>10</v>
      </c>
      <c r="N617" s="12">
        <f t="shared" si="1"/>
        <v>33049731399680</v>
      </c>
      <c r="O617" s="9">
        <f>'Prestige Patterns'!$B$4*E617</f>
        <v>13600</v>
      </c>
      <c r="P617" s="12">
        <f t="shared" si="4"/>
        <v>1048576</v>
      </c>
      <c r="Q617" s="11"/>
      <c r="R617" s="11"/>
      <c r="S617" s="9">
        <v>616.0</v>
      </c>
      <c r="T617" s="11"/>
    </row>
    <row r="618" ht="15.75" customHeight="1">
      <c r="A618" s="7"/>
      <c r="B618" s="7"/>
      <c r="C618" s="7">
        <f>(S618*'Prestige Patterns'!$B$20)/60</f>
        <v>308.5</v>
      </c>
      <c r="D618" s="8">
        <f>if(L617=L618,N617*'Prestige Patterns'!$B$20+D617-F618,0)</f>
        <v>1.96015E+15</v>
      </c>
      <c r="E618" s="9">
        <f t="shared" si="2"/>
        <v>681</v>
      </c>
      <c r="F618" s="10">
        <f>'Prestige Patterns'!$B$5*('Prestige Patterns'!$B$6^E617-'Prestige Patterns'!$B$6^(E617+G618))/(1-'Prestige Patterns'!$B$6)</f>
        <v>1.02514E+15</v>
      </c>
      <c r="G618" s="13">
        <f>floor(LOG('Prestige Patterns'!$B$6^(E617) - (D617*(1-'Prestige Patterns'!$B$6)/'Prestige Patterns'!$B$5),'Prestige Patterns'!$B$6)-E617,1)</f>
        <v>1</v>
      </c>
      <c r="H618" s="12">
        <f t="shared" si="3"/>
        <v>231655</v>
      </c>
      <c r="I618" s="11">
        <f>1+H618*'Prestige Patterns'!$B$25</f>
        <v>2317.55</v>
      </c>
      <c r="J618" s="12">
        <f>floor((K618/'Prestige Patterns'!$B$22)^'Prestige Patterns'!$B$23,1)-H617</f>
        <v>308942</v>
      </c>
      <c r="K618" s="8">
        <f>K617+N617*'Prestige Patterns'!$B$20</f>
        <v>2.92246E+16</v>
      </c>
      <c r="L618" s="8">
        <f>if(J617&gt;='Prestige Patterns'!$B$28,if(J617/(H617+1)&gt;('Prestige Patterns'!$B$27+1),L617+1,L617),L617)</f>
        <v>10</v>
      </c>
      <c r="N618" s="12">
        <f t="shared" si="1"/>
        <v>33098333945856</v>
      </c>
      <c r="O618" s="9">
        <f>'Prestige Patterns'!$B$4*E618</f>
        <v>13620</v>
      </c>
      <c r="P618" s="12">
        <f t="shared" si="4"/>
        <v>1048576</v>
      </c>
      <c r="Q618" s="11"/>
      <c r="R618" s="11"/>
      <c r="S618" s="9">
        <v>617.0</v>
      </c>
      <c r="T618" s="11"/>
    </row>
    <row r="619" ht="15.75" customHeight="1">
      <c r="A619" s="7"/>
      <c r="B619" s="7"/>
      <c r="C619" s="7">
        <f>(S619*'Prestige Patterns'!$B$20)/60</f>
        <v>309</v>
      </c>
      <c r="D619" s="8">
        <f>if(L618=L619,N618*'Prestige Patterns'!$B$20+D618-F619,0)</f>
        <v>1.8767E+15</v>
      </c>
      <c r="E619" s="9">
        <f t="shared" si="2"/>
        <v>682</v>
      </c>
      <c r="F619" s="10">
        <f>'Prestige Patterns'!$B$5*('Prestige Patterns'!$B$6^E618-'Prestige Patterns'!$B$6^(E618+G619))/(1-'Prestige Patterns'!$B$6)</f>
        <v>1.0764E+15</v>
      </c>
      <c r="G619" s="13">
        <f>floor(LOG('Prestige Patterns'!$B$6^(E618) - (D618*(1-'Prestige Patterns'!$B$6)/'Prestige Patterns'!$B$5),'Prestige Patterns'!$B$6)-E618,1)</f>
        <v>1</v>
      </c>
      <c r="H619" s="12">
        <f t="shared" si="3"/>
        <v>231655</v>
      </c>
      <c r="I619" s="11">
        <f>1+H619*'Prestige Patterns'!$B$25</f>
        <v>2317.55</v>
      </c>
      <c r="J619" s="12">
        <f>floor((K619/'Prestige Patterns'!$B$22)^'Prestige Patterns'!$B$23,1)-H618</f>
        <v>318049</v>
      </c>
      <c r="K619" s="8">
        <f>K618+N618*'Prestige Patterns'!$B$20</f>
        <v>3.02175E+16</v>
      </c>
      <c r="L619" s="8">
        <f>if(J618&gt;='Prestige Patterns'!$B$28,if(J618/(H618+1)&gt;('Prestige Patterns'!$B$27+1),L618+1,L618),L618)</f>
        <v>10</v>
      </c>
      <c r="N619" s="12">
        <f t="shared" si="1"/>
        <v>33146936492032</v>
      </c>
      <c r="O619" s="9">
        <f>'Prestige Patterns'!$B$4*E619</f>
        <v>13640</v>
      </c>
      <c r="P619" s="12">
        <f t="shared" si="4"/>
        <v>1048576</v>
      </c>
      <c r="Q619" s="11"/>
      <c r="R619" s="11"/>
      <c r="S619" s="9">
        <v>618.0</v>
      </c>
      <c r="T619" s="11"/>
    </row>
    <row r="620" ht="15.75" customHeight="1">
      <c r="A620" s="7"/>
      <c r="B620" s="7"/>
      <c r="C620" s="7">
        <f>(S620*'Prestige Patterns'!$B$20)/60</f>
        <v>309.5</v>
      </c>
      <c r="D620" s="8">
        <f>if(L619=L620,N619*'Prestige Patterns'!$B$20+D619-F620,0)</f>
        <v>1.74089E+15</v>
      </c>
      <c r="E620" s="9">
        <f t="shared" si="2"/>
        <v>683</v>
      </c>
      <c r="F620" s="10">
        <f>'Prestige Patterns'!$B$5*('Prestige Patterns'!$B$6^E619-'Prestige Patterns'!$B$6^(E619+G620))/(1-'Prestige Patterns'!$B$6)</f>
        <v>1.13022E+15</v>
      </c>
      <c r="G620" s="13">
        <f>floor(LOG('Prestige Patterns'!$B$6^(E619) - (D619*(1-'Prestige Patterns'!$B$6)/'Prestige Patterns'!$B$5),'Prestige Patterns'!$B$6)-E619,1)</f>
        <v>1</v>
      </c>
      <c r="H620" s="12">
        <f t="shared" si="3"/>
        <v>231655</v>
      </c>
      <c r="I620" s="11">
        <f>1+H620*'Prestige Patterns'!$B$25</f>
        <v>2317.55</v>
      </c>
      <c r="J620" s="12">
        <f>floor((K620/'Prestige Patterns'!$B$22)^'Prestige Patterns'!$B$23,1)-H619</f>
        <v>327021</v>
      </c>
      <c r="K620" s="8">
        <f>K619+N619*'Prestige Patterns'!$B$20</f>
        <v>3.12119E+16</v>
      </c>
      <c r="L620" s="8">
        <f>if(J619&gt;='Prestige Patterns'!$B$28,if(J619/(H619+1)&gt;('Prestige Patterns'!$B$27+1),L619+1,L619),L619)</f>
        <v>10</v>
      </c>
      <c r="N620" s="12">
        <f t="shared" si="1"/>
        <v>33195539038208</v>
      </c>
      <c r="O620" s="9">
        <f>'Prestige Patterns'!$B$4*E620</f>
        <v>13660</v>
      </c>
      <c r="P620" s="12">
        <f t="shared" si="4"/>
        <v>1048576</v>
      </c>
      <c r="Q620" s="11"/>
      <c r="R620" s="11"/>
      <c r="S620" s="9">
        <v>619.0</v>
      </c>
      <c r="T620" s="11"/>
    </row>
    <row r="621" ht="15.75" customHeight="1">
      <c r="A621" s="7"/>
      <c r="B621" s="7"/>
      <c r="C621" s="7">
        <f>(S621*'Prestige Patterns'!$B$20)/60</f>
        <v>310</v>
      </c>
      <c r="D621" s="8">
        <f>if(L620=L621,N620*'Prestige Patterns'!$B$20+D620-F621,0)</f>
        <v>1.55003E+15</v>
      </c>
      <c r="E621" s="9">
        <f t="shared" si="2"/>
        <v>684</v>
      </c>
      <c r="F621" s="10">
        <f>'Prestige Patterns'!$B$5*('Prestige Patterns'!$B$6^E620-'Prestige Patterns'!$B$6^(E620+G621))/(1-'Prestige Patterns'!$B$6)</f>
        <v>1.18673E+15</v>
      </c>
      <c r="G621" s="13">
        <f>floor(LOG('Prestige Patterns'!$B$6^(E620) - (D620*(1-'Prestige Patterns'!$B$6)/'Prestige Patterns'!$B$5),'Prestige Patterns'!$B$6)-E620,1)</f>
        <v>1</v>
      </c>
      <c r="H621" s="12">
        <f t="shared" si="3"/>
        <v>231655</v>
      </c>
      <c r="I621" s="11">
        <f>1+H621*'Prestige Patterns'!$B$25</f>
        <v>2317.55</v>
      </c>
      <c r="J621" s="12">
        <f>floor((K621/'Prestige Patterns'!$B$22)^'Prestige Patterns'!$B$23,1)-H620</f>
        <v>335864</v>
      </c>
      <c r="K621" s="8">
        <f>K620+N620*'Prestige Patterns'!$B$20</f>
        <v>3.22078E+16</v>
      </c>
      <c r="L621" s="8">
        <f>if(J620&gt;='Prestige Patterns'!$B$28,if(J620/(H620+1)&gt;('Prestige Patterns'!$B$27+1),L620+1,L620),L620)</f>
        <v>10</v>
      </c>
      <c r="N621" s="12">
        <f t="shared" si="1"/>
        <v>33244141584384</v>
      </c>
      <c r="O621" s="9">
        <f>'Prestige Patterns'!$B$4*E621</f>
        <v>13680</v>
      </c>
      <c r="P621" s="12">
        <f t="shared" si="4"/>
        <v>1048576</v>
      </c>
      <c r="Q621" s="11"/>
      <c r="R621" s="11"/>
      <c r="S621" s="9">
        <v>620.0</v>
      </c>
      <c r="T621" s="11"/>
    </row>
    <row r="622" ht="15.75" customHeight="1">
      <c r="A622" s="7"/>
      <c r="B622" s="7"/>
      <c r="C622" s="7">
        <f>(S622*'Prestige Patterns'!$B$20)/60</f>
        <v>310.5</v>
      </c>
      <c r="D622" s="8">
        <f>if(L621=L622,N621*'Prestige Patterns'!$B$20+D621-F622,0)</f>
        <v>1.30129E+15</v>
      </c>
      <c r="E622" s="9">
        <f t="shared" si="2"/>
        <v>685</v>
      </c>
      <c r="F622" s="10">
        <f>'Prestige Patterns'!$B$5*('Prestige Patterns'!$B$6^E621-'Prestige Patterns'!$B$6^(E621+G622))/(1-'Prestige Patterns'!$B$6)</f>
        <v>1.24606E+15</v>
      </c>
      <c r="G622" s="13">
        <f>floor(LOG('Prestige Patterns'!$B$6^(E621) - (D621*(1-'Prestige Patterns'!$B$6)/'Prestige Patterns'!$B$5),'Prestige Patterns'!$B$6)-E621,1)</f>
        <v>1</v>
      </c>
      <c r="H622" s="12">
        <f t="shared" si="3"/>
        <v>231655</v>
      </c>
      <c r="I622" s="11">
        <f>1+H622*'Prestige Patterns'!$B$25</f>
        <v>2317.55</v>
      </c>
      <c r="J622" s="12">
        <f>floor((K622/'Prestige Patterns'!$B$22)^'Prestige Patterns'!$B$23,1)-H621</f>
        <v>344583</v>
      </c>
      <c r="K622" s="8">
        <f>K621+N621*'Prestige Patterns'!$B$20</f>
        <v>3.32051E+16</v>
      </c>
      <c r="L622" s="8">
        <f>if(J621&gt;='Prestige Patterns'!$B$28,if(J621/(H621+1)&gt;('Prestige Patterns'!$B$27+1),L621+1,L621),L621)</f>
        <v>10</v>
      </c>
      <c r="N622" s="12">
        <f t="shared" si="1"/>
        <v>33292744130560</v>
      </c>
      <c r="O622" s="9">
        <f>'Prestige Patterns'!$B$4*E622</f>
        <v>13700</v>
      </c>
      <c r="P622" s="12">
        <f t="shared" si="4"/>
        <v>1048576</v>
      </c>
      <c r="Q622" s="11"/>
      <c r="R622" s="11"/>
      <c r="S622" s="9">
        <v>621.0</v>
      </c>
      <c r="T622" s="11"/>
    </row>
    <row r="623" ht="15.75" customHeight="1">
      <c r="A623" s="7"/>
      <c r="B623" s="7"/>
      <c r="C623" s="7">
        <f>(S623*'Prestige Patterns'!$B$20)/60</f>
        <v>311</v>
      </c>
      <c r="D623" s="8">
        <f>if(L622=L623,N622*'Prestige Patterns'!$B$20+D622-F623,0)</f>
        <v>2.30007E+15</v>
      </c>
      <c r="E623" s="9">
        <f t="shared" si="2"/>
        <v>685</v>
      </c>
      <c r="F623" s="10">
        <f>'Prestige Patterns'!$B$5*('Prestige Patterns'!$B$6^E622-'Prestige Patterns'!$B$6^(E622+G623))/(1-'Prestige Patterns'!$B$6)</f>
        <v>0</v>
      </c>
      <c r="G623" s="13">
        <f>floor(LOG('Prestige Patterns'!$B$6^(E622) - (D622*(1-'Prestige Patterns'!$B$6)/'Prestige Patterns'!$B$5),'Prestige Patterns'!$B$6)-E622,1)</f>
        <v>0</v>
      </c>
      <c r="H623" s="12">
        <f t="shared" si="3"/>
        <v>231655</v>
      </c>
      <c r="I623" s="11">
        <f>1+H623*'Prestige Patterns'!$B$25</f>
        <v>2317.55</v>
      </c>
      <c r="J623" s="12">
        <f>floor((K623/'Prestige Patterns'!$B$22)^'Prestige Patterns'!$B$23,1)-H622</f>
        <v>353185</v>
      </c>
      <c r="K623" s="8">
        <f>K622+N622*'Prestige Patterns'!$B$20</f>
        <v>3.42039E+16</v>
      </c>
      <c r="L623" s="8">
        <f>if(J622&gt;='Prestige Patterns'!$B$28,if(J622/(H622+1)&gt;('Prestige Patterns'!$B$27+1),L622+1,L622),L622)</f>
        <v>10</v>
      </c>
      <c r="N623" s="12">
        <f t="shared" si="1"/>
        <v>33292744130560</v>
      </c>
      <c r="O623" s="9">
        <f>'Prestige Patterns'!$B$4*E623</f>
        <v>13700</v>
      </c>
      <c r="P623" s="12">
        <f t="shared" si="4"/>
        <v>1048576</v>
      </c>
      <c r="Q623" s="11"/>
      <c r="R623" s="11"/>
      <c r="S623" s="9">
        <v>622.0</v>
      </c>
      <c r="T623" s="11"/>
    </row>
    <row r="624" ht="15.75" customHeight="1">
      <c r="A624" s="7"/>
      <c r="B624" s="7"/>
      <c r="C624" s="7">
        <f>(S624*'Prestige Patterns'!$B$20)/60</f>
        <v>311.5</v>
      </c>
      <c r="D624" s="8">
        <f>if(L623=L624,N623*'Prestige Patterns'!$B$20+D623-F624,0)</f>
        <v>0</v>
      </c>
      <c r="E624" s="9">
        <f t="shared" si="2"/>
        <v>1</v>
      </c>
      <c r="F624" s="10">
        <f>'Prestige Patterns'!$B$5*('Prestige Patterns'!$B$6^E623-'Prestige Patterns'!$B$6^(E623+G624))/(1-'Prestige Patterns'!$B$6)</f>
        <v>1.30837E+15</v>
      </c>
      <c r="G624" s="13">
        <f>floor(LOG('Prestige Patterns'!$B$6^(E623) - (D623*(1-'Prestige Patterns'!$B$6)/'Prestige Patterns'!$B$5),'Prestige Patterns'!$B$6)-E623,1)</f>
        <v>1</v>
      </c>
      <c r="H624" s="12">
        <f t="shared" si="3"/>
        <v>584840</v>
      </c>
      <c r="I624" s="11">
        <f>1+H624*'Prestige Patterns'!$B$25</f>
        <v>5849.4</v>
      </c>
      <c r="J624" s="12">
        <f>floor((K624/'Prestige Patterns'!$B$22)^'Prestige Patterns'!$B$23,1)-H623</f>
        <v>361663</v>
      </c>
      <c r="K624" s="8">
        <f>K623+N623*'Prestige Patterns'!$B$20</f>
        <v>3.52027E+16</v>
      </c>
      <c r="L624" s="8">
        <f>if(J623&gt;='Prestige Patterns'!$B$28,if(J623/(H623+1)&gt;('Prestige Patterns'!$B$27+1),L623+1,L623),L623)</f>
        <v>11</v>
      </c>
      <c r="N624" s="12">
        <f t="shared" si="1"/>
        <v>122670809088</v>
      </c>
      <c r="O624" s="9">
        <f>'Prestige Patterns'!$B$4*E624</f>
        <v>20</v>
      </c>
      <c r="P624" s="12">
        <f t="shared" si="4"/>
        <v>1048576</v>
      </c>
      <c r="Q624" s="11"/>
      <c r="R624" s="11"/>
      <c r="S624" s="9">
        <v>623.0</v>
      </c>
      <c r="T624" s="11"/>
    </row>
    <row r="625" ht="15.75" customHeight="1">
      <c r="A625" s="7"/>
      <c r="B625" s="7"/>
      <c r="C625" s="7">
        <f>(S625*'Prestige Patterns'!$B$20)/60</f>
        <v>312</v>
      </c>
      <c r="D625" s="8">
        <f>if(L624=L625,N624*'Prestige Patterns'!$B$20+D624-F625,0)</f>
        <v>3680124272640</v>
      </c>
      <c r="E625" s="9">
        <f t="shared" si="2"/>
        <v>1</v>
      </c>
      <c r="F625" s="10">
        <f>'Prestige Patterns'!$B$5*('Prestige Patterns'!$B$6^E624-'Prestige Patterns'!$B$6^(E624+G625))/(1-'Prestige Patterns'!$B$6)</f>
        <v>0</v>
      </c>
      <c r="G625" s="13">
        <f>floor(LOG('Prestige Patterns'!$B$6^(E624) - (D624*(1-'Prestige Patterns'!$B$6)/'Prestige Patterns'!$B$5),'Prestige Patterns'!$B$6)-E624,1)</f>
        <v>0</v>
      </c>
      <c r="H625" s="12">
        <f t="shared" si="3"/>
        <v>584840</v>
      </c>
      <c r="I625" s="11">
        <f>1+H625*'Prestige Patterns'!$B$25</f>
        <v>5849.4</v>
      </c>
      <c r="J625" s="12">
        <f>floor((K625/'Prestige Patterns'!$B$22)^'Prestige Patterns'!$B$23,1)-H624</f>
        <v>8509</v>
      </c>
      <c r="K625" s="8">
        <f>K624+N624*'Prestige Patterns'!$B$20</f>
        <v>3.52064E+16</v>
      </c>
      <c r="L625" s="8">
        <f>if(J624&gt;='Prestige Patterns'!$B$28,if(J624/(H624+1)&gt;('Prestige Patterns'!$B$27+1),L624+1,L624),L624)</f>
        <v>11</v>
      </c>
      <c r="N625" s="12">
        <f t="shared" si="1"/>
        <v>122670809088</v>
      </c>
      <c r="O625" s="9">
        <f>'Prestige Patterns'!$B$4*E625</f>
        <v>20</v>
      </c>
      <c r="P625" s="12">
        <f t="shared" si="4"/>
        <v>1048576</v>
      </c>
      <c r="Q625" s="11"/>
      <c r="R625" s="11"/>
      <c r="S625" s="9">
        <v>624.0</v>
      </c>
      <c r="T625" s="11"/>
    </row>
    <row r="626" ht="15.75" customHeight="1">
      <c r="A626" s="7"/>
      <c r="B626" s="7"/>
      <c r="C626" s="7">
        <f>(S626*'Prestige Patterns'!$B$20)/60</f>
        <v>312.5</v>
      </c>
      <c r="D626" s="8">
        <f>if(L625=L626,N625*'Prestige Patterns'!$B$20+D625-F626,0)</f>
        <v>3718521267545</v>
      </c>
      <c r="E626" s="9">
        <f t="shared" si="2"/>
        <v>503</v>
      </c>
      <c r="F626" s="10">
        <f>'Prestige Patterns'!$B$5*('Prestige Patterns'!$B$6^E625-'Prestige Patterns'!$B$6^(E625+G626))/(1-'Prestige Patterns'!$B$6)</f>
        <v>3641727277735</v>
      </c>
      <c r="G626" s="13">
        <f>floor(LOG('Prestige Patterns'!$B$6^(E625) - (D625*(1-'Prestige Patterns'!$B$6)/'Prestige Patterns'!$B$5),'Prestige Patterns'!$B$6)-E625,1)</f>
        <v>502</v>
      </c>
      <c r="H626" s="12">
        <f t="shared" si="3"/>
        <v>584840</v>
      </c>
      <c r="I626" s="11">
        <f>1+H626*'Prestige Patterns'!$B$25</f>
        <v>5849.4</v>
      </c>
      <c r="J626" s="12">
        <f>floor((K626/'Prestige Patterns'!$B$22)^'Prestige Patterns'!$B$23,1)-H625</f>
        <v>8540</v>
      </c>
      <c r="K626" s="8">
        <f>K625+N625*'Prestige Patterns'!$B$20</f>
        <v>3.521E+16</v>
      </c>
      <c r="L626" s="8">
        <f>if(J625&gt;='Prestige Patterns'!$B$28,if(J625/(H625+1)&gt;('Prestige Patterns'!$B$27+1),L625+1,L625),L625)</f>
        <v>11</v>
      </c>
      <c r="N626" s="12">
        <f t="shared" si="1"/>
        <v>3856463560704</v>
      </c>
      <c r="O626" s="9">
        <f>'Prestige Patterns'!$B$4*E626</f>
        <v>10060</v>
      </c>
      <c r="P626" s="12">
        <f t="shared" si="4"/>
        <v>65536</v>
      </c>
      <c r="Q626" s="11"/>
      <c r="R626" s="11"/>
      <c r="S626" s="9">
        <v>625.0</v>
      </c>
      <c r="T626" s="11"/>
    </row>
    <row r="627" ht="15.75" customHeight="1">
      <c r="A627" s="7"/>
      <c r="B627" s="7"/>
      <c r="C627" s="7">
        <f>(S627*'Prestige Patterns'!$B$20)/60</f>
        <v>313</v>
      </c>
      <c r="D627" s="8">
        <f>if(L626=L627,N626*'Prestige Patterns'!$B$20+D626-F627,0)</f>
        <v>115843784452590</v>
      </c>
      <c r="E627" s="9">
        <f t="shared" si="2"/>
        <v>517</v>
      </c>
      <c r="F627" s="10">
        <f>'Prestige Patterns'!$B$5*('Prestige Patterns'!$B$6^E626-'Prestige Patterns'!$B$6^(E626+G627))/(1-'Prestige Patterns'!$B$6)</f>
        <v>3568643636075</v>
      </c>
      <c r="G627" s="13">
        <f>floor(LOG('Prestige Patterns'!$B$6^(E626) - (D626*(1-'Prestige Patterns'!$B$6)/'Prestige Patterns'!$B$5),'Prestige Patterns'!$B$6)-E626,1)</f>
        <v>14</v>
      </c>
      <c r="H627" s="12">
        <f t="shared" si="3"/>
        <v>584840</v>
      </c>
      <c r="I627" s="11">
        <f>1+H627*'Prestige Patterns'!$B$25</f>
        <v>5849.4</v>
      </c>
      <c r="J627" s="12">
        <f>floor((K627/'Prestige Patterns'!$B$22)^'Prestige Patterns'!$B$23,1)-H626</f>
        <v>9514</v>
      </c>
      <c r="K627" s="8">
        <f>K626+N626*'Prestige Patterns'!$B$20</f>
        <v>3.53257E+16</v>
      </c>
      <c r="L627" s="8">
        <f>if(J626&gt;='Prestige Patterns'!$B$28,if(J626/(H626+1)&gt;('Prestige Patterns'!$B$27+1),L626+1,L626),L626)</f>
        <v>11</v>
      </c>
      <c r="N627" s="12">
        <f t="shared" si="1"/>
        <v>3963800518656</v>
      </c>
      <c r="O627" s="9">
        <f>'Prestige Patterns'!$B$4*E627</f>
        <v>10340</v>
      </c>
      <c r="P627" s="12">
        <f t="shared" si="4"/>
        <v>65536</v>
      </c>
      <c r="Q627" s="11"/>
      <c r="R627" s="11"/>
      <c r="S627" s="9">
        <v>626.0</v>
      </c>
      <c r="T627" s="11"/>
    </row>
    <row r="628" ht="15.75" customHeight="1">
      <c r="A628" s="7"/>
      <c r="B628" s="7"/>
      <c r="C628" s="7">
        <f>(S628*'Prestige Patterns'!$B$20)/60</f>
        <v>313.5</v>
      </c>
      <c r="D628" s="8">
        <f>if(L627=L628,N627*'Prestige Patterns'!$B$20+D627-F628,0)</f>
        <v>119805940843445</v>
      </c>
      <c r="E628" s="9">
        <f t="shared" si="2"/>
        <v>575</v>
      </c>
      <c r="F628" s="10">
        <f>'Prestige Patterns'!$B$5*('Prestige Patterns'!$B$6^E627-'Prestige Patterns'!$B$6^(E627+G628))/(1-'Prestige Patterns'!$B$6)</f>
        <v>114951859168826</v>
      </c>
      <c r="G628" s="13">
        <f>floor(LOG('Prestige Patterns'!$B$6^(E627) - (D627*(1-'Prestige Patterns'!$B$6)/'Prestige Patterns'!$B$5),'Prestige Patterns'!$B$6)-E627,1)</f>
        <v>58</v>
      </c>
      <c r="H628" s="12">
        <f t="shared" si="3"/>
        <v>584840</v>
      </c>
      <c r="I628" s="11">
        <f>1+H628*'Prestige Patterns'!$B$25</f>
        <v>5849.4</v>
      </c>
      <c r="J628" s="12">
        <f>floor((K628/'Prestige Patterns'!$B$22)^'Prestige Patterns'!$B$23,1)-H627</f>
        <v>10514</v>
      </c>
      <c r="K628" s="8">
        <f>K627+N627*'Prestige Patterns'!$B$20</f>
        <v>3.54446E+16</v>
      </c>
      <c r="L628" s="8">
        <f>if(J627&gt;='Prestige Patterns'!$B$28,if(J627/(H627+1)&gt;('Prestige Patterns'!$B$27+1),L627+1,L627),L627)</f>
        <v>11</v>
      </c>
      <c r="N628" s="12">
        <f t="shared" si="1"/>
        <v>4408482201600</v>
      </c>
      <c r="O628" s="9">
        <f>'Prestige Patterns'!$B$4*E628</f>
        <v>11500</v>
      </c>
      <c r="P628" s="12">
        <f t="shared" si="4"/>
        <v>65536</v>
      </c>
      <c r="Q628" s="11"/>
      <c r="R628" s="11"/>
      <c r="S628" s="9">
        <v>627.0</v>
      </c>
      <c r="T628" s="11"/>
    </row>
    <row r="629" ht="15.75" customHeight="1">
      <c r="A629" s="7"/>
      <c r="B629" s="7"/>
      <c r="C629" s="7">
        <f>(S629*'Prestige Patterns'!$B$20)/60</f>
        <v>314</v>
      </c>
      <c r="D629" s="8">
        <f>if(L628=L629,N628*'Prestige Patterns'!$B$20+D628-F629,0)</f>
        <v>132349777375402</v>
      </c>
      <c r="E629" s="9">
        <f t="shared" si="2"/>
        <v>589</v>
      </c>
      <c r="F629" s="10">
        <f>'Prestige Patterns'!$B$5*('Prestige Patterns'!$B$6^E628-'Prestige Patterns'!$B$6^(E628+G629))/(1-'Prestige Patterns'!$B$6)</f>
        <v>119710629516043</v>
      </c>
      <c r="G629" s="13">
        <f>floor(LOG('Prestige Patterns'!$B$6^(E628) - (D628*(1-'Prestige Patterns'!$B$6)/'Prestige Patterns'!$B$5),'Prestige Patterns'!$B$6)-E628,1)</f>
        <v>14</v>
      </c>
      <c r="H629" s="12">
        <f t="shared" si="3"/>
        <v>584840</v>
      </c>
      <c r="I629" s="11">
        <f>1+H629*'Prestige Patterns'!$B$25</f>
        <v>5849.4</v>
      </c>
      <c r="J629" s="12">
        <f>floor((K629/'Prestige Patterns'!$B$22)^'Prestige Patterns'!$B$23,1)-H628</f>
        <v>11623</v>
      </c>
      <c r="K629" s="8">
        <f>K628+N628*'Prestige Patterns'!$B$20</f>
        <v>3.55769E+16</v>
      </c>
      <c r="L629" s="8">
        <f>if(J628&gt;='Prestige Patterns'!$B$28,if(J628/(H628+1)&gt;('Prestige Patterns'!$B$27+1),L628+1,L628),L628)</f>
        <v>11</v>
      </c>
      <c r="N629" s="12">
        <f t="shared" si="1"/>
        <v>4515819159552</v>
      </c>
      <c r="O629" s="9">
        <f>'Prestige Patterns'!$B$4*E629</f>
        <v>11780</v>
      </c>
      <c r="P629" s="12">
        <f t="shared" si="4"/>
        <v>65536</v>
      </c>
      <c r="Q629" s="11"/>
      <c r="R629" s="11"/>
      <c r="S629" s="9">
        <v>628.0</v>
      </c>
      <c r="T629" s="11"/>
    </row>
    <row r="630" ht="15.75" customHeight="1">
      <c r="A630" s="7"/>
      <c r="B630" s="7"/>
      <c r="C630" s="7">
        <f>(S630*'Prestige Patterns'!$B$20)/60</f>
        <v>314.5</v>
      </c>
      <c r="D630" s="8">
        <f>if(L629=L630,N629*'Prestige Patterns'!$B$20+D629-F630,0)</f>
        <v>152340838641705</v>
      </c>
      <c r="E630" s="9">
        <f t="shared" si="2"/>
        <v>597</v>
      </c>
      <c r="F630" s="10">
        <f>'Prestige Patterns'!$B$5*('Prestige Patterns'!$B$6^E629-'Prestige Patterns'!$B$6^(E629+G630))/(1-'Prestige Patterns'!$B$6)</f>
        <v>115483513520257</v>
      </c>
      <c r="G630" s="13">
        <f>floor(LOG('Prestige Patterns'!$B$6^(E629) - (D629*(1-'Prestige Patterns'!$B$6)/'Prestige Patterns'!$B$5),'Prestige Patterns'!$B$6)-E629,1)</f>
        <v>8</v>
      </c>
      <c r="H630" s="12">
        <f t="shared" si="3"/>
        <v>584840</v>
      </c>
      <c r="I630" s="11">
        <f>1+H630*'Prestige Patterns'!$B$25</f>
        <v>5849.4</v>
      </c>
      <c r="J630" s="12">
        <f>floor((K630/'Prestige Patterns'!$B$22)^'Prestige Patterns'!$B$23,1)-H629</f>
        <v>12758</v>
      </c>
      <c r="K630" s="8">
        <f>K629+N629*'Prestige Patterns'!$B$20</f>
        <v>3.57124E+16</v>
      </c>
      <c r="L630" s="8">
        <f>if(J629&gt;='Prestige Patterns'!$B$28,if(J629/(H629+1)&gt;('Prestige Patterns'!$B$27+1),L629+1,L629),L629)</f>
        <v>11</v>
      </c>
      <c r="N630" s="12">
        <f t="shared" si="1"/>
        <v>4577154564096</v>
      </c>
      <c r="O630" s="9">
        <f>'Prestige Patterns'!$B$4*E630</f>
        <v>11940</v>
      </c>
      <c r="P630" s="12">
        <f t="shared" si="4"/>
        <v>65536</v>
      </c>
      <c r="Q630" s="11"/>
      <c r="R630" s="11"/>
      <c r="S630" s="9">
        <v>629.0</v>
      </c>
      <c r="T630" s="11"/>
    </row>
    <row r="631" ht="15.75" customHeight="1">
      <c r="A631" s="7"/>
      <c r="B631" s="7"/>
      <c r="C631" s="7">
        <f>(S631*'Prestige Patterns'!$B$20)/60</f>
        <v>315</v>
      </c>
      <c r="D631" s="8">
        <f>if(L630=L631,N630*'Prestige Patterns'!$B$20+D630-F631,0)</f>
        <v>144175545028928</v>
      </c>
      <c r="E631" s="9">
        <f t="shared" si="2"/>
        <v>604</v>
      </c>
      <c r="F631" s="10">
        <f>'Prestige Patterns'!$B$5*('Prestige Patterns'!$B$6^E630-'Prestige Patterns'!$B$6^(E630+G631))/(1-'Prestige Patterns'!$B$6)</f>
        <v>145479930535657</v>
      </c>
      <c r="G631" s="13">
        <f>floor(LOG('Prestige Patterns'!$B$6^(E630) - (D630*(1-'Prestige Patterns'!$B$6)/'Prestige Patterns'!$B$5),'Prestige Patterns'!$B$6)-E630,1)</f>
        <v>7</v>
      </c>
      <c r="H631" s="12">
        <f t="shared" si="3"/>
        <v>584840</v>
      </c>
      <c r="I631" s="11">
        <f>1+H631*'Prestige Patterns'!$B$25</f>
        <v>5849.4</v>
      </c>
      <c r="J631" s="12">
        <f>floor((K631/'Prestige Patterns'!$B$22)^'Prestige Patterns'!$B$23,1)-H630</f>
        <v>13906</v>
      </c>
      <c r="K631" s="8">
        <f>K630+N630*'Prestige Patterns'!$B$20</f>
        <v>3.58497E+16</v>
      </c>
      <c r="L631" s="8">
        <f>if(J630&gt;='Prestige Patterns'!$B$28,if(J630/(H630+1)&gt;('Prestige Patterns'!$B$27+1),L630+1,L630),L630)</f>
        <v>11</v>
      </c>
      <c r="N631" s="12">
        <f t="shared" si="1"/>
        <v>74093168689152</v>
      </c>
      <c r="O631" s="9">
        <f>'Prestige Patterns'!$B$4*E631</f>
        <v>12080</v>
      </c>
      <c r="P631" s="12">
        <f t="shared" si="4"/>
        <v>1048576</v>
      </c>
      <c r="Q631" s="11"/>
      <c r="R631" s="11"/>
      <c r="S631" s="9">
        <v>630.0</v>
      </c>
      <c r="T631" s="11"/>
    </row>
    <row r="632" ht="15.75" customHeight="1">
      <c r="A632" s="7"/>
      <c r="B632" s="7"/>
      <c r="C632" s="7">
        <f>(S632*'Prestige Patterns'!$B$20)/60</f>
        <v>315.5</v>
      </c>
      <c r="D632" s="8">
        <f>if(L631=L632,N631*'Prestige Patterns'!$B$20+D631-F632,0)</f>
        <v>2.22805E+15</v>
      </c>
      <c r="E632" s="9">
        <f t="shared" si="2"/>
        <v>609</v>
      </c>
      <c r="F632" s="10">
        <f>'Prestige Patterns'!$B$5*('Prestige Patterns'!$B$6^E631-'Prestige Patterns'!$B$6^(E631+G632))/(1-'Prestige Patterns'!$B$6)</f>
        <v>138924399655438</v>
      </c>
      <c r="G632" s="13">
        <f>floor(LOG('Prestige Patterns'!$B$6^(E631) - (D631*(1-'Prestige Patterns'!$B$6)/'Prestige Patterns'!$B$5),'Prestige Patterns'!$B$6)-E631,1)</f>
        <v>5</v>
      </c>
      <c r="H632" s="12">
        <f t="shared" si="3"/>
        <v>584840</v>
      </c>
      <c r="I632" s="11">
        <f>1+H632*'Prestige Patterns'!$B$25</f>
        <v>5849.4</v>
      </c>
      <c r="J632" s="12">
        <f>floor((K632/'Prestige Patterns'!$B$22)^'Prestige Patterns'!$B$23,1)-H631</f>
        <v>32189</v>
      </c>
      <c r="K632" s="8">
        <f>K631+N631*'Prestige Patterns'!$B$20</f>
        <v>3.80725E+16</v>
      </c>
      <c r="L632" s="8">
        <f>if(J631&gt;='Prestige Patterns'!$B$28,if(J631/(H631+1)&gt;('Prestige Patterns'!$B$27+1),L631+1,L631),L631)</f>
        <v>11</v>
      </c>
      <c r="N632" s="12">
        <f t="shared" si="1"/>
        <v>74706522734592</v>
      </c>
      <c r="O632" s="9">
        <f>'Prestige Patterns'!$B$4*E632</f>
        <v>12180</v>
      </c>
      <c r="P632" s="12">
        <f t="shared" si="4"/>
        <v>1048576</v>
      </c>
      <c r="Q632" s="11"/>
      <c r="R632" s="11"/>
      <c r="S632" s="9">
        <v>631.0</v>
      </c>
      <c r="T632" s="11"/>
    </row>
    <row r="633" ht="15.75" customHeight="1">
      <c r="A633" s="7"/>
      <c r="B633" s="7"/>
      <c r="C633" s="7">
        <f>(S633*'Prestige Patterns'!$B$20)/60</f>
        <v>316</v>
      </c>
      <c r="D633" s="8">
        <f>if(L632=L633,N632*'Prestige Patterns'!$B$20+D632-F633,0)</f>
        <v>2.33735E+15</v>
      </c>
      <c r="E633" s="9">
        <f t="shared" si="2"/>
        <v>639</v>
      </c>
      <c r="F633" s="10">
        <f>'Prestige Patterns'!$B$5*('Prestige Patterns'!$B$6^E632-'Prestige Patterns'!$B$6^(E632+G633))/(1-'Prestige Patterns'!$B$6)</f>
        <v>2.13189E+15</v>
      </c>
      <c r="G633" s="13">
        <f>floor(LOG('Prestige Patterns'!$B$6^(E632) - (D632*(1-'Prestige Patterns'!$B$6)/'Prestige Patterns'!$B$5),'Prestige Patterns'!$B$6)-E632,1)</f>
        <v>30</v>
      </c>
      <c r="H633" s="12">
        <f t="shared" si="3"/>
        <v>584840</v>
      </c>
      <c r="I633" s="11">
        <f>1+H633*'Prestige Patterns'!$B$25</f>
        <v>5849.4</v>
      </c>
      <c r="J633" s="12">
        <f>floor((K633/'Prestige Patterns'!$B$22)^'Prestige Patterns'!$B$23,1)-H632</f>
        <v>50090</v>
      </c>
      <c r="K633" s="8">
        <f>K632+N632*'Prestige Patterns'!$B$20</f>
        <v>4.03137E+16</v>
      </c>
      <c r="L633" s="8">
        <f>if(J632&gt;='Prestige Patterns'!$B$28,if(J632/(H632+1)&gt;('Prestige Patterns'!$B$27+1),L632+1,L632),L632)</f>
        <v>11</v>
      </c>
      <c r="N633" s="12">
        <f t="shared" si="1"/>
        <v>78386647007232</v>
      </c>
      <c r="O633" s="9">
        <f>'Prestige Patterns'!$B$4*E633</f>
        <v>12780</v>
      </c>
      <c r="P633" s="12">
        <f t="shared" si="4"/>
        <v>1048576</v>
      </c>
      <c r="Q633" s="11"/>
      <c r="R633" s="11"/>
      <c r="S633" s="9">
        <v>632.0</v>
      </c>
      <c r="T633" s="11"/>
    </row>
    <row r="634" ht="15.75" customHeight="1">
      <c r="A634" s="7"/>
      <c r="B634" s="7"/>
      <c r="C634" s="7">
        <f>(S634*'Prestige Patterns'!$B$20)/60</f>
        <v>316.5</v>
      </c>
      <c r="D634" s="8">
        <f>if(L633=L634,N633*'Prestige Patterns'!$B$20+D633-F634,0)</f>
        <v>2.48152E+15</v>
      </c>
      <c r="E634" s="9">
        <f t="shared" si="2"/>
        <v>651</v>
      </c>
      <c r="F634" s="10">
        <f>'Prestige Patterns'!$B$5*('Prestige Patterns'!$B$6^E633-'Prestige Patterns'!$B$6^(E633+G634))/(1-'Prestige Patterns'!$B$6)</f>
        <v>2.20743E+15</v>
      </c>
      <c r="G634" s="13">
        <f>floor(LOG('Prestige Patterns'!$B$6^(E633) - (D633*(1-'Prestige Patterns'!$B$6)/'Prestige Patterns'!$B$5),'Prestige Patterns'!$B$6)-E633,1)</f>
        <v>12</v>
      </c>
      <c r="H634" s="12">
        <f t="shared" si="3"/>
        <v>584840</v>
      </c>
      <c r="I634" s="11">
        <f>1+H634*'Prestige Patterns'!$B$25</f>
        <v>5849.4</v>
      </c>
      <c r="J634" s="12">
        <f>floor((K634/'Prestige Patterns'!$B$22)^'Prestige Patterns'!$B$23,1)-H633</f>
        <v>68346</v>
      </c>
      <c r="K634" s="8">
        <f>K633+N633*'Prestige Patterns'!$B$20</f>
        <v>4.26653E+16</v>
      </c>
      <c r="L634" s="8">
        <f>if(J633&gt;='Prestige Patterns'!$B$28,if(J633/(H633+1)&gt;('Prestige Patterns'!$B$27+1),L633+1,L633),L633)</f>
        <v>11</v>
      </c>
      <c r="N634" s="12">
        <f t="shared" si="1"/>
        <v>79858696716288</v>
      </c>
      <c r="O634" s="9">
        <f>'Prestige Patterns'!$B$4*E634</f>
        <v>13020</v>
      </c>
      <c r="P634" s="12">
        <f t="shared" si="4"/>
        <v>1048576</v>
      </c>
      <c r="Q634" s="11"/>
      <c r="R634" s="11"/>
      <c r="S634" s="9">
        <v>633.0</v>
      </c>
      <c r="T634" s="11"/>
    </row>
    <row r="635" ht="15.75" customHeight="1">
      <c r="A635" s="7"/>
      <c r="B635" s="7"/>
      <c r="C635" s="7">
        <f>(S635*'Prestige Patterns'!$B$20)/60</f>
        <v>317</v>
      </c>
      <c r="D635" s="8">
        <f>if(L634=L635,N634*'Prestige Patterns'!$B$20+D634-F635,0)</f>
        <v>2.49904E+15</v>
      </c>
      <c r="E635" s="9">
        <f t="shared" si="2"/>
        <v>659</v>
      </c>
      <c r="F635" s="10">
        <f>'Prestige Patterns'!$B$5*('Prestige Patterns'!$B$6^E634-'Prestige Patterns'!$B$6^(E634+G635))/(1-'Prestige Patterns'!$B$6)</f>
        <v>2.37824E+15</v>
      </c>
      <c r="G635" s="13">
        <f>floor(LOG('Prestige Patterns'!$B$6^(E634) - (D634*(1-'Prestige Patterns'!$B$6)/'Prestige Patterns'!$B$5),'Prestige Patterns'!$B$6)-E634,1)</f>
        <v>8</v>
      </c>
      <c r="H635" s="12">
        <f t="shared" si="3"/>
        <v>584840</v>
      </c>
      <c r="I635" s="11">
        <f>1+H635*'Prestige Patterns'!$B$25</f>
        <v>5849.4</v>
      </c>
      <c r="J635" s="12">
        <f>floor((K635/'Prestige Patterns'!$B$22)^'Prestige Patterns'!$B$23,1)-H634</f>
        <v>86435</v>
      </c>
      <c r="K635" s="8">
        <f>K634+N634*'Prestige Patterns'!$B$20</f>
        <v>4.5061E+16</v>
      </c>
      <c r="L635" s="8">
        <f>if(J634&gt;='Prestige Patterns'!$B$28,if(J634/(H634+1)&gt;('Prestige Patterns'!$B$27+1),L634+1,L634),L634)</f>
        <v>11</v>
      </c>
      <c r="N635" s="12">
        <f t="shared" si="1"/>
        <v>80840063188992</v>
      </c>
      <c r="O635" s="9">
        <f>'Prestige Patterns'!$B$4*E635</f>
        <v>13180</v>
      </c>
      <c r="P635" s="12">
        <f t="shared" si="4"/>
        <v>1048576</v>
      </c>
      <c r="Q635" s="11"/>
      <c r="R635" s="11"/>
      <c r="S635" s="9">
        <v>634.0</v>
      </c>
      <c r="T635" s="11"/>
    </row>
    <row r="636" ht="15.75" customHeight="1">
      <c r="A636" s="7"/>
      <c r="B636" s="7"/>
      <c r="C636" s="7">
        <f>(S636*'Prestige Patterns'!$B$20)/60</f>
        <v>317.5</v>
      </c>
      <c r="D636" s="8">
        <f>if(L635=L636,N635*'Prestige Patterns'!$B$20+D635-F636,0)</f>
        <v>2.89099E+15</v>
      </c>
      <c r="E636" s="9">
        <f t="shared" si="2"/>
        <v>664</v>
      </c>
      <c r="F636" s="10">
        <f>'Prestige Patterns'!$B$5*('Prestige Patterns'!$B$6^E635-'Prestige Patterns'!$B$6^(E635+G636))/(1-'Prestige Patterns'!$B$6)</f>
        <v>2.03325E+15</v>
      </c>
      <c r="G636" s="13">
        <f>floor(LOG('Prestige Patterns'!$B$6^(E635) - (D635*(1-'Prestige Patterns'!$B$6)/'Prestige Patterns'!$B$5),'Prestige Patterns'!$B$6)-E635,1)</f>
        <v>5</v>
      </c>
      <c r="H636" s="12">
        <f t="shared" si="3"/>
        <v>584840</v>
      </c>
      <c r="I636" s="11">
        <f>1+H636*'Prestige Patterns'!$B$25</f>
        <v>5849.4</v>
      </c>
      <c r="J636" s="12">
        <f>floor((K636/'Prestige Patterns'!$B$22)^'Prestige Patterns'!$B$23,1)-H635</f>
        <v>104262</v>
      </c>
      <c r="K636" s="8">
        <f>K635+N635*'Prestige Patterns'!$B$20</f>
        <v>4.74862E+16</v>
      </c>
      <c r="L636" s="8">
        <f>if(J635&gt;='Prestige Patterns'!$B$28,if(J635/(H635+1)&gt;('Prestige Patterns'!$B$27+1),L635+1,L635),L635)</f>
        <v>11</v>
      </c>
      <c r="N636" s="12">
        <f t="shared" si="1"/>
        <v>81453417234432</v>
      </c>
      <c r="O636" s="9">
        <f>'Prestige Patterns'!$B$4*E636</f>
        <v>13280</v>
      </c>
      <c r="P636" s="12">
        <f t="shared" si="4"/>
        <v>1048576</v>
      </c>
      <c r="Q636" s="11"/>
      <c r="R636" s="11"/>
      <c r="S636" s="9">
        <v>635.0</v>
      </c>
      <c r="T636" s="11"/>
    </row>
    <row r="637" ht="15.75" customHeight="1">
      <c r="A637" s="7"/>
      <c r="B637" s="7"/>
      <c r="C637" s="7">
        <f>(S637*'Prestige Patterns'!$B$20)/60</f>
        <v>318</v>
      </c>
      <c r="D637" s="8">
        <f>if(L636=L637,N636*'Prestige Patterns'!$B$20+D636-F637,0)</f>
        <v>2.7396E+15</v>
      </c>
      <c r="E637" s="9">
        <f t="shared" si="2"/>
        <v>669</v>
      </c>
      <c r="F637" s="10">
        <f>'Prestige Patterns'!$B$5*('Prestige Patterns'!$B$6^E636-'Prestige Patterns'!$B$6^(E636+G637))/(1-'Prestige Patterns'!$B$6)</f>
        <v>2.59499E+15</v>
      </c>
      <c r="G637" s="13">
        <f>floor(LOG('Prestige Patterns'!$B$6^(E636) - (D636*(1-'Prestige Patterns'!$B$6)/'Prestige Patterns'!$B$5),'Prestige Patterns'!$B$6)-E636,1)</f>
        <v>5</v>
      </c>
      <c r="H637" s="12">
        <f t="shared" si="3"/>
        <v>584840</v>
      </c>
      <c r="I637" s="11">
        <f>1+H637*'Prestige Patterns'!$B$25</f>
        <v>5849.4</v>
      </c>
      <c r="J637" s="12">
        <f>floor((K637/'Prestige Patterns'!$B$22)^'Prestige Patterns'!$B$23,1)-H636</f>
        <v>121770</v>
      </c>
      <c r="K637" s="8">
        <f>K636+N636*'Prestige Patterns'!$B$20</f>
        <v>4.99298E+16</v>
      </c>
      <c r="L637" s="8">
        <f>if(J636&gt;='Prestige Patterns'!$B$28,if(J636/(H636+1)&gt;('Prestige Patterns'!$B$27+1),L636+1,L636),L636)</f>
        <v>11</v>
      </c>
      <c r="N637" s="12">
        <f t="shared" si="1"/>
        <v>82066771279872</v>
      </c>
      <c r="O637" s="9">
        <f>'Prestige Patterns'!$B$4*E637</f>
        <v>13380</v>
      </c>
      <c r="P637" s="12">
        <f t="shared" si="4"/>
        <v>1048576</v>
      </c>
      <c r="Q637" s="11"/>
      <c r="R637" s="11"/>
      <c r="S637" s="9">
        <v>636.0</v>
      </c>
      <c r="T637" s="11"/>
    </row>
    <row r="638" ht="15.75" customHeight="1">
      <c r="A638" s="7"/>
      <c r="B638" s="7"/>
      <c r="C638" s="7">
        <f>(S638*'Prestige Patterns'!$B$20)/60</f>
        <v>318.5</v>
      </c>
      <c r="D638" s="8">
        <f>if(L637=L638,N637*'Prestige Patterns'!$B$20+D637-F638,0)</f>
        <v>2.61821E+15</v>
      </c>
      <c r="E638" s="9">
        <f t="shared" si="2"/>
        <v>673</v>
      </c>
      <c r="F638" s="10">
        <f>'Prestige Patterns'!$B$5*('Prestige Patterns'!$B$6^E637-'Prestige Patterns'!$B$6^(E637+G638))/(1-'Prestige Patterns'!$B$6)</f>
        <v>2.5834E+15</v>
      </c>
      <c r="G638" s="13">
        <f>floor(LOG('Prestige Patterns'!$B$6^(E637) - (D637*(1-'Prestige Patterns'!$B$6)/'Prestige Patterns'!$B$5),'Prestige Patterns'!$B$6)-E637,1)</f>
        <v>4</v>
      </c>
      <c r="H638" s="12">
        <f t="shared" si="3"/>
        <v>584840</v>
      </c>
      <c r="I638" s="11">
        <f>1+H638*'Prestige Patterns'!$B$25</f>
        <v>5849.4</v>
      </c>
      <c r="J638" s="12">
        <f>floor((K638/'Prestige Patterns'!$B$22)^'Prestige Patterns'!$B$23,1)-H637</f>
        <v>138982</v>
      </c>
      <c r="K638" s="8">
        <f>K637+N637*'Prestige Patterns'!$B$20</f>
        <v>5.23918E+16</v>
      </c>
      <c r="L638" s="8">
        <f>if(J637&gt;='Prestige Patterns'!$B$28,if(J637/(H637+1)&gt;('Prestige Patterns'!$B$27+1),L637+1,L637),L637)</f>
        <v>11</v>
      </c>
      <c r="N638" s="12">
        <f t="shared" si="1"/>
        <v>82557454516224</v>
      </c>
      <c r="O638" s="9">
        <f>'Prestige Patterns'!$B$4*E638</f>
        <v>13460</v>
      </c>
      <c r="P638" s="12">
        <f t="shared" si="4"/>
        <v>1048576</v>
      </c>
      <c r="Q638" s="11"/>
      <c r="R638" s="11"/>
      <c r="S638" s="9">
        <v>637.0</v>
      </c>
      <c r="T638" s="11"/>
    </row>
    <row r="639" ht="15.75" customHeight="1">
      <c r="A639" s="7"/>
      <c r="B639" s="7"/>
      <c r="C639" s="7">
        <f>(S639*'Prestige Patterns'!$B$20)/60</f>
        <v>319</v>
      </c>
      <c r="D639" s="8">
        <f>if(L638=L639,N638*'Prestige Patterns'!$B$20+D638-F639,0)</f>
        <v>2.79818E+15</v>
      </c>
      <c r="E639" s="9">
        <f t="shared" si="2"/>
        <v>676</v>
      </c>
      <c r="F639" s="10">
        <f>'Prestige Patterns'!$B$5*('Prestige Patterns'!$B$6^E638-'Prestige Patterns'!$B$6^(E638+G639))/(1-'Prestige Patterns'!$B$6)</f>
        <v>2.29675E+15</v>
      </c>
      <c r="G639" s="13">
        <f>floor(LOG('Prestige Patterns'!$B$6^(E638) - (D638*(1-'Prestige Patterns'!$B$6)/'Prestige Patterns'!$B$5),'Prestige Patterns'!$B$6)-E638,1)</f>
        <v>3</v>
      </c>
      <c r="H639" s="12">
        <f t="shared" si="3"/>
        <v>584840</v>
      </c>
      <c r="I639" s="11">
        <f>1+H639*'Prestige Patterns'!$B$25</f>
        <v>5849.4</v>
      </c>
      <c r="J639" s="12">
        <f>floor((K639/'Prestige Patterns'!$B$22)^'Prestige Patterns'!$B$23,1)-H638</f>
        <v>155893</v>
      </c>
      <c r="K639" s="8">
        <f>K638+N638*'Prestige Patterns'!$B$20</f>
        <v>5.48686E+16</v>
      </c>
      <c r="L639" s="8">
        <f>if(J638&gt;='Prestige Patterns'!$B$28,if(J638/(H638+1)&gt;('Prestige Patterns'!$B$27+1),L638+1,L638),L638)</f>
        <v>11</v>
      </c>
      <c r="N639" s="12">
        <f t="shared" si="1"/>
        <v>82925466943488</v>
      </c>
      <c r="O639" s="9">
        <f>'Prestige Patterns'!$B$4*E639</f>
        <v>13520</v>
      </c>
      <c r="P639" s="12">
        <f t="shared" si="4"/>
        <v>1048576</v>
      </c>
      <c r="Q639" s="11"/>
      <c r="R639" s="11"/>
      <c r="S639" s="9">
        <v>638.0</v>
      </c>
      <c r="T639" s="11"/>
    </row>
    <row r="640" ht="15.75" customHeight="1">
      <c r="A640" s="7"/>
      <c r="B640" s="7"/>
      <c r="C640" s="7">
        <f>(S640*'Prestige Patterns'!$B$20)/60</f>
        <v>319.5</v>
      </c>
      <c r="D640" s="8">
        <f>if(L639=L640,N639*'Prestige Patterns'!$B$20+D639-F640,0)</f>
        <v>2.62717E+15</v>
      </c>
      <c r="E640" s="9">
        <f t="shared" si="2"/>
        <v>679</v>
      </c>
      <c r="F640" s="10">
        <f>'Prestige Patterns'!$B$5*('Prestige Patterns'!$B$6^E639-'Prestige Patterns'!$B$6^(E639+G640))/(1-'Prestige Patterns'!$B$6)</f>
        <v>2.65877E+15</v>
      </c>
      <c r="G640" s="13">
        <f>floor(LOG('Prestige Patterns'!$B$6^(E639) - (D639*(1-'Prestige Patterns'!$B$6)/'Prestige Patterns'!$B$5),'Prestige Patterns'!$B$6)-E639,1)</f>
        <v>3</v>
      </c>
      <c r="H640" s="12">
        <f t="shared" si="3"/>
        <v>584840</v>
      </c>
      <c r="I640" s="11">
        <f>1+H640*'Prestige Patterns'!$B$25</f>
        <v>5849.4</v>
      </c>
      <c r="J640" s="12">
        <f>floor((K640/'Prestige Patterns'!$B$22)^'Prestige Patterns'!$B$23,1)-H639</f>
        <v>172499</v>
      </c>
      <c r="K640" s="8">
        <f>K639+N639*'Prestige Patterns'!$B$20</f>
        <v>5.73563E+16</v>
      </c>
      <c r="L640" s="8">
        <f>if(J639&gt;='Prestige Patterns'!$B$28,if(J639/(H639+1)&gt;('Prestige Patterns'!$B$27+1),L639+1,L639),L639)</f>
        <v>11</v>
      </c>
      <c r="N640" s="12">
        <f t="shared" si="1"/>
        <v>83293479370752</v>
      </c>
      <c r="O640" s="9">
        <f>'Prestige Patterns'!$B$4*E640</f>
        <v>13580</v>
      </c>
      <c r="P640" s="12">
        <f t="shared" si="4"/>
        <v>1048576</v>
      </c>
      <c r="Q640" s="11"/>
      <c r="R640" s="11"/>
      <c r="S640" s="9">
        <v>639.0</v>
      </c>
      <c r="T640" s="11"/>
    </row>
    <row r="641" ht="15.75" customHeight="1">
      <c r="A641" s="7"/>
      <c r="B641" s="7"/>
      <c r="C641" s="7">
        <f>(S641*'Prestige Patterns'!$B$20)/60</f>
        <v>320</v>
      </c>
      <c r="D641" s="8">
        <f>if(L640=L641,N640*'Prestige Patterns'!$B$20+D640-F641,0)</f>
        <v>3.12451E+15</v>
      </c>
      <c r="E641" s="9">
        <f t="shared" si="2"/>
        <v>681</v>
      </c>
      <c r="F641" s="10">
        <f>'Prestige Patterns'!$B$5*('Prestige Patterns'!$B$6^E640-'Prestige Patterns'!$B$6^(E640+G641))/(1-'Prestige Patterns'!$B$6)</f>
        <v>2.00146E+15</v>
      </c>
      <c r="G641" s="13">
        <f>floor(LOG('Prestige Patterns'!$B$6^(E640) - (D640*(1-'Prestige Patterns'!$B$6)/'Prestige Patterns'!$B$5),'Prestige Patterns'!$B$6)-E640,1)</f>
        <v>2</v>
      </c>
      <c r="H641" s="12">
        <f t="shared" si="3"/>
        <v>584840</v>
      </c>
      <c r="I641" s="11">
        <f>1+H641*'Prestige Patterns'!$B$25</f>
        <v>5849.4</v>
      </c>
      <c r="J641" s="12">
        <f>floor((K641/'Prestige Patterns'!$B$22)^'Prestige Patterns'!$B$23,1)-H640</f>
        <v>188821</v>
      </c>
      <c r="K641" s="8">
        <f>K640+N640*'Prestige Patterns'!$B$20</f>
        <v>5.98551E+16</v>
      </c>
      <c r="L641" s="8">
        <f>if(J640&gt;='Prestige Patterns'!$B$28,if(J640/(H640+1)&gt;('Prestige Patterns'!$B$27+1),L640+1,L640),L640)</f>
        <v>11</v>
      </c>
      <c r="N641" s="12">
        <f t="shared" si="1"/>
        <v>83538820988928</v>
      </c>
      <c r="O641" s="9">
        <f>'Prestige Patterns'!$B$4*E641</f>
        <v>13620</v>
      </c>
      <c r="P641" s="12">
        <f t="shared" si="4"/>
        <v>1048576</v>
      </c>
      <c r="Q641" s="11"/>
      <c r="R641" s="11"/>
      <c r="S641" s="9">
        <v>640.0</v>
      </c>
      <c r="T641" s="11"/>
    </row>
    <row r="642" ht="15.75" customHeight="1">
      <c r="A642" s="7"/>
      <c r="B642" s="7"/>
      <c r="C642" s="7">
        <f>(S642*'Prestige Patterns'!$B$20)/60</f>
        <v>320.5</v>
      </c>
      <c r="D642" s="8">
        <f>if(L641=L642,N641*'Prestige Patterns'!$B$20+D641-F642,0)</f>
        <v>3.42406E+15</v>
      </c>
      <c r="E642" s="9">
        <f t="shared" si="2"/>
        <v>683</v>
      </c>
      <c r="F642" s="10">
        <f>'Prestige Patterns'!$B$5*('Prestige Patterns'!$B$6^E641-'Prestige Patterns'!$B$6^(E641+G642))/(1-'Prestige Patterns'!$B$6)</f>
        <v>2.20661E+15</v>
      </c>
      <c r="G642" s="13">
        <f>floor(LOG('Prestige Patterns'!$B$6^(E641) - (D641*(1-'Prestige Patterns'!$B$6)/'Prestige Patterns'!$B$5),'Prestige Patterns'!$B$6)-E641,1)</f>
        <v>2</v>
      </c>
      <c r="H642" s="12">
        <f t="shared" si="3"/>
        <v>584840</v>
      </c>
      <c r="I642" s="11">
        <f>1+H642*'Prestige Patterns'!$B$25</f>
        <v>5849.4</v>
      </c>
      <c r="J642" s="12">
        <f>floor((K642/'Prestige Patterns'!$B$22)^'Prestige Patterns'!$B$23,1)-H641</f>
        <v>204851</v>
      </c>
      <c r="K642" s="8">
        <f>K641+N641*'Prestige Patterns'!$B$20</f>
        <v>6.23613E+16</v>
      </c>
      <c r="L642" s="8">
        <f>if(J641&gt;='Prestige Patterns'!$B$28,if(J641/(H641+1)&gt;('Prestige Patterns'!$B$27+1),L641+1,L641),L641)</f>
        <v>11</v>
      </c>
      <c r="N642" s="12">
        <f t="shared" si="1"/>
        <v>83784162607104</v>
      </c>
      <c r="O642" s="9">
        <f>'Prestige Patterns'!$B$4*E642</f>
        <v>13660</v>
      </c>
      <c r="P642" s="12">
        <f t="shared" si="4"/>
        <v>1048576</v>
      </c>
      <c r="Q642" s="11"/>
      <c r="R642" s="11"/>
      <c r="S642" s="9">
        <v>641.0</v>
      </c>
      <c r="T642" s="11"/>
    </row>
    <row r="643" ht="15.75" customHeight="1">
      <c r="A643" s="7"/>
      <c r="B643" s="7"/>
      <c r="C643" s="7">
        <f>(S643*'Prestige Patterns'!$B$20)/60</f>
        <v>321</v>
      </c>
      <c r="D643" s="8">
        <f>if(L642=L643,N642*'Prestige Patterns'!$B$20+D642-F643,0)</f>
        <v>3.5048E+15</v>
      </c>
      <c r="E643" s="9">
        <f t="shared" si="2"/>
        <v>685</v>
      </c>
      <c r="F643" s="10">
        <f>'Prestige Patterns'!$B$5*('Prestige Patterns'!$B$6^E642-'Prestige Patterns'!$B$6^(E642+G643))/(1-'Prestige Patterns'!$B$6)</f>
        <v>2.43279E+15</v>
      </c>
      <c r="G643" s="13">
        <f>floor(LOG('Prestige Patterns'!$B$6^(E642) - (D642*(1-'Prestige Patterns'!$B$6)/'Prestige Patterns'!$B$5),'Prestige Patterns'!$B$6)-E642,1)</f>
        <v>2</v>
      </c>
      <c r="H643" s="12">
        <f t="shared" si="3"/>
        <v>584840</v>
      </c>
      <c r="I643" s="11">
        <f>1+H643*'Prestige Patterns'!$B$25</f>
        <v>5849.4</v>
      </c>
      <c r="J643" s="12">
        <f>floor((K643/'Prestige Patterns'!$B$22)^'Prestige Patterns'!$B$23,1)-H642</f>
        <v>220609</v>
      </c>
      <c r="K643" s="8">
        <f>K642+N642*'Prestige Patterns'!$B$20</f>
        <v>6.48748E+16</v>
      </c>
      <c r="L643" s="8">
        <f>if(J642&gt;='Prestige Patterns'!$B$28,if(J642/(H642+1)&gt;('Prestige Patterns'!$B$27+1),L642+1,L642),L642)</f>
        <v>11</v>
      </c>
      <c r="N643" s="12">
        <f t="shared" si="1"/>
        <v>84029504225280</v>
      </c>
      <c r="O643" s="9">
        <f>'Prestige Patterns'!$B$4*E643</f>
        <v>13700</v>
      </c>
      <c r="P643" s="12">
        <f t="shared" si="4"/>
        <v>1048576</v>
      </c>
      <c r="Q643" s="11"/>
      <c r="R643" s="11"/>
      <c r="S643" s="9">
        <v>642.0</v>
      </c>
      <c r="T643" s="11"/>
    </row>
    <row r="644" ht="15.75" customHeight="1">
      <c r="A644" s="7"/>
      <c r="B644" s="7"/>
      <c r="C644" s="7">
        <f>(S644*'Prestige Patterns'!$B$20)/60</f>
        <v>321.5</v>
      </c>
      <c r="D644" s="8">
        <f>if(L643=L644,N643*'Prestige Patterns'!$B$20+D643-F644,0)</f>
        <v>3.34353E+15</v>
      </c>
      <c r="E644" s="9">
        <f t="shared" si="2"/>
        <v>687</v>
      </c>
      <c r="F644" s="10">
        <f>'Prestige Patterns'!$B$5*('Prestige Patterns'!$B$6^E643-'Prestige Patterns'!$B$6^(E643+G644))/(1-'Prestige Patterns'!$B$6)</f>
        <v>2.68215E+15</v>
      </c>
      <c r="G644" s="13">
        <f>floor(LOG('Prestige Patterns'!$B$6^(E643) - (D643*(1-'Prestige Patterns'!$B$6)/'Prestige Patterns'!$B$5),'Prestige Patterns'!$B$6)-E643,1)</f>
        <v>2</v>
      </c>
      <c r="H644" s="12">
        <f t="shared" si="3"/>
        <v>584840</v>
      </c>
      <c r="I644" s="11">
        <f>1+H644*'Prestige Patterns'!$B$25</f>
        <v>5849.4</v>
      </c>
      <c r="J644" s="12">
        <f>floor((K644/'Prestige Patterns'!$B$22)^'Prestige Patterns'!$B$23,1)-H643</f>
        <v>236108</v>
      </c>
      <c r="K644" s="8">
        <f>K643+N643*'Prestige Patterns'!$B$20</f>
        <v>6.73957E+16</v>
      </c>
      <c r="L644" s="8">
        <f>if(J643&gt;='Prestige Patterns'!$B$28,if(J643/(H643+1)&gt;('Prestige Patterns'!$B$27+1),L643+1,L643),L643)</f>
        <v>11</v>
      </c>
      <c r="N644" s="12">
        <f t="shared" si="1"/>
        <v>84274845843456</v>
      </c>
      <c r="O644" s="9">
        <f>'Prestige Patterns'!$B$4*E644</f>
        <v>13740</v>
      </c>
      <c r="P644" s="12">
        <f t="shared" si="4"/>
        <v>1048576</v>
      </c>
      <c r="Q644" s="11"/>
      <c r="R644" s="11"/>
      <c r="S644" s="9">
        <v>643.0</v>
      </c>
      <c r="T644" s="11"/>
    </row>
    <row r="645" ht="15.75" customHeight="1">
      <c r="A645" s="7"/>
      <c r="B645" s="7"/>
      <c r="C645" s="7">
        <f>(S645*'Prestige Patterns'!$B$20)/60</f>
        <v>322</v>
      </c>
      <c r="D645" s="8">
        <f>if(L644=L645,N644*'Prestige Patterns'!$B$20+D644-F645,0)</f>
        <v>2.9147E+15</v>
      </c>
      <c r="E645" s="9">
        <f t="shared" si="2"/>
        <v>689</v>
      </c>
      <c r="F645" s="10">
        <f>'Prestige Patterns'!$B$5*('Prestige Patterns'!$B$6^E644-'Prestige Patterns'!$B$6^(E644+G645))/(1-'Prestige Patterns'!$B$6)</f>
        <v>2.95707E+15</v>
      </c>
      <c r="G645" s="13">
        <f>floor(LOG('Prestige Patterns'!$B$6^(E644) - (D644*(1-'Prestige Patterns'!$B$6)/'Prestige Patterns'!$B$5),'Prestige Patterns'!$B$6)-E644,1)</f>
        <v>2</v>
      </c>
      <c r="H645" s="12">
        <f t="shared" si="3"/>
        <v>584840</v>
      </c>
      <c r="I645" s="11">
        <f>1+H645*'Prestige Patterns'!$B$25</f>
        <v>5849.4</v>
      </c>
      <c r="J645" s="12">
        <f>floor((K645/'Prestige Patterns'!$B$22)^'Prestige Patterns'!$B$23,1)-H644</f>
        <v>251365</v>
      </c>
      <c r="K645" s="8">
        <f>K644+N644*'Prestige Patterns'!$B$20</f>
        <v>6.9924E+16</v>
      </c>
      <c r="L645" s="8">
        <f>if(J644&gt;='Prestige Patterns'!$B$28,if(J644/(H644+1)&gt;('Prestige Patterns'!$B$27+1),L644+1,L644),L644)</f>
        <v>11</v>
      </c>
      <c r="N645" s="12">
        <f t="shared" si="1"/>
        <v>84520187461632</v>
      </c>
      <c r="O645" s="9">
        <f>'Prestige Patterns'!$B$4*E645</f>
        <v>13780</v>
      </c>
      <c r="P645" s="12">
        <f t="shared" si="4"/>
        <v>1048576</v>
      </c>
      <c r="Q645" s="11"/>
      <c r="R645" s="11"/>
      <c r="S645" s="9">
        <v>644.0</v>
      </c>
      <c r="T645" s="11"/>
    </row>
    <row r="646" ht="15.75" customHeight="1">
      <c r="A646" s="7"/>
      <c r="B646" s="7"/>
      <c r="C646" s="7">
        <f>(S646*'Prestige Patterns'!$B$20)/60</f>
        <v>322.5</v>
      </c>
      <c r="D646" s="8">
        <f>if(L645=L646,N645*'Prestige Patterns'!$B$20+D645-F646,0)</f>
        <v>3.85997E+15</v>
      </c>
      <c r="E646" s="9">
        <f t="shared" si="2"/>
        <v>690</v>
      </c>
      <c r="F646" s="10">
        <f>'Prestige Patterns'!$B$5*('Prestige Patterns'!$B$6^E645-'Prestige Patterns'!$B$6^(E645+G646))/(1-'Prestige Patterns'!$B$6)</f>
        <v>1.59033E+15</v>
      </c>
      <c r="G646" s="13">
        <f>floor(LOG('Prestige Patterns'!$B$6^(E645) - (D645*(1-'Prestige Patterns'!$B$6)/'Prestige Patterns'!$B$5),'Prestige Patterns'!$B$6)-E645,1)</f>
        <v>1</v>
      </c>
      <c r="H646" s="12">
        <f t="shared" si="3"/>
        <v>584840</v>
      </c>
      <c r="I646" s="11">
        <f>1+H646*'Prestige Patterns'!$B$25</f>
        <v>5849.4</v>
      </c>
      <c r="J646" s="12">
        <f>floor((K646/'Prestige Patterns'!$B$22)^'Prestige Patterns'!$B$23,1)-H645</f>
        <v>266391</v>
      </c>
      <c r="K646" s="8">
        <f>K645+N645*'Prestige Patterns'!$B$20</f>
        <v>7.24596E+16</v>
      </c>
      <c r="L646" s="8">
        <f>if(J645&gt;='Prestige Patterns'!$B$28,if(J645/(H645+1)&gt;('Prestige Patterns'!$B$27+1),L645+1,L645),L645)</f>
        <v>11</v>
      </c>
      <c r="N646" s="12">
        <f t="shared" si="1"/>
        <v>84642858270720</v>
      </c>
      <c r="O646" s="9">
        <f>'Prestige Patterns'!$B$4*E646</f>
        <v>13800</v>
      </c>
      <c r="P646" s="12">
        <f t="shared" si="4"/>
        <v>1048576</v>
      </c>
      <c r="Q646" s="11"/>
      <c r="R646" s="11"/>
      <c r="S646" s="9">
        <v>645.0</v>
      </c>
      <c r="T646" s="11"/>
    </row>
    <row r="647" ht="15.75" customHeight="1">
      <c r="A647" s="7"/>
      <c r="B647" s="7"/>
      <c r="C647" s="7">
        <f>(S647*'Prestige Patterns'!$B$20)/60</f>
        <v>323</v>
      </c>
      <c r="D647" s="8">
        <f>if(L646=L647,N646*'Prestige Patterns'!$B$20+D646-F647,0)</f>
        <v>2.97608E+15</v>
      </c>
      <c r="E647" s="9">
        <f t="shared" si="2"/>
        <v>692</v>
      </c>
      <c r="F647" s="10">
        <f>'Prestige Patterns'!$B$5*('Prestige Patterns'!$B$6^E646-'Prestige Patterns'!$B$6^(E646+G647))/(1-'Prestige Patterns'!$B$6)</f>
        <v>3.42318E+15</v>
      </c>
      <c r="G647" s="13">
        <f>floor(LOG('Prestige Patterns'!$B$6^(E646) - (D646*(1-'Prestige Patterns'!$B$6)/'Prestige Patterns'!$B$5),'Prestige Patterns'!$B$6)-E646,1)</f>
        <v>2</v>
      </c>
      <c r="H647" s="12">
        <f t="shared" si="3"/>
        <v>584840</v>
      </c>
      <c r="I647" s="11">
        <f>1+H647*'Prestige Patterns'!$B$25</f>
        <v>5849.4</v>
      </c>
      <c r="J647" s="12">
        <f>floor((K647/'Prestige Patterns'!$B$22)^'Prestige Patterns'!$B$23,1)-H646</f>
        <v>281178</v>
      </c>
      <c r="K647" s="8">
        <f>K646+N646*'Prestige Patterns'!$B$20</f>
        <v>7.49989E+16</v>
      </c>
      <c r="L647" s="8">
        <f>if(J646&gt;='Prestige Patterns'!$B$28,if(J646/(H646+1)&gt;('Prestige Patterns'!$B$27+1),L646+1,L646),L646)</f>
        <v>11</v>
      </c>
      <c r="N647" s="12">
        <f t="shared" si="1"/>
        <v>84888199888896</v>
      </c>
      <c r="O647" s="9">
        <f>'Prestige Patterns'!$B$4*E647</f>
        <v>13840</v>
      </c>
      <c r="P647" s="12">
        <f t="shared" si="4"/>
        <v>1048576</v>
      </c>
      <c r="Q647" s="11"/>
      <c r="R647" s="11"/>
      <c r="S647" s="9">
        <v>646.0</v>
      </c>
      <c r="T647" s="11"/>
    </row>
    <row r="648" ht="15.75" customHeight="1">
      <c r="A648" s="7"/>
      <c r="B648" s="7"/>
      <c r="C648" s="7">
        <f>(S648*'Prestige Patterns'!$B$20)/60</f>
        <v>323.5</v>
      </c>
      <c r="D648" s="8">
        <f>if(L647=L648,N647*'Prestige Patterns'!$B$20+D647-F648,0)</f>
        <v>3.68172E+15</v>
      </c>
      <c r="E648" s="9">
        <f t="shared" si="2"/>
        <v>693</v>
      </c>
      <c r="F648" s="10">
        <f>'Prestige Patterns'!$B$5*('Prestige Patterns'!$B$6^E647-'Prestige Patterns'!$B$6^(E647+G648))/(1-'Prestige Patterns'!$B$6)</f>
        <v>1.841E+15</v>
      </c>
      <c r="G648" s="13">
        <f>floor(LOG('Prestige Patterns'!$B$6^(E647) - (D647*(1-'Prestige Patterns'!$B$6)/'Prestige Patterns'!$B$5),'Prestige Patterns'!$B$6)-E647,1)</f>
        <v>1</v>
      </c>
      <c r="H648" s="12">
        <f t="shared" si="3"/>
        <v>584840</v>
      </c>
      <c r="I648" s="11">
        <f>1+H648*'Prestige Patterns'!$B$25</f>
        <v>5849.4</v>
      </c>
      <c r="J648" s="12">
        <f>floor((K648/'Prestige Patterns'!$B$22)^'Prestige Patterns'!$B$23,1)-H647</f>
        <v>295759</v>
      </c>
      <c r="K648" s="8">
        <f>K647+N647*'Prestige Patterns'!$B$20</f>
        <v>7.75455E+16</v>
      </c>
      <c r="L648" s="8">
        <f>if(J647&gt;='Prestige Patterns'!$B$28,if(J647/(H647+1)&gt;('Prestige Patterns'!$B$27+1),L647+1,L647),L647)</f>
        <v>11</v>
      </c>
      <c r="N648" s="12">
        <f t="shared" si="1"/>
        <v>85010870697984</v>
      </c>
      <c r="O648" s="9">
        <f>'Prestige Patterns'!$B$4*E648</f>
        <v>13860</v>
      </c>
      <c r="P648" s="12">
        <f t="shared" si="4"/>
        <v>1048576</v>
      </c>
      <c r="Q648" s="11"/>
      <c r="R648" s="11"/>
      <c r="S648" s="9">
        <v>647.0</v>
      </c>
      <c r="T648" s="11"/>
    </row>
    <row r="649" ht="15.75" customHeight="1">
      <c r="A649" s="7"/>
      <c r="B649" s="7"/>
      <c r="C649" s="7">
        <f>(S649*'Prestige Patterns'!$B$20)/60</f>
        <v>324</v>
      </c>
      <c r="D649" s="8">
        <f>if(L648=L649,N648*'Prestige Patterns'!$B$20+D648-F649,0)</f>
        <v>4.29899E+15</v>
      </c>
      <c r="E649" s="9">
        <f t="shared" si="2"/>
        <v>694</v>
      </c>
      <c r="F649" s="10">
        <f>'Prestige Patterns'!$B$5*('Prestige Patterns'!$B$6^E648-'Prestige Patterns'!$B$6^(E648+G649))/(1-'Prestige Patterns'!$B$6)</f>
        <v>1.93306E+15</v>
      </c>
      <c r="G649" s="13">
        <f>floor(LOG('Prestige Patterns'!$B$6^(E648) - (D648*(1-'Prestige Patterns'!$B$6)/'Prestige Patterns'!$B$5),'Prestige Patterns'!$B$6)-E648,1)</f>
        <v>1</v>
      </c>
      <c r="H649" s="12">
        <f t="shared" si="3"/>
        <v>584840</v>
      </c>
      <c r="I649" s="11">
        <f>1+H649*'Prestige Patterns'!$B$25</f>
        <v>5849.4</v>
      </c>
      <c r="J649" s="12">
        <f>floor((K649/'Prestige Patterns'!$B$22)^'Prestige Patterns'!$B$23,1)-H648</f>
        <v>310122</v>
      </c>
      <c r="K649" s="8">
        <f>K648+N648*'Prestige Patterns'!$B$20</f>
        <v>8.00958E+16</v>
      </c>
      <c r="L649" s="8">
        <f>if(J648&gt;='Prestige Patterns'!$B$28,if(J648/(H648+1)&gt;('Prestige Patterns'!$B$27+1),L648+1,L648),L648)</f>
        <v>11</v>
      </c>
      <c r="N649" s="12">
        <f t="shared" si="1"/>
        <v>85133541507072</v>
      </c>
      <c r="O649" s="9">
        <f>'Prestige Patterns'!$B$4*E649</f>
        <v>13880</v>
      </c>
      <c r="P649" s="12">
        <f t="shared" si="4"/>
        <v>1048576</v>
      </c>
      <c r="Q649" s="11"/>
      <c r="R649" s="11"/>
      <c r="S649" s="9">
        <v>648.0</v>
      </c>
      <c r="T649" s="11"/>
    </row>
    <row r="650" ht="15.75" customHeight="1">
      <c r="A650" s="7"/>
      <c r="B650" s="7"/>
      <c r="C650" s="7">
        <f>(S650*'Prestige Patterns'!$B$20)/60</f>
        <v>324.5</v>
      </c>
      <c r="D650" s="8">
        <f>if(L649=L650,N649*'Prestige Patterns'!$B$20+D649-F650,0)</f>
        <v>2.69209E+15</v>
      </c>
      <c r="E650" s="9">
        <f t="shared" si="2"/>
        <v>696</v>
      </c>
      <c r="F650" s="10">
        <f>'Prestige Patterns'!$B$5*('Prestige Patterns'!$B$6^E649-'Prestige Patterns'!$B$6^(E649+G650))/(1-'Prestige Patterns'!$B$6)</f>
        <v>4.1609E+15</v>
      </c>
      <c r="G650" s="13">
        <f>floor(LOG('Prestige Patterns'!$B$6^(E649) - (D649*(1-'Prestige Patterns'!$B$6)/'Prestige Patterns'!$B$5),'Prestige Patterns'!$B$6)-E649,1)</f>
        <v>2</v>
      </c>
      <c r="H650" s="12">
        <f t="shared" si="3"/>
        <v>584840</v>
      </c>
      <c r="I650" s="11">
        <f>1+H650*'Prestige Patterns'!$B$25</f>
        <v>5849.4</v>
      </c>
      <c r="J650" s="12">
        <f>floor((K650/'Prestige Patterns'!$B$22)^'Prestige Patterns'!$B$23,1)-H649</f>
        <v>324279</v>
      </c>
      <c r="K650" s="8">
        <f>K649+N649*'Prestige Patterns'!$B$20</f>
        <v>8.26498E+16</v>
      </c>
      <c r="L650" s="8">
        <f>if(J649&gt;='Prestige Patterns'!$B$28,if(J649/(H649+1)&gt;('Prestige Patterns'!$B$27+1),L649+1,L649),L649)</f>
        <v>11</v>
      </c>
      <c r="N650" s="12">
        <f t="shared" si="1"/>
        <v>85378883125248</v>
      </c>
      <c r="O650" s="9">
        <f>'Prestige Patterns'!$B$4*E650</f>
        <v>13920</v>
      </c>
      <c r="P650" s="12">
        <f t="shared" si="4"/>
        <v>1048576</v>
      </c>
      <c r="Q650" s="11"/>
      <c r="R650" s="11"/>
      <c r="S650" s="9">
        <v>649.0</v>
      </c>
      <c r="T650" s="11"/>
    </row>
    <row r="651" ht="15.75" customHeight="1">
      <c r="A651" s="7"/>
      <c r="B651" s="7"/>
      <c r="C651" s="7">
        <f>(S651*'Prestige Patterns'!$B$20)/60</f>
        <v>325</v>
      </c>
      <c r="D651" s="8">
        <f>if(L650=L651,N650*'Prestige Patterns'!$B$20+D650-F651,0)</f>
        <v>3.01571E+15</v>
      </c>
      <c r="E651" s="9">
        <f t="shared" si="2"/>
        <v>697</v>
      </c>
      <c r="F651" s="10">
        <f>'Prestige Patterns'!$B$5*('Prestige Patterns'!$B$6^E650-'Prestige Patterns'!$B$6^(E650+G651))/(1-'Prestige Patterns'!$B$6)</f>
        <v>2.23775E+15</v>
      </c>
      <c r="G651" s="13">
        <f>floor(LOG('Prestige Patterns'!$B$6^(E650) - (D650*(1-'Prestige Patterns'!$B$6)/'Prestige Patterns'!$B$5),'Prestige Patterns'!$B$6)-E650,1)</f>
        <v>1</v>
      </c>
      <c r="H651" s="12">
        <f t="shared" si="3"/>
        <v>584840</v>
      </c>
      <c r="I651" s="11">
        <f>1+H651*'Prestige Patterns'!$B$25</f>
        <v>5849.4</v>
      </c>
      <c r="J651" s="12">
        <f>floor((K651/'Prestige Patterns'!$B$22)^'Prestige Patterns'!$B$23,1)-H650</f>
        <v>338259</v>
      </c>
      <c r="K651" s="8">
        <f>K650+N650*'Prestige Patterns'!$B$20</f>
        <v>8.52112E+16</v>
      </c>
      <c r="L651" s="8">
        <f>if(J650&gt;='Prestige Patterns'!$B$28,if(J650/(H650+1)&gt;('Prestige Patterns'!$B$27+1),L650+1,L650),L650)</f>
        <v>11</v>
      </c>
      <c r="N651" s="12">
        <f t="shared" si="1"/>
        <v>85501553934336</v>
      </c>
      <c r="O651" s="9">
        <f>'Prestige Patterns'!$B$4*E651</f>
        <v>13940</v>
      </c>
      <c r="P651" s="12">
        <f t="shared" si="4"/>
        <v>1048576</v>
      </c>
      <c r="Q651" s="11"/>
      <c r="R651" s="11"/>
      <c r="S651" s="9">
        <v>650.0</v>
      </c>
      <c r="T651" s="11"/>
    </row>
    <row r="652" ht="15.75" customHeight="1">
      <c r="A652" s="7"/>
      <c r="B652" s="7"/>
      <c r="C652" s="7">
        <f>(S652*'Prestige Patterns'!$B$20)/60</f>
        <v>325.5</v>
      </c>
      <c r="D652" s="8">
        <f>if(L651=L652,N651*'Prestige Patterns'!$B$20+D651-F652,0)</f>
        <v>3.23111E+15</v>
      </c>
      <c r="E652" s="9">
        <f t="shared" si="2"/>
        <v>698</v>
      </c>
      <c r="F652" s="10">
        <f>'Prestige Patterns'!$B$5*('Prestige Patterns'!$B$6^E651-'Prestige Patterns'!$B$6^(E651+G652))/(1-'Prestige Patterns'!$B$6)</f>
        <v>2.34964E+15</v>
      </c>
      <c r="G652" s="13">
        <f>floor(LOG('Prestige Patterns'!$B$6^(E651) - (D651*(1-'Prestige Patterns'!$B$6)/'Prestige Patterns'!$B$5),'Prestige Patterns'!$B$6)-E651,1)</f>
        <v>1</v>
      </c>
      <c r="H652" s="12">
        <f t="shared" si="3"/>
        <v>584840</v>
      </c>
      <c r="I652" s="11">
        <f>1+H652*'Prestige Patterns'!$B$25</f>
        <v>5849.4</v>
      </c>
      <c r="J652" s="12">
        <f>floor((K652/'Prestige Patterns'!$B$22)^'Prestige Patterns'!$B$23,1)-H651</f>
        <v>352049</v>
      </c>
      <c r="K652" s="8">
        <f>K651+N651*'Prestige Patterns'!$B$20</f>
        <v>8.77762E+16</v>
      </c>
      <c r="L652" s="8">
        <f>if(J651&gt;='Prestige Patterns'!$B$28,if(J651/(H651+1)&gt;('Prestige Patterns'!$B$27+1),L651+1,L651),L651)</f>
        <v>11</v>
      </c>
      <c r="N652" s="12">
        <f t="shared" si="1"/>
        <v>85624224743424</v>
      </c>
      <c r="O652" s="9">
        <f>'Prestige Patterns'!$B$4*E652</f>
        <v>13960</v>
      </c>
      <c r="P652" s="12">
        <f t="shared" si="4"/>
        <v>1048576</v>
      </c>
      <c r="Q652" s="11"/>
      <c r="R652" s="11"/>
      <c r="S652" s="9">
        <v>651.0</v>
      </c>
      <c r="T652" s="11"/>
    </row>
    <row r="653" ht="15.75" customHeight="1">
      <c r="A653" s="7"/>
      <c r="B653" s="7"/>
      <c r="C653" s="7">
        <f>(S653*'Prestige Patterns'!$B$20)/60</f>
        <v>326</v>
      </c>
      <c r="D653" s="8">
        <f>if(L652=L653,N652*'Prestige Patterns'!$B$20+D652-F653,0)</f>
        <v>3.33272E+15</v>
      </c>
      <c r="E653" s="9">
        <f t="shared" si="2"/>
        <v>699</v>
      </c>
      <c r="F653" s="10">
        <f>'Prestige Patterns'!$B$5*('Prestige Patterns'!$B$6^E652-'Prestige Patterns'!$B$6^(E652+G653))/(1-'Prestige Patterns'!$B$6)</f>
        <v>2.46712E+15</v>
      </c>
      <c r="G653" s="13">
        <f>floor(LOG('Prestige Patterns'!$B$6^(E652) - (D652*(1-'Prestige Patterns'!$B$6)/'Prestige Patterns'!$B$5),'Prestige Patterns'!$B$6)-E652,1)</f>
        <v>1</v>
      </c>
      <c r="H653" s="12">
        <f t="shared" si="3"/>
        <v>584840</v>
      </c>
      <c r="I653" s="11">
        <f>1+H653*'Prestige Patterns'!$B$25</f>
        <v>5849.4</v>
      </c>
      <c r="J653" s="12">
        <f>floor((K653/'Prestige Patterns'!$B$22)^'Prestige Patterns'!$B$23,1)-H652</f>
        <v>365659</v>
      </c>
      <c r="K653" s="8">
        <f>K652+N652*'Prestige Patterns'!$B$20</f>
        <v>9.0345E+16</v>
      </c>
      <c r="L653" s="8">
        <f>if(J652&gt;='Prestige Patterns'!$B$28,if(J652/(H652+1)&gt;('Prestige Patterns'!$B$27+1),L652+1,L652),L652)</f>
        <v>11</v>
      </c>
      <c r="N653" s="12">
        <f t="shared" si="1"/>
        <v>85746895552512</v>
      </c>
      <c r="O653" s="9">
        <f>'Prestige Patterns'!$B$4*E653</f>
        <v>13980</v>
      </c>
      <c r="P653" s="12">
        <f t="shared" si="4"/>
        <v>1048576</v>
      </c>
      <c r="Q653" s="11"/>
      <c r="R653" s="11"/>
      <c r="S653" s="9">
        <v>652.0</v>
      </c>
      <c r="T653" s="11"/>
    </row>
    <row r="654" ht="15.75" customHeight="1">
      <c r="A654" s="7"/>
      <c r="B654" s="7"/>
      <c r="C654" s="7">
        <f>(S654*'Prestige Patterns'!$B$20)/60</f>
        <v>326.5</v>
      </c>
      <c r="D654" s="8">
        <f>if(L653=L654,N653*'Prestige Patterns'!$B$20+D653-F654,0)</f>
        <v>3.31464E+15</v>
      </c>
      <c r="E654" s="9">
        <f t="shared" si="2"/>
        <v>700</v>
      </c>
      <c r="F654" s="10">
        <f>'Prestige Patterns'!$B$5*('Prestige Patterns'!$B$6^E653-'Prestige Patterns'!$B$6^(E653+G654))/(1-'Prestige Patterns'!$B$6)</f>
        <v>2.59048E+15</v>
      </c>
      <c r="G654" s="13">
        <f>floor(LOG('Prestige Patterns'!$B$6^(E653) - (D653*(1-'Prestige Patterns'!$B$6)/'Prestige Patterns'!$B$5),'Prestige Patterns'!$B$6)-E653,1)</f>
        <v>1</v>
      </c>
      <c r="H654" s="12">
        <f t="shared" si="3"/>
        <v>584840</v>
      </c>
      <c r="I654" s="11">
        <f>1+H654*'Prestige Patterns'!$B$25</f>
        <v>5849.4</v>
      </c>
      <c r="J654" s="12">
        <f>floor((K654/'Prestige Patterns'!$B$22)^'Prestige Patterns'!$B$23,1)-H653</f>
        <v>379096</v>
      </c>
      <c r="K654" s="8">
        <f>K653+N653*'Prestige Patterns'!$B$20</f>
        <v>9.29174E+16</v>
      </c>
      <c r="L654" s="8">
        <f>if(J653&gt;='Prestige Patterns'!$B$28,if(J653/(H653+1)&gt;('Prestige Patterns'!$B$27+1),L653+1,L653),L653)</f>
        <v>11</v>
      </c>
      <c r="N654" s="12">
        <f t="shared" si="1"/>
        <v>2.74783E+15</v>
      </c>
      <c r="O654" s="9">
        <f>'Prestige Patterns'!$B$4*E654</f>
        <v>14000</v>
      </c>
      <c r="P654" s="12">
        <f t="shared" si="4"/>
        <v>33554432</v>
      </c>
      <c r="Q654" s="11"/>
      <c r="R654" s="11"/>
      <c r="S654" s="9">
        <v>653.0</v>
      </c>
      <c r="T654" s="11"/>
    </row>
    <row r="655" ht="15.75" customHeight="1">
      <c r="A655" s="7"/>
      <c r="B655" s="7"/>
      <c r="C655" s="7">
        <f>(S655*'Prestige Patterns'!$B$20)/60</f>
        <v>327</v>
      </c>
      <c r="D655" s="8">
        <f>if(L654=L655,N654*'Prestige Patterns'!$B$20+D654-F655,0)</f>
        <v>8.30294E+16</v>
      </c>
      <c r="E655" s="9">
        <f t="shared" si="2"/>
        <v>701</v>
      </c>
      <c r="F655" s="10">
        <f>'Prestige Patterns'!$B$5*('Prestige Patterns'!$B$6^E654-'Prestige Patterns'!$B$6^(E654+G655))/(1-'Prestige Patterns'!$B$6)</f>
        <v>2.72E+15</v>
      </c>
      <c r="G655" s="13">
        <f>floor(LOG('Prestige Patterns'!$B$6^(E654) - (D654*(1-'Prestige Patterns'!$B$6)/'Prestige Patterns'!$B$5),'Prestige Patterns'!$B$6)-E654,1)</f>
        <v>1</v>
      </c>
      <c r="H655" s="12">
        <f t="shared" si="3"/>
        <v>584840</v>
      </c>
      <c r="I655" s="11">
        <f>1+H655*'Prestige Patterns'!$B$25</f>
        <v>5849.4</v>
      </c>
      <c r="J655" s="12">
        <f>floor((K655/'Prestige Patterns'!$B$22)^'Prestige Patterns'!$B$23,1)-H654</f>
        <v>739366</v>
      </c>
      <c r="K655" s="8">
        <f>K654+N654*'Prestige Patterns'!$B$20</f>
        <v>1.75352E+17</v>
      </c>
      <c r="L655" s="8">
        <f>if(J654&gt;='Prestige Patterns'!$B$28,if(J654/(H654+1)&gt;('Prestige Patterns'!$B$27+1),L654+1,L654),L654)</f>
        <v>11</v>
      </c>
      <c r="N655" s="12">
        <f t="shared" si="1"/>
        <v>2.75175E+15</v>
      </c>
      <c r="O655" s="9">
        <f>'Prestige Patterns'!$B$4*E655</f>
        <v>14020</v>
      </c>
      <c r="P655" s="12">
        <f t="shared" si="4"/>
        <v>33554432</v>
      </c>
      <c r="Q655" s="11"/>
      <c r="R655" s="11"/>
      <c r="S655" s="9">
        <v>654.0</v>
      </c>
      <c r="T655" s="11"/>
    </row>
    <row r="656" ht="15.75" customHeight="1">
      <c r="A656" s="7"/>
      <c r="B656" s="7"/>
      <c r="C656" s="7">
        <f>(S656*'Prestige Patterns'!$B$20)/60</f>
        <v>327.5</v>
      </c>
      <c r="D656" s="8">
        <f>if(L655=L656,N655*'Prestige Patterns'!$B$20+D655-F656,0)</f>
        <v>8.52358E+16</v>
      </c>
      <c r="E656" s="9">
        <f t="shared" si="2"/>
        <v>719</v>
      </c>
      <c r="F656" s="10">
        <f>'Prestige Patterns'!$B$5*('Prestige Patterns'!$B$6^E655-'Prestige Patterns'!$B$6^(E655+G656))/(1-'Prestige Patterns'!$B$6)</f>
        <v>8.03462E+16</v>
      </c>
      <c r="G656" s="13">
        <f>floor(LOG('Prestige Patterns'!$B$6^(E655) - (D655*(1-'Prestige Patterns'!$B$6)/'Prestige Patterns'!$B$5),'Prestige Patterns'!$B$6)-E655,1)</f>
        <v>18</v>
      </c>
      <c r="H656" s="12">
        <f t="shared" si="3"/>
        <v>584840</v>
      </c>
      <c r="I656" s="11">
        <f>1+H656*'Prestige Patterns'!$B$25</f>
        <v>5849.4</v>
      </c>
      <c r="J656" s="12">
        <f>floor((K656/'Prestige Patterns'!$B$22)^'Prestige Patterns'!$B$23,1)-H655</f>
        <v>1021101</v>
      </c>
      <c r="K656" s="8">
        <f>K655+N655*'Prestige Patterns'!$B$20</f>
        <v>2.57905E+17</v>
      </c>
      <c r="L656" s="8">
        <f>if(J655&gt;='Prestige Patterns'!$B$28,if(J655/(H655+1)&gt;('Prestige Patterns'!$B$27+1),L655+1,L655),L655)</f>
        <v>11</v>
      </c>
      <c r="N656" s="12">
        <f t="shared" si="1"/>
        <v>2.82241E+15</v>
      </c>
      <c r="O656" s="9">
        <f>'Prestige Patterns'!$B$4*E656</f>
        <v>14380</v>
      </c>
      <c r="P656" s="12">
        <f t="shared" si="4"/>
        <v>33554432</v>
      </c>
      <c r="Q656" s="11"/>
      <c r="R656" s="11"/>
      <c r="S656" s="9">
        <v>655.0</v>
      </c>
      <c r="T656" s="11"/>
    </row>
    <row r="657" ht="15.75" customHeight="1">
      <c r="A657" s="7"/>
      <c r="B657" s="7"/>
      <c r="C657" s="7">
        <f>(S657*'Prestige Patterns'!$B$20)/60</f>
        <v>328</v>
      </c>
      <c r="D657" s="8">
        <f>if(L656=L657,N656*'Prestige Patterns'!$B$20+D656-F657,0)</f>
        <v>0</v>
      </c>
      <c r="E657" s="9">
        <f t="shared" si="2"/>
        <v>1</v>
      </c>
      <c r="F657" s="10">
        <f>'Prestige Patterns'!$B$5*('Prestige Patterns'!$B$6^E656-'Prestige Patterns'!$B$6^(E656+G657))/(1-'Prestige Patterns'!$B$6)</f>
        <v>7.5789E+16</v>
      </c>
      <c r="G657" s="13">
        <f>floor(LOG('Prestige Patterns'!$B$6^(E656) - (D656*(1-'Prestige Patterns'!$B$6)/'Prestige Patterns'!$B$5),'Prestige Patterns'!$B$6)-E656,1)</f>
        <v>9</v>
      </c>
      <c r="H657" s="12">
        <f t="shared" si="3"/>
        <v>1605941</v>
      </c>
      <c r="I657" s="11">
        <f>1+H657*'Prestige Patterns'!$B$25</f>
        <v>16060.41</v>
      </c>
      <c r="J657" s="12">
        <f>floor((K657/'Prestige Patterns'!$B$22)^'Prestige Patterns'!$B$23,1)-H656</f>
        <v>1266043</v>
      </c>
      <c r="K657" s="8">
        <f>K656+N656*'Prestige Patterns'!$B$20</f>
        <v>3.42577E+17</v>
      </c>
      <c r="L657" s="8">
        <f>if(J656&gt;='Prestige Patterns'!$B$28,if(J656/(H656+1)&gt;('Prestige Patterns'!$B$27+1),L656+1,L656),L656)</f>
        <v>12</v>
      </c>
      <c r="N657" s="12">
        <f t="shared" si="1"/>
        <v>10777958704742</v>
      </c>
      <c r="O657" s="9">
        <f>'Prestige Patterns'!$B$4*E657</f>
        <v>20</v>
      </c>
      <c r="P657" s="12">
        <f t="shared" si="4"/>
        <v>33554432</v>
      </c>
      <c r="Q657" s="11"/>
      <c r="R657" s="11"/>
      <c r="S657" s="9">
        <v>656.0</v>
      </c>
      <c r="T657" s="11"/>
    </row>
    <row r="658" ht="15.75" customHeight="1">
      <c r="A658" s="7"/>
      <c r="B658" s="7"/>
      <c r="C658" s="7">
        <f>(S658*'Prestige Patterns'!$B$20)/60</f>
        <v>328.5</v>
      </c>
      <c r="D658" s="8">
        <f>if(L657=L658,N657*'Prestige Patterns'!$B$20+D657-F658,0)</f>
        <v>323338761142272</v>
      </c>
      <c r="E658" s="9">
        <f t="shared" si="2"/>
        <v>1</v>
      </c>
      <c r="F658" s="10">
        <f>'Prestige Patterns'!$B$5*('Prestige Patterns'!$B$6^E657-'Prestige Patterns'!$B$6^(E657+G658))/(1-'Prestige Patterns'!$B$6)</f>
        <v>0</v>
      </c>
      <c r="G658" s="13">
        <f>floor(LOG('Prestige Patterns'!$B$6^(E657) - (D657*(1-'Prestige Patterns'!$B$6)/'Prestige Patterns'!$B$5),'Prestige Patterns'!$B$6)-E657,1)</f>
        <v>0</v>
      </c>
      <c r="H658" s="12">
        <f t="shared" si="3"/>
        <v>1605941</v>
      </c>
      <c r="I658" s="11">
        <f>1+H658*'Prestige Patterns'!$B$25</f>
        <v>16060.41</v>
      </c>
      <c r="J658" s="12">
        <f>floor((K658/'Prestige Patterns'!$B$22)^'Prestige Patterns'!$B$23,1)-H657</f>
        <v>245815</v>
      </c>
      <c r="K658" s="8">
        <f>K657+N657*'Prestige Patterns'!$B$20</f>
        <v>3.429E+17</v>
      </c>
      <c r="L658" s="8">
        <f>if(J657&gt;='Prestige Patterns'!$B$28,if(J657/(H657+1)&gt;('Prestige Patterns'!$B$27+1),L657+1,L657),L657)</f>
        <v>12</v>
      </c>
      <c r="N658" s="12">
        <f t="shared" si="1"/>
        <v>10777958704742</v>
      </c>
      <c r="O658" s="9">
        <f>'Prestige Patterns'!$B$4*E658</f>
        <v>20</v>
      </c>
      <c r="P658" s="12">
        <f t="shared" si="4"/>
        <v>33554432</v>
      </c>
      <c r="Q658" s="11"/>
      <c r="R658" s="11"/>
      <c r="S658" s="9">
        <v>657.0</v>
      </c>
      <c r="T658" s="11"/>
    </row>
    <row r="659" ht="15.75" customHeight="1">
      <c r="A659" s="7"/>
      <c r="B659" s="7"/>
      <c r="C659" s="7">
        <f>(S659*'Prestige Patterns'!$B$20)/60</f>
        <v>329</v>
      </c>
      <c r="D659" s="8">
        <f>if(L658=L659,N658*'Prestige Patterns'!$B$20+D658-F659,0)</f>
        <v>337979651109577</v>
      </c>
      <c r="E659" s="9">
        <f t="shared" si="2"/>
        <v>594</v>
      </c>
      <c r="F659" s="10">
        <f>'Prestige Patterns'!$B$5*('Prestige Patterns'!$B$6^E658-'Prestige Patterns'!$B$6^(E658+G659))/(1-'Prestige Patterns'!$B$6)</f>
        <v>308697871174967</v>
      </c>
      <c r="G659" s="13">
        <f>floor(LOG('Prestige Patterns'!$B$6^(E658) - (D658*(1-'Prestige Patterns'!$B$6)/'Prestige Patterns'!$B$5),'Prestige Patterns'!$B$6)-E658,1)</f>
        <v>593</v>
      </c>
      <c r="H659" s="12">
        <f t="shared" si="3"/>
        <v>1605941</v>
      </c>
      <c r="I659" s="11">
        <f>1+H659*'Prestige Patterns'!$B$25</f>
        <v>16060.41</v>
      </c>
      <c r="J659" s="12">
        <f>floor((K659/'Prestige Patterns'!$B$22)^'Prestige Patterns'!$B$23,1)-H658</f>
        <v>246688</v>
      </c>
      <c r="K659" s="8">
        <f>K658+N658*'Prestige Patterns'!$B$20</f>
        <v>3.43224E+17</v>
      </c>
      <c r="L659" s="8">
        <f>if(J658&gt;='Prestige Patterns'!$B$28,if(J658/(H658+1)&gt;('Prestige Patterns'!$B$27+1),L658+1,L658),L658)</f>
        <v>12</v>
      </c>
      <c r="N659" s="12">
        <f t="shared" si="1"/>
        <v>12504116153549</v>
      </c>
      <c r="O659" s="9">
        <f>'Prestige Patterns'!$B$4*E659</f>
        <v>11880</v>
      </c>
      <c r="P659" s="12">
        <f t="shared" si="4"/>
        <v>65536</v>
      </c>
      <c r="Q659" s="11"/>
      <c r="R659" s="11"/>
      <c r="S659" s="9">
        <v>658.0</v>
      </c>
      <c r="T659" s="11"/>
    </row>
    <row r="660" ht="15.75" customHeight="1">
      <c r="A660" s="7"/>
      <c r="B660" s="7"/>
      <c r="C660" s="7">
        <f>(S660*'Prestige Patterns'!$B$20)/60</f>
        <v>329.5</v>
      </c>
      <c r="D660" s="8">
        <f>if(L659=L660,N659*'Prestige Patterns'!$B$20+D659-F660,0)</f>
        <v>380040303580978</v>
      </c>
      <c r="E660" s="9">
        <f t="shared" si="2"/>
        <v>609</v>
      </c>
      <c r="F660" s="10">
        <f>'Prestige Patterns'!$B$5*('Prestige Patterns'!$B$6^E659-'Prestige Patterns'!$B$6^(E659+G660))/(1-'Prestige Patterns'!$B$6)</f>
        <v>333062832135063</v>
      </c>
      <c r="G660" s="13">
        <f>floor(LOG('Prestige Patterns'!$B$6^(E659) - (D659*(1-'Prestige Patterns'!$B$6)/'Prestige Patterns'!$B$5),'Prestige Patterns'!$B$6)-E659,1)</f>
        <v>15</v>
      </c>
      <c r="H660" s="12">
        <f t="shared" si="3"/>
        <v>1605941</v>
      </c>
      <c r="I660" s="11">
        <f>1+H660*'Prestige Patterns'!$B$25</f>
        <v>16060.41</v>
      </c>
      <c r="J660" s="12">
        <f>floor((K660/'Prestige Patterns'!$B$22)^'Prestige Patterns'!$B$23,1)-H659</f>
        <v>247700</v>
      </c>
      <c r="K660" s="8">
        <f>K659+N659*'Prestige Patterns'!$B$20</f>
        <v>3.43599E+17</v>
      </c>
      <c r="L660" s="8">
        <f>if(J659&gt;='Prestige Patterns'!$B$28,if(J659/(H659+1)&gt;('Prestige Patterns'!$B$27+1),L659+1,L659),L659)</f>
        <v>12</v>
      </c>
      <c r="N660" s="12">
        <f t="shared" si="1"/>
        <v>205118026599629</v>
      </c>
      <c r="O660" s="9">
        <f>'Prestige Patterns'!$B$4*E660</f>
        <v>12180</v>
      </c>
      <c r="P660" s="12">
        <f t="shared" si="4"/>
        <v>1048576</v>
      </c>
      <c r="Q660" s="11"/>
      <c r="R660" s="11"/>
      <c r="S660" s="9">
        <v>659.0</v>
      </c>
      <c r="T660" s="11"/>
    </row>
    <row r="661" ht="15.75" customHeight="1">
      <c r="A661" s="7"/>
      <c r="B661" s="7"/>
      <c r="C661" s="7">
        <f>(S661*'Prestige Patterns'!$B$20)/60</f>
        <v>330</v>
      </c>
      <c r="D661" s="8">
        <f>if(L660=L661,N660*'Prestige Patterns'!$B$20+D660-F661,0)</f>
        <v>6.17976E+15</v>
      </c>
      <c r="E661" s="9">
        <f t="shared" si="2"/>
        <v>618</v>
      </c>
      <c r="F661" s="10">
        <f>'Prestige Patterns'!$B$5*('Prestige Patterns'!$B$6^E660-'Prestige Patterns'!$B$6^(E660+G661))/(1-'Prestige Patterns'!$B$6)</f>
        <v>353820783641083</v>
      </c>
      <c r="G661" s="13">
        <f>floor(LOG('Prestige Patterns'!$B$6^(E660) - (D660*(1-'Prestige Patterns'!$B$6)/'Prestige Patterns'!$B$5),'Prestige Patterns'!$B$6)-E660,1)</f>
        <v>9</v>
      </c>
      <c r="H661" s="12">
        <f t="shared" si="3"/>
        <v>1605941</v>
      </c>
      <c r="I661" s="11">
        <f>1+H661*'Prestige Patterns'!$B$25</f>
        <v>16060.41</v>
      </c>
      <c r="J661" s="12">
        <f>floor((K661/'Prestige Patterns'!$B$22)^'Prestige Patterns'!$B$23,1)-H660</f>
        <v>264225</v>
      </c>
      <c r="K661" s="8">
        <f>K660+N660*'Prestige Patterns'!$B$20</f>
        <v>3.49752E+17</v>
      </c>
      <c r="L661" s="8">
        <f>if(J660&gt;='Prestige Patterns'!$B$28,if(J660/(H660+1)&gt;('Prestige Patterns'!$B$27+1),L660+1,L660),L660)</f>
        <v>12</v>
      </c>
      <c r="N661" s="12">
        <f t="shared" si="1"/>
        <v>208149327485338</v>
      </c>
      <c r="O661" s="9">
        <f>'Prestige Patterns'!$B$4*E661</f>
        <v>12360</v>
      </c>
      <c r="P661" s="12">
        <f t="shared" si="4"/>
        <v>1048576</v>
      </c>
      <c r="Q661" s="11"/>
      <c r="R661" s="11"/>
      <c r="S661" s="9">
        <v>660.0</v>
      </c>
      <c r="T661" s="11"/>
    </row>
    <row r="662" ht="15.75" customHeight="1">
      <c r="A662" s="7"/>
      <c r="B662" s="7"/>
      <c r="C662" s="7">
        <f>(S662*'Prestige Patterns'!$B$20)/60</f>
        <v>330.5</v>
      </c>
      <c r="D662" s="8">
        <f>if(L661=L662,N661*'Prestige Patterns'!$B$20+D661-F662,0)</f>
        <v>6.41094E+15</v>
      </c>
      <c r="E662" s="9">
        <f t="shared" si="2"/>
        <v>658</v>
      </c>
      <c r="F662" s="10">
        <f>'Prestige Patterns'!$B$5*('Prestige Patterns'!$B$6^E661-'Prestige Patterns'!$B$6^(E661+G662))/(1-'Prestige Patterns'!$B$6)</f>
        <v>6.0133E+15</v>
      </c>
      <c r="G662" s="13">
        <f>floor(LOG('Prestige Patterns'!$B$6^(E661) - (D661*(1-'Prestige Patterns'!$B$6)/'Prestige Patterns'!$B$5),'Prestige Patterns'!$B$6)-E661,1)</f>
        <v>40</v>
      </c>
      <c r="H662" s="12">
        <f t="shared" si="3"/>
        <v>1605941</v>
      </c>
      <c r="I662" s="11">
        <f>1+H662*'Prestige Patterns'!$B$25</f>
        <v>16060.41</v>
      </c>
      <c r="J662" s="12">
        <f>floor((K662/'Prestige Patterns'!$B$22)^'Prestige Patterns'!$B$23,1)-H661</f>
        <v>280846</v>
      </c>
      <c r="K662" s="8">
        <f>K661+N661*'Prestige Patterns'!$B$20</f>
        <v>3.55997E+17</v>
      </c>
      <c r="L662" s="8">
        <f>if(J661&gt;='Prestige Patterns'!$B$28,if(J661/(H661+1)&gt;('Prestige Patterns'!$B$27+1),L661+1,L661),L661)</f>
        <v>12</v>
      </c>
      <c r="N662" s="12">
        <f t="shared" si="1"/>
        <v>221621775866266</v>
      </c>
      <c r="O662" s="9">
        <f>'Prestige Patterns'!$B$4*E662</f>
        <v>13160</v>
      </c>
      <c r="P662" s="12">
        <f t="shared" si="4"/>
        <v>1048576</v>
      </c>
      <c r="Q662" s="11"/>
      <c r="R662" s="11"/>
      <c r="S662" s="9">
        <v>661.0</v>
      </c>
      <c r="T662" s="11"/>
    </row>
    <row r="663" ht="15.75" customHeight="1">
      <c r="A663" s="7"/>
      <c r="B663" s="7"/>
      <c r="C663" s="7">
        <f>(S663*'Prestige Patterns'!$B$20)/60</f>
        <v>331</v>
      </c>
      <c r="D663" s="8">
        <f>if(L662=L663,N662*'Prestige Patterns'!$B$20+D662-F663,0)</f>
        <v>6.85218E+15</v>
      </c>
      <c r="E663" s="9">
        <f t="shared" si="2"/>
        <v>671</v>
      </c>
      <c r="F663" s="10">
        <f>'Prestige Patterns'!$B$5*('Prestige Patterns'!$B$6^E662-'Prestige Patterns'!$B$6^(E662+G663))/(1-'Prestige Patterns'!$B$6)</f>
        <v>6.20741E+15</v>
      </c>
      <c r="G663" s="13">
        <f>floor(LOG('Prestige Patterns'!$B$6^(E662) - (D662*(1-'Prestige Patterns'!$B$6)/'Prestige Patterns'!$B$5),'Prestige Patterns'!$B$6)-E662,1)</f>
        <v>13</v>
      </c>
      <c r="H663" s="12">
        <f t="shared" si="3"/>
        <v>1605941</v>
      </c>
      <c r="I663" s="11">
        <f>1+H663*'Prestige Patterns'!$B$25</f>
        <v>16060.41</v>
      </c>
      <c r="J663" s="12">
        <f>floor((K663/'Prestige Patterns'!$B$22)^'Prestige Patterns'!$B$23,1)-H662</f>
        <v>298384</v>
      </c>
      <c r="K663" s="8">
        <f>K662+N662*'Prestige Patterns'!$B$20</f>
        <v>3.62645E+17</v>
      </c>
      <c r="L663" s="8">
        <f>if(J662&gt;='Prestige Patterns'!$B$28,if(J662/(H662+1)&gt;('Prestige Patterns'!$B$27+1),L662+1,L662),L662)</f>
        <v>12</v>
      </c>
      <c r="N663" s="12">
        <f t="shared" si="1"/>
        <v>226000321590067</v>
      </c>
      <c r="O663" s="9">
        <f>'Prestige Patterns'!$B$4*E663</f>
        <v>13420</v>
      </c>
      <c r="P663" s="12">
        <f t="shared" si="4"/>
        <v>1048576</v>
      </c>
      <c r="Q663" s="11"/>
      <c r="R663" s="11"/>
      <c r="S663" s="9">
        <v>662.0</v>
      </c>
      <c r="T663" s="11"/>
    </row>
    <row r="664" ht="15.75" customHeight="1">
      <c r="A664" s="7"/>
      <c r="B664" s="7"/>
      <c r="C664" s="7">
        <f>(S664*'Prestige Patterns'!$B$20)/60</f>
        <v>331.5</v>
      </c>
      <c r="D664" s="8">
        <f>if(L663=L664,N663*'Prestige Patterns'!$B$20+D663-F664,0)</f>
        <v>7.322E+15</v>
      </c>
      <c r="E664" s="9">
        <f t="shared" si="2"/>
        <v>679</v>
      </c>
      <c r="F664" s="10">
        <f>'Prestige Patterns'!$B$5*('Prestige Patterns'!$B$6^E663-'Prestige Patterns'!$B$6^(E663+G664))/(1-'Prestige Patterns'!$B$6)</f>
        <v>6.31019E+15</v>
      </c>
      <c r="G664" s="13">
        <f>floor(LOG('Prestige Patterns'!$B$6^(E663) - (D663*(1-'Prestige Patterns'!$B$6)/'Prestige Patterns'!$B$5),'Prestige Patterns'!$B$6)-E663,1)</f>
        <v>8</v>
      </c>
      <c r="H664" s="12">
        <f t="shared" si="3"/>
        <v>1605941</v>
      </c>
      <c r="I664" s="11">
        <f>1+H664*'Prestige Patterns'!$B$25</f>
        <v>16060.41</v>
      </c>
      <c r="J664" s="12">
        <f>floor((K664/'Prestige Patterns'!$B$22)^'Prestige Patterns'!$B$23,1)-H663</f>
        <v>316103</v>
      </c>
      <c r="K664" s="8">
        <f>K663+N663*'Prestige Patterns'!$B$20</f>
        <v>3.69425E+17</v>
      </c>
      <c r="L664" s="8">
        <f>if(J663&gt;='Prestige Patterns'!$B$28,if(J663/(H663+1)&gt;('Prestige Patterns'!$B$27+1),L663+1,L663),L663)</f>
        <v>12</v>
      </c>
      <c r="N664" s="12">
        <f t="shared" si="1"/>
        <v>228694811266253</v>
      </c>
      <c r="O664" s="9">
        <f>'Prestige Patterns'!$B$4*E664</f>
        <v>13580</v>
      </c>
      <c r="P664" s="12">
        <f t="shared" si="4"/>
        <v>1048576</v>
      </c>
      <c r="Q664" s="11"/>
      <c r="R664" s="11"/>
      <c r="S664" s="9">
        <v>663.0</v>
      </c>
      <c r="T664" s="11"/>
    </row>
    <row r="665" ht="15.75" customHeight="1">
      <c r="A665" s="7"/>
      <c r="B665" s="7"/>
      <c r="C665" s="7">
        <f>(S665*'Prestige Patterns'!$B$20)/60</f>
        <v>332</v>
      </c>
      <c r="D665" s="8">
        <f>if(L664=L665,N664*'Prestige Patterns'!$B$20+D664-F665,0)</f>
        <v>7.54197E+15</v>
      </c>
      <c r="E665" s="9">
        <f t="shared" si="2"/>
        <v>685</v>
      </c>
      <c r="F665" s="10">
        <f>'Prestige Patterns'!$B$5*('Prestige Patterns'!$B$6^E664-'Prestige Patterns'!$B$6^(E664+G665))/(1-'Prestige Patterns'!$B$6)</f>
        <v>6.64087E+15</v>
      </c>
      <c r="G665" s="13">
        <f>floor(LOG('Prestige Patterns'!$B$6^(E664) - (D664*(1-'Prestige Patterns'!$B$6)/'Prestige Patterns'!$B$5),'Prestige Patterns'!$B$6)-E664,1)</f>
        <v>6</v>
      </c>
      <c r="H665" s="12">
        <f t="shared" si="3"/>
        <v>1605941</v>
      </c>
      <c r="I665" s="11">
        <f>1+H665*'Prestige Patterns'!$B$25</f>
        <v>16060.41</v>
      </c>
      <c r="J665" s="12">
        <f>floor((K665/'Prestige Patterns'!$B$22)^'Prestige Patterns'!$B$23,1)-H664</f>
        <v>333869</v>
      </c>
      <c r="K665" s="8">
        <f>K664+N664*'Prestige Patterns'!$B$20</f>
        <v>3.76286E+17</v>
      </c>
      <c r="L665" s="8">
        <f>if(J664&gt;='Prestige Patterns'!$B$28,if(J664/(H664+1)&gt;('Prestige Patterns'!$B$27+1),L664+1,L664),L664)</f>
        <v>12</v>
      </c>
      <c r="N665" s="12">
        <f t="shared" si="1"/>
        <v>230715678523392</v>
      </c>
      <c r="O665" s="9">
        <f>'Prestige Patterns'!$B$4*E665</f>
        <v>13700</v>
      </c>
      <c r="P665" s="12">
        <f t="shared" si="4"/>
        <v>1048576</v>
      </c>
      <c r="Q665" s="11"/>
      <c r="R665" s="11"/>
      <c r="S665" s="9">
        <v>664.0</v>
      </c>
      <c r="T665" s="11"/>
    </row>
    <row r="666" ht="15.75" customHeight="1">
      <c r="A666" s="7"/>
      <c r="B666" s="7"/>
      <c r="C666" s="7">
        <f>(S666*'Prestige Patterns'!$B$20)/60</f>
        <v>332.5</v>
      </c>
      <c r="D666" s="8">
        <f>if(L665=L666,N665*'Prestige Patterns'!$B$20+D665-F666,0)</f>
        <v>7.23388E+15</v>
      </c>
      <c r="E666" s="9">
        <f t="shared" si="2"/>
        <v>690</v>
      </c>
      <c r="F666" s="10">
        <f>'Prestige Patterns'!$B$5*('Prestige Patterns'!$B$6^E665-'Prestige Patterns'!$B$6^(E665+G666))/(1-'Prestige Patterns'!$B$6)</f>
        <v>7.22956E+15</v>
      </c>
      <c r="G666" s="13">
        <f>floor(LOG('Prestige Patterns'!$B$6^(E665) - (D665*(1-'Prestige Patterns'!$B$6)/'Prestige Patterns'!$B$5),'Prestige Patterns'!$B$6)-E665,1)</f>
        <v>5</v>
      </c>
      <c r="H666" s="12">
        <f t="shared" si="3"/>
        <v>1605941</v>
      </c>
      <c r="I666" s="11">
        <f>1+H666*'Prestige Patterns'!$B$25</f>
        <v>16060.41</v>
      </c>
      <c r="J666" s="12">
        <f>floor((K666/'Prestige Patterns'!$B$22)^'Prestige Patterns'!$B$23,1)-H665</f>
        <v>351628</v>
      </c>
      <c r="K666" s="8">
        <f>K665+N665*'Prestige Patterns'!$B$20</f>
        <v>3.83208E+17</v>
      </c>
      <c r="L666" s="8">
        <f>if(J665&gt;='Prestige Patterns'!$B$28,if(J665/(H665+1)&gt;('Prestige Patterns'!$B$27+1),L665+1,L665),L665)</f>
        <v>12</v>
      </c>
      <c r="N666" s="12">
        <f t="shared" si="1"/>
        <v>232399734571008</v>
      </c>
      <c r="O666" s="9">
        <f>'Prestige Patterns'!$B$4*E666</f>
        <v>13800</v>
      </c>
      <c r="P666" s="12">
        <f t="shared" si="4"/>
        <v>1048576</v>
      </c>
      <c r="Q666" s="11"/>
      <c r="R666" s="11"/>
      <c r="S666" s="9">
        <v>665.0</v>
      </c>
      <c r="T666" s="11"/>
    </row>
    <row r="667" ht="15.75" customHeight="1">
      <c r="A667" s="7"/>
      <c r="B667" s="7"/>
      <c r="C667" s="7">
        <f>(S667*'Prestige Patterns'!$B$20)/60</f>
        <v>333</v>
      </c>
      <c r="D667" s="8">
        <f>if(L666=L667,N666*'Prestige Patterns'!$B$20+D666-F667,0)</f>
        <v>7.00863E+15</v>
      </c>
      <c r="E667" s="9">
        <f t="shared" si="2"/>
        <v>694</v>
      </c>
      <c r="F667" s="10">
        <f>'Prestige Patterns'!$B$5*('Prestige Patterns'!$B$6^E666-'Prestige Patterns'!$B$6^(E666+G667))/(1-'Prestige Patterns'!$B$6)</f>
        <v>7.19724E+15</v>
      </c>
      <c r="G667" s="13">
        <f>floor(LOG('Prestige Patterns'!$B$6^(E666) - (D666*(1-'Prestige Patterns'!$B$6)/'Prestige Patterns'!$B$5),'Prestige Patterns'!$B$6)-E666,1)</f>
        <v>4</v>
      </c>
      <c r="H667" s="12">
        <f t="shared" si="3"/>
        <v>1605941</v>
      </c>
      <c r="I667" s="11">
        <f>1+H667*'Prestige Patterns'!$B$25</f>
        <v>16060.41</v>
      </c>
      <c r="J667" s="12">
        <f>floor((K667/'Prestige Patterns'!$B$22)^'Prestige Patterns'!$B$23,1)-H666</f>
        <v>369355</v>
      </c>
      <c r="K667" s="8">
        <f>K666+N666*'Prestige Patterns'!$B$20</f>
        <v>3.9018E+17</v>
      </c>
      <c r="L667" s="8">
        <f>if(J666&gt;='Prestige Patterns'!$B$28,if(J666/(H666+1)&gt;('Prestige Patterns'!$B$27+1),L666+1,L666),L666)</f>
        <v>12</v>
      </c>
      <c r="N667" s="12">
        <f t="shared" si="1"/>
        <v>233746979409101</v>
      </c>
      <c r="O667" s="9">
        <f>'Prestige Patterns'!$B$4*E667</f>
        <v>13880</v>
      </c>
      <c r="P667" s="12">
        <f t="shared" si="4"/>
        <v>1048576</v>
      </c>
      <c r="Q667" s="11"/>
      <c r="R667" s="11"/>
      <c r="S667" s="9">
        <v>666.0</v>
      </c>
      <c r="T667" s="11"/>
    </row>
    <row r="668" ht="15.75" customHeight="1">
      <c r="A668" s="7"/>
      <c r="B668" s="7"/>
      <c r="C668" s="7">
        <f>(S668*'Prestige Patterns'!$B$20)/60</f>
        <v>333.5</v>
      </c>
      <c r="D668" s="8">
        <f>if(L667=L668,N667*'Prestige Patterns'!$B$20+D667-F668,0)</f>
        <v>7.62239E+15</v>
      </c>
      <c r="E668" s="9">
        <f t="shared" si="2"/>
        <v>697</v>
      </c>
      <c r="F668" s="10">
        <f>'Prestige Patterns'!$B$5*('Prestige Patterns'!$B$6^E667-'Prestige Patterns'!$B$6^(E667+G668))/(1-'Prestige Patterns'!$B$6)</f>
        <v>6.39865E+15</v>
      </c>
      <c r="G668" s="13">
        <f>floor(LOG('Prestige Patterns'!$B$6^(E667) - (D667*(1-'Prestige Patterns'!$B$6)/'Prestige Patterns'!$B$5),'Prestige Patterns'!$B$6)-E667,1)</f>
        <v>3</v>
      </c>
      <c r="H668" s="12">
        <f t="shared" si="3"/>
        <v>1605941</v>
      </c>
      <c r="I668" s="11">
        <f>1+H668*'Prestige Patterns'!$B$25</f>
        <v>16060.41</v>
      </c>
      <c r="J668" s="12">
        <f>floor((K668/'Prestige Patterns'!$B$22)^'Prestige Patterns'!$B$23,1)-H667</f>
        <v>387027</v>
      </c>
      <c r="K668" s="8">
        <f>K667+N667*'Prestige Patterns'!$B$20</f>
        <v>3.97192E+17</v>
      </c>
      <c r="L668" s="8">
        <f>if(J667&gt;='Prestige Patterns'!$B$28,if(J667/(H667+1)&gt;('Prestige Patterns'!$B$27+1),L667+1,L667),L667)</f>
        <v>12</v>
      </c>
      <c r="N668" s="12">
        <f t="shared" si="1"/>
        <v>234757413037670</v>
      </c>
      <c r="O668" s="9">
        <f>'Prestige Patterns'!$B$4*E668</f>
        <v>13940</v>
      </c>
      <c r="P668" s="12">
        <f t="shared" si="4"/>
        <v>1048576</v>
      </c>
      <c r="Q668" s="11"/>
      <c r="R668" s="11"/>
      <c r="S668" s="9">
        <v>667.0</v>
      </c>
      <c r="T668" s="11"/>
    </row>
    <row r="669" ht="15.75" customHeight="1">
      <c r="A669" s="7"/>
      <c r="B669" s="7"/>
      <c r="C669" s="7">
        <f>(S669*'Prestige Patterns'!$B$20)/60</f>
        <v>334</v>
      </c>
      <c r="D669" s="8">
        <f>if(L668=L669,N668*'Prestige Patterns'!$B$20+D668-F669,0)</f>
        <v>7.25787E+15</v>
      </c>
      <c r="E669" s="9">
        <f t="shared" si="2"/>
        <v>700</v>
      </c>
      <c r="F669" s="10">
        <f>'Prestige Patterns'!$B$5*('Prestige Patterns'!$B$6^E668-'Prestige Patterns'!$B$6^(E668+G669))/(1-'Prestige Patterns'!$B$6)</f>
        <v>7.40724E+15</v>
      </c>
      <c r="G669" s="13">
        <f>floor(LOG('Prestige Patterns'!$B$6^(E668) - (D668*(1-'Prestige Patterns'!$B$6)/'Prestige Patterns'!$B$5),'Prestige Patterns'!$B$6)-E668,1)</f>
        <v>3</v>
      </c>
      <c r="H669" s="12">
        <f t="shared" si="3"/>
        <v>1605941</v>
      </c>
      <c r="I669" s="11">
        <f>1+H669*'Prestige Patterns'!$B$25</f>
        <v>16060.41</v>
      </c>
      <c r="J669" s="12">
        <f>floor((K669/'Prestige Patterns'!$B$22)^'Prestige Patterns'!$B$23,1)-H668</f>
        <v>404618</v>
      </c>
      <c r="K669" s="8">
        <f>K668+N668*'Prestige Patterns'!$B$20</f>
        <v>4.04235E+17</v>
      </c>
      <c r="L669" s="8">
        <f>if(J668&gt;='Prestige Patterns'!$B$28,if(J668/(H668+1)&gt;('Prestige Patterns'!$B$27+1),L668+1,L668),L668)</f>
        <v>12</v>
      </c>
      <c r="N669" s="12">
        <f t="shared" si="1"/>
        <v>7.54457E+15</v>
      </c>
      <c r="O669" s="9">
        <f>'Prestige Patterns'!$B$4*E669</f>
        <v>14000</v>
      </c>
      <c r="P669" s="12">
        <f t="shared" si="4"/>
        <v>33554432</v>
      </c>
      <c r="Q669" s="11"/>
      <c r="R669" s="11"/>
      <c r="S669" s="9">
        <v>668.0</v>
      </c>
      <c r="T669" s="11"/>
    </row>
    <row r="670" ht="15.75" customHeight="1">
      <c r="A670" s="7"/>
      <c r="B670" s="7"/>
      <c r="C670" s="7">
        <f>(S670*'Prestige Patterns'!$B$20)/60</f>
        <v>334.5</v>
      </c>
      <c r="D670" s="8">
        <f>if(L669=L670,N669*'Prestige Patterns'!$B$20+D669-F670,0)</f>
        <v>2.28019E+17</v>
      </c>
      <c r="E670" s="9">
        <f t="shared" si="2"/>
        <v>702</v>
      </c>
      <c r="F670" s="10">
        <f>'Prestige Patterns'!$B$5*('Prestige Patterns'!$B$6^E669-'Prestige Patterns'!$B$6^(E669+G670))/(1-'Prestige Patterns'!$B$6)</f>
        <v>5.57601E+15</v>
      </c>
      <c r="G670" s="13">
        <f>floor(LOG('Prestige Patterns'!$B$6^(E669) - (D669*(1-'Prestige Patterns'!$B$6)/'Prestige Patterns'!$B$5),'Prestige Patterns'!$B$6)-E669,1)</f>
        <v>2</v>
      </c>
      <c r="H670" s="12">
        <f t="shared" si="3"/>
        <v>1605941</v>
      </c>
      <c r="I670" s="11">
        <f>1+H670*'Prestige Patterns'!$B$25</f>
        <v>16060.41</v>
      </c>
      <c r="J670" s="12">
        <f>floor((K670/'Prestige Patterns'!$B$22)^'Prestige Patterns'!$B$23,1)-H669</f>
        <v>905178</v>
      </c>
      <c r="K670" s="8">
        <f>K669+N669*'Prestige Patterns'!$B$20</f>
        <v>6.30572E+17</v>
      </c>
      <c r="L670" s="8">
        <f>if(J669&gt;='Prestige Patterns'!$B$28,if(J669/(H669+1)&gt;('Prestige Patterns'!$B$27+1),L669+1,L669),L669)</f>
        <v>12</v>
      </c>
      <c r="N670" s="12">
        <f t="shared" si="1"/>
        <v>7.56613E+15</v>
      </c>
      <c r="O670" s="9">
        <f>'Prestige Patterns'!$B$4*E670</f>
        <v>14040</v>
      </c>
      <c r="P670" s="12">
        <f t="shared" si="4"/>
        <v>33554432</v>
      </c>
      <c r="Q670" s="11"/>
      <c r="R670" s="11"/>
      <c r="S670" s="9">
        <v>669.0</v>
      </c>
      <c r="T670" s="11"/>
    </row>
    <row r="671" ht="15.75" customHeight="1">
      <c r="A671" s="7"/>
      <c r="B671" s="7"/>
      <c r="C671" s="7">
        <f>(S671*'Prestige Patterns'!$B$20)/60</f>
        <v>335</v>
      </c>
      <c r="D671" s="8">
        <f>if(L670=L671,N670*'Prestige Patterns'!$B$20+D670-F671,0)</f>
        <v>2.29196E+17</v>
      </c>
      <c r="E671" s="9">
        <f t="shared" si="2"/>
        <v>734</v>
      </c>
      <c r="F671" s="10">
        <f>'Prestige Patterns'!$B$5*('Prestige Patterns'!$B$6^E670-'Prestige Patterns'!$B$6^(E670+G671))/(1-'Prestige Patterns'!$B$6)</f>
        <v>2.25806E+17</v>
      </c>
      <c r="G671" s="13">
        <f>floor(LOG('Prestige Patterns'!$B$6^(E670) - (D670*(1-'Prestige Patterns'!$B$6)/'Prestige Patterns'!$B$5),'Prestige Patterns'!$B$6)-E670,1)</f>
        <v>32</v>
      </c>
      <c r="H671" s="12">
        <f t="shared" si="3"/>
        <v>1605941</v>
      </c>
      <c r="I671" s="11">
        <f>1+H671*'Prestige Patterns'!$B$25</f>
        <v>16060.41</v>
      </c>
      <c r="J671" s="12">
        <f>floor((K671/'Prestige Patterns'!$B$22)^'Prestige Patterns'!$B$23,1)-H670</f>
        <v>1322464</v>
      </c>
      <c r="K671" s="8">
        <f>K670+N670*'Prestige Patterns'!$B$20</f>
        <v>8.57556E+17</v>
      </c>
      <c r="L671" s="8">
        <f>if(J670&gt;='Prestige Patterns'!$B$28,if(J670/(H670+1)&gt;('Prestige Patterns'!$B$27+1),L670+1,L670),L670)</f>
        <v>12</v>
      </c>
      <c r="N671" s="12">
        <f t="shared" si="1"/>
        <v>7.91102E+15</v>
      </c>
      <c r="O671" s="9">
        <f>'Prestige Patterns'!$B$4*E671</f>
        <v>14680</v>
      </c>
      <c r="P671" s="12">
        <f t="shared" si="4"/>
        <v>33554432</v>
      </c>
      <c r="Q671" s="11"/>
      <c r="R671" s="11"/>
      <c r="S671" s="9">
        <v>670.0</v>
      </c>
      <c r="T671" s="11"/>
    </row>
    <row r="672" ht="15.75" customHeight="1">
      <c r="A672" s="7"/>
      <c r="B672" s="7"/>
      <c r="C672" s="7">
        <f>(S672*'Prestige Patterns'!$B$20)/60</f>
        <v>335.5</v>
      </c>
      <c r="D672" s="8">
        <f>if(L671=L672,N671*'Prestige Patterns'!$B$20+D671-F672,0)</f>
        <v>2.39085E+17</v>
      </c>
      <c r="E672" s="9">
        <f t="shared" si="2"/>
        <v>746</v>
      </c>
      <c r="F672" s="10">
        <f>'Prestige Patterns'!$B$5*('Prestige Patterns'!$B$6^E671-'Prestige Patterns'!$B$6^(E671+G672))/(1-'Prestige Patterns'!$B$6)</f>
        <v>2.27442E+17</v>
      </c>
      <c r="G672" s="13">
        <f>floor(LOG('Prestige Patterns'!$B$6^(E671) - (D671*(1-'Prestige Patterns'!$B$6)/'Prestige Patterns'!$B$5),'Prestige Patterns'!$B$6)-E671,1)</f>
        <v>12</v>
      </c>
      <c r="H672" s="12">
        <f t="shared" si="3"/>
        <v>1605941</v>
      </c>
      <c r="I672" s="11">
        <f>1+H672*'Prestige Patterns'!$B$25</f>
        <v>16060.41</v>
      </c>
      <c r="J672" s="12">
        <f>floor((K672/'Prestige Patterns'!$B$22)^'Prestige Patterns'!$B$23,1)-H671</f>
        <v>1702965</v>
      </c>
      <c r="K672" s="8">
        <f>K671+N671*'Prestige Patterns'!$B$20</f>
        <v>1.09489E+18</v>
      </c>
      <c r="L672" s="8">
        <f>if(J671&gt;='Prestige Patterns'!$B$28,if(J671/(H671+1)&gt;('Prestige Patterns'!$B$27+1),L671+1,L671),L671)</f>
        <v>12</v>
      </c>
      <c r="N672" s="12">
        <f t="shared" si="1"/>
        <v>8.04036E+15</v>
      </c>
      <c r="O672" s="9">
        <f>'Prestige Patterns'!$B$4*E672</f>
        <v>14920</v>
      </c>
      <c r="P672" s="12">
        <f t="shared" si="4"/>
        <v>33554432</v>
      </c>
      <c r="Q672" s="11"/>
      <c r="R672" s="11"/>
      <c r="S672" s="9">
        <v>671.0</v>
      </c>
      <c r="T672" s="11"/>
    </row>
    <row r="673" ht="15.75" customHeight="1">
      <c r="A673" s="7"/>
      <c r="B673" s="7"/>
      <c r="C673" s="7">
        <f>(S673*'Prestige Patterns'!$B$20)/60</f>
        <v>336</v>
      </c>
      <c r="D673" s="8">
        <f>if(L672=L673,N672*'Prestige Patterns'!$B$20+D672-F673,0)</f>
        <v>2.71362E+17</v>
      </c>
      <c r="E673" s="9">
        <f t="shared" si="2"/>
        <v>753</v>
      </c>
      <c r="F673" s="10">
        <f>'Prestige Patterns'!$B$5*('Prestige Patterns'!$B$6^E672-'Prestige Patterns'!$B$6^(E672+G673))/(1-'Prestige Patterns'!$B$6)</f>
        <v>2.08934E+17</v>
      </c>
      <c r="G673" s="13">
        <f>floor(LOG('Prestige Patterns'!$B$6^(E672) - (D672*(1-'Prestige Patterns'!$B$6)/'Prestige Patterns'!$B$5),'Prestige Patterns'!$B$6)-E672,1)</f>
        <v>7</v>
      </c>
      <c r="H673" s="12">
        <f t="shared" si="3"/>
        <v>1605941</v>
      </c>
      <c r="I673" s="11">
        <f>1+H673*'Prestige Patterns'!$B$25</f>
        <v>16060.41</v>
      </c>
      <c r="J673" s="12">
        <f>floor((K673/'Prestige Patterns'!$B$22)^'Prestige Patterns'!$B$23,1)-H672</f>
        <v>2049325</v>
      </c>
      <c r="K673" s="8">
        <f>K672+N672*'Prestige Patterns'!$B$20</f>
        <v>1.3361E+18</v>
      </c>
      <c r="L673" s="8">
        <f>if(J672&gt;='Prestige Patterns'!$B$28,if(J672/(H672+1)&gt;('Prestige Patterns'!$B$27+1),L672+1,L672),L672)</f>
        <v>12</v>
      </c>
      <c r="N673" s="12">
        <f t="shared" si="1"/>
        <v>8.1158E+15</v>
      </c>
      <c r="O673" s="9">
        <f>'Prestige Patterns'!$B$4*E673</f>
        <v>15060</v>
      </c>
      <c r="P673" s="12">
        <f t="shared" si="4"/>
        <v>33554432</v>
      </c>
      <c r="Q673" s="11"/>
      <c r="R673" s="11"/>
      <c r="S673" s="9">
        <v>672.0</v>
      </c>
      <c r="T673" s="11"/>
    </row>
    <row r="674" ht="15.75" customHeight="1">
      <c r="A674" s="7"/>
      <c r="B674" s="7"/>
      <c r="C674" s="7">
        <f>(S674*'Prestige Patterns'!$B$20)/60</f>
        <v>336.5</v>
      </c>
      <c r="D674" s="8">
        <f>if(L673=L674,N673*'Prestige Patterns'!$B$20+D673-F674,0)</f>
        <v>2.69234E+17</v>
      </c>
      <c r="E674" s="9">
        <f t="shared" si="2"/>
        <v>759</v>
      </c>
      <c r="F674" s="10">
        <f>'Prestige Patterns'!$B$5*('Prestige Patterns'!$B$6^E673-'Prestige Patterns'!$B$6^(E673+G674))/(1-'Prestige Patterns'!$B$6)</f>
        <v>2.45603E+17</v>
      </c>
      <c r="G674" s="13">
        <f>floor(LOG('Prestige Patterns'!$B$6^(E673) - (D673*(1-'Prestige Patterns'!$B$6)/'Prestige Patterns'!$B$5),'Prestige Patterns'!$B$6)-E673,1)</f>
        <v>6</v>
      </c>
      <c r="H674" s="12">
        <f t="shared" si="3"/>
        <v>1605941</v>
      </c>
      <c r="I674" s="11">
        <f>1+H674*'Prestige Patterns'!$B$25</f>
        <v>16060.41</v>
      </c>
      <c r="J674" s="12">
        <f>floor((K674/'Prestige Patterns'!$B$22)^'Prestige Patterns'!$B$23,1)-H673</f>
        <v>2368441</v>
      </c>
      <c r="K674" s="8">
        <f>K673+N673*'Prestige Patterns'!$B$20</f>
        <v>1.57957E+18</v>
      </c>
      <c r="L674" s="8">
        <f>if(J673&gt;='Prestige Patterns'!$B$28,if(J673/(H673+1)&gt;('Prestige Patterns'!$B$27+1),L673+1,L673),L673)</f>
        <v>12</v>
      </c>
      <c r="N674" s="12">
        <f t="shared" si="1"/>
        <v>8.18047E+15</v>
      </c>
      <c r="O674" s="9">
        <f>'Prestige Patterns'!$B$4*E674</f>
        <v>15180</v>
      </c>
      <c r="P674" s="12">
        <f t="shared" si="4"/>
        <v>33554432</v>
      </c>
      <c r="Q674" s="11"/>
      <c r="R674" s="11"/>
      <c r="S674" s="9">
        <v>673.0</v>
      </c>
      <c r="T674" s="11"/>
    </row>
    <row r="675" ht="15.75" customHeight="1">
      <c r="A675" s="7"/>
      <c r="B675" s="7"/>
      <c r="C675" s="7">
        <f>(S675*'Prestige Patterns'!$B$20)/60</f>
        <v>337</v>
      </c>
      <c r="D675" s="8">
        <f>if(L674=L675,N674*'Prestige Patterns'!$B$20+D674-F675,0)</f>
        <v>2.47273E+17</v>
      </c>
      <c r="E675" s="9">
        <f t="shared" si="2"/>
        <v>764</v>
      </c>
      <c r="F675" s="10">
        <f>'Prestige Patterns'!$B$5*('Prestige Patterns'!$B$6^E674-'Prestige Patterns'!$B$6^(E674+G675))/(1-'Prestige Patterns'!$B$6)</f>
        <v>2.67374E+17</v>
      </c>
      <c r="G675" s="13">
        <f>floor(LOG('Prestige Patterns'!$B$6^(E674) - (D674*(1-'Prestige Patterns'!$B$6)/'Prestige Patterns'!$B$5),'Prestige Patterns'!$B$6)-E674,1)</f>
        <v>5</v>
      </c>
      <c r="H675" s="12">
        <f t="shared" si="3"/>
        <v>1605941</v>
      </c>
      <c r="I675" s="11">
        <f>1+H675*'Prestige Patterns'!$B$25</f>
        <v>16060.41</v>
      </c>
      <c r="J675" s="12">
        <f>floor((K675/'Prestige Patterns'!$B$22)^'Prestige Patterns'!$B$23,1)-H674</f>
        <v>2666043</v>
      </c>
      <c r="K675" s="8">
        <f>K674+N674*'Prestige Patterns'!$B$20</f>
        <v>1.82499E+18</v>
      </c>
      <c r="L675" s="8">
        <f>if(J674&gt;='Prestige Patterns'!$B$28,if(J674/(H674+1)&gt;('Prestige Patterns'!$B$27+1),L674+1,L674),L674)</f>
        <v>12</v>
      </c>
      <c r="N675" s="12">
        <f t="shared" si="1"/>
        <v>8.23436E+15</v>
      </c>
      <c r="O675" s="9">
        <f>'Prestige Patterns'!$B$4*E675</f>
        <v>15280</v>
      </c>
      <c r="P675" s="12">
        <f t="shared" si="4"/>
        <v>33554432</v>
      </c>
      <c r="Q675" s="11"/>
      <c r="R675" s="11"/>
      <c r="S675" s="9">
        <v>674.0</v>
      </c>
      <c r="T675" s="11"/>
    </row>
    <row r="676" ht="15.75" customHeight="1">
      <c r="A676" s="7"/>
      <c r="B676" s="7"/>
      <c r="C676" s="7">
        <f>(S676*'Prestige Patterns'!$B$20)/60</f>
        <v>337.5</v>
      </c>
      <c r="D676" s="8">
        <f>if(L675=L676,N675*'Prestige Patterns'!$B$20+D675-F676,0)</f>
        <v>0</v>
      </c>
      <c r="E676" s="9">
        <f t="shared" si="2"/>
        <v>1</v>
      </c>
      <c r="F676" s="10">
        <f>'Prestige Patterns'!$B$5*('Prestige Patterns'!$B$6^E675-'Prestige Patterns'!$B$6^(E675+G676))/(1-'Prestige Patterns'!$B$6)</f>
        <v>1.94688E+17</v>
      </c>
      <c r="G676" s="13">
        <f>floor(LOG('Prestige Patterns'!$B$6^(E675) - (D675*(1-'Prestige Patterns'!$B$6)/'Prestige Patterns'!$B$5),'Prestige Patterns'!$B$6)-E675,1)</f>
        <v>3</v>
      </c>
      <c r="H676" s="12">
        <f t="shared" si="3"/>
        <v>4271984</v>
      </c>
      <c r="I676" s="11">
        <f>1+H676*'Prestige Patterns'!$B$25</f>
        <v>42720.84</v>
      </c>
      <c r="J676" s="12">
        <f>floor((K676/'Prestige Patterns'!$B$22)^'Prestige Patterns'!$B$23,1)-H675</f>
        <v>2945999</v>
      </c>
      <c r="K676" s="8">
        <f>K675+N675*'Prestige Patterns'!$B$20</f>
        <v>2.07202E+18</v>
      </c>
      <c r="L676" s="8">
        <f>if(J675&gt;='Prestige Patterns'!$B$28,if(J675/(H675+1)&gt;('Prestige Patterns'!$B$27+1),L675+1,L675),L675)</f>
        <v>13</v>
      </c>
      <c r="N676" s="12">
        <f t="shared" si="1"/>
        <v>28669470415258</v>
      </c>
      <c r="O676" s="9">
        <f>'Prestige Patterns'!$B$4*E676</f>
        <v>20</v>
      </c>
      <c r="P676" s="12">
        <f t="shared" si="4"/>
        <v>33554432</v>
      </c>
      <c r="Q676" s="11"/>
      <c r="R676" s="11"/>
      <c r="S676" s="9">
        <v>675.0</v>
      </c>
      <c r="T676" s="11"/>
    </row>
    <row r="677" ht="15.75" customHeight="1">
      <c r="A677" s="7"/>
      <c r="B677" s="7"/>
      <c r="C677" s="7">
        <f>(S677*'Prestige Patterns'!$B$20)/60</f>
        <v>338</v>
      </c>
      <c r="D677" s="8">
        <f>if(L676=L677,N676*'Prestige Patterns'!$B$20+D676-F677,0)</f>
        <v>860084112457728</v>
      </c>
      <c r="E677" s="9">
        <f t="shared" si="2"/>
        <v>1</v>
      </c>
      <c r="F677" s="10">
        <f>'Prestige Patterns'!$B$5*('Prestige Patterns'!$B$6^E676-'Prestige Patterns'!$B$6^(E676+G677))/(1-'Prestige Patterns'!$B$6)</f>
        <v>0</v>
      </c>
      <c r="G677" s="13">
        <f>floor(LOG('Prestige Patterns'!$B$6^(E676) - (D676*(1-'Prestige Patterns'!$B$6)/'Prestige Patterns'!$B$5),'Prestige Patterns'!$B$6)-E676,1)</f>
        <v>0</v>
      </c>
      <c r="H677" s="12">
        <f t="shared" si="3"/>
        <v>4271984</v>
      </c>
      <c r="I677" s="11">
        <f>1+H677*'Prestige Patterns'!$B$25</f>
        <v>42720.84</v>
      </c>
      <c r="J677" s="12">
        <f>floor((K677/'Prestige Patterns'!$B$22)^'Prestige Patterns'!$B$23,1)-H676</f>
        <v>280901</v>
      </c>
      <c r="K677" s="8">
        <f>K676+N676*'Prestige Patterns'!$B$20</f>
        <v>2.07288E+18</v>
      </c>
      <c r="L677" s="8">
        <f>if(J676&gt;='Prestige Patterns'!$B$28,if(J676/(H676+1)&gt;('Prestige Patterns'!$B$27+1),L676+1,L676),L676)</f>
        <v>13</v>
      </c>
      <c r="N677" s="12">
        <f t="shared" si="1"/>
        <v>28669470415258</v>
      </c>
      <c r="O677" s="9">
        <f>'Prestige Patterns'!$B$4*E677</f>
        <v>20</v>
      </c>
      <c r="P677" s="12">
        <f t="shared" si="4"/>
        <v>33554432</v>
      </c>
      <c r="Q677" s="11"/>
      <c r="R677" s="11"/>
      <c r="S677" s="9">
        <v>676.0</v>
      </c>
      <c r="T677" s="11"/>
    </row>
    <row r="678" ht="15.75" customHeight="1">
      <c r="A678" s="7"/>
      <c r="B678" s="7"/>
      <c r="C678" s="7">
        <f>(S678*'Prestige Patterns'!$B$20)/60</f>
        <v>338.5</v>
      </c>
      <c r="D678" s="8">
        <f>if(L677=L678,N677*'Prestige Patterns'!$B$20+D677-F678,0)</f>
        <v>860147504085222</v>
      </c>
      <c r="E678" s="9">
        <f t="shared" si="2"/>
        <v>615</v>
      </c>
      <c r="F678" s="10">
        <f>'Prestige Patterns'!$B$5*('Prestige Patterns'!$B$6^E677-'Prestige Patterns'!$B$6^(E677+G678))/(1-'Prestige Patterns'!$B$6)</f>
        <v>860020720830234</v>
      </c>
      <c r="G678" s="13">
        <f>floor(LOG('Prestige Patterns'!$B$6^(E677) - (D677*(1-'Prestige Patterns'!$B$6)/'Prestige Patterns'!$B$5),'Prestige Patterns'!$B$6)-E677,1)</f>
        <v>614</v>
      </c>
      <c r="H678" s="12">
        <f t="shared" si="3"/>
        <v>4271984</v>
      </c>
      <c r="I678" s="11">
        <f>1+H678*'Prestige Patterns'!$B$25</f>
        <v>42720.84</v>
      </c>
      <c r="J678" s="12">
        <f>floor((K678/'Prestige Patterns'!$B$22)^'Prestige Patterns'!$B$23,1)-H677</f>
        <v>281845</v>
      </c>
      <c r="K678" s="8">
        <f>K677+N677*'Prestige Patterns'!$B$20</f>
        <v>2.07374E+18</v>
      </c>
      <c r="L678" s="8">
        <f>if(J677&gt;='Prestige Patterns'!$B$28,if(J677/(H677+1)&gt;('Prestige Patterns'!$B$27+1),L677+1,L677),L677)</f>
        <v>13</v>
      </c>
      <c r="N678" s="12">
        <f t="shared" si="1"/>
        <v>550991384543232</v>
      </c>
      <c r="O678" s="9">
        <f>'Prestige Patterns'!$B$4*E678</f>
        <v>12300</v>
      </c>
      <c r="P678" s="12">
        <f t="shared" si="4"/>
        <v>1048576</v>
      </c>
      <c r="Q678" s="11"/>
      <c r="R678" s="11"/>
      <c r="S678" s="9">
        <v>677.0</v>
      </c>
      <c r="T678" s="11"/>
    </row>
    <row r="679" ht="15.75" customHeight="1">
      <c r="A679" s="7"/>
      <c r="B679" s="7"/>
      <c r="C679" s="7">
        <f>(S679*'Prestige Patterns'!$B$20)/60</f>
        <v>339</v>
      </c>
      <c r="D679" s="8">
        <f>if(L678=L679,N678*'Prestige Patterns'!$B$20+D678-F679,0)</f>
        <v>1.65471E+16</v>
      </c>
      <c r="E679" s="9">
        <f t="shared" si="2"/>
        <v>629</v>
      </c>
      <c r="F679" s="10">
        <f>'Prestige Patterns'!$B$5*('Prestige Patterns'!$B$6^E678-'Prestige Patterns'!$B$6^(E678+G679))/(1-'Prestige Patterns'!$B$6)</f>
        <v>842761480514279</v>
      </c>
      <c r="G679" s="13">
        <f>floor(LOG('Prestige Patterns'!$B$6^(E678) - (D678*(1-'Prestige Patterns'!$B$6)/'Prestige Patterns'!$B$5),'Prestige Patterns'!$B$6)-E678,1)</f>
        <v>14</v>
      </c>
      <c r="H679" s="12">
        <f t="shared" si="3"/>
        <v>4271984</v>
      </c>
      <c r="I679" s="11">
        <f>1+H679*'Prestige Patterns'!$B$25</f>
        <v>42720.84</v>
      </c>
      <c r="J679" s="12">
        <f>floor((K679/'Prestige Patterns'!$B$22)^'Prestige Patterns'!$B$23,1)-H678</f>
        <v>299958</v>
      </c>
      <c r="K679" s="8">
        <f>K678+N678*'Prestige Patterns'!$B$20</f>
        <v>2.09027E+18</v>
      </c>
      <c r="L679" s="8">
        <f>if(J678&gt;='Prestige Patterns'!$B$28,if(J678/(H678+1)&gt;('Prestige Patterns'!$B$27+1),L678+1,L678),L678)</f>
        <v>13</v>
      </c>
      <c r="N679" s="12">
        <f t="shared" si="1"/>
        <v>563534277849907</v>
      </c>
      <c r="O679" s="9">
        <f>'Prestige Patterns'!$B$4*E679</f>
        <v>12580</v>
      </c>
      <c r="P679" s="12">
        <f t="shared" si="4"/>
        <v>1048576</v>
      </c>
      <c r="Q679" s="11"/>
      <c r="R679" s="11"/>
      <c r="S679" s="9">
        <v>678.0</v>
      </c>
      <c r="T679" s="11"/>
    </row>
    <row r="680" ht="15.75" customHeight="1">
      <c r="A680" s="7"/>
      <c r="B680" s="7"/>
      <c r="C680" s="7">
        <f>(S680*'Prestige Patterns'!$B$20)/60</f>
        <v>339.5</v>
      </c>
      <c r="D680" s="8">
        <f>if(L679=L680,N679*'Prestige Patterns'!$B$20+D679-F680,0)</f>
        <v>1.74448E+16</v>
      </c>
      <c r="E680" s="9">
        <f t="shared" si="2"/>
        <v>677</v>
      </c>
      <c r="F680" s="10">
        <f>'Prestige Patterns'!$B$5*('Prestige Patterns'!$B$6^E679-'Prestige Patterns'!$B$6^(E679+G680))/(1-'Prestige Patterns'!$B$6)</f>
        <v>1.60083E+16</v>
      </c>
      <c r="G680" s="13">
        <f>floor(LOG('Prestige Patterns'!$B$6^(E679) - (D679*(1-'Prestige Patterns'!$B$6)/'Prestige Patterns'!$B$5),'Prestige Patterns'!$B$6)-E679,1)</f>
        <v>48</v>
      </c>
      <c r="H680" s="12">
        <f t="shared" si="3"/>
        <v>4271984</v>
      </c>
      <c r="I680" s="11">
        <f>1+H680*'Prestige Patterns'!$B$25</f>
        <v>42720.84</v>
      </c>
      <c r="J680" s="12">
        <f>floor((K680/'Prestige Patterns'!$B$22)^'Prestige Patterns'!$B$23,1)-H679</f>
        <v>318410</v>
      </c>
      <c r="K680" s="8">
        <f>K679+N679*'Prestige Patterns'!$B$20</f>
        <v>2.10717E+18</v>
      </c>
      <c r="L680" s="8">
        <f>if(J679&gt;='Prestige Patterns'!$B$28,if(J679/(H679+1)&gt;('Prestige Patterns'!$B$27+1),L679+1,L679),L679)</f>
        <v>13</v>
      </c>
      <c r="N680" s="12">
        <f t="shared" si="1"/>
        <v>606538483472794</v>
      </c>
      <c r="O680" s="9">
        <f>'Prestige Patterns'!$B$4*E680</f>
        <v>13540</v>
      </c>
      <c r="P680" s="12">
        <f t="shared" si="4"/>
        <v>1048576</v>
      </c>
      <c r="Q680" s="11"/>
      <c r="R680" s="11"/>
      <c r="S680" s="9">
        <v>679.0</v>
      </c>
      <c r="T680" s="11"/>
    </row>
    <row r="681" ht="15.75" customHeight="1">
      <c r="A681" s="7"/>
      <c r="B681" s="7"/>
      <c r="C681" s="7">
        <f>(S681*'Prestige Patterns'!$B$20)/60</f>
        <v>340</v>
      </c>
      <c r="D681" s="8">
        <f>if(L680=L681,N680*'Prestige Patterns'!$B$20+D680-F681,0)</f>
        <v>1.82853E+16</v>
      </c>
      <c r="E681" s="9">
        <f t="shared" si="2"/>
        <v>691</v>
      </c>
      <c r="F681" s="10">
        <f>'Prestige Patterns'!$B$5*('Prestige Patterns'!$B$6^E680-'Prestige Patterns'!$B$6^(E680+G681))/(1-'Prestige Patterns'!$B$6)</f>
        <v>1.73557E+16</v>
      </c>
      <c r="G681" s="13">
        <f>floor(LOG('Prestige Patterns'!$B$6^(E680) - (D680*(1-'Prestige Patterns'!$B$6)/'Prestige Patterns'!$B$5),'Prestige Patterns'!$B$6)-E680,1)</f>
        <v>14</v>
      </c>
      <c r="H681" s="12">
        <f t="shared" si="3"/>
        <v>4271984</v>
      </c>
      <c r="I681" s="11">
        <f>1+H681*'Prestige Patterns'!$B$25</f>
        <v>42720.84</v>
      </c>
      <c r="J681" s="12">
        <f>floor((K681/'Prestige Patterns'!$B$22)^'Prestige Patterns'!$B$23,1)-H680</f>
        <v>338187</v>
      </c>
      <c r="K681" s="8">
        <f>K680+N680*'Prestige Patterns'!$B$20</f>
        <v>2.12537E+18</v>
      </c>
      <c r="L681" s="8">
        <f>if(J680&gt;='Prestige Patterns'!$B$28,if(J680/(H680+1)&gt;('Prestige Patterns'!$B$27+1),L680+1,L680),L680)</f>
        <v>13</v>
      </c>
      <c r="N681" s="12">
        <f t="shared" si="1"/>
        <v>619081376779469</v>
      </c>
      <c r="O681" s="9">
        <f>'Prestige Patterns'!$B$4*E681</f>
        <v>13820</v>
      </c>
      <c r="P681" s="12">
        <f t="shared" si="4"/>
        <v>1048576</v>
      </c>
      <c r="Q681" s="11"/>
      <c r="R681" s="11"/>
      <c r="S681" s="9">
        <v>680.0</v>
      </c>
      <c r="T681" s="11"/>
    </row>
    <row r="682" ht="15.75" customHeight="1">
      <c r="A682" s="7"/>
      <c r="B682" s="7"/>
      <c r="C682" s="7">
        <f>(S682*'Prestige Patterns'!$B$20)/60</f>
        <v>340.5</v>
      </c>
      <c r="D682" s="8">
        <f>if(L681=L682,N681*'Prestige Patterns'!$B$20+D681-F682,0)</f>
        <v>2.0115E+16</v>
      </c>
      <c r="E682" s="9">
        <f t="shared" si="2"/>
        <v>699</v>
      </c>
      <c r="F682" s="10">
        <f>'Prestige Patterns'!$B$5*('Prestige Patterns'!$B$6^E681-'Prestige Patterns'!$B$6^(E681+G682))/(1-'Prestige Patterns'!$B$6)</f>
        <v>1.67428E+16</v>
      </c>
      <c r="G682" s="13">
        <f>floor(LOG('Prestige Patterns'!$B$6^(E681) - (D681*(1-'Prestige Patterns'!$B$6)/'Prestige Patterns'!$B$5),'Prestige Patterns'!$B$6)-E681,1)</f>
        <v>8</v>
      </c>
      <c r="H682" s="12">
        <f t="shared" si="3"/>
        <v>4271984</v>
      </c>
      <c r="I682" s="11">
        <f>1+H682*'Prestige Patterns'!$B$25</f>
        <v>42720.84</v>
      </c>
      <c r="J682" s="12">
        <f>floor((K682/'Prestige Patterns'!$B$22)^'Prestige Patterns'!$B$23,1)-H681</f>
        <v>358286</v>
      </c>
      <c r="K682" s="8">
        <f>K681+N681*'Prestige Patterns'!$B$20</f>
        <v>2.14394E+18</v>
      </c>
      <c r="L682" s="8">
        <f>if(J681&gt;='Prestige Patterns'!$B$28,if(J681/(H681+1)&gt;('Prestige Patterns'!$B$27+1),L681+1,L681),L681)</f>
        <v>13</v>
      </c>
      <c r="N682" s="12">
        <f t="shared" si="1"/>
        <v>626248744383283</v>
      </c>
      <c r="O682" s="9">
        <f>'Prestige Patterns'!$B$4*E682</f>
        <v>13980</v>
      </c>
      <c r="P682" s="12">
        <f t="shared" si="4"/>
        <v>1048576</v>
      </c>
      <c r="Q682" s="11"/>
      <c r="R682" s="11"/>
      <c r="S682" s="9">
        <v>681.0</v>
      </c>
      <c r="T682" s="11"/>
    </row>
    <row r="683" ht="15.75" customHeight="1">
      <c r="A683" s="7"/>
      <c r="B683" s="7"/>
      <c r="C683" s="7">
        <f>(S683*'Prestige Patterns'!$B$20)/60</f>
        <v>341</v>
      </c>
      <c r="D683" s="8">
        <f>if(L682=L683,N682*'Prestige Patterns'!$B$20+D682-F683,0)</f>
        <v>2.12822E+16</v>
      </c>
      <c r="E683" s="9">
        <f t="shared" si="2"/>
        <v>705</v>
      </c>
      <c r="F683" s="10">
        <f>'Prestige Patterns'!$B$5*('Prestige Patterns'!$B$6^E682-'Prestige Patterns'!$B$6^(E682+G683))/(1-'Prestige Patterns'!$B$6)</f>
        <v>1.76202E+16</v>
      </c>
      <c r="G683" s="13">
        <f>floor(LOG('Prestige Patterns'!$B$6^(E682) - (D682*(1-'Prestige Patterns'!$B$6)/'Prestige Patterns'!$B$5),'Prestige Patterns'!$B$6)-E682,1)</f>
        <v>6</v>
      </c>
      <c r="H683" s="12">
        <f t="shared" si="3"/>
        <v>4271984</v>
      </c>
      <c r="I683" s="11">
        <f>1+H683*'Prestige Patterns'!$B$25</f>
        <v>42720.84</v>
      </c>
      <c r="J683" s="12">
        <f>floor((K683/'Prestige Patterns'!$B$22)^'Prestige Patterns'!$B$23,1)-H682</f>
        <v>378530</v>
      </c>
      <c r="K683" s="8">
        <f>K682+N682*'Prestige Patterns'!$B$20</f>
        <v>2.16273E+18</v>
      </c>
      <c r="L683" s="8">
        <f>if(J682&gt;='Prestige Patterns'!$B$28,if(J682/(H682+1)&gt;('Prestige Patterns'!$B$27+1),L682+1,L682),L682)</f>
        <v>13</v>
      </c>
      <c r="N683" s="12">
        <f t="shared" si="1"/>
        <v>2.0212E+16</v>
      </c>
      <c r="O683" s="9">
        <f>'Prestige Patterns'!$B$4*E683</f>
        <v>14100</v>
      </c>
      <c r="P683" s="12">
        <f t="shared" si="4"/>
        <v>33554432</v>
      </c>
      <c r="Q683" s="11"/>
      <c r="R683" s="11"/>
      <c r="S683" s="9">
        <v>682.0</v>
      </c>
      <c r="T683" s="11"/>
    </row>
    <row r="684" ht="15.75" customHeight="1">
      <c r="A684" s="7"/>
      <c r="B684" s="7"/>
      <c r="C684" s="7">
        <f>(S684*'Prestige Patterns'!$B$20)/60</f>
        <v>341.5</v>
      </c>
      <c r="D684" s="8">
        <f>if(L683=L684,N683*'Prestige Patterns'!$B$20+D683-F684,0)</f>
        <v>6.08459E+17</v>
      </c>
      <c r="E684" s="9">
        <f t="shared" si="2"/>
        <v>710</v>
      </c>
      <c r="F684" s="10">
        <f>'Prestige Patterns'!$B$5*('Prestige Patterns'!$B$6^E683-'Prestige Patterns'!$B$6^(E683+G684))/(1-'Prestige Patterns'!$B$6)</f>
        <v>1.91822E+16</v>
      </c>
      <c r="G684" s="13">
        <f>floor(LOG('Prestige Patterns'!$B$6^(E683) - (D683*(1-'Prestige Patterns'!$B$6)/'Prestige Patterns'!$B$5),'Prestige Patterns'!$B$6)-E683,1)</f>
        <v>5</v>
      </c>
      <c r="H684" s="12">
        <f t="shared" si="3"/>
        <v>4271984</v>
      </c>
      <c r="I684" s="11">
        <f>1+H684*'Prestige Patterns'!$B$25</f>
        <v>42720.84</v>
      </c>
      <c r="J684" s="12">
        <f>floor((K684/'Prestige Patterns'!$B$22)^'Prestige Patterns'!$B$23,1)-H683</f>
        <v>990228</v>
      </c>
      <c r="K684" s="8">
        <f>K683+N683*'Prestige Patterns'!$B$20</f>
        <v>2.76909E+18</v>
      </c>
      <c r="L684" s="8">
        <f>if(J683&gt;='Prestige Patterns'!$B$28,if(J683/(H683+1)&gt;('Prestige Patterns'!$B$27+1),L683+1,L683),L683)</f>
        <v>13</v>
      </c>
      <c r="N684" s="12">
        <f t="shared" si="1"/>
        <v>2.03553E+16</v>
      </c>
      <c r="O684" s="9">
        <f>'Prestige Patterns'!$B$4*E684</f>
        <v>14200</v>
      </c>
      <c r="P684" s="12">
        <f t="shared" si="4"/>
        <v>33554432</v>
      </c>
      <c r="Q684" s="11"/>
      <c r="R684" s="11"/>
      <c r="S684" s="9">
        <v>683.0</v>
      </c>
      <c r="T684" s="11"/>
    </row>
    <row r="685" ht="15.75" customHeight="1">
      <c r="A685" s="7"/>
      <c r="B685" s="7"/>
      <c r="C685" s="7">
        <f>(S685*'Prestige Patterns'!$B$20)/60</f>
        <v>342</v>
      </c>
      <c r="D685" s="8">
        <f>if(L684=L685,N684*'Prestige Patterns'!$B$20+D684-F685,0)</f>
        <v>6.19962E+17</v>
      </c>
      <c r="E685" s="9">
        <f t="shared" si="2"/>
        <v>752</v>
      </c>
      <c r="F685" s="10">
        <f>'Prestige Patterns'!$B$5*('Prestige Patterns'!$B$6^E684-'Prestige Patterns'!$B$6^(E684+G685))/(1-'Prestige Patterns'!$B$6)</f>
        <v>5.99158E+17</v>
      </c>
      <c r="G685" s="13">
        <f>floor(LOG('Prestige Patterns'!$B$6^(E684) - (D684*(1-'Prestige Patterns'!$B$6)/'Prestige Patterns'!$B$5),'Prestige Patterns'!$B$6)-E684,1)</f>
        <v>42</v>
      </c>
      <c r="H685" s="12">
        <f t="shared" si="3"/>
        <v>4271984</v>
      </c>
      <c r="I685" s="11">
        <f>1+H685*'Prestige Patterns'!$B$25</f>
        <v>42720.84</v>
      </c>
      <c r="J685" s="12">
        <f>floor((K685/'Prestige Patterns'!$B$22)^'Prestige Patterns'!$B$23,1)-H684</f>
        <v>1541575</v>
      </c>
      <c r="K685" s="8">
        <f>K684+N684*'Prestige Patterns'!$B$20</f>
        <v>3.37975E+18</v>
      </c>
      <c r="L685" s="8">
        <f>if(J684&gt;='Prestige Patterns'!$B$28,if(J684/(H684+1)&gt;('Prestige Patterns'!$B$27+1),L684+1,L684),L684)</f>
        <v>13</v>
      </c>
      <c r="N685" s="12">
        <f t="shared" si="1"/>
        <v>2.15594E+16</v>
      </c>
      <c r="O685" s="9">
        <f>'Prestige Patterns'!$B$4*E685</f>
        <v>15040</v>
      </c>
      <c r="P685" s="12">
        <f t="shared" si="4"/>
        <v>33554432</v>
      </c>
      <c r="Q685" s="11"/>
      <c r="R685" s="11"/>
      <c r="S685" s="9">
        <v>684.0</v>
      </c>
      <c r="T685" s="11"/>
    </row>
    <row r="686" ht="15.75" customHeight="1">
      <c r="A686" s="7"/>
      <c r="B686" s="7"/>
      <c r="C686" s="7">
        <f>(S686*'Prestige Patterns'!$B$20)/60</f>
        <v>342.5</v>
      </c>
      <c r="D686" s="8">
        <f>if(L685=L686,N685*'Prestige Patterns'!$B$20+D685-F686,0)</f>
        <v>6.57622E+17</v>
      </c>
      <c r="E686" s="9">
        <f t="shared" si="2"/>
        <v>765</v>
      </c>
      <c r="F686" s="10">
        <f>'Prestige Patterns'!$B$5*('Prestige Patterns'!$B$6^E685-'Prestige Patterns'!$B$6^(E685+G686))/(1-'Prestige Patterns'!$B$6)</f>
        <v>6.09122E+17</v>
      </c>
      <c r="G686" s="13">
        <f>floor(LOG('Prestige Patterns'!$B$6^(E685) - (D685*(1-'Prestige Patterns'!$B$6)/'Prestige Patterns'!$B$5),'Prestige Patterns'!$B$6)-E685,1)</f>
        <v>13</v>
      </c>
      <c r="H686" s="12">
        <f t="shared" si="3"/>
        <v>4271984</v>
      </c>
      <c r="I686" s="11">
        <f>1+H686*'Prestige Patterns'!$B$25</f>
        <v>42720.84</v>
      </c>
      <c r="J686" s="12">
        <f>floor((K686/'Prestige Patterns'!$B$22)^'Prestige Patterns'!$B$23,1)-H685</f>
        <v>2073510</v>
      </c>
      <c r="K686" s="8">
        <f>K685+N685*'Prestige Patterns'!$B$20</f>
        <v>4.02653E+18</v>
      </c>
      <c r="L686" s="8">
        <f>if(J685&gt;='Prestige Patterns'!$B$28,if(J685/(H685+1)&gt;('Prestige Patterns'!$B$27+1),L685+1,L685),L685)</f>
        <v>13</v>
      </c>
      <c r="N686" s="12">
        <f t="shared" si="1"/>
        <v>2.19321E+16</v>
      </c>
      <c r="O686" s="9">
        <f>'Prestige Patterns'!$B$4*E686</f>
        <v>15300</v>
      </c>
      <c r="P686" s="12">
        <f t="shared" si="4"/>
        <v>33554432</v>
      </c>
      <c r="Q686" s="11"/>
      <c r="R686" s="11"/>
      <c r="S686" s="9">
        <v>685.0</v>
      </c>
      <c r="T686" s="11"/>
    </row>
    <row r="687" ht="15.75" customHeight="1">
      <c r="A687" s="7"/>
      <c r="B687" s="7"/>
      <c r="C687" s="7">
        <f>(S687*'Prestige Patterns'!$B$20)/60</f>
        <v>343</v>
      </c>
      <c r="D687" s="8">
        <f>if(L686=L687,N686*'Prestige Patterns'!$B$20+D686-F687,0)</f>
        <v>6.96379E+17</v>
      </c>
      <c r="E687" s="9">
        <f t="shared" si="2"/>
        <v>773</v>
      </c>
      <c r="F687" s="10">
        <f>'Prestige Patterns'!$B$5*('Prestige Patterns'!$B$6^E686-'Prestige Patterns'!$B$6^(E686+G687))/(1-'Prestige Patterns'!$B$6)</f>
        <v>6.19208E+17</v>
      </c>
      <c r="G687" s="13">
        <f>floor(LOG('Prestige Patterns'!$B$6^(E686) - (D686*(1-'Prestige Patterns'!$B$6)/'Prestige Patterns'!$B$5),'Prestige Patterns'!$B$6)-E686,1)</f>
        <v>8</v>
      </c>
      <c r="H687" s="12">
        <f t="shared" si="3"/>
        <v>4271984</v>
      </c>
      <c r="I687" s="11">
        <f>1+H687*'Prestige Patterns'!$B$25</f>
        <v>42720.84</v>
      </c>
      <c r="J687" s="12">
        <f>floor((K687/'Prestige Patterns'!$B$22)^'Prestige Patterns'!$B$23,1)-H686</f>
        <v>2572352</v>
      </c>
      <c r="K687" s="8">
        <f>K686+N686*'Prestige Patterns'!$B$20</f>
        <v>4.68449E+18</v>
      </c>
      <c r="L687" s="8">
        <f>if(J686&gt;='Prestige Patterns'!$B$28,if(J686/(H686+1)&gt;('Prestige Patterns'!$B$27+1),L686+1,L686),L686)</f>
        <v>13</v>
      </c>
      <c r="N687" s="12">
        <f t="shared" si="1"/>
        <v>2.21615E+16</v>
      </c>
      <c r="O687" s="9">
        <f>'Prestige Patterns'!$B$4*E687</f>
        <v>15460</v>
      </c>
      <c r="P687" s="12">
        <f t="shared" si="4"/>
        <v>33554432</v>
      </c>
      <c r="Q687" s="11"/>
      <c r="R687" s="11"/>
      <c r="S687" s="9">
        <v>686.0</v>
      </c>
      <c r="T687" s="11"/>
    </row>
    <row r="688" ht="15.75" customHeight="1">
      <c r="A688" s="7"/>
      <c r="B688" s="7"/>
      <c r="C688" s="7">
        <f>(S688*'Prestige Patterns'!$B$20)/60</f>
        <v>343.5</v>
      </c>
      <c r="D688" s="8">
        <f>if(L687=L688,N687*'Prestige Patterns'!$B$20+D687-F688,0)</f>
        <v>7.09566E+17</v>
      </c>
      <c r="E688" s="9">
        <f t="shared" si="2"/>
        <v>779</v>
      </c>
      <c r="F688" s="10">
        <f>'Prestige Patterns'!$B$5*('Prestige Patterns'!$B$6^E687-'Prestige Patterns'!$B$6^(E687+G688))/(1-'Prestige Patterns'!$B$6)</f>
        <v>6.51657E+17</v>
      </c>
      <c r="G688" s="13">
        <f>floor(LOG('Prestige Patterns'!$B$6^(E687) - (D687*(1-'Prestige Patterns'!$B$6)/'Prestige Patterns'!$B$5),'Prestige Patterns'!$B$6)-E687,1)</f>
        <v>6</v>
      </c>
      <c r="H688" s="12">
        <f t="shared" si="3"/>
        <v>4271984</v>
      </c>
      <c r="I688" s="11">
        <f>1+H688*'Prestige Patterns'!$B$25</f>
        <v>42720.84</v>
      </c>
      <c r="J688" s="12">
        <f>floor((K688/'Prestige Patterns'!$B$22)^'Prestige Patterns'!$B$23,1)-H687</f>
        <v>3041934</v>
      </c>
      <c r="K688" s="8">
        <f>K687+N687*'Prestige Patterns'!$B$20</f>
        <v>5.34934E+18</v>
      </c>
      <c r="L688" s="8">
        <f>if(J687&gt;='Prestige Patterns'!$B$28,if(J687/(H687+1)&gt;('Prestige Patterns'!$B$27+1),L687+1,L687),L687)</f>
        <v>13</v>
      </c>
      <c r="N688" s="12">
        <f t="shared" si="1"/>
        <v>2.23335E+16</v>
      </c>
      <c r="O688" s="9">
        <f>'Prestige Patterns'!$B$4*E688</f>
        <v>15580</v>
      </c>
      <c r="P688" s="12">
        <f t="shared" si="4"/>
        <v>33554432</v>
      </c>
      <c r="Q688" s="11"/>
      <c r="R688" s="11"/>
      <c r="S688" s="9">
        <v>687.0</v>
      </c>
      <c r="T688" s="11"/>
    </row>
    <row r="689" ht="15.75" customHeight="1">
      <c r="A689" s="7"/>
      <c r="B689" s="7"/>
      <c r="C689" s="7">
        <f>(S689*'Prestige Patterns'!$B$20)/60</f>
        <v>344</v>
      </c>
      <c r="D689" s="8">
        <f>if(L688=L689,N688*'Prestige Patterns'!$B$20+D688-F689,0)</f>
        <v>6.70148E+17</v>
      </c>
      <c r="E689" s="9">
        <f t="shared" si="2"/>
        <v>784</v>
      </c>
      <c r="F689" s="10">
        <f>'Prestige Patterns'!$B$5*('Prestige Patterns'!$B$6^E688-'Prestige Patterns'!$B$6^(E688+G689))/(1-'Prestige Patterns'!$B$6)</f>
        <v>7.09424E+17</v>
      </c>
      <c r="G689" s="13">
        <f>floor(LOG('Prestige Patterns'!$B$6^(E688) - (D688*(1-'Prestige Patterns'!$B$6)/'Prestige Patterns'!$B$5),'Prestige Patterns'!$B$6)-E688,1)</f>
        <v>5</v>
      </c>
      <c r="H689" s="12">
        <f t="shared" si="3"/>
        <v>4271984</v>
      </c>
      <c r="I689" s="11">
        <f>1+H689*'Prestige Patterns'!$B$25</f>
        <v>42720.84</v>
      </c>
      <c r="J689" s="12">
        <f>floor((K689/'Prestige Patterns'!$B$22)^'Prestige Patterns'!$B$23,1)-H688</f>
        <v>3486460</v>
      </c>
      <c r="K689" s="8">
        <f>K688+N688*'Prestige Patterns'!$B$20</f>
        <v>6.01935E+18</v>
      </c>
      <c r="L689" s="8">
        <f>if(J688&gt;='Prestige Patterns'!$B$28,if(J688/(H688+1)&gt;('Prestige Patterns'!$B$27+1),L688+1,L688),L688)</f>
        <v>13</v>
      </c>
      <c r="N689" s="12">
        <f t="shared" si="1"/>
        <v>2.24769E+16</v>
      </c>
      <c r="O689" s="9">
        <f>'Prestige Patterns'!$B$4*E689</f>
        <v>15680</v>
      </c>
      <c r="P689" s="12">
        <f t="shared" si="4"/>
        <v>33554432</v>
      </c>
      <c r="Q689" s="11"/>
      <c r="R689" s="11"/>
      <c r="S689" s="9">
        <v>688.0</v>
      </c>
      <c r="T689" s="11"/>
    </row>
    <row r="690" ht="15.75" customHeight="1">
      <c r="A690" s="7"/>
      <c r="B690" s="7"/>
      <c r="C690" s="7">
        <f>(S690*'Prestige Patterns'!$B$20)/60</f>
        <v>344.5</v>
      </c>
      <c r="D690" s="8">
        <f>if(L689=L690,N689*'Prestige Patterns'!$B$20+D689-F690,0)</f>
        <v>8.27888E+17</v>
      </c>
      <c r="E690" s="9">
        <f t="shared" si="2"/>
        <v>787</v>
      </c>
      <c r="F690" s="10">
        <f>'Prestige Patterns'!$B$5*('Prestige Patterns'!$B$6^E689-'Prestige Patterns'!$B$6^(E689+G690))/(1-'Prestige Patterns'!$B$6)</f>
        <v>5.16566E+17</v>
      </c>
      <c r="G690" s="13">
        <f>floor(LOG('Prestige Patterns'!$B$6^(E689) - (D689*(1-'Prestige Patterns'!$B$6)/'Prestige Patterns'!$B$5),'Prestige Patterns'!$B$6)-E689,1)</f>
        <v>3</v>
      </c>
      <c r="H690" s="12">
        <f t="shared" si="3"/>
        <v>4271984</v>
      </c>
      <c r="I690" s="11">
        <f>1+H690*'Prestige Patterns'!$B$25</f>
        <v>42720.84</v>
      </c>
      <c r="J690" s="12">
        <f>floor((K690/'Prestige Patterns'!$B$22)^'Prestige Patterns'!$B$23,1)-H689</f>
        <v>3909489</v>
      </c>
      <c r="K690" s="8">
        <f>K689+N689*'Prestige Patterns'!$B$20</f>
        <v>6.69365E+18</v>
      </c>
      <c r="L690" s="8">
        <f>if(J689&gt;='Prestige Patterns'!$B$28,if(J689/(H689+1)&gt;('Prestige Patterns'!$B$27+1),L689+1,L689),L689)</f>
        <v>13</v>
      </c>
      <c r="N690" s="12">
        <f t="shared" si="1"/>
        <v>2.25629E+16</v>
      </c>
      <c r="O690" s="9">
        <f>'Prestige Patterns'!$B$4*E690</f>
        <v>15740</v>
      </c>
      <c r="P690" s="12">
        <f t="shared" si="4"/>
        <v>33554432</v>
      </c>
      <c r="Q690" s="11"/>
      <c r="R690" s="11"/>
      <c r="S690" s="9">
        <v>689.0</v>
      </c>
      <c r="T690" s="11"/>
    </row>
    <row r="691" ht="15.75" customHeight="1">
      <c r="A691" s="7"/>
      <c r="B691" s="7"/>
      <c r="C691" s="7">
        <f>(S691*'Prestige Patterns'!$B$20)/60</f>
        <v>345</v>
      </c>
      <c r="D691" s="8">
        <f>if(L690=L691,N690*'Prestige Patterns'!$B$20+D690-F691,0)</f>
        <v>6.87198E+17</v>
      </c>
      <c r="E691" s="9">
        <f t="shared" si="2"/>
        <v>791</v>
      </c>
      <c r="F691" s="10">
        <f>'Prestige Patterns'!$B$5*('Prestige Patterns'!$B$6^E690-'Prestige Patterns'!$B$6^(E690+G691))/(1-'Prestige Patterns'!$B$6)</f>
        <v>8.17576E+17</v>
      </c>
      <c r="G691" s="13">
        <f>floor(LOG('Prestige Patterns'!$B$6^(E690) - (D690*(1-'Prestige Patterns'!$B$6)/'Prestige Patterns'!$B$5),'Prestige Patterns'!$B$6)-E690,1)</f>
        <v>4</v>
      </c>
      <c r="H691" s="12">
        <f t="shared" si="3"/>
        <v>4271984</v>
      </c>
      <c r="I691" s="11">
        <f>1+H691*'Prestige Patterns'!$B$25</f>
        <v>42720.84</v>
      </c>
      <c r="J691" s="12">
        <f>floor((K691/'Prestige Patterns'!$B$22)^'Prestige Patterns'!$B$23,1)-H690</f>
        <v>4313199</v>
      </c>
      <c r="K691" s="8">
        <f>K690+N690*'Prestige Patterns'!$B$20</f>
        <v>7.37054E+18</v>
      </c>
      <c r="L691" s="8">
        <f>if(J690&gt;='Prestige Patterns'!$B$28,if(J690/(H690+1)&gt;('Prestige Patterns'!$B$27+1),L690+1,L690),L690)</f>
        <v>13</v>
      </c>
      <c r="N691" s="12">
        <f t="shared" si="1"/>
        <v>2.26776E+16</v>
      </c>
      <c r="O691" s="9">
        <f>'Prestige Patterns'!$B$4*E691</f>
        <v>15820</v>
      </c>
      <c r="P691" s="12">
        <f t="shared" si="4"/>
        <v>33554432</v>
      </c>
      <c r="Q691" s="11"/>
      <c r="R691" s="11"/>
      <c r="S691" s="9">
        <v>690.0</v>
      </c>
      <c r="T691" s="11"/>
    </row>
    <row r="692" ht="15.75" customHeight="1">
      <c r="A692" s="7"/>
      <c r="B692" s="7"/>
      <c r="C692" s="7">
        <f>(S692*'Prestige Patterns'!$B$20)/60</f>
        <v>345.5</v>
      </c>
      <c r="D692" s="8">
        <f>if(L691=L692,N691*'Prestige Patterns'!$B$20+D691-F692,0)</f>
        <v>8.94864E+17</v>
      </c>
      <c r="E692" s="9">
        <f t="shared" si="2"/>
        <v>793</v>
      </c>
      <c r="F692" s="10">
        <f>'Prestige Patterns'!$B$5*('Prestige Patterns'!$B$6^E691-'Prestige Patterns'!$B$6^(E691+G692))/(1-'Prestige Patterns'!$B$6)</f>
        <v>4.72661E+17</v>
      </c>
      <c r="G692" s="13">
        <f>floor(LOG('Prestige Patterns'!$B$6^(E691) - (D691*(1-'Prestige Patterns'!$B$6)/'Prestige Patterns'!$B$5),'Prestige Patterns'!$B$6)-E691,1)</f>
        <v>2</v>
      </c>
      <c r="H692" s="12">
        <f t="shared" si="3"/>
        <v>4271984</v>
      </c>
      <c r="I692" s="11">
        <f>1+H692*'Prestige Patterns'!$B$25</f>
        <v>42720.84</v>
      </c>
      <c r="J692" s="12">
        <f>floor((K692/'Prestige Patterns'!$B$22)^'Prestige Patterns'!$B$23,1)-H691</f>
        <v>4700676</v>
      </c>
      <c r="K692" s="8">
        <f>K691+N691*'Prestige Patterns'!$B$20</f>
        <v>8.05086E+18</v>
      </c>
      <c r="L692" s="8">
        <f>if(J691&gt;='Prestige Patterns'!$B$28,if(J691/(H691+1)&gt;('Prestige Patterns'!$B$27+1),L691+1,L691),L691)</f>
        <v>13</v>
      </c>
      <c r="N692" s="12">
        <f t="shared" si="1"/>
        <v>2.27349E+16</v>
      </c>
      <c r="O692" s="9">
        <f>'Prestige Patterns'!$B$4*E692</f>
        <v>15860</v>
      </c>
      <c r="P692" s="12">
        <f t="shared" si="4"/>
        <v>33554432</v>
      </c>
      <c r="Q692" s="11"/>
      <c r="R692" s="11"/>
      <c r="S692" s="9">
        <v>691.0</v>
      </c>
      <c r="T692" s="11"/>
    </row>
    <row r="693" ht="15.75" customHeight="1">
      <c r="A693" s="7"/>
      <c r="B693" s="7"/>
      <c r="C693" s="7">
        <f>(S693*'Prestige Patterns'!$B$20)/60</f>
        <v>346</v>
      </c>
      <c r="D693" s="8">
        <f>if(L692=L693,N692*'Prestige Patterns'!$B$20+D692-F693,0)</f>
        <v>7.75548E+17</v>
      </c>
      <c r="E693" s="9">
        <f t="shared" si="2"/>
        <v>796</v>
      </c>
      <c r="F693" s="10">
        <f>'Prestige Patterns'!$B$5*('Prestige Patterns'!$B$6^E692-'Prestige Patterns'!$B$6^(E692+G693))/(1-'Prestige Patterns'!$B$6)</f>
        <v>8.01363E+17</v>
      </c>
      <c r="G693" s="13">
        <f>floor(LOG('Prestige Patterns'!$B$6^(E692) - (D692*(1-'Prestige Patterns'!$B$6)/'Prestige Patterns'!$B$5),'Prestige Patterns'!$B$6)-E692,1)</f>
        <v>3</v>
      </c>
      <c r="H693" s="12">
        <f t="shared" si="3"/>
        <v>4271984</v>
      </c>
      <c r="I693" s="11">
        <f>1+H693*'Prestige Patterns'!$B$25</f>
        <v>42720.84</v>
      </c>
      <c r="J693" s="12">
        <f>floor((K693/'Prestige Patterns'!$B$22)^'Prestige Patterns'!$B$23,1)-H692</f>
        <v>5073020</v>
      </c>
      <c r="K693" s="8">
        <f>K692+N692*'Prestige Patterns'!$B$20</f>
        <v>8.73291E+18</v>
      </c>
      <c r="L693" s="8">
        <f>if(J692&gt;='Prestige Patterns'!$B$28,if(J692/(H692+1)&gt;('Prestige Patterns'!$B$27+1),L692+1,L692),L692)</f>
        <v>13</v>
      </c>
      <c r="N693" s="12">
        <f t="shared" si="1"/>
        <v>2.28209E+16</v>
      </c>
      <c r="O693" s="9">
        <f>'Prestige Patterns'!$B$4*E693</f>
        <v>15920</v>
      </c>
      <c r="P693" s="12">
        <f t="shared" si="4"/>
        <v>33554432</v>
      </c>
      <c r="Q693" s="11"/>
      <c r="R693" s="11"/>
      <c r="S693" s="9">
        <v>692.0</v>
      </c>
      <c r="T693" s="11"/>
    </row>
    <row r="694" ht="15.75" customHeight="1">
      <c r="A694" s="7"/>
      <c r="B694" s="7"/>
      <c r="C694" s="7">
        <f>(S694*'Prestige Patterns'!$B$20)/60</f>
        <v>346.5</v>
      </c>
      <c r="D694" s="8">
        <f>if(L693=L694,N693*'Prestige Patterns'!$B$20+D693-F694,0)</f>
        <v>8.56927E+17</v>
      </c>
      <c r="E694" s="9">
        <f t="shared" si="2"/>
        <v>798</v>
      </c>
      <c r="F694" s="10">
        <f>'Prestige Patterns'!$B$5*('Prestige Patterns'!$B$6^E693-'Prestige Patterns'!$B$6^(E693+G694))/(1-'Prestige Patterns'!$B$6)</f>
        <v>6.03248E+17</v>
      </c>
      <c r="G694" s="13">
        <f>floor(LOG('Prestige Patterns'!$B$6^(E693) - (D693*(1-'Prestige Patterns'!$B$6)/'Prestige Patterns'!$B$5),'Prestige Patterns'!$B$6)-E693,1)</f>
        <v>2</v>
      </c>
      <c r="H694" s="12">
        <f t="shared" si="3"/>
        <v>4271984</v>
      </c>
      <c r="I694" s="11">
        <f>1+H694*'Prestige Patterns'!$B$25</f>
        <v>42720.84</v>
      </c>
      <c r="J694" s="12">
        <f>floor((K694/'Prestige Patterns'!$B$22)^'Prestige Patterns'!$B$23,1)-H693</f>
        <v>5432415</v>
      </c>
      <c r="K694" s="8">
        <f>K693+N693*'Prestige Patterns'!$B$20</f>
        <v>9.41754E+18</v>
      </c>
      <c r="L694" s="8">
        <f>if(J693&gt;='Prestige Patterns'!$B$28,if(J693/(H693+1)&gt;('Prestige Patterns'!$B$27+1),L693+1,L693),L693)</f>
        <v>13</v>
      </c>
      <c r="N694" s="12">
        <f t="shared" si="1"/>
        <v>2.28782E+16</v>
      </c>
      <c r="O694" s="9">
        <f>'Prestige Patterns'!$B$4*E694</f>
        <v>15960</v>
      </c>
      <c r="P694" s="12">
        <f t="shared" si="4"/>
        <v>33554432</v>
      </c>
      <c r="Q694" s="11"/>
      <c r="R694" s="11"/>
      <c r="S694" s="9">
        <v>693.0</v>
      </c>
      <c r="T694" s="11"/>
    </row>
    <row r="695" ht="15.75" customHeight="1">
      <c r="A695" s="7"/>
      <c r="B695" s="7"/>
      <c r="C695" s="7">
        <f>(S695*'Prestige Patterns'!$B$20)/60</f>
        <v>347</v>
      </c>
      <c r="D695" s="8">
        <f>if(L694=L695,N694*'Prestige Patterns'!$B$20+D694-F695,0)</f>
        <v>8.78193E+17</v>
      </c>
      <c r="E695" s="9">
        <f t="shared" si="2"/>
        <v>800</v>
      </c>
      <c r="F695" s="10">
        <f>'Prestige Patterns'!$B$5*('Prestige Patterns'!$B$6^E694-'Prestige Patterns'!$B$6^(E694+G695))/(1-'Prestige Patterns'!$B$6)</f>
        <v>6.65081E+17</v>
      </c>
      <c r="G695" s="13">
        <f>floor(LOG('Prestige Patterns'!$B$6^(E694) - (D694*(1-'Prestige Patterns'!$B$6)/'Prestige Patterns'!$B$5),'Prestige Patterns'!$B$6)-E694,1)</f>
        <v>2</v>
      </c>
      <c r="H695" s="12">
        <f t="shared" si="3"/>
        <v>4271984</v>
      </c>
      <c r="I695" s="11">
        <f>1+H695*'Prestige Patterns'!$B$25</f>
        <v>42720.84</v>
      </c>
      <c r="J695" s="12">
        <f>floor((K695/'Prestige Patterns'!$B$22)^'Prestige Patterns'!$B$23,1)-H694</f>
        <v>5779824</v>
      </c>
      <c r="K695" s="8">
        <f>K694+N694*'Prestige Patterns'!$B$20</f>
        <v>1.01039E+19</v>
      </c>
      <c r="L695" s="8">
        <f>if(J694&gt;='Prestige Patterns'!$B$28,if(J694/(H694+1)&gt;('Prestige Patterns'!$B$27+1),L694+1,L694),L694)</f>
        <v>13</v>
      </c>
      <c r="N695" s="12">
        <f t="shared" si="1"/>
        <v>2.29356E+16</v>
      </c>
      <c r="O695" s="9">
        <f>'Prestige Patterns'!$B$4*E695</f>
        <v>16000</v>
      </c>
      <c r="P695" s="12">
        <f t="shared" si="4"/>
        <v>33554432</v>
      </c>
      <c r="Q695" s="11"/>
      <c r="R695" s="11"/>
      <c r="S695" s="9">
        <v>694.0</v>
      </c>
      <c r="T695" s="11"/>
    </row>
    <row r="696" ht="15.75" customHeight="1">
      <c r="A696" s="7"/>
      <c r="B696" s="7"/>
      <c r="C696" s="7">
        <f>(S696*'Prestige Patterns'!$B$20)/60</f>
        <v>347.5</v>
      </c>
      <c r="D696" s="8">
        <f>if(L695=L696,N695*'Prestige Patterns'!$B$20+D695-F696,0)</f>
        <v>8.33009E+17</v>
      </c>
      <c r="E696" s="9">
        <f t="shared" si="2"/>
        <v>802</v>
      </c>
      <c r="F696" s="10">
        <f>'Prestige Patterns'!$B$5*('Prestige Patterns'!$B$6^E695-'Prestige Patterns'!$B$6^(E695+G696))/(1-'Prestige Patterns'!$B$6)</f>
        <v>7.33252E+17</v>
      </c>
      <c r="G696" s="13">
        <f>floor(LOG('Prestige Patterns'!$B$6^(E695) - (D695*(1-'Prestige Patterns'!$B$6)/'Prestige Patterns'!$B$5),'Prestige Patterns'!$B$6)-E695,1)</f>
        <v>2</v>
      </c>
      <c r="H696" s="12">
        <f t="shared" si="3"/>
        <v>4271984</v>
      </c>
      <c r="I696" s="11">
        <f>1+H696*'Prestige Patterns'!$B$25</f>
        <v>42720.84</v>
      </c>
      <c r="J696" s="12">
        <f>floor((K696/'Prestige Patterns'!$B$22)^'Prestige Patterns'!$B$23,1)-H695</f>
        <v>6116448</v>
      </c>
      <c r="K696" s="8">
        <f>K695+N695*'Prestige Patterns'!$B$20</f>
        <v>1.0792E+19</v>
      </c>
      <c r="L696" s="8">
        <f>if(J695&gt;='Prestige Patterns'!$B$28,if(J695/(H695+1)&gt;('Prestige Patterns'!$B$27+1),L695+1,L695),L695)</f>
        <v>13</v>
      </c>
      <c r="N696" s="12">
        <f t="shared" si="1"/>
        <v>2.29929E+16</v>
      </c>
      <c r="O696" s="9">
        <f>'Prestige Patterns'!$B$4*E696</f>
        <v>16040</v>
      </c>
      <c r="P696" s="12">
        <f t="shared" si="4"/>
        <v>33554432</v>
      </c>
      <c r="Q696" s="11"/>
      <c r="R696" s="11"/>
      <c r="S696" s="9">
        <v>695.0</v>
      </c>
      <c r="T696" s="11"/>
    </row>
    <row r="697" ht="15.75" customHeight="1">
      <c r="A697" s="7"/>
      <c r="B697" s="7"/>
      <c r="C697" s="7">
        <f>(S697*'Prestige Patterns'!$B$20)/60</f>
        <v>348</v>
      </c>
      <c r="D697" s="8">
        <f>if(L696=L697,N696*'Prestige Patterns'!$B$20+D696-F697,0)</f>
        <v>7.14386E+17</v>
      </c>
      <c r="E697" s="9">
        <f t="shared" si="2"/>
        <v>804</v>
      </c>
      <c r="F697" s="10">
        <f>'Prestige Patterns'!$B$5*('Prestige Patterns'!$B$6^E696-'Prestige Patterns'!$B$6^(E696+G697))/(1-'Prestige Patterns'!$B$6)</f>
        <v>8.0841E+17</v>
      </c>
      <c r="G697" s="13">
        <f>floor(LOG('Prestige Patterns'!$B$6^(E696) - (D696*(1-'Prestige Patterns'!$B$6)/'Prestige Patterns'!$B$5),'Prestige Patterns'!$B$6)-E696,1)</f>
        <v>2</v>
      </c>
      <c r="H697" s="12">
        <f t="shared" si="3"/>
        <v>4271984</v>
      </c>
      <c r="I697" s="11">
        <f>1+H697*'Prestige Patterns'!$B$25</f>
        <v>42720.84</v>
      </c>
      <c r="J697" s="12">
        <f>floor((K697/'Prestige Patterns'!$B$22)^'Prestige Patterns'!$B$23,1)-H696</f>
        <v>6443303</v>
      </c>
      <c r="K697" s="8">
        <f>K696+N696*'Prestige Patterns'!$B$20</f>
        <v>1.14817E+19</v>
      </c>
      <c r="L697" s="8">
        <f>if(J696&gt;='Prestige Patterns'!$B$28,if(J696/(H696+1)&gt;('Prestige Patterns'!$B$27+1),L696+1,L696),L696)</f>
        <v>13</v>
      </c>
      <c r="N697" s="12">
        <f t="shared" si="1"/>
        <v>2.30503E+16</v>
      </c>
      <c r="O697" s="9">
        <f>'Prestige Patterns'!$B$4*E697</f>
        <v>16080</v>
      </c>
      <c r="P697" s="12">
        <f t="shared" si="4"/>
        <v>33554432</v>
      </c>
      <c r="Q697" s="11"/>
      <c r="R697" s="11"/>
      <c r="S697" s="9">
        <v>696.0</v>
      </c>
      <c r="T697" s="11"/>
    </row>
    <row r="698" ht="15.75" customHeight="1">
      <c r="A698" s="7"/>
      <c r="B698" s="7"/>
      <c r="C698" s="7">
        <f>(S698*'Prestige Patterns'!$B$20)/60</f>
        <v>348.5</v>
      </c>
      <c r="D698" s="8">
        <f>if(L697=L698,N697*'Prestige Patterns'!$B$20+D697-F698,0)</f>
        <v>0</v>
      </c>
      <c r="E698" s="9">
        <f t="shared" si="2"/>
        <v>1</v>
      </c>
      <c r="F698" s="10">
        <f>'Prestige Patterns'!$B$5*('Prestige Patterns'!$B$6^E697-'Prestige Patterns'!$B$6^(E697+G698))/(1-'Prestige Patterns'!$B$6)</f>
        <v>4.34767E+17</v>
      </c>
      <c r="G698" s="13">
        <f>floor(LOG('Prestige Patterns'!$B$6^(E697) - (D697*(1-'Prestige Patterns'!$B$6)/'Prestige Patterns'!$B$5),'Prestige Patterns'!$B$6)-E697,1)</f>
        <v>1</v>
      </c>
      <c r="H698" s="12">
        <f t="shared" si="3"/>
        <v>10715287</v>
      </c>
      <c r="I698" s="11">
        <f>1+H698*'Prestige Patterns'!$B$25</f>
        <v>107153.87</v>
      </c>
      <c r="J698" s="12">
        <f>floor((K698/'Prestige Patterns'!$B$22)^'Prestige Patterns'!$B$23,1)-H697</f>
        <v>6761259</v>
      </c>
      <c r="K698" s="8">
        <f>K697+N697*'Prestige Patterns'!$B$20</f>
        <v>1.21732E+19</v>
      </c>
      <c r="L698" s="8">
        <f>if(J697&gt;='Prestige Patterns'!$B$28,if(J697/(H697+1)&gt;('Prestige Patterns'!$B$27+1),L697+1,L697),L697)</f>
        <v>14</v>
      </c>
      <c r="N698" s="12">
        <f t="shared" si="1"/>
        <v>71909744889037</v>
      </c>
      <c r="O698" s="9">
        <f>'Prestige Patterns'!$B$4*E698</f>
        <v>20</v>
      </c>
      <c r="P698" s="12">
        <f t="shared" si="4"/>
        <v>33554432</v>
      </c>
      <c r="Q698" s="11"/>
      <c r="R698" s="11"/>
      <c r="S698" s="9">
        <v>697.0</v>
      </c>
      <c r="T698" s="11"/>
    </row>
    <row r="699" ht="15.75" customHeight="1">
      <c r="A699" s="7"/>
      <c r="B699" s="7"/>
      <c r="C699" s="7">
        <f>(S699*'Prestige Patterns'!$B$20)/60</f>
        <v>349</v>
      </c>
      <c r="D699" s="8">
        <f>if(L698=L699,N698*'Prestige Patterns'!$B$20+D698-F699,0)</f>
        <v>2.15729E+15</v>
      </c>
      <c r="E699" s="9">
        <f t="shared" si="2"/>
        <v>1</v>
      </c>
      <c r="F699" s="10">
        <f>'Prestige Patterns'!$B$5*('Prestige Patterns'!$B$6^E698-'Prestige Patterns'!$B$6^(E698+G699))/(1-'Prestige Patterns'!$B$6)</f>
        <v>0</v>
      </c>
      <c r="G699" s="13">
        <f>floor(LOG('Prestige Patterns'!$B$6^(E698) - (D698*(1-'Prestige Patterns'!$B$6)/'Prestige Patterns'!$B$5),'Prestige Patterns'!$B$6)-E698,1)</f>
        <v>0</v>
      </c>
      <c r="H699" s="12">
        <f t="shared" si="3"/>
        <v>10715287</v>
      </c>
      <c r="I699" s="11">
        <f>1+H699*'Prestige Patterns'!$B$25</f>
        <v>107153.87</v>
      </c>
      <c r="J699" s="12">
        <f>floor((K699/'Prestige Patterns'!$B$22)^'Prestige Patterns'!$B$23,1)-H698</f>
        <v>318934</v>
      </c>
      <c r="K699" s="8">
        <f>K698+N698*'Prestige Patterns'!$B$20</f>
        <v>1.21754E+19</v>
      </c>
      <c r="L699" s="8">
        <f>if(J698&gt;='Prestige Patterns'!$B$28,if(J698/(H698+1)&gt;('Prestige Patterns'!$B$27+1),L698+1,L698),L698)</f>
        <v>14</v>
      </c>
      <c r="N699" s="12">
        <f t="shared" si="1"/>
        <v>71909744889037</v>
      </c>
      <c r="O699" s="9">
        <f>'Prestige Patterns'!$B$4*E699</f>
        <v>20</v>
      </c>
      <c r="P699" s="12">
        <f t="shared" si="4"/>
        <v>33554432</v>
      </c>
      <c r="Q699" s="11"/>
      <c r="R699" s="11"/>
      <c r="S699" s="9">
        <v>698.0</v>
      </c>
      <c r="T699" s="11"/>
    </row>
    <row r="700" ht="15.75" customHeight="1">
      <c r="A700" s="7"/>
      <c r="B700" s="7"/>
      <c r="C700" s="7">
        <f>(S700*'Prestige Patterns'!$B$20)/60</f>
        <v>349.5</v>
      </c>
      <c r="D700" s="8">
        <f>if(L699=L700,N699*'Prestige Patterns'!$B$20+D699-F700,0)</f>
        <v>2.24484E+15</v>
      </c>
      <c r="E700" s="9">
        <f t="shared" si="2"/>
        <v>633</v>
      </c>
      <c r="F700" s="10">
        <f>'Prestige Patterns'!$B$5*('Prestige Patterns'!$B$6^E699-'Prestige Patterns'!$B$6^(E699+G700))/(1-'Prestige Patterns'!$B$6)</f>
        <v>2.06974E+15</v>
      </c>
      <c r="G700" s="13">
        <f>floor(LOG('Prestige Patterns'!$B$6^(E699) - (D699*(1-'Prestige Patterns'!$B$6)/'Prestige Patterns'!$B$5),'Prestige Patterns'!$B$6)-E699,1)</f>
        <v>632</v>
      </c>
      <c r="H700" s="12">
        <f t="shared" si="3"/>
        <v>10715287</v>
      </c>
      <c r="I700" s="11">
        <f>1+H700*'Prestige Patterns'!$B$25</f>
        <v>107153.87</v>
      </c>
      <c r="J700" s="12">
        <f>floor((K700/'Prestige Patterns'!$B$22)^'Prestige Patterns'!$B$23,1)-H699</f>
        <v>319912</v>
      </c>
      <c r="K700" s="8">
        <f>K699+N699*'Prestige Patterns'!$B$20</f>
        <v>1.21776E+19</v>
      </c>
      <c r="L700" s="8">
        <f>if(J699&gt;='Prestige Patterns'!$B$28,if(J699/(H699+1)&gt;('Prestige Patterns'!$B$27+1),L699+1,L699),L699)</f>
        <v>14</v>
      </c>
      <c r="N700" s="12">
        <f t="shared" si="1"/>
        <v>1.42246E+15</v>
      </c>
      <c r="O700" s="9">
        <f>'Prestige Patterns'!$B$4*E700</f>
        <v>12660</v>
      </c>
      <c r="P700" s="12">
        <f t="shared" si="4"/>
        <v>1048576</v>
      </c>
      <c r="Q700" s="11"/>
      <c r="R700" s="11"/>
      <c r="S700" s="9">
        <v>699.0</v>
      </c>
      <c r="T700" s="11"/>
    </row>
    <row r="701" ht="15.75" customHeight="1">
      <c r="A701" s="7"/>
      <c r="B701" s="7"/>
      <c r="C701" s="7">
        <f>(S701*'Prestige Patterns'!$B$20)/60</f>
        <v>350</v>
      </c>
      <c r="D701" s="8">
        <f>if(L700=L701,N700*'Prestige Patterns'!$B$20+D700-F701,0)</f>
        <v>4.26857E+16</v>
      </c>
      <c r="E701" s="9">
        <f t="shared" si="2"/>
        <v>648</v>
      </c>
      <c r="F701" s="10">
        <f>'Prestige Patterns'!$B$5*('Prestige Patterns'!$B$6^E700-'Prestige Patterns'!$B$6^(E700+G701))/(1-'Prestige Patterns'!$B$6)</f>
        <v>2.2331E+15</v>
      </c>
      <c r="G701" s="13">
        <f>floor(LOG('Prestige Patterns'!$B$6^(E700) - (D700*(1-'Prestige Patterns'!$B$6)/'Prestige Patterns'!$B$5),'Prestige Patterns'!$B$6)-E700,1)</f>
        <v>15</v>
      </c>
      <c r="H701" s="12">
        <f t="shared" si="3"/>
        <v>10715287</v>
      </c>
      <c r="I701" s="11">
        <f>1+H701*'Prestige Patterns'!$B$25</f>
        <v>107153.87</v>
      </c>
      <c r="J701" s="12">
        <f>floor((K701/'Prestige Patterns'!$B$22)^'Prestige Patterns'!$B$23,1)-H700</f>
        <v>339230</v>
      </c>
      <c r="K701" s="8">
        <f>K700+N700*'Prestige Patterns'!$B$20</f>
        <v>1.22202E+19</v>
      </c>
      <c r="L701" s="8">
        <f>if(J700&gt;='Prestige Patterns'!$B$28,if(J700/(H700+1)&gt;('Prestige Patterns'!$B$27+1),L700+1,L700),L700)</f>
        <v>14</v>
      </c>
      <c r="N701" s="12">
        <f t="shared" si="1"/>
        <v>1.45617E+15</v>
      </c>
      <c r="O701" s="9">
        <f>'Prestige Patterns'!$B$4*E701</f>
        <v>12960</v>
      </c>
      <c r="P701" s="12">
        <f t="shared" si="4"/>
        <v>1048576</v>
      </c>
      <c r="Q701" s="11"/>
      <c r="R701" s="11"/>
      <c r="S701" s="9">
        <v>700.0</v>
      </c>
      <c r="T701" s="11"/>
    </row>
    <row r="702" ht="15.75" customHeight="1">
      <c r="A702" s="7"/>
      <c r="B702" s="7"/>
      <c r="C702" s="7">
        <f>(S702*'Prestige Patterns'!$B$20)/60</f>
        <v>350.5</v>
      </c>
      <c r="D702" s="8">
        <f>if(L701=L702,N701*'Prestige Patterns'!$B$20+D701-F702,0)</f>
        <v>4.59186E+16</v>
      </c>
      <c r="E702" s="9">
        <f t="shared" si="2"/>
        <v>696</v>
      </c>
      <c r="F702" s="10">
        <f>'Prestige Patterns'!$B$5*('Prestige Patterns'!$B$6^E701-'Prestige Patterns'!$B$6^(E701+G702))/(1-'Prestige Patterns'!$B$6)</f>
        <v>4.04522E+16</v>
      </c>
      <c r="G702" s="13">
        <f>floor(LOG('Prestige Patterns'!$B$6^(E701) - (D701*(1-'Prestige Patterns'!$B$6)/'Prestige Patterns'!$B$5),'Prestige Patterns'!$B$6)-E701,1)</f>
        <v>48</v>
      </c>
      <c r="H702" s="12">
        <f t="shared" si="3"/>
        <v>10715287</v>
      </c>
      <c r="I702" s="11">
        <f>1+H702*'Prestige Patterns'!$B$25</f>
        <v>107153.87</v>
      </c>
      <c r="J702" s="12">
        <f>floor((K702/'Prestige Patterns'!$B$22)^'Prestige Patterns'!$B$23,1)-H701</f>
        <v>358971</v>
      </c>
      <c r="K702" s="8">
        <f>K701+N701*'Prestige Patterns'!$B$20</f>
        <v>1.22639E+19</v>
      </c>
      <c r="L702" s="8">
        <f>if(J701&gt;='Prestige Patterns'!$B$28,if(J701/(H701+1)&gt;('Prestige Patterns'!$B$27+1),L701+1,L701),L701)</f>
        <v>14</v>
      </c>
      <c r="N702" s="12">
        <f t="shared" si="1"/>
        <v>1.56404E+15</v>
      </c>
      <c r="O702" s="9">
        <f>'Prestige Patterns'!$B$4*E702</f>
        <v>13920</v>
      </c>
      <c r="P702" s="12">
        <f t="shared" si="4"/>
        <v>1048576</v>
      </c>
      <c r="Q702" s="11"/>
      <c r="R702" s="11"/>
      <c r="S702" s="9">
        <v>701.0</v>
      </c>
      <c r="T702" s="11"/>
    </row>
    <row r="703" ht="15.75" customHeight="1">
      <c r="A703" s="7"/>
      <c r="B703" s="7"/>
      <c r="C703" s="7">
        <f>(S703*'Prestige Patterns'!$B$20)/60</f>
        <v>351</v>
      </c>
      <c r="D703" s="8">
        <f>if(L702=L703,N702*'Prestige Patterns'!$B$20+D702-F703,0)</f>
        <v>4.89828E+16</v>
      </c>
      <c r="E703" s="9">
        <f t="shared" si="2"/>
        <v>710</v>
      </c>
      <c r="F703" s="10">
        <f>'Prestige Patterns'!$B$5*('Prestige Patterns'!$B$6^E702-'Prestige Patterns'!$B$6^(E702+G703))/(1-'Prestige Patterns'!$B$6)</f>
        <v>4.38569E+16</v>
      </c>
      <c r="G703" s="13">
        <f>floor(LOG('Prestige Patterns'!$B$6^(E702) - (D702*(1-'Prestige Patterns'!$B$6)/'Prestige Patterns'!$B$5),'Prestige Patterns'!$B$6)-E702,1)</f>
        <v>14</v>
      </c>
      <c r="H703" s="12">
        <f t="shared" si="3"/>
        <v>10715287</v>
      </c>
      <c r="I703" s="11">
        <f>1+H703*'Prestige Patterns'!$B$25</f>
        <v>107153.87</v>
      </c>
      <c r="J703" s="12">
        <f>floor((K703/'Prestige Patterns'!$B$22)^'Prestige Patterns'!$B$23,1)-H702</f>
        <v>380136</v>
      </c>
      <c r="K703" s="8">
        <f>K702+N702*'Prestige Patterns'!$B$20</f>
        <v>1.23108E+19</v>
      </c>
      <c r="L703" s="8">
        <f>if(J702&gt;='Prestige Patterns'!$B$28,if(J702/(H702+1)&gt;('Prestige Patterns'!$B$27+1),L702+1,L702),L702)</f>
        <v>14</v>
      </c>
      <c r="N703" s="12">
        <f t="shared" si="1"/>
        <v>5.10559E+16</v>
      </c>
      <c r="O703" s="9">
        <f>'Prestige Patterns'!$B$4*E703</f>
        <v>14200</v>
      </c>
      <c r="P703" s="12">
        <f t="shared" si="4"/>
        <v>33554432</v>
      </c>
      <c r="Q703" s="11"/>
      <c r="R703" s="11"/>
      <c r="S703" s="9">
        <v>702.0</v>
      </c>
      <c r="T703" s="11"/>
    </row>
    <row r="704" ht="15.75" customHeight="1">
      <c r="A704" s="7"/>
      <c r="B704" s="7"/>
      <c r="C704" s="7">
        <f>(S704*'Prestige Patterns'!$B$20)/60</f>
        <v>351.5</v>
      </c>
      <c r="D704" s="8">
        <f>if(L703=L704,N703*'Prestige Patterns'!$B$20+D703-F704,0)</f>
        <v>1.53181E+18</v>
      </c>
      <c r="E704" s="9">
        <f t="shared" si="2"/>
        <v>719</v>
      </c>
      <c r="F704" s="10">
        <f>'Prestige Patterns'!$B$5*('Prestige Patterns'!$B$6^E703-'Prestige Patterns'!$B$6^(E703+G704))/(1-'Prestige Patterns'!$B$6)</f>
        <v>4.88543E+16</v>
      </c>
      <c r="G704" s="13">
        <f>floor(LOG('Prestige Patterns'!$B$6^(E703) - (D703*(1-'Prestige Patterns'!$B$6)/'Prestige Patterns'!$B$5),'Prestige Patterns'!$B$6)-E703,1)</f>
        <v>9</v>
      </c>
      <c r="H704" s="12">
        <f t="shared" si="3"/>
        <v>10715287</v>
      </c>
      <c r="I704" s="11">
        <f>1+H704*'Prestige Patterns'!$B$25</f>
        <v>107153.87</v>
      </c>
      <c r="J704" s="12">
        <f>floor((K704/'Prestige Patterns'!$B$22)^'Prestige Patterns'!$B$23,1)-H703</f>
        <v>1050136</v>
      </c>
      <c r="K704" s="8">
        <f>K703+N703*'Prestige Patterns'!$B$20</f>
        <v>1.38425E+19</v>
      </c>
      <c r="L704" s="8">
        <f>if(J703&gt;='Prestige Patterns'!$B$28,if(J703/(H703+1)&gt;('Prestige Patterns'!$B$27+1),L703+1,L703),L703)</f>
        <v>14</v>
      </c>
      <c r="N704" s="12">
        <f t="shared" si="1"/>
        <v>5.17031E+16</v>
      </c>
      <c r="O704" s="9">
        <f>'Prestige Patterns'!$B$4*E704</f>
        <v>14380</v>
      </c>
      <c r="P704" s="12">
        <f t="shared" si="4"/>
        <v>33554432</v>
      </c>
      <c r="Q704" s="11"/>
      <c r="R704" s="11"/>
      <c r="S704" s="9">
        <v>703.0</v>
      </c>
      <c r="T704" s="11"/>
    </row>
    <row r="705" ht="15.75" customHeight="1">
      <c r="A705" s="7"/>
      <c r="B705" s="7"/>
      <c r="C705" s="7">
        <f>(S705*'Prestige Patterns'!$B$20)/60</f>
        <v>352</v>
      </c>
      <c r="D705" s="8">
        <f>if(L704=L705,N704*'Prestige Patterns'!$B$20+D704-F705,0)</f>
        <v>1.56517E+18</v>
      </c>
      <c r="E705" s="9">
        <f t="shared" si="2"/>
        <v>770</v>
      </c>
      <c r="F705" s="10">
        <f>'Prestige Patterns'!$B$5*('Prestige Patterns'!$B$6^E704-'Prestige Patterns'!$B$6^(E704+G705))/(1-'Prestige Patterns'!$B$6)</f>
        <v>1.51773E+18</v>
      </c>
      <c r="G705" s="13">
        <f>floor(LOG('Prestige Patterns'!$B$6^(E704) - (D704*(1-'Prestige Patterns'!$B$6)/'Prestige Patterns'!$B$5),'Prestige Patterns'!$B$6)-E704,1)</f>
        <v>51</v>
      </c>
      <c r="H705" s="12">
        <f t="shared" si="3"/>
        <v>10715287</v>
      </c>
      <c r="I705" s="11">
        <f>1+H705*'Prestige Patterns'!$B$25</f>
        <v>107153.87</v>
      </c>
      <c r="J705" s="12">
        <f>floor((K705/'Prestige Patterns'!$B$22)^'Prestige Patterns'!$B$23,1)-H704</f>
        <v>1691812</v>
      </c>
      <c r="K705" s="8">
        <f>K704+N704*'Prestige Patterns'!$B$20</f>
        <v>1.53936E+19</v>
      </c>
      <c r="L705" s="8">
        <f>if(J704&gt;='Prestige Patterns'!$B$28,if(J704/(H704+1)&gt;('Prestige Patterns'!$B$27+1),L704+1,L704),L704)</f>
        <v>14</v>
      </c>
      <c r="N705" s="12">
        <f t="shared" si="1"/>
        <v>5.53705E+16</v>
      </c>
      <c r="O705" s="9">
        <f>'Prestige Patterns'!$B$4*E705</f>
        <v>15400</v>
      </c>
      <c r="P705" s="12">
        <f t="shared" si="4"/>
        <v>33554432</v>
      </c>
      <c r="Q705" s="11"/>
      <c r="R705" s="11"/>
      <c r="S705" s="9">
        <v>704.0</v>
      </c>
      <c r="T705" s="11"/>
    </row>
    <row r="706" ht="15.75" customHeight="1">
      <c r="A706" s="7"/>
      <c r="B706" s="7"/>
      <c r="C706" s="7">
        <f>(S706*'Prestige Patterns'!$B$20)/60</f>
        <v>352.5</v>
      </c>
      <c r="D706" s="8">
        <f>if(L705=L706,N705*'Prestige Patterns'!$B$20+D705-F706,0)</f>
        <v>1.76036E+18</v>
      </c>
      <c r="E706" s="9">
        <f t="shared" si="2"/>
        <v>783</v>
      </c>
      <c r="F706" s="10">
        <f>'Prestige Patterns'!$B$5*('Prestige Patterns'!$B$6^E705-'Prestige Patterns'!$B$6^(E705+G706))/(1-'Prestige Patterns'!$B$6)</f>
        <v>1.46593E+18</v>
      </c>
      <c r="G706" s="13">
        <f>floor(LOG('Prestige Patterns'!$B$6^(E705) - (D705*(1-'Prestige Patterns'!$B$6)/'Prestige Patterns'!$B$5),'Prestige Patterns'!$B$6)-E705,1)</f>
        <v>13</v>
      </c>
      <c r="H706" s="12">
        <f t="shared" si="3"/>
        <v>10715287</v>
      </c>
      <c r="I706" s="11">
        <f>1+H706*'Prestige Patterns'!$B$25</f>
        <v>107153.87</v>
      </c>
      <c r="J706" s="12">
        <f>floor((K706/'Prestige Patterns'!$B$22)^'Prestige Patterns'!$B$23,1)-H705</f>
        <v>2344088</v>
      </c>
      <c r="K706" s="8">
        <f>K705+N705*'Prestige Patterns'!$B$20</f>
        <v>1.70547E+19</v>
      </c>
      <c r="L706" s="8">
        <f>if(J705&gt;='Prestige Patterns'!$B$28,if(J705/(H705+1)&gt;('Prestige Patterns'!$B$27+1),L705+1,L705),L705)</f>
        <v>14</v>
      </c>
      <c r="N706" s="12">
        <f t="shared" si="1"/>
        <v>5.63053E+16</v>
      </c>
      <c r="O706" s="9">
        <f>'Prestige Patterns'!$B$4*E706</f>
        <v>15660</v>
      </c>
      <c r="P706" s="12">
        <f t="shared" si="4"/>
        <v>33554432</v>
      </c>
      <c r="Q706" s="11"/>
      <c r="R706" s="11"/>
      <c r="S706" s="9">
        <v>705.0</v>
      </c>
      <c r="T706" s="11"/>
    </row>
    <row r="707" ht="15.75" customHeight="1">
      <c r="A707" s="7"/>
      <c r="B707" s="7"/>
      <c r="C707" s="7">
        <f>(S707*'Prestige Patterns'!$B$20)/60</f>
        <v>353</v>
      </c>
      <c r="D707" s="8">
        <f>if(L706=L707,N706*'Prestige Patterns'!$B$20+D706-F707,0)</f>
        <v>1.72875E+18</v>
      </c>
      <c r="E707" s="9">
        <f t="shared" si="2"/>
        <v>792</v>
      </c>
      <c r="F707" s="10">
        <f>'Prestige Patterns'!$B$5*('Prestige Patterns'!$B$6^E706-'Prestige Patterns'!$B$6^(E706+G707))/(1-'Prestige Patterns'!$B$6)</f>
        <v>1.72076E+18</v>
      </c>
      <c r="G707" s="13">
        <f>floor(LOG('Prestige Patterns'!$B$6^(E706) - (D706*(1-'Prestige Patterns'!$B$6)/'Prestige Patterns'!$B$5),'Prestige Patterns'!$B$6)-E706,1)</f>
        <v>9</v>
      </c>
      <c r="H707" s="12">
        <f t="shared" si="3"/>
        <v>10715287</v>
      </c>
      <c r="I707" s="11">
        <f>1+H707*'Prestige Patterns'!$B$25</f>
        <v>107153.87</v>
      </c>
      <c r="J707" s="12">
        <f>floor((K707/'Prestige Patterns'!$B$22)^'Prestige Patterns'!$B$23,1)-H706</f>
        <v>2975544</v>
      </c>
      <c r="K707" s="8">
        <f>K706+N706*'Prestige Patterns'!$B$20</f>
        <v>1.87439E+19</v>
      </c>
      <c r="L707" s="8">
        <f>if(J706&gt;='Prestige Patterns'!$B$28,if(J706/(H706+1)&gt;('Prestige Patterns'!$B$27+1),L706+1,L706),L706)</f>
        <v>14</v>
      </c>
      <c r="N707" s="12">
        <f t="shared" si="1"/>
        <v>5.69525E+16</v>
      </c>
      <c r="O707" s="9">
        <f>'Prestige Patterns'!$B$4*E707</f>
        <v>15840</v>
      </c>
      <c r="P707" s="12">
        <f t="shared" si="4"/>
        <v>33554432</v>
      </c>
      <c r="Q707" s="11"/>
      <c r="R707" s="11"/>
      <c r="S707" s="9">
        <v>706.0</v>
      </c>
      <c r="T707" s="11"/>
    </row>
    <row r="708" ht="15.75" customHeight="1">
      <c r="A708" s="7"/>
      <c r="B708" s="7"/>
      <c r="C708" s="7">
        <f>(S708*'Prestige Patterns'!$B$20)/60</f>
        <v>353.5</v>
      </c>
      <c r="D708" s="8">
        <f>if(L707=L708,N707*'Prestige Patterns'!$B$20+D707-F708,0)</f>
        <v>1.79062E+18</v>
      </c>
      <c r="E708" s="9">
        <f t="shared" si="2"/>
        <v>798</v>
      </c>
      <c r="F708" s="10">
        <f>'Prestige Patterns'!$B$5*('Prestige Patterns'!$B$6^E707-'Prestige Patterns'!$B$6^(E707+G708))/(1-'Prestige Patterns'!$B$6)</f>
        <v>1.64671E+18</v>
      </c>
      <c r="G708" s="13">
        <f>floor(LOG('Prestige Patterns'!$B$6^(E707) - (D707*(1-'Prestige Patterns'!$B$6)/'Prestige Patterns'!$B$5),'Prestige Patterns'!$B$6)-E707,1)</f>
        <v>6</v>
      </c>
      <c r="H708" s="12">
        <f t="shared" si="3"/>
        <v>10715287</v>
      </c>
      <c r="I708" s="11">
        <f>1+H708*'Prestige Patterns'!$B$25</f>
        <v>107153.87</v>
      </c>
      <c r="J708" s="12">
        <f>floor((K708/'Prestige Patterns'!$B$22)^'Prestige Patterns'!$B$23,1)-H707</f>
        <v>3585923</v>
      </c>
      <c r="K708" s="8">
        <f>K707+N707*'Prestige Patterns'!$B$20</f>
        <v>2.04525E+19</v>
      </c>
      <c r="L708" s="8">
        <f>if(J707&gt;='Prestige Patterns'!$B$28,if(J707/(H707+1)&gt;('Prestige Patterns'!$B$27+1),L707+1,L707),L707)</f>
        <v>14</v>
      </c>
      <c r="N708" s="12">
        <f t="shared" si="1"/>
        <v>5.7384E+16</v>
      </c>
      <c r="O708" s="9">
        <f>'Prestige Patterns'!$B$4*E708</f>
        <v>15960</v>
      </c>
      <c r="P708" s="12">
        <f t="shared" si="4"/>
        <v>33554432</v>
      </c>
      <c r="Q708" s="11"/>
      <c r="R708" s="11"/>
      <c r="S708" s="9">
        <v>707.0</v>
      </c>
      <c r="T708" s="11"/>
    </row>
    <row r="709" ht="15.75" customHeight="1">
      <c r="A709" s="7"/>
      <c r="B709" s="7"/>
      <c r="C709" s="7">
        <f>(S709*'Prestige Patterns'!$B$20)/60</f>
        <v>354</v>
      </c>
      <c r="D709" s="8">
        <f>if(L708=L709,N708*'Prestige Patterns'!$B$20+D708-F709,0)</f>
        <v>2.11381E+18</v>
      </c>
      <c r="E709" s="9">
        <f t="shared" si="2"/>
        <v>802</v>
      </c>
      <c r="F709" s="10">
        <f>'Prestige Patterns'!$B$5*('Prestige Patterns'!$B$6^E708-'Prestige Patterns'!$B$6^(E708+G709))/(1-'Prestige Patterns'!$B$6)</f>
        <v>1.39833E+18</v>
      </c>
      <c r="G709" s="13">
        <f>floor(LOG('Prestige Patterns'!$B$6^(E708) - (D708*(1-'Prestige Patterns'!$B$6)/'Prestige Patterns'!$B$5),'Prestige Patterns'!$B$6)-E708,1)</f>
        <v>4</v>
      </c>
      <c r="H709" s="12">
        <f t="shared" si="3"/>
        <v>10715287</v>
      </c>
      <c r="I709" s="11">
        <f>1+H709*'Prestige Patterns'!$B$25</f>
        <v>107153.87</v>
      </c>
      <c r="J709" s="12">
        <f>floor((K709/'Prestige Patterns'!$B$22)^'Prestige Patterns'!$B$23,1)-H708</f>
        <v>4175644</v>
      </c>
      <c r="K709" s="8">
        <f>K708+N708*'Prestige Patterns'!$B$20</f>
        <v>2.2174E+19</v>
      </c>
      <c r="L709" s="8">
        <f>if(J708&gt;='Prestige Patterns'!$B$28,if(J708/(H708+1)&gt;('Prestige Patterns'!$B$27+1),L708+1,L708),L708)</f>
        <v>14</v>
      </c>
      <c r="N709" s="12">
        <f t="shared" si="1"/>
        <v>5.76716E+16</v>
      </c>
      <c r="O709" s="9">
        <f>'Prestige Patterns'!$B$4*E709</f>
        <v>16040</v>
      </c>
      <c r="P709" s="12">
        <f t="shared" si="4"/>
        <v>33554432</v>
      </c>
      <c r="Q709" s="11"/>
      <c r="R709" s="11"/>
      <c r="S709" s="9">
        <v>708.0</v>
      </c>
      <c r="T709" s="11"/>
    </row>
    <row r="710" ht="15.75" customHeight="1">
      <c r="A710" s="7"/>
      <c r="B710" s="7"/>
      <c r="C710" s="7">
        <f>(S710*'Prestige Patterns'!$B$20)/60</f>
        <v>354.5</v>
      </c>
      <c r="D710" s="8">
        <f>if(L709=L710,N709*'Prestige Patterns'!$B$20+D709-F710,0)</f>
        <v>2.14427E+18</v>
      </c>
      <c r="E710" s="9">
        <f t="shared" si="2"/>
        <v>806</v>
      </c>
      <c r="F710" s="10">
        <f>'Prestige Patterns'!$B$5*('Prestige Patterns'!$B$6^E709-'Prestige Patterns'!$B$6^(E709+G710))/(1-'Prestige Patterns'!$B$6)</f>
        <v>1.69968E+18</v>
      </c>
      <c r="G710" s="13">
        <f>floor(LOG('Prestige Patterns'!$B$6^(E709) - (D709*(1-'Prestige Patterns'!$B$6)/'Prestige Patterns'!$B$5),'Prestige Patterns'!$B$6)-E709,1)</f>
        <v>4</v>
      </c>
      <c r="H710" s="12">
        <f t="shared" si="3"/>
        <v>10715287</v>
      </c>
      <c r="I710" s="11">
        <f>1+H710*'Prestige Patterns'!$B$25</f>
        <v>107153.87</v>
      </c>
      <c r="J710" s="12">
        <f>floor((K710/'Prestige Patterns'!$B$22)^'Prestige Patterns'!$B$23,1)-H709</f>
        <v>4745673</v>
      </c>
      <c r="K710" s="8">
        <f>K709+N709*'Prestige Patterns'!$B$20</f>
        <v>2.39041E+19</v>
      </c>
      <c r="L710" s="8">
        <f>if(J709&gt;='Prestige Patterns'!$B$28,if(J709/(H709+1)&gt;('Prestige Patterns'!$B$27+1),L709+1,L709),L709)</f>
        <v>14</v>
      </c>
      <c r="N710" s="12">
        <f t="shared" si="1"/>
        <v>5.79593E+16</v>
      </c>
      <c r="O710" s="9">
        <f>'Prestige Patterns'!$B$4*E710</f>
        <v>16120</v>
      </c>
      <c r="P710" s="12">
        <f t="shared" si="4"/>
        <v>33554432</v>
      </c>
      <c r="Q710" s="11"/>
      <c r="R710" s="11"/>
      <c r="S710" s="9">
        <v>709.0</v>
      </c>
      <c r="T710" s="11"/>
    </row>
    <row r="711" ht="15.75" customHeight="1">
      <c r="A711" s="7"/>
      <c r="B711" s="7"/>
      <c r="C711" s="7">
        <f>(S711*'Prestige Patterns'!$B$20)/60</f>
        <v>355</v>
      </c>
      <c r="D711" s="8">
        <f>if(L710=L711,N710*'Prestige Patterns'!$B$20+D710-F711,0)</f>
        <v>1.81708E+18</v>
      </c>
      <c r="E711" s="9">
        <f t="shared" si="2"/>
        <v>810</v>
      </c>
      <c r="F711" s="10">
        <f>'Prestige Patterns'!$B$5*('Prestige Patterns'!$B$6^E710-'Prestige Patterns'!$B$6^(E710+G711))/(1-'Prestige Patterns'!$B$6)</f>
        <v>2.06597E+18</v>
      </c>
      <c r="G711" s="13">
        <f>floor(LOG('Prestige Patterns'!$B$6^(E710) - (D710*(1-'Prestige Patterns'!$B$6)/'Prestige Patterns'!$B$5),'Prestige Patterns'!$B$6)-E710,1)</f>
        <v>4</v>
      </c>
      <c r="H711" s="12">
        <f t="shared" si="3"/>
        <v>10715287</v>
      </c>
      <c r="I711" s="11">
        <f>1+H711*'Prestige Patterns'!$B$25</f>
        <v>107153.87</v>
      </c>
      <c r="J711" s="12">
        <f>floor((K711/'Prestige Patterns'!$B$22)^'Prestige Patterns'!$B$23,1)-H710</f>
        <v>5298116</v>
      </c>
      <c r="K711" s="8">
        <f>K710+N710*'Prestige Patterns'!$B$20</f>
        <v>2.56429E+19</v>
      </c>
      <c r="L711" s="8">
        <f>if(J710&gt;='Prestige Patterns'!$B$28,if(J710/(H710+1)&gt;('Prestige Patterns'!$B$27+1),L710+1,L710),L710)</f>
        <v>14</v>
      </c>
      <c r="N711" s="12">
        <f t="shared" si="1"/>
        <v>5.82469E+16</v>
      </c>
      <c r="O711" s="9">
        <f>'Prestige Patterns'!$B$4*E711</f>
        <v>16200</v>
      </c>
      <c r="P711" s="12">
        <f t="shared" si="4"/>
        <v>33554432</v>
      </c>
      <c r="Q711" s="11"/>
      <c r="R711" s="11"/>
      <c r="S711" s="9">
        <v>710.0</v>
      </c>
      <c r="T711" s="11"/>
    </row>
    <row r="712" ht="15.75" customHeight="1">
      <c r="A712" s="7"/>
      <c r="B712" s="7"/>
      <c r="C712" s="7">
        <f>(S712*'Prestige Patterns'!$B$20)/60</f>
        <v>355.5</v>
      </c>
      <c r="D712" s="8">
        <f>if(L711=L712,N711*'Prestige Patterns'!$B$20+D711-F712,0)</f>
        <v>2.37009E+18</v>
      </c>
      <c r="E712" s="9">
        <f t="shared" si="2"/>
        <v>812</v>
      </c>
      <c r="F712" s="10">
        <f>'Prestige Patterns'!$B$5*('Prestige Patterns'!$B$6^E711-'Prestige Patterns'!$B$6^(E711+G712))/(1-'Prestige Patterns'!$B$6)</f>
        <v>1.19439E+18</v>
      </c>
      <c r="G712" s="13">
        <f>floor(LOG('Prestige Patterns'!$B$6^(E711) - (D711*(1-'Prestige Patterns'!$B$6)/'Prestige Patterns'!$B$5),'Prestige Patterns'!$B$6)-E711,1)</f>
        <v>2</v>
      </c>
      <c r="H712" s="12">
        <f t="shared" si="3"/>
        <v>10715287</v>
      </c>
      <c r="I712" s="11">
        <f>1+H712*'Prestige Patterns'!$B$25</f>
        <v>107153.87</v>
      </c>
      <c r="J712" s="12">
        <f>floor((K712/'Prestige Patterns'!$B$22)^'Prestige Patterns'!$B$23,1)-H711</f>
        <v>5834732</v>
      </c>
      <c r="K712" s="8">
        <f>K711+N711*'Prestige Patterns'!$B$20</f>
        <v>2.73903E+19</v>
      </c>
      <c r="L712" s="8">
        <f>if(J711&gt;='Prestige Patterns'!$B$28,if(J711/(H711+1)&gt;('Prestige Patterns'!$B$27+1),L711+1,L711),L711)</f>
        <v>14</v>
      </c>
      <c r="N712" s="12">
        <f t="shared" si="1"/>
        <v>5.83907E+16</v>
      </c>
      <c r="O712" s="9">
        <f>'Prestige Patterns'!$B$4*E712</f>
        <v>16240</v>
      </c>
      <c r="P712" s="12">
        <f t="shared" si="4"/>
        <v>33554432</v>
      </c>
      <c r="Q712" s="11"/>
      <c r="R712" s="11"/>
      <c r="S712" s="9">
        <v>711.0</v>
      </c>
      <c r="T712" s="11"/>
    </row>
    <row r="713" ht="15.75" customHeight="1">
      <c r="A713" s="7"/>
      <c r="B713" s="7"/>
      <c r="C713" s="7">
        <f>(S713*'Prestige Patterns'!$B$20)/60</f>
        <v>356</v>
      </c>
      <c r="D713" s="8">
        <f>if(L712=L713,N712*'Prestige Patterns'!$B$20+D712-F713,0)</f>
        <v>2.09681E+18</v>
      </c>
      <c r="E713" s="9">
        <f t="shared" si="2"/>
        <v>815</v>
      </c>
      <c r="F713" s="10">
        <f>'Prestige Patterns'!$B$5*('Prestige Patterns'!$B$6^E712-'Prestige Patterns'!$B$6^(E712+G713))/(1-'Prestige Patterns'!$B$6)</f>
        <v>2.025E+18</v>
      </c>
      <c r="G713" s="13">
        <f>floor(LOG('Prestige Patterns'!$B$6^(E712) - (D712*(1-'Prestige Patterns'!$B$6)/'Prestige Patterns'!$B$5),'Prestige Patterns'!$B$6)-E712,1)</f>
        <v>3</v>
      </c>
      <c r="H713" s="12">
        <f t="shared" si="3"/>
        <v>10715287</v>
      </c>
      <c r="I713" s="11">
        <f>1+H713*'Prestige Patterns'!$B$25</f>
        <v>107153.87</v>
      </c>
      <c r="J713" s="12">
        <f>floor((K713/'Prestige Patterns'!$B$22)^'Prestige Patterns'!$B$23,1)-H712</f>
        <v>6355751</v>
      </c>
      <c r="K713" s="8">
        <f>K712+N712*'Prestige Patterns'!$B$20</f>
        <v>2.9142E+19</v>
      </c>
      <c r="L713" s="8">
        <f>if(J712&gt;='Prestige Patterns'!$B$28,if(J712/(H712+1)&gt;('Prestige Patterns'!$B$27+1),L712+1,L712),L712)</f>
        <v>14</v>
      </c>
      <c r="N713" s="12">
        <f t="shared" si="1"/>
        <v>5.86064E+16</v>
      </c>
      <c r="O713" s="9">
        <f>'Prestige Patterns'!$B$4*E713</f>
        <v>16300</v>
      </c>
      <c r="P713" s="12">
        <f t="shared" si="4"/>
        <v>33554432</v>
      </c>
      <c r="Q713" s="11"/>
      <c r="R713" s="11"/>
      <c r="S713" s="9">
        <v>712.0</v>
      </c>
      <c r="T713" s="11"/>
    </row>
    <row r="714" ht="15.75" customHeight="1">
      <c r="A714" s="7"/>
      <c r="B714" s="7"/>
      <c r="C714" s="7">
        <f>(S714*'Prestige Patterns'!$B$20)/60</f>
        <v>356.5</v>
      </c>
      <c r="D714" s="8">
        <f>if(L713=L714,N713*'Prestige Patterns'!$B$20+D713-F714,0)</f>
        <v>2.33063E+18</v>
      </c>
      <c r="E714" s="9">
        <f t="shared" si="2"/>
        <v>817</v>
      </c>
      <c r="F714" s="10">
        <f>'Prestige Patterns'!$B$5*('Prestige Patterns'!$B$6^E713-'Prestige Patterns'!$B$6^(E713+G714))/(1-'Prestige Patterns'!$B$6)</f>
        <v>1.52438E+18</v>
      </c>
      <c r="G714" s="13">
        <f>floor(LOG('Prestige Patterns'!$B$6^(E713) - (D713*(1-'Prestige Patterns'!$B$6)/'Prestige Patterns'!$B$5),'Prestige Patterns'!$B$6)-E713,1)</f>
        <v>2</v>
      </c>
      <c r="H714" s="12">
        <f t="shared" si="3"/>
        <v>10715287</v>
      </c>
      <c r="I714" s="11">
        <f>1+H714*'Prestige Patterns'!$B$25</f>
        <v>107153.87</v>
      </c>
      <c r="J714" s="12">
        <f>floor((K714/'Prestige Patterns'!$B$22)^'Prestige Patterns'!$B$23,1)-H713</f>
        <v>6863174</v>
      </c>
      <c r="K714" s="8">
        <f>K713+N713*'Prestige Patterns'!$B$20</f>
        <v>3.09002E+19</v>
      </c>
      <c r="L714" s="8">
        <f>if(J713&gt;='Prestige Patterns'!$B$28,if(J713/(H713+1)&gt;('Prestige Patterns'!$B$27+1),L713+1,L713),L713)</f>
        <v>14</v>
      </c>
      <c r="N714" s="12">
        <f t="shared" si="1"/>
        <v>5.87503E+16</v>
      </c>
      <c r="O714" s="9">
        <f>'Prestige Patterns'!$B$4*E714</f>
        <v>16340</v>
      </c>
      <c r="P714" s="12">
        <f t="shared" si="4"/>
        <v>33554432</v>
      </c>
      <c r="Q714" s="11"/>
      <c r="R714" s="11"/>
      <c r="S714" s="9">
        <v>713.0</v>
      </c>
      <c r="T714" s="11"/>
    </row>
    <row r="715" ht="15.75" customHeight="1">
      <c r="A715" s="7"/>
      <c r="B715" s="7"/>
      <c r="C715" s="7">
        <f>(S715*'Prestige Patterns'!$B$20)/60</f>
        <v>357</v>
      </c>
      <c r="D715" s="8">
        <f>if(L714=L715,N714*'Prestige Patterns'!$B$20+D714-F715,0)</f>
        <v>2.41251E+18</v>
      </c>
      <c r="E715" s="9">
        <f t="shared" si="2"/>
        <v>819</v>
      </c>
      <c r="F715" s="10">
        <f>'Prestige Patterns'!$B$5*('Prestige Patterns'!$B$6^E714-'Prestige Patterns'!$B$6^(E714+G715))/(1-'Prestige Patterns'!$B$6)</f>
        <v>1.68063E+18</v>
      </c>
      <c r="G715" s="13">
        <f>floor(LOG('Prestige Patterns'!$B$6^(E714) - (D714*(1-'Prestige Patterns'!$B$6)/'Prestige Patterns'!$B$5),'Prestige Patterns'!$B$6)-E714,1)</f>
        <v>2</v>
      </c>
      <c r="H715" s="12">
        <f t="shared" si="3"/>
        <v>10715287</v>
      </c>
      <c r="I715" s="11">
        <f>1+H715*'Prestige Patterns'!$B$25</f>
        <v>107153.87</v>
      </c>
      <c r="J715" s="12">
        <f>floor((K715/'Prestige Patterns'!$B$22)^'Prestige Patterns'!$B$23,1)-H714</f>
        <v>7357548</v>
      </c>
      <c r="K715" s="8">
        <f>K714+N714*'Prestige Patterns'!$B$20</f>
        <v>3.26627E+19</v>
      </c>
      <c r="L715" s="8">
        <f>if(J714&gt;='Prestige Patterns'!$B$28,if(J714/(H714+1)&gt;('Prestige Patterns'!$B$27+1),L714+1,L714),L714)</f>
        <v>14</v>
      </c>
      <c r="N715" s="12">
        <f t="shared" si="1"/>
        <v>5.88941E+16</v>
      </c>
      <c r="O715" s="9">
        <f>'Prestige Patterns'!$B$4*E715</f>
        <v>16380</v>
      </c>
      <c r="P715" s="12">
        <f t="shared" si="4"/>
        <v>33554432</v>
      </c>
      <c r="Q715" s="11"/>
      <c r="R715" s="11"/>
      <c r="S715" s="9">
        <v>714.0</v>
      </c>
      <c r="T715" s="11"/>
    </row>
    <row r="716" ht="15.75" customHeight="1">
      <c r="A716" s="7"/>
      <c r="B716" s="7"/>
      <c r="C716" s="7">
        <f>(S716*'Prestige Patterns'!$B$20)/60</f>
        <v>357.5</v>
      </c>
      <c r="D716" s="8">
        <f>if(L715=L716,N715*'Prestige Patterns'!$B$20+D715-F716,0)</f>
        <v>2.32644E+18</v>
      </c>
      <c r="E716" s="9">
        <f t="shared" si="2"/>
        <v>821</v>
      </c>
      <c r="F716" s="10">
        <f>'Prestige Patterns'!$B$5*('Prestige Patterns'!$B$6^E715-'Prestige Patterns'!$B$6^(E715+G716))/(1-'Prestige Patterns'!$B$6)</f>
        <v>1.85289E+18</v>
      </c>
      <c r="G716" s="13">
        <f>floor(LOG('Prestige Patterns'!$B$6^(E715) - (D715*(1-'Prestige Patterns'!$B$6)/'Prestige Patterns'!$B$5),'Prestige Patterns'!$B$6)-E715,1)</f>
        <v>2</v>
      </c>
      <c r="H716" s="12">
        <f t="shared" si="3"/>
        <v>10715287</v>
      </c>
      <c r="I716" s="11">
        <f>1+H716*'Prestige Patterns'!$B$25</f>
        <v>107153.87</v>
      </c>
      <c r="J716" s="12">
        <f>floor((K716/'Prestige Patterns'!$B$22)^'Prestige Patterns'!$B$23,1)-H715</f>
        <v>7839917</v>
      </c>
      <c r="K716" s="8">
        <f>K715+N715*'Prestige Patterns'!$B$20</f>
        <v>3.44296E+19</v>
      </c>
      <c r="L716" s="8">
        <f>if(J715&gt;='Prestige Patterns'!$B$28,if(J715/(H715+1)&gt;('Prestige Patterns'!$B$27+1),L715+1,L715),L715)</f>
        <v>14</v>
      </c>
      <c r="N716" s="12">
        <f t="shared" si="1"/>
        <v>5.90379E+16</v>
      </c>
      <c r="O716" s="9">
        <f>'Prestige Patterns'!$B$4*E716</f>
        <v>16420</v>
      </c>
      <c r="P716" s="12">
        <f t="shared" si="4"/>
        <v>33554432</v>
      </c>
      <c r="Q716" s="11"/>
      <c r="R716" s="11"/>
      <c r="S716" s="9">
        <v>715.0</v>
      </c>
      <c r="T716" s="11"/>
    </row>
    <row r="717" ht="15.75" customHeight="1">
      <c r="A717" s="7"/>
      <c r="B717" s="7"/>
      <c r="C717" s="7">
        <f>(S717*'Prestige Patterns'!$B$20)/60</f>
        <v>358</v>
      </c>
      <c r="D717" s="8">
        <f>if(L716=L717,N716*'Prestige Patterns'!$B$20+D716-F717,0)</f>
        <v>2.05477E+18</v>
      </c>
      <c r="E717" s="9">
        <f t="shared" si="2"/>
        <v>823</v>
      </c>
      <c r="F717" s="10">
        <f>'Prestige Patterns'!$B$5*('Prestige Patterns'!$B$6^E716-'Prestige Patterns'!$B$6^(E716+G717))/(1-'Prestige Patterns'!$B$6)</f>
        <v>2.04281E+18</v>
      </c>
      <c r="G717" s="13">
        <f>floor(LOG('Prestige Patterns'!$B$6^(E716) - (D716*(1-'Prestige Patterns'!$B$6)/'Prestige Patterns'!$B$5),'Prestige Patterns'!$B$6)-E716,1)</f>
        <v>2</v>
      </c>
      <c r="H717" s="12">
        <f t="shared" si="3"/>
        <v>10715287</v>
      </c>
      <c r="I717" s="11">
        <f>1+H717*'Prestige Patterns'!$B$25</f>
        <v>107153.87</v>
      </c>
      <c r="J717" s="12">
        <f>floor((K717/'Prestige Patterns'!$B$22)^'Prestige Patterns'!$B$23,1)-H716</f>
        <v>8311193</v>
      </c>
      <c r="K717" s="8">
        <f>K716+N716*'Prestige Patterns'!$B$20</f>
        <v>3.62007E+19</v>
      </c>
      <c r="L717" s="8">
        <f>if(J716&gt;='Prestige Patterns'!$B$28,if(J716/(H716+1)&gt;('Prestige Patterns'!$B$27+1),L716+1,L716),L716)</f>
        <v>14</v>
      </c>
      <c r="N717" s="12">
        <f t="shared" si="1"/>
        <v>5.91817E+16</v>
      </c>
      <c r="O717" s="9">
        <f>'Prestige Patterns'!$B$4*E717</f>
        <v>16460</v>
      </c>
      <c r="P717" s="12">
        <f t="shared" si="4"/>
        <v>33554432</v>
      </c>
      <c r="Q717" s="11"/>
      <c r="R717" s="11"/>
      <c r="S717" s="9">
        <v>716.0</v>
      </c>
      <c r="T717" s="11"/>
    </row>
    <row r="718" ht="15.75" customHeight="1">
      <c r="A718" s="7"/>
      <c r="B718" s="7"/>
      <c r="C718" s="7">
        <f>(S718*'Prestige Patterns'!$B$20)/60</f>
        <v>358.5</v>
      </c>
      <c r="D718" s="8">
        <f>if(L717=L718,N717*'Prestige Patterns'!$B$20+D717-F718,0)</f>
        <v>2.73158E+18</v>
      </c>
      <c r="E718" s="9">
        <f t="shared" si="2"/>
        <v>824</v>
      </c>
      <c r="F718" s="10">
        <f>'Prestige Patterns'!$B$5*('Prestige Patterns'!$B$6^E717-'Prestige Patterns'!$B$6^(E717+G718))/(1-'Prestige Patterns'!$B$6)</f>
        <v>1.09863E+18</v>
      </c>
      <c r="G718" s="13">
        <f>floor(LOG('Prestige Patterns'!$B$6^(E717) - (D717*(1-'Prestige Patterns'!$B$6)/'Prestige Patterns'!$B$5),'Prestige Patterns'!$B$6)-E717,1)</f>
        <v>1</v>
      </c>
      <c r="H718" s="12">
        <f t="shared" si="3"/>
        <v>10715287</v>
      </c>
      <c r="I718" s="11">
        <f>1+H718*'Prestige Patterns'!$B$25</f>
        <v>107153.87</v>
      </c>
      <c r="J718" s="12">
        <f>floor((K718/'Prestige Patterns'!$B$22)^'Prestige Patterns'!$B$23,1)-H717</f>
        <v>8772183</v>
      </c>
      <c r="K718" s="8">
        <f>K717+N717*'Prestige Patterns'!$B$20</f>
        <v>3.79761E+19</v>
      </c>
      <c r="L718" s="8">
        <f>if(J717&gt;='Prestige Patterns'!$B$28,if(J717/(H717+1)&gt;('Prestige Patterns'!$B$27+1),L717+1,L717),L717)</f>
        <v>14</v>
      </c>
      <c r="N718" s="12">
        <f t="shared" si="1"/>
        <v>5.92536E+16</v>
      </c>
      <c r="O718" s="9">
        <f>'Prestige Patterns'!$B$4*E718</f>
        <v>16480</v>
      </c>
      <c r="P718" s="12">
        <f t="shared" si="4"/>
        <v>33554432</v>
      </c>
      <c r="Q718" s="11"/>
      <c r="R718" s="11"/>
      <c r="S718" s="9">
        <v>717.0</v>
      </c>
      <c r="T718" s="11"/>
    </row>
    <row r="719" ht="15.75" customHeight="1">
      <c r="A719" s="7"/>
      <c r="B719" s="7"/>
      <c r="C719" s="7">
        <f>(S719*'Prestige Patterns'!$B$20)/60</f>
        <v>359</v>
      </c>
      <c r="D719" s="8">
        <f>if(L718=L719,N718*'Prestige Patterns'!$B$20+D718-F719,0)</f>
        <v>2.14438E+18</v>
      </c>
      <c r="E719" s="9">
        <f t="shared" si="2"/>
        <v>826</v>
      </c>
      <c r="F719" s="10">
        <f>'Prestige Patterns'!$B$5*('Prestige Patterns'!$B$6^E718-'Prestige Patterns'!$B$6^(E718+G719))/(1-'Prestige Patterns'!$B$6)</f>
        <v>2.36481E+18</v>
      </c>
      <c r="G719" s="13">
        <f>floor(LOG('Prestige Patterns'!$B$6^(E718) - (D718*(1-'Prestige Patterns'!$B$6)/'Prestige Patterns'!$B$5),'Prestige Patterns'!$B$6)-E718,1)</f>
        <v>2</v>
      </c>
      <c r="H719" s="12">
        <f t="shared" si="3"/>
        <v>10715287</v>
      </c>
      <c r="I719" s="11">
        <f>1+H719*'Prestige Patterns'!$B$25</f>
        <v>107153.87</v>
      </c>
      <c r="J719" s="12">
        <f>floor((K719/'Prestige Patterns'!$B$22)^'Prestige Patterns'!$B$23,1)-H718</f>
        <v>9223057</v>
      </c>
      <c r="K719" s="8">
        <f>K718+N718*'Prestige Patterns'!$B$20</f>
        <v>3.97538E+19</v>
      </c>
      <c r="L719" s="8">
        <f>if(J718&gt;='Prestige Patterns'!$B$28,if(J718/(H718+1)&gt;('Prestige Patterns'!$B$27+1),L718+1,L718),L718)</f>
        <v>14</v>
      </c>
      <c r="N719" s="12">
        <f t="shared" si="1"/>
        <v>5.93974E+16</v>
      </c>
      <c r="O719" s="9">
        <f>'Prestige Patterns'!$B$4*E719</f>
        <v>16520</v>
      </c>
      <c r="P719" s="12">
        <f t="shared" si="4"/>
        <v>33554432</v>
      </c>
      <c r="Q719" s="11"/>
      <c r="R719" s="11"/>
      <c r="S719" s="9">
        <v>718.0</v>
      </c>
      <c r="T719" s="11"/>
    </row>
    <row r="720" ht="15.75" customHeight="1">
      <c r="A720" s="7"/>
      <c r="B720" s="7"/>
      <c r="C720" s="7">
        <f>(S720*'Prestige Patterns'!$B$20)/60</f>
        <v>359.5</v>
      </c>
      <c r="D720" s="8">
        <f>if(L719=L720,N719*'Prestige Patterns'!$B$20+D719-F720,0)</f>
        <v>2.6545E+18</v>
      </c>
      <c r="E720" s="9">
        <f t="shared" si="2"/>
        <v>827</v>
      </c>
      <c r="F720" s="10">
        <f>'Prestige Patterns'!$B$5*('Prestige Patterns'!$B$6^E719-'Prestige Patterns'!$B$6^(E719+G720))/(1-'Prestige Patterns'!$B$6)</f>
        <v>1.27181E+18</v>
      </c>
      <c r="G720" s="13">
        <f>floor(LOG('Prestige Patterns'!$B$6^(E719) - (D719*(1-'Prestige Patterns'!$B$6)/'Prestige Patterns'!$B$5),'Prestige Patterns'!$B$6)-E719,1)</f>
        <v>1</v>
      </c>
      <c r="H720" s="12">
        <f t="shared" si="3"/>
        <v>10715287</v>
      </c>
      <c r="I720" s="11">
        <f>1+H720*'Prestige Patterns'!$B$25</f>
        <v>107153.87</v>
      </c>
      <c r="J720" s="12">
        <f>floor((K720/'Prestige Patterns'!$B$22)^'Prestige Patterns'!$B$23,1)-H719</f>
        <v>9665017</v>
      </c>
      <c r="K720" s="8">
        <f>K719+N719*'Prestige Patterns'!$B$20</f>
        <v>4.15357E+19</v>
      </c>
      <c r="L720" s="8">
        <f>if(J719&gt;='Prestige Patterns'!$B$28,if(J719/(H719+1)&gt;('Prestige Patterns'!$B$27+1),L719+1,L719),L719)</f>
        <v>14</v>
      </c>
      <c r="N720" s="12">
        <f t="shared" si="1"/>
        <v>5.94694E+16</v>
      </c>
      <c r="O720" s="9">
        <f>'Prestige Patterns'!$B$4*E720</f>
        <v>16540</v>
      </c>
      <c r="P720" s="12">
        <f t="shared" si="4"/>
        <v>33554432</v>
      </c>
      <c r="Q720" s="11"/>
      <c r="R720" s="11"/>
      <c r="S720" s="9">
        <v>719.0</v>
      </c>
      <c r="T720" s="11"/>
    </row>
    <row r="721" ht="15.75" customHeight="1">
      <c r="A721" s="7"/>
      <c r="B721" s="7"/>
      <c r="C721" s="7">
        <f>(S721*'Prestige Patterns'!$B$20)/60</f>
        <v>360</v>
      </c>
      <c r="D721" s="8">
        <f>if(L720=L721,N720*'Prestige Patterns'!$B$20+D720-F721,0)</f>
        <v>3.10318E+18</v>
      </c>
      <c r="E721" s="9">
        <f t="shared" si="2"/>
        <v>828</v>
      </c>
      <c r="F721" s="10">
        <f>'Prestige Patterns'!$B$5*('Prestige Patterns'!$B$6^E720-'Prestige Patterns'!$B$6^(E720+G721))/(1-'Prestige Patterns'!$B$6)</f>
        <v>1.3354E+18</v>
      </c>
      <c r="G721" s="13">
        <f>floor(LOG('Prestige Patterns'!$B$6^(E720) - (D720*(1-'Prestige Patterns'!$B$6)/'Prestige Patterns'!$B$5),'Prestige Patterns'!$B$6)-E720,1)</f>
        <v>1</v>
      </c>
      <c r="H721" s="12">
        <f t="shared" si="3"/>
        <v>10715287</v>
      </c>
      <c r="I721" s="11">
        <f>1+H721*'Prestige Patterns'!$B$25</f>
        <v>107153.87</v>
      </c>
      <c r="J721" s="12">
        <f>floor((K721/'Prestige Patterns'!$B$22)^'Prestige Patterns'!$B$23,1)-H720</f>
        <v>10098113</v>
      </c>
      <c r="K721" s="8">
        <f>K720+N720*'Prestige Patterns'!$B$20</f>
        <v>4.33198E+19</v>
      </c>
      <c r="L721" s="8">
        <f>if(J720&gt;='Prestige Patterns'!$B$28,if(J720/(H720+1)&gt;('Prestige Patterns'!$B$27+1),L720+1,L720),L720)</f>
        <v>14</v>
      </c>
      <c r="N721" s="12">
        <f t="shared" si="1"/>
        <v>5.95413E+16</v>
      </c>
      <c r="O721" s="9">
        <f>'Prestige Patterns'!$B$4*E721</f>
        <v>16560</v>
      </c>
      <c r="P721" s="12">
        <f t="shared" si="4"/>
        <v>33554432</v>
      </c>
      <c r="Q721" s="11"/>
      <c r="R721" s="11"/>
      <c r="S721" s="9">
        <v>720.0</v>
      </c>
      <c r="T721" s="11"/>
    </row>
    <row r="722" ht="15.75" customHeight="1">
      <c r="A722" s="7"/>
      <c r="B722" s="7"/>
      <c r="C722" s="7">
        <f>(S722*'Prestige Patterns'!$B$20)/60</f>
        <v>360.5</v>
      </c>
      <c r="D722" s="8">
        <f>if(L721=L722,N721*'Prestige Patterns'!$B$20+D721-F722,0)</f>
        <v>2.01498E+18</v>
      </c>
      <c r="E722" s="9">
        <f t="shared" si="2"/>
        <v>830</v>
      </c>
      <c r="F722" s="10">
        <f>'Prestige Patterns'!$B$5*('Prestige Patterns'!$B$6^E721-'Prestige Patterns'!$B$6^(E721+G722))/(1-'Prestige Patterns'!$B$6)</f>
        <v>2.87444E+18</v>
      </c>
      <c r="G722" s="13">
        <f>floor(LOG('Prestige Patterns'!$B$6^(E721) - (D721*(1-'Prestige Patterns'!$B$6)/'Prestige Patterns'!$B$5),'Prestige Patterns'!$B$6)-E721,1)</f>
        <v>2</v>
      </c>
      <c r="H722" s="12">
        <f t="shared" si="3"/>
        <v>10715287</v>
      </c>
      <c r="I722" s="11">
        <f>1+H722*'Prestige Patterns'!$B$25</f>
        <v>107153.87</v>
      </c>
      <c r="J722" s="12">
        <f>floor((K722/'Prestige Patterns'!$B$22)^'Prestige Patterns'!$B$23,1)-H721</f>
        <v>10522886</v>
      </c>
      <c r="K722" s="8">
        <f>K721+N721*'Prestige Patterns'!$B$20</f>
        <v>4.5106E+19</v>
      </c>
      <c r="L722" s="8">
        <f>if(J721&gt;='Prestige Patterns'!$B$28,if(J721/(H721+1)&gt;('Prestige Patterns'!$B$27+1),L721+1,L721),L721)</f>
        <v>14</v>
      </c>
      <c r="N722" s="12">
        <f t="shared" si="1"/>
        <v>5.96851E+16</v>
      </c>
      <c r="O722" s="9">
        <f>'Prestige Patterns'!$B$4*E722</f>
        <v>16600</v>
      </c>
      <c r="P722" s="12">
        <f t="shared" si="4"/>
        <v>33554432</v>
      </c>
      <c r="Q722" s="11"/>
      <c r="R722" s="11"/>
      <c r="S722" s="9">
        <v>721.0</v>
      </c>
      <c r="T722" s="11"/>
    </row>
    <row r="723" ht="15.75" customHeight="1">
      <c r="A723" s="7"/>
      <c r="B723" s="7"/>
      <c r="C723" s="7">
        <f>(S723*'Prestige Patterns'!$B$20)/60</f>
        <v>361</v>
      </c>
      <c r="D723" s="8">
        <f>if(L722=L723,N722*'Prestige Patterns'!$B$20+D722-F723,0)</f>
        <v>2.25964E+18</v>
      </c>
      <c r="E723" s="9">
        <f t="shared" si="2"/>
        <v>831</v>
      </c>
      <c r="F723" s="10">
        <f>'Prestige Patterns'!$B$5*('Prestige Patterns'!$B$6^E722-'Prestige Patterns'!$B$6^(E722+G723))/(1-'Prestige Patterns'!$B$6)</f>
        <v>1.54589E+18</v>
      </c>
      <c r="G723" s="13">
        <f>floor(LOG('Prestige Patterns'!$B$6^(E722) - (D722*(1-'Prestige Patterns'!$B$6)/'Prestige Patterns'!$B$5),'Prestige Patterns'!$B$6)-E722,1)</f>
        <v>1</v>
      </c>
      <c r="H723" s="12">
        <f t="shared" si="3"/>
        <v>10715287</v>
      </c>
      <c r="I723" s="11">
        <f>1+H723*'Prestige Patterns'!$B$25</f>
        <v>107153.87</v>
      </c>
      <c r="J723" s="12">
        <f>floor((K723/'Prestige Patterns'!$B$22)^'Prestige Patterns'!$B$23,1)-H722</f>
        <v>10940324</v>
      </c>
      <c r="K723" s="8">
        <f>K722+N722*'Prestige Patterns'!$B$20</f>
        <v>4.68966E+19</v>
      </c>
      <c r="L723" s="8">
        <f>if(J722&gt;='Prestige Patterns'!$B$28,if(J722/(H722+1)&gt;('Prestige Patterns'!$B$27+1),L722+1,L722),L722)</f>
        <v>14</v>
      </c>
      <c r="N723" s="12">
        <f t="shared" si="1"/>
        <v>5.9757E+16</v>
      </c>
      <c r="O723" s="9">
        <f>'Prestige Patterns'!$B$4*E723</f>
        <v>16620</v>
      </c>
      <c r="P723" s="12">
        <f t="shared" si="4"/>
        <v>33554432</v>
      </c>
      <c r="Q723" s="11"/>
      <c r="R723" s="11"/>
      <c r="S723" s="9">
        <v>722.0</v>
      </c>
      <c r="T723" s="11"/>
    </row>
    <row r="724" ht="15.75" customHeight="1">
      <c r="A724" s="7"/>
      <c r="B724" s="7"/>
      <c r="C724" s="7">
        <f>(S724*'Prestige Patterns'!$B$20)/60</f>
        <v>361.5</v>
      </c>
      <c r="D724" s="8">
        <f>if(L723=L724,N723*'Prestige Patterns'!$B$20+D723-F724,0)</f>
        <v>2.42917E+18</v>
      </c>
      <c r="E724" s="9">
        <f t="shared" si="2"/>
        <v>832</v>
      </c>
      <c r="F724" s="10">
        <f>'Prestige Patterns'!$B$5*('Prestige Patterns'!$B$6^E723-'Prestige Patterns'!$B$6^(E723+G724))/(1-'Prestige Patterns'!$B$6)</f>
        <v>1.62318E+18</v>
      </c>
      <c r="G724" s="13">
        <f>floor(LOG('Prestige Patterns'!$B$6^(E723) - (D723*(1-'Prestige Patterns'!$B$6)/'Prestige Patterns'!$B$5),'Prestige Patterns'!$B$6)-E723,1)</f>
        <v>1</v>
      </c>
      <c r="H724" s="12">
        <f t="shared" si="3"/>
        <v>10715287</v>
      </c>
      <c r="I724" s="11">
        <f>1+H724*'Prestige Patterns'!$B$25</f>
        <v>107153.87</v>
      </c>
      <c r="J724" s="12">
        <f>floor((K724/'Prestige Patterns'!$B$22)^'Prestige Patterns'!$B$23,1)-H723</f>
        <v>11350356</v>
      </c>
      <c r="K724" s="8">
        <f>K723+N723*'Prestige Patterns'!$B$20</f>
        <v>4.86893E+19</v>
      </c>
      <c r="L724" s="8">
        <f>if(J723&gt;='Prestige Patterns'!$B$28,if(J723/(H723+1)&gt;('Prestige Patterns'!$B$27+1),L723+1,L723),L723)</f>
        <v>14</v>
      </c>
      <c r="N724" s="12">
        <f t="shared" si="1"/>
        <v>5.98289E+16</v>
      </c>
      <c r="O724" s="9">
        <f>'Prestige Patterns'!$B$4*E724</f>
        <v>16640</v>
      </c>
      <c r="P724" s="12">
        <f t="shared" si="4"/>
        <v>33554432</v>
      </c>
      <c r="Q724" s="11"/>
      <c r="R724" s="11"/>
      <c r="S724" s="9">
        <v>723.0</v>
      </c>
      <c r="T724" s="11"/>
    </row>
    <row r="725" ht="15.75" customHeight="1">
      <c r="A725" s="7"/>
      <c r="B725" s="7"/>
      <c r="C725" s="7">
        <f>(S725*'Prestige Patterns'!$B$20)/60</f>
        <v>362</v>
      </c>
      <c r="D725" s="8">
        <f>if(L724=L725,N724*'Prestige Patterns'!$B$20+D724-F725,0)</f>
        <v>2.5197E+18</v>
      </c>
      <c r="E725" s="9">
        <f t="shared" si="2"/>
        <v>833</v>
      </c>
      <c r="F725" s="10">
        <f>'Prestige Patterns'!$B$5*('Prestige Patterns'!$B$6^E724-'Prestige Patterns'!$B$6^(E724+G725))/(1-'Prestige Patterns'!$B$6)</f>
        <v>1.70434E+18</v>
      </c>
      <c r="G725" s="13">
        <f>floor(LOG('Prestige Patterns'!$B$6^(E724) - (D724*(1-'Prestige Patterns'!$B$6)/'Prestige Patterns'!$B$5),'Prestige Patterns'!$B$6)-E724,1)</f>
        <v>1</v>
      </c>
      <c r="H725" s="12">
        <f t="shared" si="3"/>
        <v>10715287</v>
      </c>
      <c r="I725" s="11">
        <f>1+H725*'Prestige Patterns'!$B$25</f>
        <v>107153.87</v>
      </c>
      <c r="J725" s="12">
        <f>floor((K725/'Prestige Patterns'!$B$22)^'Prestige Patterns'!$B$23,1)-H724</f>
        <v>11753386</v>
      </c>
      <c r="K725" s="8">
        <f>K724+N724*'Prestige Patterns'!$B$20</f>
        <v>5.04841E+19</v>
      </c>
      <c r="L725" s="8">
        <f>if(J724&gt;='Prestige Patterns'!$B$28,if(J724/(H724+1)&gt;('Prestige Patterns'!$B$27+1),L724+1,L724),L724)</f>
        <v>14</v>
      </c>
      <c r="N725" s="12">
        <f t="shared" si="1"/>
        <v>5.99008E+16</v>
      </c>
      <c r="O725" s="9">
        <f>'Prestige Patterns'!$B$4*E725</f>
        <v>16660</v>
      </c>
      <c r="P725" s="12">
        <f t="shared" si="4"/>
        <v>33554432</v>
      </c>
      <c r="Q725" s="11"/>
      <c r="R725" s="11"/>
      <c r="S725" s="9">
        <v>724.0</v>
      </c>
      <c r="T725" s="11"/>
    </row>
    <row r="726" ht="15.75" customHeight="1">
      <c r="A726" s="7"/>
      <c r="B726" s="7"/>
      <c r="C726" s="7">
        <f>(S726*'Prestige Patterns'!$B$20)/60</f>
        <v>362.5</v>
      </c>
      <c r="D726" s="8">
        <f>if(L725=L726,N725*'Prestige Patterns'!$B$20+D725-F726,0)</f>
        <v>2.52716E+18</v>
      </c>
      <c r="E726" s="9">
        <f t="shared" si="2"/>
        <v>834</v>
      </c>
      <c r="F726" s="10">
        <f>'Prestige Patterns'!$B$5*('Prestige Patterns'!$B$6^E725-'Prestige Patterns'!$B$6^(E725+G726))/(1-'Prestige Patterns'!$B$6)</f>
        <v>1.78956E+18</v>
      </c>
      <c r="G726" s="13">
        <f>floor(LOG('Prestige Patterns'!$B$6^(E725) - (D725*(1-'Prestige Patterns'!$B$6)/'Prestige Patterns'!$B$5),'Prestige Patterns'!$B$6)-E725,1)</f>
        <v>1</v>
      </c>
      <c r="H726" s="12">
        <f t="shared" si="3"/>
        <v>10715287</v>
      </c>
      <c r="I726" s="11">
        <f>1+H726*'Prestige Patterns'!$B$25</f>
        <v>107153.87</v>
      </c>
      <c r="J726" s="12">
        <f>floor((K726/'Prestige Patterns'!$B$22)^'Prestige Patterns'!$B$23,1)-H725</f>
        <v>12149785</v>
      </c>
      <c r="K726" s="8">
        <f>K725+N725*'Prestige Patterns'!$B$20</f>
        <v>5.22812E+19</v>
      </c>
      <c r="L726" s="8">
        <f>if(J725&gt;='Prestige Patterns'!$B$28,if(J725/(H725+1)&gt;('Prestige Patterns'!$B$27+1),L725+1,L725),L725)</f>
        <v>14</v>
      </c>
      <c r="N726" s="12">
        <f t="shared" si="1"/>
        <v>5.99727E+16</v>
      </c>
      <c r="O726" s="9">
        <f>'Prestige Patterns'!$B$4*E726</f>
        <v>16680</v>
      </c>
      <c r="P726" s="12">
        <f t="shared" si="4"/>
        <v>33554432</v>
      </c>
      <c r="Q726" s="11"/>
      <c r="R726" s="11"/>
      <c r="S726" s="9">
        <v>725.0</v>
      </c>
      <c r="T726" s="11"/>
    </row>
    <row r="727" ht="15.75" customHeight="1">
      <c r="A727" s="7"/>
      <c r="B727" s="7"/>
      <c r="C727" s="7">
        <f>(S727*'Prestige Patterns'!$B$20)/60</f>
        <v>363</v>
      </c>
      <c r="D727" s="8">
        <f>if(L726=L727,N726*'Prestige Patterns'!$B$20+D726-F727,0)</f>
        <v>2.4473E+18</v>
      </c>
      <c r="E727" s="9">
        <f t="shared" si="2"/>
        <v>835</v>
      </c>
      <c r="F727" s="10">
        <f>'Prestige Patterns'!$B$5*('Prestige Patterns'!$B$6^E726-'Prestige Patterns'!$B$6^(E726+G727))/(1-'Prestige Patterns'!$B$6)</f>
        <v>1.87904E+18</v>
      </c>
      <c r="G727" s="13">
        <f>floor(LOG('Prestige Patterns'!$B$6^(E726) - (D726*(1-'Prestige Patterns'!$B$6)/'Prestige Patterns'!$B$5),'Prestige Patterns'!$B$6)-E726,1)</f>
        <v>1</v>
      </c>
      <c r="H727" s="12">
        <f t="shared" si="3"/>
        <v>10715287</v>
      </c>
      <c r="I727" s="11">
        <f>1+H727*'Prestige Patterns'!$B$25</f>
        <v>107153.87</v>
      </c>
      <c r="J727" s="12">
        <f>floor((K727/'Prestige Patterns'!$B$22)^'Prestige Patterns'!$B$23,1)-H726</f>
        <v>12539892</v>
      </c>
      <c r="K727" s="8">
        <f>K726+N726*'Prestige Patterns'!$B$20</f>
        <v>5.40803E+19</v>
      </c>
      <c r="L727" s="8">
        <f>if(J726&gt;='Prestige Patterns'!$B$28,if(J726/(H726+1)&gt;('Prestige Patterns'!$B$27+1),L726+1,L726),L726)</f>
        <v>14</v>
      </c>
      <c r="N727" s="12">
        <f t="shared" si="1"/>
        <v>6.00446E+16</v>
      </c>
      <c r="O727" s="9">
        <f>'Prestige Patterns'!$B$4*E727</f>
        <v>16700</v>
      </c>
      <c r="P727" s="12">
        <f t="shared" si="4"/>
        <v>33554432</v>
      </c>
      <c r="Q727" s="11"/>
      <c r="R727" s="11"/>
      <c r="S727" s="9">
        <v>726.0</v>
      </c>
      <c r="T727" s="11"/>
    </row>
    <row r="728" ht="15.75" customHeight="1">
      <c r="A728" s="7"/>
      <c r="B728" s="7"/>
      <c r="C728" s="7">
        <f>(S728*'Prestige Patterns'!$B$20)/60</f>
        <v>363.5</v>
      </c>
      <c r="D728" s="8">
        <f>if(L727=L728,N727*'Prestige Patterns'!$B$20+D727-F728,0)</f>
        <v>2.27565E+18</v>
      </c>
      <c r="E728" s="9">
        <f t="shared" si="2"/>
        <v>836</v>
      </c>
      <c r="F728" s="10">
        <f>'Prestige Patterns'!$B$5*('Prestige Patterns'!$B$6^E727-'Prestige Patterns'!$B$6^(E727+G728))/(1-'Prestige Patterns'!$B$6)</f>
        <v>1.97299E+18</v>
      </c>
      <c r="G728" s="13">
        <f>floor(LOG('Prestige Patterns'!$B$6^(E727) - (D727*(1-'Prestige Patterns'!$B$6)/'Prestige Patterns'!$B$5),'Prestige Patterns'!$B$6)-E727,1)</f>
        <v>1</v>
      </c>
      <c r="H728" s="12">
        <f t="shared" si="3"/>
        <v>10715287</v>
      </c>
      <c r="I728" s="11">
        <f>1+H728*'Prestige Patterns'!$B$25</f>
        <v>107153.87</v>
      </c>
      <c r="J728" s="12">
        <f>floor((K728/'Prestige Patterns'!$B$22)^'Prestige Patterns'!$B$23,1)-H727</f>
        <v>12924018</v>
      </c>
      <c r="K728" s="8">
        <f>K727+N727*'Prestige Patterns'!$B$20</f>
        <v>5.58817E+19</v>
      </c>
      <c r="L728" s="8">
        <f>if(J727&gt;='Prestige Patterns'!$B$28,if(J727/(H727+1)&gt;('Prestige Patterns'!$B$27+1),L727+1,L727),L727)</f>
        <v>14</v>
      </c>
      <c r="N728" s="12">
        <f t="shared" si="1"/>
        <v>6.01165E+16</v>
      </c>
      <c r="O728" s="9">
        <f>'Prestige Patterns'!$B$4*E728</f>
        <v>16720</v>
      </c>
      <c r="P728" s="12">
        <f t="shared" si="4"/>
        <v>33554432</v>
      </c>
      <c r="Q728" s="11"/>
      <c r="R728" s="11"/>
      <c r="S728" s="9">
        <v>727.0</v>
      </c>
      <c r="T728" s="11"/>
    </row>
    <row r="729" ht="15.75" customHeight="1">
      <c r="A729" s="7"/>
      <c r="B729" s="7"/>
      <c r="C729" s="7">
        <f>(S729*'Prestige Patterns'!$B$20)/60</f>
        <v>364</v>
      </c>
      <c r="D729" s="8">
        <f>if(L728=L729,N728*'Prestige Patterns'!$B$20+D728-F729,0)</f>
        <v>2.00751E+18</v>
      </c>
      <c r="E729" s="9">
        <f t="shared" si="2"/>
        <v>837</v>
      </c>
      <c r="F729" s="10">
        <f>'Prestige Patterns'!$B$5*('Prestige Patterns'!$B$6^E728-'Prestige Patterns'!$B$6^(E728+G729))/(1-'Prestige Patterns'!$B$6)</f>
        <v>2.07164E+18</v>
      </c>
      <c r="G729" s="13">
        <f>floor(LOG('Prestige Patterns'!$B$6^(E728) - (D728*(1-'Prestige Patterns'!$B$6)/'Prestige Patterns'!$B$5),'Prestige Patterns'!$B$6)-E728,1)</f>
        <v>1</v>
      </c>
      <c r="H729" s="12">
        <f t="shared" si="3"/>
        <v>10715287</v>
      </c>
      <c r="I729" s="11">
        <f>1+H729*'Prestige Patterns'!$B$25</f>
        <v>107153.87</v>
      </c>
      <c r="J729" s="12">
        <f>floor((K729/'Prestige Patterns'!$B$22)^'Prestige Patterns'!$B$23,1)-H728</f>
        <v>13302450</v>
      </c>
      <c r="K729" s="8">
        <f>K728+N728*'Prestige Patterns'!$B$20</f>
        <v>5.76852E+19</v>
      </c>
      <c r="L729" s="8">
        <f>if(J728&gt;='Prestige Patterns'!$B$28,if(J728/(H728+1)&gt;('Prestige Patterns'!$B$27+1),L728+1,L728),L728)</f>
        <v>14</v>
      </c>
      <c r="N729" s="12">
        <f t="shared" si="1"/>
        <v>6.01885E+16</v>
      </c>
      <c r="O729" s="9">
        <f>'Prestige Patterns'!$B$4*E729</f>
        <v>16740</v>
      </c>
      <c r="P729" s="12">
        <f t="shared" si="4"/>
        <v>33554432</v>
      </c>
      <c r="Q729" s="11"/>
      <c r="R729" s="11"/>
      <c r="S729" s="9">
        <v>728.0</v>
      </c>
      <c r="T729" s="11"/>
    </row>
    <row r="730" ht="15.75" customHeight="1">
      <c r="A730" s="7"/>
      <c r="B730" s="7"/>
      <c r="C730" s="7">
        <f>(S730*'Prestige Patterns'!$B$20)/60</f>
        <v>364.5</v>
      </c>
      <c r="D730" s="8">
        <f>if(L729=L730,N729*'Prestige Patterns'!$B$20+D729-F730,0)</f>
        <v>3.81317E+18</v>
      </c>
      <c r="E730" s="9">
        <f t="shared" si="2"/>
        <v>837</v>
      </c>
      <c r="F730" s="10">
        <f>'Prestige Patterns'!$B$5*('Prestige Patterns'!$B$6^E729-'Prestige Patterns'!$B$6^(E729+G730))/(1-'Prestige Patterns'!$B$6)</f>
        <v>0</v>
      </c>
      <c r="G730" s="13">
        <f>floor(LOG('Prestige Patterns'!$B$6^(E729) - (D729*(1-'Prestige Patterns'!$B$6)/'Prestige Patterns'!$B$5),'Prestige Patterns'!$B$6)-E729,1)</f>
        <v>0</v>
      </c>
      <c r="H730" s="12">
        <f t="shared" si="3"/>
        <v>10715287</v>
      </c>
      <c r="I730" s="11">
        <f>1+H730*'Prestige Patterns'!$B$25</f>
        <v>107153.87</v>
      </c>
      <c r="J730" s="12">
        <f>floor((K730/'Prestige Patterns'!$B$22)^'Prestige Patterns'!$B$23,1)-H729</f>
        <v>13675454</v>
      </c>
      <c r="K730" s="8">
        <f>K729+N729*'Prestige Patterns'!$B$20</f>
        <v>5.94908E+19</v>
      </c>
      <c r="L730" s="8">
        <f>if(J729&gt;='Prestige Patterns'!$B$28,if(J729/(H729+1)&gt;('Prestige Patterns'!$B$27+1),L729+1,L729),L729)</f>
        <v>14</v>
      </c>
      <c r="N730" s="12">
        <f t="shared" si="1"/>
        <v>6.01885E+16</v>
      </c>
      <c r="O730" s="9">
        <f>'Prestige Patterns'!$B$4*E730</f>
        <v>16740</v>
      </c>
      <c r="P730" s="12">
        <f t="shared" si="4"/>
        <v>33554432</v>
      </c>
      <c r="Q730" s="11"/>
      <c r="R730" s="11"/>
      <c r="S730" s="9">
        <v>729.0</v>
      </c>
      <c r="T730" s="11"/>
    </row>
    <row r="731" ht="15.75" customHeight="1">
      <c r="A731" s="7"/>
      <c r="B731" s="7"/>
      <c r="C731" s="7">
        <f>(S731*'Prestige Patterns'!$B$20)/60</f>
        <v>365</v>
      </c>
      <c r="D731" s="8">
        <f>if(L730=L731,N730*'Prestige Patterns'!$B$20+D730-F731,0)</f>
        <v>3.4436E+18</v>
      </c>
      <c r="E731" s="9">
        <f t="shared" si="2"/>
        <v>838</v>
      </c>
      <c r="F731" s="10">
        <f>'Prestige Patterns'!$B$5*('Prestige Patterns'!$B$6^E730-'Prestige Patterns'!$B$6^(E730+G731))/(1-'Prestige Patterns'!$B$6)</f>
        <v>2.17522E+18</v>
      </c>
      <c r="G731" s="13">
        <f>floor(LOG('Prestige Patterns'!$B$6^(E730) - (D730*(1-'Prestige Patterns'!$B$6)/'Prestige Patterns'!$B$5),'Prestige Patterns'!$B$6)-E730,1)</f>
        <v>1</v>
      </c>
      <c r="H731" s="12">
        <f t="shared" si="3"/>
        <v>10715287</v>
      </c>
      <c r="I731" s="11">
        <f>1+H731*'Prestige Patterns'!$B$25</f>
        <v>107153.87</v>
      </c>
      <c r="J731" s="12">
        <f>floor((K731/'Prestige Patterns'!$B$22)^'Prestige Patterns'!$B$23,1)-H730</f>
        <v>14042838</v>
      </c>
      <c r="K731" s="8">
        <f>K730+N730*'Prestige Patterns'!$B$20</f>
        <v>6.12965E+19</v>
      </c>
      <c r="L731" s="8">
        <f>if(J730&gt;='Prestige Patterns'!$B$28,if(J730/(H730+1)&gt;('Prestige Patterns'!$B$27+1),L730+1,L730),L730)</f>
        <v>14</v>
      </c>
      <c r="N731" s="12">
        <f t="shared" si="1"/>
        <v>6.02604E+16</v>
      </c>
      <c r="O731" s="9">
        <f>'Prestige Patterns'!$B$4*E731</f>
        <v>16760</v>
      </c>
      <c r="P731" s="12">
        <f t="shared" si="4"/>
        <v>33554432</v>
      </c>
      <c r="Q731" s="11"/>
      <c r="R731" s="11"/>
      <c r="S731" s="9">
        <v>730.0</v>
      </c>
      <c r="T731" s="11"/>
    </row>
    <row r="732" ht="15.75" customHeight="1">
      <c r="A732" s="7"/>
      <c r="B732" s="7"/>
      <c r="C732" s="7">
        <f>(S732*'Prestige Patterns'!$B$20)/60</f>
        <v>365.5</v>
      </c>
      <c r="D732" s="8">
        <f>if(L731=L732,N731*'Prestige Patterns'!$B$20+D731-F732,0)</f>
        <v>2.96743E+18</v>
      </c>
      <c r="E732" s="9">
        <f t="shared" si="2"/>
        <v>839</v>
      </c>
      <c r="F732" s="10">
        <f>'Prestige Patterns'!$B$5*('Prestige Patterns'!$B$6^E731-'Prestige Patterns'!$B$6^(E731+G732))/(1-'Prestige Patterns'!$B$6)</f>
        <v>2.28398E+18</v>
      </c>
      <c r="G732" s="13">
        <f>floor(LOG('Prestige Patterns'!$B$6^(E731) - (D731*(1-'Prestige Patterns'!$B$6)/'Prestige Patterns'!$B$5),'Prestige Patterns'!$B$6)-E731,1)</f>
        <v>1</v>
      </c>
      <c r="H732" s="12">
        <f t="shared" si="3"/>
        <v>10715287</v>
      </c>
      <c r="I732" s="11">
        <f>1+H732*'Prestige Patterns'!$B$25</f>
        <v>107153.87</v>
      </c>
      <c r="J732" s="12">
        <f>floor((K732/'Prestige Patterns'!$B$22)^'Prestige Patterns'!$B$23,1)-H731</f>
        <v>14405280</v>
      </c>
      <c r="K732" s="8">
        <f>K731+N731*'Prestige Patterns'!$B$20</f>
        <v>6.31043E+19</v>
      </c>
      <c r="L732" s="8">
        <f>if(J731&gt;='Prestige Patterns'!$B$28,if(J731/(H731+1)&gt;('Prestige Patterns'!$B$27+1),L731+1,L731),L731)</f>
        <v>14</v>
      </c>
      <c r="N732" s="12">
        <f t="shared" si="1"/>
        <v>6.03323E+16</v>
      </c>
      <c r="O732" s="9">
        <f>'Prestige Patterns'!$B$4*E732</f>
        <v>16780</v>
      </c>
      <c r="P732" s="12">
        <f t="shared" si="4"/>
        <v>33554432</v>
      </c>
      <c r="Q732" s="11"/>
      <c r="R732" s="11"/>
      <c r="S732" s="9">
        <v>731.0</v>
      </c>
      <c r="T732" s="11"/>
    </row>
    <row r="733" ht="15.75" customHeight="1">
      <c r="A733" s="7"/>
      <c r="B733" s="7"/>
      <c r="C733" s="7">
        <f>(S733*'Prestige Patterns'!$B$20)/60</f>
        <v>366</v>
      </c>
      <c r="D733" s="8">
        <f>if(L732=L733,N732*'Prestige Patterns'!$B$20+D732-F733,0)</f>
        <v>2.37922E+18</v>
      </c>
      <c r="E733" s="9">
        <f t="shared" si="2"/>
        <v>840</v>
      </c>
      <c r="F733" s="10">
        <f>'Prestige Patterns'!$B$5*('Prestige Patterns'!$B$6^E732-'Prestige Patterns'!$B$6^(E732+G733))/(1-'Prestige Patterns'!$B$6)</f>
        <v>2.39818E+18</v>
      </c>
      <c r="G733" s="13">
        <f>floor(LOG('Prestige Patterns'!$B$6^(E732) - (D732*(1-'Prestige Patterns'!$B$6)/'Prestige Patterns'!$B$5),'Prestige Patterns'!$B$6)-E732,1)</f>
        <v>1</v>
      </c>
      <c r="H733" s="12">
        <f t="shared" si="3"/>
        <v>10715287</v>
      </c>
      <c r="I733" s="11">
        <f>1+H733*'Prestige Patterns'!$B$25</f>
        <v>107153.87</v>
      </c>
      <c r="J733" s="12">
        <f>floor((K733/'Prestige Patterns'!$B$22)^'Prestige Patterns'!$B$23,1)-H732</f>
        <v>14762989</v>
      </c>
      <c r="K733" s="8">
        <f>K732+N732*'Prestige Patterns'!$B$20</f>
        <v>6.49143E+19</v>
      </c>
      <c r="L733" s="8">
        <f>if(J732&gt;='Prestige Patterns'!$B$28,if(J732/(H732+1)&gt;('Prestige Patterns'!$B$27+1),L732+1,L732),L732)</f>
        <v>14</v>
      </c>
      <c r="N733" s="12">
        <f t="shared" si="1"/>
        <v>6.04042E+16</v>
      </c>
      <c r="O733" s="9">
        <f>'Prestige Patterns'!$B$4*E733</f>
        <v>16800</v>
      </c>
      <c r="P733" s="12">
        <f t="shared" si="4"/>
        <v>33554432</v>
      </c>
      <c r="Q733" s="11"/>
      <c r="R733" s="11"/>
      <c r="S733" s="9">
        <v>732.0</v>
      </c>
      <c r="T733" s="11"/>
    </row>
    <row r="734" ht="15.75" customHeight="1">
      <c r="A734" s="7"/>
      <c r="B734" s="7"/>
      <c r="C734" s="7">
        <f>(S734*'Prestige Patterns'!$B$20)/60</f>
        <v>366.5</v>
      </c>
      <c r="D734" s="8">
        <f>if(L733=L734,N733*'Prestige Patterns'!$B$20+D733-F734,0)</f>
        <v>4.19134E+18</v>
      </c>
      <c r="E734" s="9">
        <f t="shared" si="2"/>
        <v>840</v>
      </c>
      <c r="F734" s="10">
        <f>'Prestige Patterns'!$B$5*('Prestige Patterns'!$B$6^E733-'Prestige Patterns'!$B$6^(E733+G734))/(1-'Prestige Patterns'!$B$6)</f>
        <v>0</v>
      </c>
      <c r="G734" s="13">
        <f>floor(LOG('Prestige Patterns'!$B$6^(E733) - (D733*(1-'Prestige Patterns'!$B$6)/'Prestige Patterns'!$B$5),'Prestige Patterns'!$B$6)-E733,1)</f>
        <v>0</v>
      </c>
      <c r="H734" s="12">
        <f t="shared" si="3"/>
        <v>10715287</v>
      </c>
      <c r="I734" s="11">
        <f>1+H734*'Prestige Patterns'!$B$25</f>
        <v>107153.87</v>
      </c>
      <c r="J734" s="12">
        <f>floor((K734/'Prestige Patterns'!$B$22)^'Prestige Patterns'!$B$23,1)-H733</f>
        <v>15116163</v>
      </c>
      <c r="K734" s="8">
        <f>K733+N733*'Prestige Patterns'!$B$20</f>
        <v>6.67264E+19</v>
      </c>
      <c r="L734" s="8">
        <f>if(J733&gt;='Prestige Patterns'!$B$28,if(J733/(H733+1)&gt;('Prestige Patterns'!$B$27+1),L733+1,L733),L733)</f>
        <v>14</v>
      </c>
      <c r="N734" s="12">
        <f t="shared" si="1"/>
        <v>6.04042E+16</v>
      </c>
      <c r="O734" s="9">
        <f>'Prestige Patterns'!$B$4*E734</f>
        <v>16800</v>
      </c>
      <c r="P734" s="12">
        <f t="shared" si="4"/>
        <v>33554432</v>
      </c>
      <c r="Q734" s="11"/>
      <c r="R734" s="11"/>
      <c r="S734" s="9">
        <v>733.0</v>
      </c>
      <c r="T734" s="11"/>
    </row>
    <row r="735" ht="15.75" customHeight="1">
      <c r="A735" s="7"/>
      <c r="B735" s="7"/>
      <c r="C735" s="7">
        <f>(S735*'Prestige Patterns'!$B$20)/60</f>
        <v>367</v>
      </c>
      <c r="D735" s="8">
        <f>if(L734=L735,N734*'Prestige Patterns'!$B$20+D734-F735,0)</f>
        <v>3.48538E+18</v>
      </c>
      <c r="E735" s="9">
        <f t="shared" si="2"/>
        <v>841</v>
      </c>
      <c r="F735" s="10">
        <f>'Prestige Patterns'!$B$5*('Prestige Patterns'!$B$6^E734-'Prestige Patterns'!$B$6^(E734+G735))/(1-'Prestige Patterns'!$B$6)</f>
        <v>2.51809E+18</v>
      </c>
      <c r="G735" s="13">
        <f>floor(LOG('Prestige Patterns'!$B$6^(E734) - (D734*(1-'Prestige Patterns'!$B$6)/'Prestige Patterns'!$B$5),'Prestige Patterns'!$B$6)-E734,1)</f>
        <v>1</v>
      </c>
      <c r="H735" s="12">
        <f t="shared" si="3"/>
        <v>10715287</v>
      </c>
      <c r="I735" s="11">
        <f>1+H735*'Prestige Patterns'!$B$25</f>
        <v>107153.87</v>
      </c>
      <c r="J735" s="12">
        <f>floor((K735/'Prestige Patterns'!$B$22)^'Prestige Patterns'!$B$23,1)-H734</f>
        <v>15464573</v>
      </c>
      <c r="K735" s="8">
        <f>K734+N734*'Prestige Patterns'!$B$20</f>
        <v>6.85385E+19</v>
      </c>
      <c r="L735" s="8">
        <f>if(J734&gt;='Prestige Patterns'!$B$28,if(J734/(H734+1)&gt;('Prestige Patterns'!$B$27+1),L734+1,L734),L734)</f>
        <v>14</v>
      </c>
      <c r="N735" s="12">
        <f t="shared" si="1"/>
        <v>6.04761E+16</v>
      </c>
      <c r="O735" s="9">
        <f>'Prestige Patterns'!$B$4*E735</f>
        <v>16820</v>
      </c>
      <c r="P735" s="12">
        <f t="shared" si="4"/>
        <v>33554432</v>
      </c>
      <c r="Q735" s="11"/>
      <c r="R735" s="11"/>
      <c r="S735" s="9">
        <v>734.0</v>
      </c>
      <c r="T735" s="11"/>
    </row>
    <row r="736" ht="15.75" customHeight="1">
      <c r="A736" s="7"/>
      <c r="B736" s="7"/>
      <c r="C736" s="7">
        <f>(S736*'Prestige Patterns'!$B$20)/60</f>
        <v>367.5</v>
      </c>
      <c r="D736" s="8">
        <f>if(L735=L736,N735*'Prestige Patterns'!$B$20+D735-F736,0)</f>
        <v>2.65567E+18</v>
      </c>
      <c r="E736" s="9">
        <f t="shared" si="2"/>
        <v>842</v>
      </c>
      <c r="F736" s="10">
        <f>'Prestige Patterns'!$B$5*('Prestige Patterns'!$B$6^E735-'Prestige Patterns'!$B$6^(E735+G736))/(1-'Prestige Patterns'!$B$6)</f>
        <v>2.64399E+18</v>
      </c>
      <c r="G736" s="13">
        <f>floor(LOG('Prestige Patterns'!$B$6^(E735) - (D735*(1-'Prestige Patterns'!$B$6)/'Prestige Patterns'!$B$5),'Prestige Patterns'!$B$6)-E735,1)</f>
        <v>1</v>
      </c>
      <c r="H736" s="12">
        <f t="shared" si="3"/>
        <v>10715287</v>
      </c>
      <c r="I736" s="11">
        <f>1+H736*'Prestige Patterns'!$B$25</f>
        <v>107153.87</v>
      </c>
      <c r="J736" s="12">
        <f>floor((K736/'Prestige Patterns'!$B$22)^'Prestige Patterns'!$B$23,1)-H735</f>
        <v>15808813</v>
      </c>
      <c r="K736" s="8">
        <f>K735+N735*'Prestige Patterns'!$B$20</f>
        <v>7.03528E+19</v>
      </c>
      <c r="L736" s="8">
        <f>if(J735&gt;='Prestige Patterns'!$B$28,if(J735/(H735+1)&gt;('Prestige Patterns'!$B$27+1),L735+1,L735),L735)</f>
        <v>14</v>
      </c>
      <c r="N736" s="12">
        <f t="shared" si="1"/>
        <v>6.0548E+16</v>
      </c>
      <c r="O736" s="9">
        <f>'Prestige Patterns'!$B$4*E736</f>
        <v>16840</v>
      </c>
      <c r="P736" s="12">
        <f t="shared" si="4"/>
        <v>33554432</v>
      </c>
      <c r="Q736" s="11"/>
      <c r="R736" s="11"/>
      <c r="S736" s="9">
        <v>735.0</v>
      </c>
      <c r="T736" s="11"/>
    </row>
    <row r="737" ht="15.75" customHeight="1">
      <c r="A737" s="7"/>
      <c r="B737" s="7"/>
      <c r="C737" s="7">
        <f>(S737*'Prestige Patterns'!$B$20)/60</f>
        <v>368</v>
      </c>
      <c r="D737" s="8">
        <f>if(L736=L737,N736*'Prestige Patterns'!$B$20+D736-F737,0)</f>
        <v>4.47211E+18</v>
      </c>
      <c r="E737" s="9">
        <f t="shared" si="2"/>
        <v>842</v>
      </c>
      <c r="F737" s="10">
        <f>'Prestige Patterns'!$B$5*('Prestige Patterns'!$B$6^E736-'Prestige Patterns'!$B$6^(E736+G737))/(1-'Prestige Patterns'!$B$6)</f>
        <v>0</v>
      </c>
      <c r="G737" s="13">
        <f>floor(LOG('Prestige Patterns'!$B$6^(E736) - (D736*(1-'Prestige Patterns'!$B$6)/'Prestige Patterns'!$B$5),'Prestige Patterns'!$B$6)-E736,1)</f>
        <v>0</v>
      </c>
      <c r="H737" s="12">
        <f t="shared" si="3"/>
        <v>10715287</v>
      </c>
      <c r="I737" s="11">
        <f>1+H737*'Prestige Patterns'!$B$25</f>
        <v>107153.87</v>
      </c>
      <c r="J737" s="12">
        <f>floor((K737/'Prestige Patterns'!$B$22)^'Prestige Patterns'!$B$23,1)-H736</f>
        <v>16149044</v>
      </c>
      <c r="K737" s="8">
        <f>K736+N736*'Prestige Patterns'!$B$20</f>
        <v>7.21692E+19</v>
      </c>
      <c r="L737" s="8">
        <f>if(J736&gt;='Prestige Patterns'!$B$28,if(J736/(H736+1)&gt;('Prestige Patterns'!$B$27+1),L736+1,L736),L736)</f>
        <v>14</v>
      </c>
      <c r="N737" s="12">
        <f t="shared" si="1"/>
        <v>6.0548E+16</v>
      </c>
      <c r="O737" s="9">
        <f>'Prestige Patterns'!$B$4*E737</f>
        <v>16840</v>
      </c>
      <c r="P737" s="12">
        <f t="shared" si="4"/>
        <v>33554432</v>
      </c>
      <c r="Q737" s="11"/>
      <c r="R737" s="11"/>
      <c r="S737" s="9">
        <v>736.0</v>
      </c>
      <c r="T737" s="11"/>
    </row>
    <row r="738" ht="15.75" customHeight="1">
      <c r="A738" s="7"/>
      <c r="B738" s="7"/>
      <c r="C738" s="7">
        <f>(S738*'Prestige Patterns'!$B$20)/60</f>
        <v>368.5</v>
      </c>
      <c r="D738" s="8">
        <f>if(L737=L738,N737*'Prestige Patterns'!$B$20+D737-F738,0)</f>
        <v>0</v>
      </c>
      <c r="E738" s="9">
        <f t="shared" si="2"/>
        <v>1</v>
      </c>
      <c r="F738" s="10">
        <f>'Prestige Patterns'!$B$5*('Prestige Patterns'!$B$6^E737-'Prestige Patterns'!$B$6^(E737+G738))/(1-'Prestige Patterns'!$B$6)</f>
        <v>2.77619E+18</v>
      </c>
      <c r="G738" s="13">
        <f>floor(LOG('Prestige Patterns'!$B$6^(E737) - (D737*(1-'Prestige Patterns'!$B$6)/'Prestige Patterns'!$B$5),'Prestige Patterns'!$B$6)-E737,1)</f>
        <v>1</v>
      </c>
      <c r="H738" s="12">
        <f t="shared" si="3"/>
        <v>26864331</v>
      </c>
      <c r="I738" s="11">
        <f>1+H738*'Prestige Patterns'!$B$25</f>
        <v>268644.31</v>
      </c>
      <c r="J738" s="12">
        <f>floor((K738/'Prestige Patterns'!$B$22)^'Prestige Patterns'!$B$23,1)-H737</f>
        <v>16485020</v>
      </c>
      <c r="K738" s="8">
        <f>K737+N737*'Prestige Patterns'!$B$20</f>
        <v>7.39857E+19</v>
      </c>
      <c r="L738" s="8">
        <f>if(J737&gt;='Prestige Patterns'!$B$28,if(J737/(H737+1)&gt;('Prestige Patterns'!$B$27+1),L737+1,L737),L737)</f>
        <v>15</v>
      </c>
      <c r="N738" s="12">
        <f t="shared" si="1"/>
        <v>180284144641638</v>
      </c>
      <c r="O738" s="9">
        <f>'Prestige Patterns'!$B$4*E738</f>
        <v>20</v>
      </c>
      <c r="P738" s="12">
        <f t="shared" si="4"/>
        <v>33554432</v>
      </c>
      <c r="Q738" s="11"/>
      <c r="R738" s="11"/>
      <c r="S738" s="9">
        <v>737.0</v>
      </c>
      <c r="T738" s="11"/>
    </row>
    <row r="739" ht="15.75" customHeight="1">
      <c r="A739" s="7"/>
      <c r="B739" s="7"/>
      <c r="C739" s="7">
        <f>(S739*'Prestige Patterns'!$B$20)/60</f>
        <v>369</v>
      </c>
      <c r="D739" s="8">
        <f>if(L738=L739,N738*'Prestige Patterns'!$B$20+D738-F739,0)</f>
        <v>5.40852E+15</v>
      </c>
      <c r="E739" s="9">
        <f t="shared" si="2"/>
        <v>1</v>
      </c>
      <c r="F739" s="10">
        <f>'Prestige Patterns'!$B$5*('Prestige Patterns'!$B$6^E738-'Prestige Patterns'!$B$6^(E738+G739))/(1-'Prestige Patterns'!$B$6)</f>
        <v>0</v>
      </c>
      <c r="G739" s="13">
        <f>floor(LOG('Prestige Patterns'!$B$6^(E738) - (D738*(1-'Prestige Patterns'!$B$6)/'Prestige Patterns'!$B$5),'Prestige Patterns'!$B$6)-E738,1)</f>
        <v>0</v>
      </c>
      <c r="H739" s="12">
        <f t="shared" si="3"/>
        <v>26864331</v>
      </c>
      <c r="I739" s="11">
        <f>1+H739*'Prestige Patterns'!$B$25</f>
        <v>268644.31</v>
      </c>
      <c r="J739" s="12">
        <f>floor((K739/'Prestige Patterns'!$B$22)^'Prestige Patterns'!$B$23,1)-H738</f>
        <v>336970</v>
      </c>
      <c r="K739" s="8">
        <f>K738+N738*'Prestige Patterns'!$B$20</f>
        <v>7.39911E+19</v>
      </c>
      <c r="L739" s="8">
        <f>if(J738&gt;='Prestige Patterns'!$B$28,if(J738/(H738+1)&gt;('Prestige Patterns'!$B$27+1),L738+1,L738),L738)</f>
        <v>15</v>
      </c>
      <c r="N739" s="12">
        <f t="shared" si="1"/>
        <v>180284144641638</v>
      </c>
      <c r="O739" s="9">
        <f>'Prestige Patterns'!$B$4*E739</f>
        <v>20</v>
      </c>
      <c r="P739" s="12">
        <f t="shared" si="4"/>
        <v>33554432</v>
      </c>
      <c r="Q739" s="11"/>
      <c r="R739" s="11"/>
      <c r="S739" s="9">
        <v>738.0</v>
      </c>
      <c r="T739" s="11"/>
    </row>
    <row r="740" ht="15.75" customHeight="1">
      <c r="A740" s="7"/>
      <c r="B740" s="7"/>
      <c r="C740" s="7">
        <f>(S740*'Prestige Patterns'!$B$20)/60</f>
        <v>369.5</v>
      </c>
      <c r="D740" s="8">
        <f>if(L739=L740,N739*'Prestige Patterns'!$B$20+D739-F740,0)</f>
        <v>5.58691E+15</v>
      </c>
      <c r="E740" s="9">
        <f t="shared" si="2"/>
        <v>652</v>
      </c>
      <c r="F740" s="10">
        <f>'Prestige Patterns'!$B$5*('Prestige Patterns'!$B$6^E739-'Prestige Patterns'!$B$6^(E739+G740))/(1-'Prestige Patterns'!$B$6)</f>
        <v>5.23014E+15</v>
      </c>
      <c r="G740" s="13">
        <f>floor(LOG('Prestige Patterns'!$B$6^(E739) - (D739*(1-'Prestige Patterns'!$B$6)/'Prestige Patterns'!$B$5),'Prestige Patterns'!$B$6)-E739,1)</f>
        <v>651</v>
      </c>
      <c r="H740" s="12">
        <f t="shared" si="3"/>
        <v>26864331</v>
      </c>
      <c r="I740" s="11">
        <f>1+H740*'Prestige Patterns'!$B$25</f>
        <v>268644.31</v>
      </c>
      <c r="J740" s="12">
        <f>floor((K740/'Prestige Patterns'!$B$22)^'Prestige Patterns'!$B$23,1)-H739</f>
        <v>337964</v>
      </c>
      <c r="K740" s="8">
        <f>K739+N739*'Prestige Patterns'!$B$20</f>
        <v>7.39965E+19</v>
      </c>
      <c r="L740" s="8">
        <f>if(J739&gt;='Prestige Patterns'!$B$28,if(J739/(H739+1)&gt;('Prestige Patterns'!$B$27+1),L739+1,L739),L739)</f>
        <v>15</v>
      </c>
      <c r="N740" s="12">
        <f t="shared" si="1"/>
        <v>3.67329E+15</v>
      </c>
      <c r="O740" s="9">
        <f>'Prestige Patterns'!$B$4*E740</f>
        <v>13040</v>
      </c>
      <c r="P740" s="12">
        <f t="shared" si="4"/>
        <v>1048576</v>
      </c>
      <c r="Q740" s="11"/>
      <c r="R740" s="11"/>
      <c r="S740" s="9">
        <v>739.0</v>
      </c>
      <c r="T740" s="11"/>
    </row>
    <row r="741" ht="15.75" customHeight="1">
      <c r="A741" s="7"/>
      <c r="B741" s="7"/>
      <c r="C741" s="7">
        <f>(S741*'Prestige Patterns'!$B$20)/60</f>
        <v>370</v>
      </c>
      <c r="D741" s="8">
        <f>if(L740=L741,N740*'Prestige Patterns'!$B$20+D740-F741,0)</f>
        <v>1.1066E+17</v>
      </c>
      <c r="E741" s="9">
        <f t="shared" si="2"/>
        <v>666</v>
      </c>
      <c r="F741" s="10">
        <f>'Prestige Patterns'!$B$5*('Prestige Patterns'!$B$6^E740-'Prestige Patterns'!$B$6^(E740+G741))/(1-'Prestige Patterns'!$B$6)</f>
        <v>5.12518E+15</v>
      </c>
      <c r="G741" s="13">
        <f>floor(LOG('Prestige Patterns'!$B$6^(E740) - (D740*(1-'Prestige Patterns'!$B$6)/'Prestige Patterns'!$B$5),'Prestige Patterns'!$B$6)-E740,1)</f>
        <v>14</v>
      </c>
      <c r="H741" s="12">
        <f t="shared" si="3"/>
        <v>26864331</v>
      </c>
      <c r="I741" s="11">
        <f>1+H741*'Prestige Patterns'!$B$25</f>
        <v>268644.31</v>
      </c>
      <c r="J741" s="12">
        <f>floor((K741/'Prestige Patterns'!$B$22)^'Prestige Patterns'!$B$23,1)-H740</f>
        <v>358212</v>
      </c>
      <c r="K741" s="8">
        <f>K740+N740*'Prestige Patterns'!$B$20</f>
        <v>7.41067E+19</v>
      </c>
      <c r="L741" s="8">
        <f>if(J740&gt;='Prestige Patterns'!$B$28,if(J740/(H740+1)&gt;('Prestige Patterns'!$B$27+1),L740+1,L740),L740)</f>
        <v>15</v>
      </c>
      <c r="N741" s="12">
        <f t="shared" si="1"/>
        <v>3.75216E+15</v>
      </c>
      <c r="O741" s="9">
        <f>'Prestige Patterns'!$B$4*E741</f>
        <v>13320</v>
      </c>
      <c r="P741" s="12">
        <f t="shared" si="4"/>
        <v>1048576</v>
      </c>
      <c r="Q741" s="11"/>
      <c r="R741" s="11"/>
      <c r="S741" s="9">
        <v>740.0</v>
      </c>
      <c r="T741" s="11"/>
    </row>
    <row r="742" ht="15.75" customHeight="1">
      <c r="A742" s="7"/>
      <c r="B742" s="7"/>
      <c r="C742" s="7">
        <f>(S742*'Prestige Patterns'!$B$20)/60</f>
        <v>370.5</v>
      </c>
      <c r="D742" s="8">
        <f>if(L741=L742,N741*'Prestige Patterns'!$B$20+D741-F742,0)</f>
        <v>1.14832E+17</v>
      </c>
      <c r="E742" s="9">
        <f t="shared" si="2"/>
        <v>716</v>
      </c>
      <c r="F742" s="10">
        <f>'Prestige Patterns'!$B$5*('Prestige Patterns'!$B$6^E741-'Prestige Patterns'!$B$6^(E741+G742))/(1-'Prestige Patterns'!$B$6)</f>
        <v>1.08393E+17</v>
      </c>
      <c r="G742" s="13">
        <f>floor(LOG('Prestige Patterns'!$B$6^(E741) - (D741*(1-'Prestige Patterns'!$B$6)/'Prestige Patterns'!$B$5),'Prestige Patterns'!$B$6)-E741,1)</f>
        <v>50</v>
      </c>
      <c r="H742" s="12">
        <f t="shared" si="3"/>
        <v>26864331</v>
      </c>
      <c r="I742" s="11">
        <f>1+H742*'Prestige Patterns'!$B$25</f>
        <v>268644.31</v>
      </c>
      <c r="J742" s="12">
        <f>floor((K742/'Prestige Patterns'!$B$22)^'Prestige Patterns'!$B$23,1)-H741</f>
        <v>378879</v>
      </c>
      <c r="K742" s="8">
        <f>K741+N741*'Prestige Patterns'!$B$20</f>
        <v>7.42193E+19</v>
      </c>
      <c r="L742" s="8">
        <f>if(J741&gt;='Prestige Patterns'!$B$28,if(J741/(H741+1)&gt;('Prestige Patterns'!$B$27+1),L741+1,L741),L741)</f>
        <v>15</v>
      </c>
      <c r="N742" s="12">
        <f t="shared" si="1"/>
        <v>1.29083E+17</v>
      </c>
      <c r="O742" s="9">
        <f>'Prestige Patterns'!$B$4*E742</f>
        <v>14320</v>
      </c>
      <c r="P742" s="12">
        <f t="shared" si="4"/>
        <v>33554432</v>
      </c>
      <c r="Q742" s="11"/>
      <c r="R742" s="11"/>
      <c r="S742" s="9">
        <v>741.0</v>
      </c>
      <c r="T742" s="11"/>
    </row>
    <row r="743" ht="15.75" customHeight="1">
      <c r="A743" s="7"/>
      <c r="B743" s="7"/>
      <c r="C743" s="7">
        <f>(S743*'Prestige Patterns'!$B$20)/60</f>
        <v>371</v>
      </c>
      <c r="D743" s="8">
        <f>if(L742=L743,N742*'Prestige Patterns'!$B$20+D742-F743,0)</f>
        <v>3.88217E+18</v>
      </c>
      <c r="E743" s="9">
        <f t="shared" si="2"/>
        <v>729</v>
      </c>
      <c r="F743" s="10">
        <f>'Prestige Patterns'!$B$5*('Prestige Patterns'!$B$6^E742-'Prestige Patterns'!$B$6^(E742+G743))/(1-'Prestige Patterns'!$B$6)</f>
        <v>1.0517E+17</v>
      </c>
      <c r="G743" s="13">
        <f>floor(LOG('Prestige Patterns'!$B$6^(E742) - (D742*(1-'Prestige Patterns'!$B$6)/'Prestige Patterns'!$B$5),'Prestige Patterns'!$B$6)-E742,1)</f>
        <v>13</v>
      </c>
      <c r="H743" s="12">
        <f t="shared" si="3"/>
        <v>26864331</v>
      </c>
      <c r="I743" s="11">
        <f>1+H743*'Prestige Patterns'!$B$25</f>
        <v>268644.31</v>
      </c>
      <c r="J743" s="12">
        <f>floor((K743/'Prestige Patterns'!$B$22)^'Prestige Patterns'!$B$23,1)-H742</f>
        <v>1080571</v>
      </c>
      <c r="K743" s="8">
        <f>K742+N742*'Prestige Patterns'!$B$20</f>
        <v>7.80918E+19</v>
      </c>
      <c r="L743" s="8">
        <f>if(J742&gt;='Prestige Patterns'!$B$28,if(J742/(H742+1)&gt;('Prestige Patterns'!$B$27+1),L742+1,L742),L742)</f>
        <v>15</v>
      </c>
      <c r="N743" s="12">
        <f t="shared" si="1"/>
        <v>1.31427E+17</v>
      </c>
      <c r="O743" s="9">
        <f>'Prestige Patterns'!$B$4*E743</f>
        <v>14580</v>
      </c>
      <c r="P743" s="12">
        <f t="shared" si="4"/>
        <v>33554432</v>
      </c>
      <c r="Q743" s="11"/>
      <c r="R743" s="11"/>
      <c r="S743" s="9">
        <v>742.0</v>
      </c>
      <c r="T743" s="11"/>
    </row>
    <row r="744" ht="15.75" customHeight="1">
      <c r="A744" s="7"/>
      <c r="B744" s="7"/>
      <c r="C744" s="7">
        <f>(S744*'Prestige Patterns'!$B$20)/60</f>
        <v>371.5</v>
      </c>
      <c r="D744" s="8">
        <f>if(L743=L744,N743*'Prestige Patterns'!$B$20+D743-F744,0)</f>
        <v>4.06546E+18</v>
      </c>
      <c r="E744" s="9">
        <f t="shared" si="2"/>
        <v>788</v>
      </c>
      <c r="F744" s="10">
        <f>'Prestige Patterns'!$B$5*('Prestige Patterns'!$B$6^E743-'Prestige Patterns'!$B$6^(E743+G744))/(1-'Prestige Patterns'!$B$6)</f>
        <v>3.75952E+18</v>
      </c>
      <c r="G744" s="13">
        <f>floor(LOG('Prestige Patterns'!$B$6^(E743) - (D743*(1-'Prestige Patterns'!$B$6)/'Prestige Patterns'!$B$5),'Prestige Patterns'!$B$6)-E743,1)</f>
        <v>59</v>
      </c>
      <c r="H744" s="12">
        <f t="shared" si="3"/>
        <v>26864331</v>
      </c>
      <c r="I744" s="11">
        <f>1+H744*'Prestige Patterns'!$B$25</f>
        <v>268644.31</v>
      </c>
      <c r="J744" s="12">
        <f>floor((K744/'Prestige Patterns'!$B$22)^'Prestige Patterns'!$B$23,1)-H743</f>
        <v>1777346</v>
      </c>
      <c r="K744" s="8">
        <f>K743+N743*'Prestige Patterns'!$B$20</f>
        <v>8.20346E+19</v>
      </c>
      <c r="L744" s="8">
        <f>if(J743&gt;='Prestige Patterns'!$B$28,if(J743/(H743+1)&gt;('Prestige Patterns'!$B$27+1),L743+1,L743),L743)</f>
        <v>15</v>
      </c>
      <c r="N744" s="12">
        <f t="shared" si="1"/>
        <v>1.42064E+17</v>
      </c>
      <c r="O744" s="9">
        <f>'Prestige Patterns'!$B$4*E744</f>
        <v>15760</v>
      </c>
      <c r="P744" s="12">
        <f t="shared" si="4"/>
        <v>33554432</v>
      </c>
      <c r="Q744" s="11"/>
      <c r="R744" s="11"/>
      <c r="S744" s="9">
        <v>743.0</v>
      </c>
      <c r="T744" s="11"/>
    </row>
    <row r="745" ht="15.75" customHeight="1">
      <c r="A745" s="7"/>
      <c r="B745" s="7"/>
      <c r="C745" s="7">
        <f>(S745*'Prestige Patterns'!$B$20)/60</f>
        <v>372</v>
      </c>
      <c r="D745" s="8">
        <f>if(L744=L745,N744*'Prestige Patterns'!$B$20+D744-F745,0)</f>
        <v>4.42389E+18</v>
      </c>
      <c r="E745" s="9">
        <f t="shared" si="2"/>
        <v>802</v>
      </c>
      <c r="F745" s="10">
        <f>'Prestige Patterns'!$B$5*('Prestige Patterns'!$B$6^E744-'Prestige Patterns'!$B$6^(E744+G745))/(1-'Prestige Patterns'!$B$6)</f>
        <v>3.90349E+18</v>
      </c>
      <c r="G745" s="13">
        <f>floor(LOG('Prestige Patterns'!$B$6^(E744) - (D744*(1-'Prestige Patterns'!$B$6)/'Prestige Patterns'!$B$5),'Prestige Patterns'!$B$6)-E744,1)</f>
        <v>14</v>
      </c>
      <c r="H745" s="12">
        <f t="shared" si="3"/>
        <v>26864331</v>
      </c>
      <c r="I745" s="11">
        <f>1+H745*'Prestige Patterns'!$B$25</f>
        <v>268644.31</v>
      </c>
      <c r="J745" s="12">
        <f>floor((K745/'Prestige Patterns'!$B$22)^'Prestige Patterns'!$B$23,1)-H744</f>
        <v>2511932</v>
      </c>
      <c r="K745" s="8">
        <f>K744+N744*'Prestige Patterns'!$B$20</f>
        <v>8.62965E+19</v>
      </c>
      <c r="L745" s="8">
        <f>if(J744&gt;='Prestige Patterns'!$B$28,if(J744/(H744+1)&gt;('Prestige Patterns'!$B$27+1),L744+1,L744),L744)</f>
        <v>15</v>
      </c>
      <c r="N745" s="12">
        <f t="shared" si="1"/>
        <v>1.44588E+17</v>
      </c>
      <c r="O745" s="9">
        <f>'Prestige Patterns'!$B$4*E745</f>
        <v>16040</v>
      </c>
      <c r="P745" s="12">
        <f t="shared" si="4"/>
        <v>33554432</v>
      </c>
      <c r="Q745" s="11"/>
      <c r="R745" s="11"/>
      <c r="S745" s="9">
        <v>744.0</v>
      </c>
      <c r="T745" s="11"/>
    </row>
    <row r="746" ht="15.75" customHeight="1">
      <c r="A746" s="7"/>
      <c r="B746" s="7"/>
      <c r="C746" s="7">
        <f>(S746*'Prestige Patterns'!$B$20)/60</f>
        <v>372.5</v>
      </c>
      <c r="D746" s="8">
        <f>if(L745=L746,N745*'Prestige Patterns'!$B$20+D745-F746,0)</f>
        <v>4.41324E+18</v>
      </c>
      <c r="E746" s="9">
        <f t="shared" si="2"/>
        <v>811</v>
      </c>
      <c r="F746" s="10">
        <f>'Prestige Patterns'!$B$5*('Prestige Patterns'!$B$6^E745-'Prestige Patterns'!$B$6^(E745+G746))/(1-'Prestige Patterns'!$B$6)</f>
        <v>4.34829E+18</v>
      </c>
      <c r="G746" s="13">
        <f>floor(LOG('Prestige Patterns'!$B$6^(E745) - (D745*(1-'Prestige Patterns'!$B$6)/'Prestige Patterns'!$B$5),'Prestige Patterns'!$B$6)-E745,1)</f>
        <v>9</v>
      </c>
      <c r="H746" s="12">
        <f t="shared" si="3"/>
        <v>26864331</v>
      </c>
      <c r="I746" s="11">
        <f>1+H746*'Prestige Patterns'!$B$25</f>
        <v>268644.31</v>
      </c>
      <c r="J746" s="12">
        <f>floor((K746/'Prestige Patterns'!$B$22)^'Prestige Patterns'!$B$23,1)-H745</f>
        <v>3241170</v>
      </c>
      <c r="K746" s="8">
        <f>K745+N745*'Prestige Patterns'!$B$20</f>
        <v>9.06341E+19</v>
      </c>
      <c r="L746" s="8">
        <f>if(J745&gt;='Prestige Patterns'!$B$28,if(J745/(H745+1)&gt;('Prestige Patterns'!$B$27+1),L745+1,L745),L745)</f>
        <v>15</v>
      </c>
      <c r="N746" s="12">
        <f t="shared" si="1"/>
        <v>1.4621E+17</v>
      </c>
      <c r="O746" s="9">
        <f>'Prestige Patterns'!$B$4*E746</f>
        <v>16220</v>
      </c>
      <c r="P746" s="12">
        <f t="shared" si="4"/>
        <v>33554432</v>
      </c>
      <c r="Q746" s="11"/>
      <c r="R746" s="11"/>
      <c r="S746" s="9">
        <v>745.0</v>
      </c>
      <c r="T746" s="11"/>
    </row>
    <row r="747" ht="15.75" customHeight="1">
      <c r="A747" s="7"/>
      <c r="B747" s="7"/>
      <c r="C747" s="7">
        <f>(S747*'Prestige Patterns'!$B$20)/60</f>
        <v>373</v>
      </c>
      <c r="D747" s="8">
        <f>if(L746=L747,N746*'Prestige Patterns'!$B$20+D746-F747,0)</f>
        <v>4.63841E+18</v>
      </c>
      <c r="E747" s="9">
        <f t="shared" si="2"/>
        <v>817</v>
      </c>
      <c r="F747" s="10">
        <f>'Prestige Patterns'!$B$5*('Prestige Patterns'!$B$6^E746-'Prestige Patterns'!$B$6^(E746+G747))/(1-'Prestige Patterns'!$B$6)</f>
        <v>4.16114E+18</v>
      </c>
      <c r="G747" s="13">
        <f>floor(LOG('Prestige Patterns'!$B$6^(E746) - (D746*(1-'Prestige Patterns'!$B$6)/'Prestige Patterns'!$B$5),'Prestige Patterns'!$B$6)-E746,1)</f>
        <v>6</v>
      </c>
      <c r="H747" s="12">
        <f t="shared" si="3"/>
        <v>26864331</v>
      </c>
      <c r="I747" s="11">
        <f>1+H747*'Prestige Patterns'!$B$25</f>
        <v>268644.31</v>
      </c>
      <c r="J747" s="12">
        <f>floor((K747/'Prestige Patterns'!$B$22)^'Prestige Patterns'!$B$23,1)-H746</f>
        <v>3961054</v>
      </c>
      <c r="K747" s="8">
        <f>K746+N746*'Prestige Patterns'!$B$20</f>
        <v>9.50204E+19</v>
      </c>
      <c r="L747" s="8">
        <f>if(J746&gt;='Prestige Patterns'!$B$28,if(J746/(H746+1)&gt;('Prestige Patterns'!$B$27+1),L746+1,L746),L746)</f>
        <v>15</v>
      </c>
      <c r="N747" s="12">
        <f t="shared" si="1"/>
        <v>1.47292E+17</v>
      </c>
      <c r="O747" s="9">
        <f>'Prestige Patterns'!$B$4*E747</f>
        <v>16340</v>
      </c>
      <c r="P747" s="12">
        <f t="shared" si="4"/>
        <v>33554432</v>
      </c>
      <c r="Q747" s="11"/>
      <c r="R747" s="11"/>
      <c r="S747" s="9">
        <v>746.0</v>
      </c>
      <c r="T747" s="11"/>
    </row>
    <row r="748" ht="15.75" customHeight="1">
      <c r="A748" s="7"/>
      <c r="B748" s="7"/>
      <c r="C748" s="7">
        <f>(S748*'Prestige Patterns'!$B$20)/60</f>
        <v>373.5</v>
      </c>
      <c r="D748" s="8">
        <f>if(L747=L748,N747*'Prestige Patterns'!$B$20+D747-F748,0)</f>
        <v>4.52716E+18</v>
      </c>
      <c r="E748" s="9">
        <f t="shared" si="2"/>
        <v>822</v>
      </c>
      <c r="F748" s="10">
        <f>'Prestige Patterns'!$B$5*('Prestige Patterns'!$B$6^E747-'Prestige Patterns'!$B$6^(E747+G748))/(1-'Prestige Patterns'!$B$6)</f>
        <v>4.53001E+18</v>
      </c>
      <c r="G748" s="13">
        <f>floor(LOG('Prestige Patterns'!$B$6^(E747) - (D747*(1-'Prestige Patterns'!$B$6)/'Prestige Patterns'!$B$5),'Prestige Patterns'!$B$6)-E747,1)</f>
        <v>5</v>
      </c>
      <c r="H748" s="12">
        <f t="shared" si="3"/>
        <v>26864331</v>
      </c>
      <c r="I748" s="11">
        <f>1+H748*'Prestige Patterns'!$B$25</f>
        <v>268644.31</v>
      </c>
      <c r="J748" s="12">
        <f>floor((K748/'Prestige Patterns'!$B$22)^'Prestige Patterns'!$B$23,1)-H747</f>
        <v>4669651</v>
      </c>
      <c r="K748" s="8">
        <f>K747+N747*'Prestige Patterns'!$B$20</f>
        <v>9.94392E+19</v>
      </c>
      <c r="L748" s="8">
        <f>if(J747&gt;='Prestige Patterns'!$B$28,if(J747/(H747+1)&gt;('Prestige Patterns'!$B$27+1),L747+1,L747),L747)</f>
        <v>15</v>
      </c>
      <c r="N748" s="12">
        <f t="shared" si="1"/>
        <v>1.48194E+17</v>
      </c>
      <c r="O748" s="9">
        <f>'Prestige Patterns'!$B$4*E748</f>
        <v>16440</v>
      </c>
      <c r="P748" s="12">
        <f t="shared" si="4"/>
        <v>33554432</v>
      </c>
      <c r="Q748" s="11"/>
      <c r="R748" s="11"/>
      <c r="S748" s="9">
        <v>747.0</v>
      </c>
      <c r="T748" s="11"/>
    </row>
    <row r="749" ht="15.75" customHeight="1">
      <c r="A749" s="7"/>
      <c r="B749" s="7"/>
      <c r="C749" s="7">
        <f>(S749*'Prestige Patterns'!$B$20)/60</f>
        <v>374</v>
      </c>
      <c r="D749" s="8">
        <f>if(L748=L749,N748*'Prestige Patterns'!$B$20+D748-F749,0)</f>
        <v>4.46321E+18</v>
      </c>
      <c r="E749" s="9">
        <f t="shared" si="2"/>
        <v>826</v>
      </c>
      <c r="F749" s="10">
        <f>'Prestige Patterns'!$B$5*('Prestige Patterns'!$B$6^E748-'Prestige Patterns'!$B$6^(E748+G749))/(1-'Prestige Patterns'!$B$6)</f>
        <v>4.50976E+18</v>
      </c>
      <c r="G749" s="13">
        <f>floor(LOG('Prestige Patterns'!$B$6^(E748) - (D748*(1-'Prestige Patterns'!$B$6)/'Prestige Patterns'!$B$5),'Prestige Patterns'!$B$6)-E748,1)</f>
        <v>4</v>
      </c>
      <c r="H749" s="12">
        <f t="shared" si="3"/>
        <v>26864331</v>
      </c>
      <c r="I749" s="11">
        <f>1+H749*'Prestige Patterns'!$B$25</f>
        <v>268644.31</v>
      </c>
      <c r="J749" s="12">
        <f>floor((K749/'Prestige Patterns'!$B$22)^'Prestige Patterns'!$B$23,1)-H748</f>
        <v>5366866</v>
      </c>
      <c r="K749" s="8">
        <f>K748+N748*'Prestige Patterns'!$B$20</f>
        <v>1.03885E+20</v>
      </c>
      <c r="L749" s="8">
        <f>if(J748&gt;='Prestige Patterns'!$B$28,if(J748/(H748+1)&gt;('Prestige Patterns'!$B$27+1),L748+1,L748),L748)</f>
        <v>15</v>
      </c>
      <c r="N749" s="12">
        <f t="shared" si="1"/>
        <v>1.48915E+17</v>
      </c>
      <c r="O749" s="9">
        <f>'Prestige Patterns'!$B$4*E749</f>
        <v>16520</v>
      </c>
      <c r="P749" s="12">
        <f t="shared" si="4"/>
        <v>33554432</v>
      </c>
      <c r="Q749" s="11"/>
      <c r="R749" s="11"/>
      <c r="S749" s="9">
        <v>748.0</v>
      </c>
      <c r="T749" s="11"/>
    </row>
    <row r="750" ht="15.75" customHeight="1">
      <c r="A750" s="7"/>
      <c r="B750" s="7"/>
      <c r="C750" s="7">
        <f>(S750*'Prestige Patterns'!$B$20)/60</f>
        <v>374.5</v>
      </c>
      <c r="D750" s="8">
        <f>if(L749=L750,N749*'Prestige Patterns'!$B$20+D749-F750,0)</f>
        <v>4.92128E+18</v>
      </c>
      <c r="E750" s="9">
        <f t="shared" si="2"/>
        <v>829</v>
      </c>
      <c r="F750" s="10">
        <f>'Prestige Patterns'!$B$5*('Prestige Patterns'!$B$6^E749-'Prestige Patterns'!$B$6^(E749+G750))/(1-'Prestige Patterns'!$B$6)</f>
        <v>4.00937E+18</v>
      </c>
      <c r="G750" s="13">
        <f>floor(LOG('Prestige Patterns'!$B$6^(E749) - (D749*(1-'Prestige Patterns'!$B$6)/'Prestige Patterns'!$B$5),'Prestige Patterns'!$B$6)-E749,1)</f>
        <v>3</v>
      </c>
      <c r="H750" s="12">
        <f t="shared" si="3"/>
        <v>26864331</v>
      </c>
      <c r="I750" s="11">
        <f>1+H750*'Prestige Patterns'!$B$25</f>
        <v>268644.31</v>
      </c>
      <c r="J750" s="12">
        <f>floor((K750/'Prestige Patterns'!$B$22)^'Prestige Patterns'!$B$23,1)-H749</f>
        <v>6052602</v>
      </c>
      <c r="K750" s="8">
        <f>K749+N749*'Prestige Patterns'!$B$20</f>
        <v>1.08352E+20</v>
      </c>
      <c r="L750" s="8">
        <f>if(J749&gt;='Prestige Patterns'!$B$28,if(J749/(H749+1)&gt;('Prestige Patterns'!$B$27+1),L749+1,L749),L749)</f>
        <v>15</v>
      </c>
      <c r="N750" s="12">
        <f t="shared" si="1"/>
        <v>1.49456E+17</v>
      </c>
      <c r="O750" s="9">
        <f>'Prestige Patterns'!$B$4*E750</f>
        <v>16580</v>
      </c>
      <c r="P750" s="12">
        <f t="shared" si="4"/>
        <v>33554432</v>
      </c>
      <c r="Q750" s="11"/>
      <c r="R750" s="11"/>
      <c r="S750" s="9">
        <v>749.0</v>
      </c>
      <c r="T750" s="11"/>
    </row>
    <row r="751" ht="15.75" customHeight="1">
      <c r="A751" s="7"/>
      <c r="B751" s="7"/>
      <c r="C751" s="7">
        <f>(S751*'Prestige Patterns'!$B$20)/60</f>
        <v>375</v>
      </c>
      <c r="D751" s="8">
        <f>if(L750=L751,N750*'Prestige Patterns'!$B$20+D750-F751,0)</f>
        <v>4.7636E+18</v>
      </c>
      <c r="E751" s="9">
        <f t="shared" si="2"/>
        <v>832</v>
      </c>
      <c r="F751" s="10">
        <f>'Prestige Patterns'!$B$5*('Prestige Patterns'!$B$6^E750-'Prestige Patterns'!$B$6^(E750+G751))/(1-'Prestige Patterns'!$B$6)</f>
        <v>4.64135E+18</v>
      </c>
      <c r="G751" s="13">
        <f>floor(LOG('Prestige Patterns'!$B$6^(E750) - (D750*(1-'Prestige Patterns'!$B$6)/'Prestige Patterns'!$B$5),'Prestige Patterns'!$B$6)-E750,1)</f>
        <v>3</v>
      </c>
      <c r="H751" s="12">
        <f t="shared" si="3"/>
        <v>26864331</v>
      </c>
      <c r="I751" s="11">
        <f>1+H751*'Prestige Patterns'!$B$25</f>
        <v>268644.31</v>
      </c>
      <c r="J751" s="12">
        <f>floor((K751/'Prestige Patterns'!$B$22)^'Prestige Patterns'!$B$23,1)-H750</f>
        <v>6726756</v>
      </c>
      <c r="K751" s="8">
        <f>K750+N750*'Prestige Patterns'!$B$20</f>
        <v>1.12836E+20</v>
      </c>
      <c r="L751" s="8">
        <f>if(J750&gt;='Prestige Patterns'!$B$28,if(J750/(H750+1)&gt;('Prestige Patterns'!$B$27+1),L750+1,L750),L750)</f>
        <v>15</v>
      </c>
      <c r="N751" s="12">
        <f t="shared" si="1"/>
        <v>1.49996E+17</v>
      </c>
      <c r="O751" s="9">
        <f>'Prestige Patterns'!$B$4*E751</f>
        <v>16640</v>
      </c>
      <c r="P751" s="12">
        <f t="shared" si="4"/>
        <v>33554432</v>
      </c>
      <c r="Q751" s="11"/>
      <c r="R751" s="11"/>
      <c r="S751" s="9">
        <v>750.0</v>
      </c>
      <c r="T751" s="11"/>
    </row>
    <row r="752" ht="15.75" customHeight="1">
      <c r="A752" s="7"/>
      <c r="B752" s="7"/>
      <c r="C752" s="7"/>
      <c r="D752" s="8"/>
      <c r="E752" s="10"/>
      <c r="F752" s="10"/>
      <c r="H752" s="8"/>
      <c r="I752" s="11"/>
      <c r="K752" s="8"/>
      <c r="L752" s="8"/>
      <c r="N752" s="10"/>
      <c r="O752" s="10"/>
      <c r="P752" s="10"/>
      <c r="Q752" s="11"/>
      <c r="R752" s="11"/>
      <c r="S752" s="10"/>
      <c r="T752" s="11"/>
    </row>
    <row r="753" ht="15.75" customHeight="1">
      <c r="A753" s="7"/>
      <c r="B753" s="7"/>
      <c r="C753" s="7"/>
      <c r="D753" s="8"/>
      <c r="E753" s="10"/>
      <c r="F753" s="10"/>
      <c r="H753" s="8"/>
      <c r="I753" s="11"/>
      <c r="K753" s="8"/>
      <c r="L753" s="8"/>
      <c r="N753" s="10"/>
      <c r="O753" s="10"/>
      <c r="P753" s="10"/>
      <c r="Q753" s="11"/>
      <c r="R753" s="11"/>
      <c r="S753" s="10"/>
      <c r="T753" s="11"/>
    </row>
    <row r="754" ht="15.75" customHeight="1">
      <c r="A754" s="7"/>
      <c r="B754" s="7"/>
      <c r="C754" s="7"/>
      <c r="D754" s="8"/>
      <c r="E754" s="10"/>
      <c r="F754" s="10"/>
      <c r="H754" s="8"/>
      <c r="I754" s="11"/>
      <c r="J754" s="8"/>
      <c r="K754" s="8"/>
      <c r="L754" s="8"/>
      <c r="N754" s="10"/>
      <c r="O754" s="10"/>
      <c r="P754" s="10"/>
      <c r="Q754" s="11"/>
      <c r="R754" s="11"/>
      <c r="S754" s="10"/>
      <c r="T754" s="11"/>
    </row>
    <row r="755" ht="15.75" customHeight="1">
      <c r="A755" s="7"/>
      <c r="B755" s="7"/>
      <c r="C755" s="7"/>
      <c r="D755" s="8"/>
      <c r="E755" s="10"/>
      <c r="F755" s="10"/>
      <c r="H755" s="8"/>
      <c r="I755" s="11"/>
      <c r="J755" s="8"/>
      <c r="K755" s="8"/>
      <c r="L755" s="8"/>
      <c r="N755" s="10"/>
      <c r="O755" s="10"/>
      <c r="P755" s="10"/>
      <c r="Q755" s="11"/>
      <c r="R755" s="11"/>
      <c r="S755" s="10"/>
      <c r="T755" s="11"/>
    </row>
    <row r="756" ht="15.75" customHeight="1">
      <c r="A756" s="7"/>
      <c r="B756" s="7"/>
      <c r="C756" s="7"/>
      <c r="D756" s="8"/>
      <c r="E756" s="10"/>
      <c r="F756" s="10"/>
      <c r="H756" s="8"/>
      <c r="I756" s="11"/>
      <c r="J756" s="8"/>
      <c r="K756" s="8"/>
      <c r="L756" s="8"/>
      <c r="N756" s="10"/>
      <c r="O756" s="10"/>
      <c r="P756" s="10"/>
      <c r="Q756" s="11"/>
      <c r="R756" s="11"/>
      <c r="S756" s="10"/>
      <c r="T756" s="11"/>
    </row>
    <row r="757" ht="15.75" customHeight="1">
      <c r="A757" s="7"/>
      <c r="B757" s="7"/>
      <c r="C757" s="7"/>
      <c r="D757" s="8"/>
      <c r="E757" s="10"/>
      <c r="F757" s="10"/>
      <c r="H757" s="8"/>
      <c r="I757" s="11"/>
      <c r="J757" s="8"/>
      <c r="K757" s="8"/>
      <c r="L757" s="8"/>
      <c r="N757" s="10"/>
      <c r="O757" s="10"/>
      <c r="P757" s="10"/>
      <c r="Q757" s="11"/>
      <c r="R757" s="11"/>
      <c r="S757" s="10"/>
      <c r="T757" s="11"/>
    </row>
    <row r="758" ht="15.75" customHeight="1">
      <c r="A758" s="7"/>
      <c r="B758" s="7"/>
      <c r="C758" s="7"/>
      <c r="D758" s="8"/>
      <c r="E758" s="10"/>
      <c r="F758" s="10"/>
      <c r="H758" s="8"/>
      <c r="I758" s="11"/>
      <c r="J758" s="8"/>
      <c r="K758" s="8"/>
      <c r="L758" s="8"/>
      <c r="N758" s="10"/>
      <c r="O758" s="10"/>
      <c r="P758" s="10"/>
      <c r="Q758" s="11"/>
      <c r="R758" s="11"/>
      <c r="S758" s="10"/>
      <c r="T758" s="11"/>
    </row>
    <row r="759" ht="15.75" customHeight="1">
      <c r="A759" s="7"/>
      <c r="B759" s="7"/>
      <c r="C759" s="7"/>
      <c r="D759" s="8"/>
      <c r="E759" s="10"/>
      <c r="F759" s="10"/>
      <c r="H759" s="8"/>
      <c r="I759" s="11"/>
      <c r="J759" s="8"/>
      <c r="K759" s="8"/>
      <c r="L759" s="8"/>
      <c r="N759" s="10"/>
      <c r="O759" s="10"/>
      <c r="P759" s="10"/>
      <c r="Q759" s="11"/>
      <c r="R759" s="11"/>
      <c r="S759" s="10"/>
      <c r="T759" s="11"/>
    </row>
    <row r="760" ht="15.75" customHeight="1">
      <c r="A760" s="7"/>
      <c r="B760" s="7"/>
      <c r="C760" s="7"/>
      <c r="D760" s="8"/>
      <c r="E760" s="10"/>
      <c r="F760" s="10"/>
      <c r="H760" s="8"/>
      <c r="I760" s="11"/>
      <c r="J760" s="8"/>
      <c r="K760" s="8"/>
      <c r="L760" s="8"/>
      <c r="N760" s="10"/>
      <c r="O760" s="10"/>
      <c r="P760" s="10"/>
      <c r="Q760" s="11"/>
      <c r="R760" s="11"/>
      <c r="S760" s="10"/>
      <c r="T760" s="11"/>
    </row>
    <row r="761" ht="15.75" customHeight="1">
      <c r="A761" s="7"/>
      <c r="B761" s="7"/>
      <c r="C761" s="7"/>
      <c r="D761" s="8"/>
      <c r="E761" s="10"/>
      <c r="F761" s="10"/>
      <c r="H761" s="8"/>
      <c r="I761" s="11"/>
      <c r="J761" s="8"/>
      <c r="K761" s="8"/>
      <c r="L761" s="8"/>
      <c r="N761" s="10"/>
      <c r="O761" s="10"/>
      <c r="P761" s="10"/>
      <c r="Q761" s="11"/>
      <c r="R761" s="11"/>
      <c r="S761" s="10"/>
      <c r="T761" s="11"/>
    </row>
    <row r="762" ht="15.75" customHeight="1">
      <c r="A762" s="7"/>
      <c r="B762" s="7"/>
      <c r="C762" s="7"/>
      <c r="D762" s="8"/>
      <c r="E762" s="10"/>
      <c r="F762" s="10"/>
      <c r="H762" s="8"/>
      <c r="I762" s="11"/>
      <c r="J762" s="8"/>
      <c r="K762" s="8"/>
      <c r="L762" s="8"/>
      <c r="N762" s="10"/>
      <c r="O762" s="10"/>
      <c r="P762" s="10"/>
      <c r="Q762" s="11"/>
      <c r="R762" s="11"/>
      <c r="S762" s="10"/>
      <c r="T762" s="11"/>
    </row>
    <row r="763" ht="15.75" customHeight="1">
      <c r="A763" s="7"/>
      <c r="B763" s="7"/>
      <c r="C763" s="7"/>
      <c r="D763" s="8"/>
      <c r="E763" s="10"/>
      <c r="F763" s="10"/>
      <c r="H763" s="8"/>
      <c r="I763" s="11"/>
      <c r="J763" s="8"/>
      <c r="K763" s="8"/>
      <c r="L763" s="8"/>
      <c r="N763" s="10"/>
      <c r="O763" s="10"/>
      <c r="P763" s="10"/>
      <c r="Q763" s="11"/>
      <c r="R763" s="11"/>
      <c r="S763" s="10"/>
      <c r="T763" s="11"/>
    </row>
    <row r="764" ht="15.75" customHeight="1">
      <c r="A764" s="7"/>
      <c r="B764" s="7"/>
      <c r="C764" s="7"/>
      <c r="D764" s="8"/>
      <c r="E764" s="10"/>
      <c r="F764" s="10"/>
      <c r="H764" s="8"/>
      <c r="I764" s="11"/>
      <c r="J764" s="8"/>
      <c r="K764" s="8"/>
      <c r="L764" s="8"/>
      <c r="N764" s="10"/>
      <c r="O764" s="10"/>
      <c r="P764" s="10"/>
      <c r="Q764" s="11"/>
      <c r="R764" s="11"/>
      <c r="S764" s="10"/>
      <c r="T764" s="11"/>
    </row>
    <row r="765" ht="15.75" customHeight="1">
      <c r="A765" s="7"/>
      <c r="B765" s="7"/>
      <c r="C765" s="7"/>
      <c r="D765" s="8"/>
      <c r="E765" s="10"/>
      <c r="F765" s="10"/>
      <c r="H765" s="8"/>
      <c r="I765" s="11"/>
      <c r="J765" s="8"/>
      <c r="K765" s="8"/>
      <c r="L765" s="8"/>
      <c r="N765" s="10"/>
      <c r="O765" s="10"/>
      <c r="P765" s="10"/>
      <c r="Q765" s="11"/>
      <c r="R765" s="11"/>
      <c r="S765" s="10"/>
      <c r="T765" s="11"/>
    </row>
    <row r="766" ht="15.75" customHeight="1">
      <c r="A766" s="7"/>
      <c r="B766" s="7"/>
      <c r="C766" s="7"/>
      <c r="D766" s="8"/>
      <c r="E766" s="10"/>
      <c r="F766" s="10"/>
      <c r="H766" s="8"/>
      <c r="I766" s="11"/>
      <c r="J766" s="8"/>
      <c r="K766" s="8"/>
      <c r="L766" s="8"/>
      <c r="N766" s="10"/>
      <c r="O766" s="10"/>
      <c r="P766" s="10"/>
      <c r="Q766" s="11"/>
      <c r="R766" s="11"/>
      <c r="S766" s="10"/>
      <c r="T766" s="11"/>
    </row>
    <row r="767" ht="15.75" customHeight="1">
      <c r="A767" s="7"/>
      <c r="B767" s="7"/>
      <c r="C767" s="7"/>
      <c r="D767" s="8"/>
      <c r="E767" s="10"/>
      <c r="F767" s="10"/>
      <c r="H767" s="8"/>
      <c r="I767" s="11"/>
      <c r="J767" s="8"/>
      <c r="K767" s="8"/>
      <c r="L767" s="8"/>
      <c r="N767" s="10"/>
      <c r="O767" s="10"/>
      <c r="P767" s="10"/>
      <c r="Q767" s="11"/>
      <c r="R767" s="11"/>
      <c r="S767" s="10"/>
      <c r="T767" s="11"/>
    </row>
    <row r="768" ht="15.75" customHeight="1">
      <c r="A768" s="7"/>
      <c r="B768" s="7"/>
      <c r="C768" s="7"/>
      <c r="D768" s="8"/>
      <c r="E768" s="10"/>
      <c r="F768" s="10"/>
      <c r="H768" s="8"/>
      <c r="I768" s="11"/>
      <c r="J768" s="8"/>
      <c r="K768" s="8"/>
      <c r="L768" s="8"/>
      <c r="N768" s="10"/>
      <c r="O768" s="10"/>
      <c r="P768" s="10"/>
      <c r="Q768" s="11"/>
      <c r="R768" s="11"/>
      <c r="S768" s="10"/>
      <c r="T768" s="11"/>
    </row>
    <row r="769" ht="15.75" customHeight="1">
      <c r="A769" s="7"/>
      <c r="B769" s="7"/>
      <c r="C769" s="7"/>
      <c r="D769" s="8"/>
      <c r="E769" s="10"/>
      <c r="F769" s="10"/>
      <c r="H769" s="8"/>
      <c r="I769" s="11"/>
      <c r="J769" s="8"/>
      <c r="K769" s="8"/>
      <c r="L769" s="8"/>
      <c r="N769" s="10"/>
      <c r="O769" s="10"/>
      <c r="P769" s="10"/>
      <c r="Q769" s="11"/>
      <c r="R769" s="11"/>
      <c r="S769" s="10"/>
      <c r="T769" s="11"/>
    </row>
    <row r="770" ht="15.75" customHeight="1">
      <c r="A770" s="7"/>
      <c r="B770" s="7"/>
      <c r="C770" s="7"/>
      <c r="D770" s="8"/>
      <c r="E770" s="10"/>
      <c r="F770" s="10"/>
      <c r="H770" s="8"/>
      <c r="I770" s="11"/>
      <c r="J770" s="8"/>
      <c r="K770" s="8"/>
      <c r="L770" s="8"/>
      <c r="N770" s="10"/>
      <c r="O770" s="10"/>
      <c r="P770" s="10"/>
      <c r="Q770" s="11"/>
      <c r="R770" s="11"/>
      <c r="S770" s="10"/>
      <c r="T770" s="11"/>
    </row>
    <row r="771" ht="15.75" customHeight="1">
      <c r="A771" s="7"/>
      <c r="B771" s="7"/>
      <c r="C771" s="7"/>
      <c r="D771" s="8"/>
      <c r="E771" s="10"/>
      <c r="F771" s="10"/>
      <c r="H771" s="8"/>
      <c r="I771" s="11"/>
      <c r="J771" s="8"/>
      <c r="K771" s="8"/>
      <c r="L771" s="8"/>
      <c r="N771" s="10"/>
      <c r="O771" s="10"/>
      <c r="P771" s="10"/>
      <c r="Q771" s="11"/>
      <c r="R771" s="11"/>
      <c r="S771" s="10"/>
      <c r="T771" s="11"/>
    </row>
    <row r="772" ht="15.75" customHeight="1">
      <c r="A772" s="7"/>
      <c r="B772" s="7"/>
      <c r="C772" s="7"/>
      <c r="D772" s="8"/>
      <c r="E772" s="10"/>
      <c r="F772" s="10"/>
      <c r="H772" s="8"/>
      <c r="I772" s="11"/>
      <c r="J772" s="8"/>
      <c r="K772" s="8"/>
      <c r="L772" s="8"/>
      <c r="N772" s="10"/>
      <c r="O772" s="10"/>
      <c r="P772" s="10"/>
      <c r="Q772" s="11"/>
      <c r="R772" s="11"/>
      <c r="S772" s="10"/>
      <c r="T772" s="11"/>
    </row>
    <row r="773" ht="15.75" customHeight="1">
      <c r="A773" s="7"/>
      <c r="B773" s="7"/>
      <c r="C773" s="7"/>
      <c r="D773" s="8"/>
      <c r="E773" s="10"/>
      <c r="F773" s="10"/>
      <c r="H773" s="8"/>
      <c r="I773" s="11"/>
      <c r="J773" s="8"/>
      <c r="K773" s="8"/>
      <c r="L773" s="8"/>
      <c r="N773" s="10"/>
      <c r="O773" s="10"/>
      <c r="P773" s="10"/>
      <c r="Q773" s="11"/>
      <c r="R773" s="11"/>
      <c r="S773" s="10"/>
      <c r="T773" s="11"/>
    </row>
    <row r="774" ht="15.75" customHeight="1">
      <c r="A774" s="7"/>
      <c r="B774" s="7"/>
      <c r="C774" s="7"/>
      <c r="D774" s="8"/>
      <c r="E774" s="10"/>
      <c r="F774" s="10"/>
      <c r="H774" s="8"/>
      <c r="I774" s="11"/>
      <c r="J774" s="8"/>
      <c r="K774" s="8"/>
      <c r="L774" s="8"/>
      <c r="N774" s="10"/>
      <c r="O774" s="10"/>
      <c r="P774" s="10"/>
      <c r="Q774" s="11"/>
      <c r="R774" s="11"/>
      <c r="S774" s="10"/>
      <c r="T774" s="11"/>
    </row>
    <row r="775" ht="15.75" customHeight="1">
      <c r="A775" s="7"/>
      <c r="B775" s="7"/>
      <c r="C775" s="7"/>
      <c r="D775" s="8"/>
      <c r="E775" s="10"/>
      <c r="F775" s="10"/>
      <c r="H775" s="8"/>
      <c r="I775" s="11"/>
      <c r="J775" s="8"/>
      <c r="K775" s="8"/>
      <c r="L775" s="8"/>
      <c r="N775" s="10"/>
      <c r="O775" s="10"/>
      <c r="P775" s="10"/>
      <c r="Q775" s="11"/>
      <c r="R775" s="11"/>
      <c r="S775" s="10"/>
      <c r="T775" s="11"/>
    </row>
    <row r="776" ht="15.75" customHeight="1">
      <c r="A776" s="7"/>
      <c r="B776" s="7"/>
      <c r="C776" s="7"/>
      <c r="D776" s="8"/>
      <c r="E776" s="10"/>
      <c r="F776" s="10"/>
      <c r="H776" s="8"/>
      <c r="I776" s="11"/>
      <c r="J776" s="8"/>
      <c r="K776" s="8"/>
      <c r="L776" s="8"/>
      <c r="N776" s="10"/>
      <c r="O776" s="10"/>
      <c r="P776" s="10"/>
      <c r="Q776" s="11"/>
      <c r="R776" s="11"/>
      <c r="S776" s="10"/>
      <c r="T776" s="11"/>
    </row>
    <row r="777" ht="15.75" customHeight="1">
      <c r="A777" s="7"/>
      <c r="B777" s="7"/>
      <c r="C777" s="7"/>
      <c r="D777" s="8"/>
      <c r="E777" s="10"/>
      <c r="F777" s="10"/>
      <c r="H777" s="8"/>
      <c r="I777" s="11"/>
      <c r="J777" s="8"/>
      <c r="K777" s="8"/>
      <c r="L777" s="8"/>
      <c r="N777" s="10"/>
      <c r="O777" s="10"/>
      <c r="P777" s="10"/>
      <c r="Q777" s="11"/>
      <c r="R777" s="11"/>
      <c r="S777" s="10"/>
      <c r="T777" s="11"/>
    </row>
    <row r="778" ht="15.75" customHeight="1">
      <c r="A778" s="7"/>
      <c r="B778" s="7"/>
      <c r="C778" s="7"/>
      <c r="D778" s="8"/>
      <c r="E778" s="10"/>
      <c r="F778" s="10"/>
      <c r="H778" s="8"/>
      <c r="I778" s="11"/>
      <c r="J778" s="8"/>
      <c r="K778" s="8"/>
      <c r="L778" s="8"/>
      <c r="N778" s="10"/>
      <c r="O778" s="10"/>
      <c r="P778" s="10"/>
      <c r="Q778" s="11"/>
      <c r="R778" s="11"/>
      <c r="S778" s="10"/>
      <c r="T778" s="11"/>
    </row>
    <row r="779" ht="15.75" customHeight="1">
      <c r="A779" s="7"/>
      <c r="B779" s="7"/>
      <c r="C779" s="7"/>
      <c r="D779" s="8"/>
      <c r="E779" s="10"/>
      <c r="F779" s="10"/>
      <c r="H779" s="8"/>
      <c r="I779" s="11"/>
      <c r="J779" s="8"/>
      <c r="K779" s="8"/>
      <c r="L779" s="8"/>
      <c r="N779" s="10"/>
      <c r="O779" s="10"/>
      <c r="P779" s="10"/>
      <c r="Q779" s="11"/>
      <c r="R779" s="11"/>
      <c r="S779" s="10"/>
      <c r="T779" s="11"/>
    </row>
    <row r="780" ht="15.75" customHeight="1">
      <c r="A780" s="7"/>
      <c r="B780" s="7"/>
      <c r="C780" s="7"/>
      <c r="D780" s="8"/>
      <c r="E780" s="10"/>
      <c r="F780" s="10"/>
      <c r="H780" s="8"/>
      <c r="I780" s="11"/>
      <c r="J780" s="8"/>
      <c r="K780" s="8"/>
      <c r="L780" s="8"/>
      <c r="N780" s="10"/>
      <c r="O780" s="10"/>
      <c r="P780" s="10"/>
      <c r="Q780" s="11"/>
      <c r="R780" s="11"/>
      <c r="S780" s="10"/>
      <c r="T780" s="11"/>
    </row>
    <row r="781" ht="15.75" customHeight="1">
      <c r="A781" s="7"/>
      <c r="B781" s="7"/>
      <c r="C781" s="7"/>
      <c r="D781" s="8"/>
      <c r="E781" s="10"/>
      <c r="F781" s="10"/>
      <c r="H781" s="8"/>
      <c r="I781" s="11"/>
      <c r="J781" s="8"/>
      <c r="K781" s="8"/>
      <c r="L781" s="8"/>
      <c r="N781" s="10"/>
      <c r="O781" s="10"/>
      <c r="P781" s="10"/>
      <c r="Q781" s="11"/>
      <c r="R781" s="11"/>
      <c r="S781" s="10"/>
      <c r="T781" s="11"/>
    </row>
    <row r="782" ht="15.75" customHeight="1">
      <c r="A782" s="7"/>
      <c r="B782" s="7"/>
      <c r="C782" s="7"/>
      <c r="D782" s="8"/>
      <c r="E782" s="10"/>
      <c r="F782" s="10"/>
      <c r="H782" s="8"/>
      <c r="I782" s="11"/>
      <c r="J782" s="8"/>
      <c r="K782" s="8"/>
      <c r="L782" s="8"/>
      <c r="N782" s="10"/>
      <c r="O782" s="10"/>
      <c r="P782" s="10"/>
      <c r="Q782" s="11"/>
      <c r="R782" s="11"/>
      <c r="S782" s="10"/>
      <c r="T782" s="11"/>
    </row>
    <row r="783" ht="15.75" customHeight="1">
      <c r="A783" s="7"/>
      <c r="B783" s="7"/>
      <c r="C783" s="7"/>
      <c r="D783" s="8"/>
      <c r="E783" s="10"/>
      <c r="F783" s="10"/>
      <c r="H783" s="8"/>
      <c r="I783" s="11"/>
      <c r="J783" s="8"/>
      <c r="K783" s="8"/>
      <c r="L783" s="8"/>
      <c r="N783" s="10"/>
      <c r="O783" s="10"/>
      <c r="P783" s="10"/>
      <c r="Q783" s="11"/>
      <c r="R783" s="11"/>
      <c r="S783" s="10"/>
      <c r="T783" s="11"/>
    </row>
    <row r="784" ht="15.75" customHeight="1">
      <c r="A784" s="7"/>
      <c r="B784" s="7"/>
      <c r="C784" s="7"/>
      <c r="D784" s="8"/>
      <c r="E784" s="10"/>
      <c r="F784" s="10"/>
      <c r="H784" s="8"/>
      <c r="I784" s="11"/>
      <c r="J784" s="8"/>
      <c r="K784" s="8"/>
      <c r="L784" s="8"/>
      <c r="N784" s="10"/>
      <c r="O784" s="10"/>
      <c r="P784" s="10"/>
      <c r="Q784" s="11"/>
      <c r="R784" s="11"/>
      <c r="S784" s="10"/>
      <c r="T784" s="11"/>
    </row>
    <row r="785" ht="15.75" customHeight="1">
      <c r="A785" s="7"/>
      <c r="B785" s="7"/>
      <c r="C785" s="7"/>
      <c r="D785" s="8"/>
      <c r="E785" s="10"/>
      <c r="F785" s="10"/>
      <c r="H785" s="8"/>
      <c r="I785" s="11"/>
      <c r="J785" s="8"/>
      <c r="K785" s="8"/>
      <c r="L785" s="8"/>
      <c r="N785" s="10"/>
      <c r="O785" s="10"/>
      <c r="P785" s="10"/>
      <c r="Q785" s="11"/>
      <c r="R785" s="11"/>
      <c r="S785" s="10"/>
      <c r="T785" s="11"/>
    </row>
    <row r="786" ht="15.75" customHeight="1">
      <c r="A786" s="7"/>
      <c r="B786" s="7"/>
      <c r="C786" s="7"/>
      <c r="D786" s="8"/>
      <c r="E786" s="10"/>
      <c r="F786" s="10"/>
      <c r="H786" s="8"/>
      <c r="I786" s="11"/>
      <c r="J786" s="8"/>
      <c r="K786" s="8"/>
      <c r="L786" s="8"/>
      <c r="N786" s="10"/>
      <c r="O786" s="10"/>
      <c r="P786" s="10"/>
      <c r="Q786" s="11"/>
      <c r="R786" s="11"/>
      <c r="S786" s="10"/>
      <c r="T786" s="11"/>
    </row>
    <row r="787" ht="15.75" customHeight="1">
      <c r="A787" s="7"/>
      <c r="B787" s="7"/>
      <c r="C787" s="7"/>
      <c r="D787" s="8"/>
      <c r="E787" s="10"/>
      <c r="F787" s="10"/>
      <c r="H787" s="8"/>
      <c r="I787" s="11"/>
      <c r="J787" s="8"/>
      <c r="K787" s="8"/>
      <c r="L787" s="8"/>
      <c r="N787" s="10"/>
      <c r="O787" s="10"/>
      <c r="P787" s="10"/>
      <c r="Q787" s="11"/>
      <c r="R787" s="11"/>
      <c r="S787" s="10"/>
      <c r="T787" s="11"/>
    </row>
    <row r="788" ht="15.75" customHeight="1">
      <c r="A788" s="7"/>
      <c r="B788" s="7"/>
      <c r="C788" s="7"/>
      <c r="D788" s="8"/>
      <c r="E788" s="10"/>
      <c r="F788" s="10"/>
      <c r="H788" s="8"/>
      <c r="I788" s="11"/>
      <c r="J788" s="8"/>
      <c r="K788" s="8"/>
      <c r="L788" s="8"/>
      <c r="N788" s="10"/>
      <c r="O788" s="10"/>
      <c r="P788" s="10"/>
      <c r="Q788" s="11"/>
      <c r="R788" s="11"/>
      <c r="S788" s="10"/>
      <c r="T788" s="11"/>
    </row>
    <row r="789" ht="15.75" customHeight="1">
      <c r="A789" s="7"/>
      <c r="B789" s="7"/>
      <c r="C789" s="7"/>
      <c r="D789" s="8"/>
      <c r="E789" s="10"/>
      <c r="F789" s="10"/>
      <c r="H789" s="8"/>
      <c r="I789" s="11"/>
      <c r="J789" s="8"/>
      <c r="K789" s="8"/>
      <c r="L789" s="8"/>
      <c r="N789" s="10"/>
      <c r="O789" s="10"/>
      <c r="P789" s="10"/>
      <c r="Q789" s="11"/>
      <c r="R789" s="11"/>
      <c r="S789" s="10"/>
      <c r="T789" s="11"/>
    </row>
    <row r="790" ht="15.75" customHeight="1">
      <c r="A790" s="7"/>
      <c r="B790" s="7"/>
      <c r="C790" s="7"/>
      <c r="D790" s="8"/>
      <c r="E790" s="10"/>
      <c r="F790" s="10"/>
      <c r="H790" s="8"/>
      <c r="I790" s="11"/>
      <c r="J790" s="8"/>
      <c r="K790" s="8"/>
      <c r="L790" s="8"/>
      <c r="N790" s="10"/>
      <c r="O790" s="10"/>
      <c r="P790" s="10"/>
      <c r="Q790" s="11"/>
      <c r="R790" s="11"/>
      <c r="S790" s="10"/>
      <c r="T790" s="11"/>
    </row>
    <row r="791" ht="15.75" customHeight="1">
      <c r="A791" s="7"/>
      <c r="B791" s="7"/>
      <c r="C791" s="7"/>
      <c r="D791" s="8"/>
      <c r="E791" s="10"/>
      <c r="F791" s="10"/>
      <c r="H791" s="8"/>
      <c r="I791" s="11"/>
      <c r="J791" s="8"/>
      <c r="K791" s="8"/>
      <c r="L791" s="8"/>
      <c r="N791" s="10"/>
      <c r="O791" s="10"/>
      <c r="P791" s="10"/>
      <c r="Q791" s="11"/>
      <c r="R791" s="11"/>
      <c r="S791" s="10"/>
      <c r="T791" s="11"/>
    </row>
    <row r="792" ht="15.75" customHeight="1">
      <c r="A792" s="7"/>
      <c r="B792" s="7"/>
      <c r="C792" s="7"/>
      <c r="D792" s="8"/>
      <c r="E792" s="10"/>
      <c r="F792" s="10"/>
      <c r="H792" s="8"/>
      <c r="I792" s="11"/>
      <c r="J792" s="8"/>
      <c r="K792" s="8"/>
      <c r="L792" s="8"/>
      <c r="N792" s="10"/>
      <c r="O792" s="10"/>
      <c r="P792" s="10"/>
      <c r="Q792" s="11"/>
      <c r="R792" s="11"/>
      <c r="S792" s="10"/>
      <c r="T792" s="11"/>
    </row>
    <row r="793" ht="15.75" customHeight="1">
      <c r="A793" s="7"/>
      <c r="B793" s="7"/>
      <c r="C793" s="7"/>
      <c r="D793" s="8"/>
      <c r="E793" s="10"/>
      <c r="F793" s="10"/>
      <c r="H793" s="8"/>
      <c r="I793" s="11"/>
      <c r="J793" s="8"/>
      <c r="K793" s="8"/>
      <c r="L793" s="8"/>
      <c r="N793" s="10"/>
      <c r="O793" s="10"/>
      <c r="P793" s="10"/>
      <c r="Q793" s="11"/>
      <c r="R793" s="11"/>
      <c r="S793" s="10"/>
      <c r="T793" s="11"/>
    </row>
    <row r="794" ht="15.75" customHeight="1">
      <c r="A794" s="7"/>
      <c r="B794" s="7"/>
      <c r="C794" s="7"/>
      <c r="D794" s="8"/>
      <c r="E794" s="10"/>
      <c r="F794" s="10"/>
      <c r="H794" s="8"/>
      <c r="I794" s="11"/>
      <c r="J794" s="8"/>
      <c r="K794" s="8"/>
      <c r="L794" s="8"/>
      <c r="N794" s="10"/>
      <c r="O794" s="10"/>
      <c r="P794" s="10"/>
      <c r="Q794" s="11"/>
      <c r="R794" s="11"/>
      <c r="S794" s="10"/>
      <c r="T794" s="11"/>
    </row>
    <row r="795" ht="15.75" customHeight="1">
      <c r="A795" s="7"/>
      <c r="B795" s="7"/>
      <c r="C795" s="7"/>
      <c r="D795" s="8"/>
      <c r="E795" s="10"/>
      <c r="F795" s="10"/>
      <c r="H795" s="8"/>
      <c r="I795" s="11"/>
      <c r="J795" s="8"/>
      <c r="K795" s="8"/>
      <c r="L795" s="8"/>
      <c r="N795" s="10"/>
      <c r="O795" s="10"/>
      <c r="P795" s="10"/>
      <c r="Q795" s="11"/>
      <c r="R795" s="11"/>
      <c r="S795" s="10"/>
      <c r="T795" s="11"/>
    </row>
    <row r="796" ht="15.75" customHeight="1">
      <c r="A796" s="7"/>
      <c r="B796" s="7"/>
      <c r="C796" s="7"/>
      <c r="D796" s="8"/>
      <c r="E796" s="10"/>
      <c r="F796" s="10"/>
      <c r="H796" s="8"/>
      <c r="I796" s="11"/>
      <c r="J796" s="8"/>
      <c r="K796" s="8"/>
      <c r="L796" s="8"/>
      <c r="N796" s="10"/>
      <c r="O796" s="10"/>
      <c r="P796" s="10"/>
      <c r="Q796" s="11"/>
      <c r="R796" s="11"/>
      <c r="S796" s="10"/>
      <c r="T796" s="11"/>
    </row>
    <row r="797" ht="15.75" customHeight="1">
      <c r="A797" s="7"/>
      <c r="B797" s="7"/>
      <c r="C797" s="7"/>
      <c r="D797" s="8"/>
      <c r="E797" s="10"/>
      <c r="F797" s="10"/>
      <c r="H797" s="8"/>
      <c r="I797" s="11"/>
      <c r="J797" s="8"/>
      <c r="K797" s="8"/>
      <c r="L797" s="8"/>
      <c r="N797" s="10"/>
      <c r="O797" s="10"/>
      <c r="P797" s="10"/>
      <c r="Q797" s="11"/>
      <c r="R797" s="11"/>
      <c r="S797" s="10"/>
      <c r="T797" s="11"/>
    </row>
    <row r="798" ht="15.75" customHeight="1">
      <c r="A798" s="7"/>
      <c r="B798" s="7"/>
      <c r="C798" s="7"/>
      <c r="D798" s="8"/>
      <c r="E798" s="10"/>
      <c r="F798" s="10"/>
      <c r="H798" s="8"/>
      <c r="I798" s="11"/>
      <c r="J798" s="8"/>
      <c r="K798" s="8"/>
      <c r="L798" s="8"/>
      <c r="N798" s="10"/>
      <c r="O798" s="10"/>
      <c r="P798" s="10"/>
      <c r="Q798" s="11"/>
      <c r="R798" s="11"/>
      <c r="S798" s="10"/>
      <c r="T798" s="11"/>
    </row>
    <row r="799" ht="15.75" customHeight="1">
      <c r="A799" s="7"/>
      <c r="B799" s="7"/>
      <c r="C799" s="7"/>
      <c r="D799" s="8"/>
      <c r="E799" s="10"/>
      <c r="F799" s="10"/>
      <c r="H799" s="8"/>
      <c r="I799" s="11"/>
      <c r="J799" s="8"/>
      <c r="K799" s="8"/>
      <c r="L799" s="8"/>
      <c r="N799" s="10"/>
      <c r="O799" s="10"/>
      <c r="P799" s="10"/>
      <c r="Q799" s="11"/>
      <c r="R799" s="11"/>
      <c r="S799" s="10"/>
      <c r="T799" s="11"/>
    </row>
    <row r="800" ht="15.75" customHeight="1">
      <c r="A800" s="7"/>
      <c r="B800" s="7"/>
      <c r="C800" s="7"/>
      <c r="D800" s="8"/>
      <c r="E800" s="10"/>
      <c r="F800" s="10"/>
      <c r="H800" s="8"/>
      <c r="I800" s="11"/>
      <c r="J800" s="8"/>
      <c r="K800" s="8"/>
      <c r="L800" s="8"/>
      <c r="N800" s="10"/>
      <c r="O800" s="10"/>
      <c r="P800" s="10"/>
      <c r="Q800" s="11"/>
      <c r="R800" s="11"/>
      <c r="S800" s="10"/>
      <c r="T800" s="11"/>
    </row>
    <row r="801" ht="15.75" customHeight="1">
      <c r="A801" s="7"/>
      <c r="B801" s="7"/>
      <c r="C801" s="7"/>
      <c r="D801" s="8"/>
      <c r="E801" s="10"/>
      <c r="F801" s="10"/>
      <c r="H801" s="8"/>
      <c r="I801" s="11"/>
      <c r="J801" s="8"/>
      <c r="K801" s="8"/>
      <c r="L801" s="8"/>
      <c r="N801" s="10"/>
      <c r="O801" s="10"/>
      <c r="P801" s="10"/>
      <c r="Q801" s="11"/>
      <c r="R801" s="11"/>
      <c r="S801" s="10"/>
      <c r="T801" s="11"/>
    </row>
    <row r="802" ht="15.75" customHeight="1">
      <c r="A802" s="7"/>
      <c r="B802" s="7"/>
      <c r="C802" s="7"/>
      <c r="D802" s="8"/>
      <c r="E802" s="10"/>
      <c r="F802" s="10"/>
      <c r="H802" s="8"/>
      <c r="I802" s="11"/>
      <c r="J802" s="8"/>
      <c r="K802" s="8"/>
      <c r="L802" s="8"/>
      <c r="N802" s="10"/>
      <c r="O802" s="10"/>
      <c r="P802" s="10"/>
      <c r="Q802" s="11"/>
      <c r="R802" s="11"/>
      <c r="S802" s="10"/>
      <c r="T802" s="11"/>
    </row>
    <row r="803" ht="15.75" customHeight="1">
      <c r="A803" s="7"/>
      <c r="B803" s="7"/>
      <c r="C803" s="7"/>
      <c r="D803" s="8"/>
      <c r="E803" s="10"/>
      <c r="F803" s="10"/>
      <c r="H803" s="8"/>
      <c r="I803" s="11"/>
      <c r="J803" s="8"/>
      <c r="K803" s="8"/>
      <c r="L803" s="8"/>
      <c r="N803" s="10"/>
      <c r="O803" s="10"/>
      <c r="P803" s="10"/>
      <c r="Q803" s="11"/>
      <c r="R803" s="11"/>
      <c r="S803" s="10"/>
      <c r="T803" s="11"/>
    </row>
    <row r="804" ht="15.75" customHeight="1">
      <c r="A804" s="7"/>
      <c r="B804" s="7"/>
      <c r="C804" s="7"/>
      <c r="D804" s="8"/>
      <c r="E804" s="10"/>
      <c r="F804" s="10"/>
      <c r="H804" s="8"/>
      <c r="I804" s="11"/>
      <c r="J804" s="8"/>
      <c r="K804" s="8"/>
      <c r="L804" s="8"/>
      <c r="N804" s="10"/>
      <c r="O804" s="10"/>
      <c r="P804" s="10"/>
      <c r="Q804" s="11"/>
      <c r="R804" s="11"/>
      <c r="S804" s="10"/>
      <c r="T804" s="11"/>
    </row>
    <row r="805" ht="15.75" customHeight="1">
      <c r="A805" s="7"/>
      <c r="B805" s="7"/>
      <c r="C805" s="7"/>
      <c r="D805" s="8"/>
      <c r="E805" s="10"/>
      <c r="F805" s="10"/>
      <c r="H805" s="8"/>
      <c r="I805" s="11"/>
      <c r="J805" s="8"/>
      <c r="K805" s="8"/>
      <c r="L805" s="8"/>
      <c r="N805" s="10"/>
      <c r="O805" s="10"/>
      <c r="P805" s="10"/>
      <c r="Q805" s="11"/>
      <c r="R805" s="11"/>
      <c r="S805" s="10"/>
      <c r="T805" s="11"/>
    </row>
    <row r="806" ht="15.75" customHeight="1">
      <c r="A806" s="7"/>
      <c r="B806" s="7"/>
      <c r="C806" s="7"/>
      <c r="D806" s="8"/>
      <c r="E806" s="10"/>
      <c r="F806" s="10"/>
      <c r="H806" s="8"/>
      <c r="I806" s="11"/>
      <c r="J806" s="8"/>
      <c r="K806" s="8"/>
      <c r="L806" s="8"/>
      <c r="N806" s="10"/>
      <c r="O806" s="10"/>
      <c r="P806" s="10"/>
      <c r="Q806" s="11"/>
      <c r="R806" s="11"/>
      <c r="S806" s="10"/>
      <c r="T806" s="11"/>
    </row>
    <row r="807" ht="15.75" customHeight="1">
      <c r="A807" s="7"/>
      <c r="B807" s="7"/>
      <c r="C807" s="7"/>
      <c r="D807" s="8"/>
      <c r="E807" s="10"/>
      <c r="F807" s="10"/>
      <c r="H807" s="8"/>
      <c r="I807" s="11"/>
      <c r="J807" s="8"/>
      <c r="K807" s="8"/>
      <c r="L807" s="8"/>
      <c r="N807" s="10"/>
      <c r="O807" s="10"/>
      <c r="P807" s="10"/>
      <c r="Q807" s="11"/>
      <c r="R807" s="11"/>
      <c r="S807" s="10"/>
      <c r="T807" s="11"/>
    </row>
    <row r="808" ht="15.75" customHeight="1">
      <c r="A808" s="7"/>
      <c r="B808" s="7"/>
      <c r="C808" s="7"/>
      <c r="D808" s="8"/>
      <c r="E808" s="10"/>
      <c r="F808" s="10"/>
      <c r="H808" s="8"/>
      <c r="I808" s="11"/>
      <c r="J808" s="8"/>
      <c r="K808" s="8"/>
      <c r="L808" s="8"/>
      <c r="N808" s="10"/>
      <c r="O808" s="10"/>
      <c r="P808" s="10"/>
      <c r="Q808" s="11"/>
      <c r="R808" s="11"/>
      <c r="S808" s="10"/>
      <c r="T808" s="11"/>
    </row>
    <row r="809" ht="15.75" customHeight="1">
      <c r="A809" s="7"/>
      <c r="B809" s="7"/>
      <c r="C809" s="7"/>
      <c r="D809" s="8"/>
      <c r="E809" s="10"/>
      <c r="F809" s="10"/>
      <c r="H809" s="8"/>
      <c r="I809" s="11"/>
      <c r="J809" s="8"/>
      <c r="K809" s="8"/>
      <c r="L809" s="8"/>
      <c r="N809" s="10"/>
      <c r="O809" s="10"/>
      <c r="P809" s="10"/>
      <c r="Q809" s="11"/>
      <c r="R809" s="11"/>
      <c r="S809" s="10"/>
      <c r="T809" s="11"/>
    </row>
    <row r="810" ht="15.75" customHeight="1">
      <c r="A810" s="7"/>
      <c r="B810" s="7"/>
      <c r="C810" s="7"/>
      <c r="D810" s="8"/>
      <c r="E810" s="10"/>
      <c r="F810" s="10"/>
      <c r="H810" s="8"/>
      <c r="I810" s="11"/>
      <c r="J810" s="8"/>
      <c r="K810" s="8"/>
      <c r="L810" s="8"/>
      <c r="N810" s="10"/>
      <c r="O810" s="10"/>
      <c r="P810" s="10"/>
      <c r="Q810" s="11"/>
      <c r="R810" s="11"/>
      <c r="S810" s="10"/>
      <c r="T810" s="11"/>
    </row>
    <row r="811" ht="15.75" customHeight="1">
      <c r="A811" s="7"/>
      <c r="B811" s="7"/>
      <c r="C811" s="7"/>
      <c r="D811" s="8"/>
      <c r="E811" s="10"/>
      <c r="F811" s="10"/>
      <c r="H811" s="8"/>
      <c r="I811" s="11"/>
      <c r="J811" s="8"/>
      <c r="K811" s="8"/>
      <c r="L811" s="8"/>
      <c r="N811" s="10"/>
      <c r="O811" s="10"/>
      <c r="P811" s="10"/>
      <c r="Q811" s="11"/>
      <c r="R811" s="11"/>
      <c r="S811" s="10"/>
      <c r="T811" s="11"/>
    </row>
    <row r="812" ht="15.75" customHeight="1">
      <c r="A812" s="7"/>
      <c r="B812" s="7"/>
      <c r="C812" s="7"/>
      <c r="D812" s="8"/>
      <c r="E812" s="10"/>
      <c r="F812" s="10"/>
      <c r="H812" s="8"/>
      <c r="I812" s="11"/>
      <c r="J812" s="8"/>
      <c r="K812" s="8"/>
      <c r="L812" s="8"/>
      <c r="N812" s="10"/>
      <c r="O812" s="10"/>
      <c r="P812" s="10"/>
      <c r="Q812" s="11"/>
      <c r="R812" s="11"/>
      <c r="S812" s="10"/>
      <c r="T812" s="11"/>
    </row>
    <row r="813" ht="15.75" customHeight="1">
      <c r="A813" s="7"/>
      <c r="B813" s="7"/>
      <c r="C813" s="7"/>
      <c r="D813" s="8"/>
      <c r="E813" s="10"/>
      <c r="F813" s="10"/>
      <c r="H813" s="8"/>
      <c r="I813" s="11"/>
      <c r="J813" s="8"/>
      <c r="K813" s="8"/>
      <c r="L813" s="8"/>
      <c r="N813" s="10"/>
      <c r="O813" s="10"/>
      <c r="P813" s="10"/>
      <c r="Q813" s="11"/>
      <c r="R813" s="11"/>
      <c r="S813" s="10"/>
      <c r="T813" s="11"/>
    </row>
    <row r="814" ht="15.75" customHeight="1">
      <c r="A814" s="7"/>
      <c r="B814" s="7"/>
      <c r="C814" s="7"/>
      <c r="D814" s="8"/>
      <c r="E814" s="10"/>
      <c r="F814" s="10"/>
      <c r="H814" s="8"/>
      <c r="I814" s="11"/>
      <c r="J814" s="8"/>
      <c r="K814" s="8"/>
      <c r="L814" s="8"/>
      <c r="N814" s="10"/>
      <c r="O814" s="10"/>
      <c r="P814" s="10"/>
      <c r="Q814" s="11"/>
      <c r="R814" s="11"/>
      <c r="S814" s="10"/>
      <c r="T814" s="11"/>
    </row>
    <row r="815" ht="15.75" customHeight="1">
      <c r="A815" s="7"/>
      <c r="B815" s="7"/>
      <c r="C815" s="7"/>
      <c r="D815" s="8"/>
      <c r="E815" s="10"/>
      <c r="F815" s="10"/>
      <c r="H815" s="8"/>
      <c r="I815" s="11"/>
      <c r="J815" s="8"/>
      <c r="K815" s="8"/>
      <c r="L815" s="8"/>
      <c r="N815" s="10"/>
      <c r="O815" s="10"/>
      <c r="P815" s="10"/>
      <c r="Q815" s="11"/>
      <c r="R815" s="11"/>
      <c r="S815" s="10"/>
      <c r="T815" s="11"/>
    </row>
    <row r="816" ht="15.75" customHeight="1">
      <c r="A816" s="7"/>
      <c r="B816" s="7"/>
      <c r="C816" s="7"/>
      <c r="D816" s="8"/>
      <c r="E816" s="10"/>
      <c r="F816" s="10"/>
      <c r="H816" s="8"/>
      <c r="I816" s="11"/>
      <c r="J816" s="8"/>
      <c r="K816" s="8"/>
      <c r="L816" s="8"/>
      <c r="N816" s="10"/>
      <c r="O816" s="10"/>
      <c r="P816" s="10"/>
      <c r="Q816" s="11"/>
      <c r="R816" s="11"/>
      <c r="S816" s="10"/>
      <c r="T816" s="11"/>
    </row>
    <row r="817" ht="15.75" customHeight="1">
      <c r="A817" s="7"/>
      <c r="B817" s="7"/>
      <c r="C817" s="7"/>
      <c r="D817" s="8"/>
      <c r="E817" s="10"/>
      <c r="F817" s="10"/>
      <c r="H817" s="8"/>
      <c r="I817" s="11"/>
      <c r="J817" s="8"/>
      <c r="K817" s="8"/>
      <c r="L817" s="8"/>
      <c r="N817" s="10"/>
      <c r="O817" s="10"/>
      <c r="P817" s="10"/>
      <c r="Q817" s="11"/>
      <c r="R817" s="11"/>
      <c r="S817" s="10"/>
      <c r="T817" s="11"/>
    </row>
    <row r="818" ht="15.75" customHeight="1">
      <c r="A818" s="7"/>
      <c r="B818" s="7"/>
      <c r="C818" s="7"/>
      <c r="D818" s="8"/>
      <c r="E818" s="10"/>
      <c r="F818" s="10"/>
      <c r="H818" s="8"/>
      <c r="I818" s="11"/>
      <c r="J818" s="8"/>
      <c r="K818" s="8"/>
      <c r="L818" s="8"/>
      <c r="N818" s="10"/>
      <c r="O818" s="10"/>
      <c r="P818" s="10"/>
      <c r="Q818" s="11"/>
      <c r="R818" s="11"/>
      <c r="S818" s="10"/>
      <c r="T818" s="11"/>
    </row>
    <row r="819" ht="15.75" customHeight="1">
      <c r="A819" s="7"/>
      <c r="B819" s="7"/>
      <c r="C819" s="7"/>
      <c r="D819" s="8"/>
      <c r="E819" s="10"/>
      <c r="F819" s="10"/>
      <c r="H819" s="8"/>
      <c r="I819" s="11"/>
      <c r="J819" s="8"/>
      <c r="K819" s="8"/>
      <c r="L819" s="8"/>
      <c r="N819" s="10"/>
      <c r="O819" s="10"/>
      <c r="P819" s="10"/>
      <c r="Q819" s="11"/>
      <c r="R819" s="11"/>
      <c r="S819" s="10"/>
      <c r="T819" s="11"/>
    </row>
    <row r="820" ht="15.75" customHeight="1">
      <c r="A820" s="7"/>
      <c r="B820" s="7"/>
      <c r="C820" s="7"/>
      <c r="D820" s="8"/>
      <c r="E820" s="10"/>
      <c r="F820" s="10"/>
      <c r="H820" s="8"/>
      <c r="I820" s="11"/>
      <c r="J820" s="8"/>
      <c r="K820" s="8"/>
      <c r="L820" s="8"/>
      <c r="N820" s="10"/>
      <c r="O820" s="10"/>
      <c r="P820" s="10"/>
      <c r="Q820" s="11"/>
      <c r="R820" s="11"/>
      <c r="S820" s="10"/>
      <c r="T820" s="11"/>
    </row>
    <row r="821" ht="15.75" customHeight="1">
      <c r="A821" s="7"/>
      <c r="B821" s="7"/>
      <c r="C821" s="7"/>
      <c r="D821" s="8"/>
      <c r="E821" s="10"/>
      <c r="F821" s="10"/>
      <c r="H821" s="8"/>
      <c r="I821" s="11"/>
      <c r="J821" s="8"/>
      <c r="K821" s="8"/>
      <c r="L821" s="8"/>
      <c r="N821" s="10"/>
      <c r="O821" s="10"/>
      <c r="P821" s="10"/>
      <c r="Q821" s="11"/>
      <c r="R821" s="11"/>
      <c r="S821" s="10"/>
      <c r="T821" s="11"/>
    </row>
    <row r="822" ht="15.75" customHeight="1">
      <c r="A822" s="7"/>
      <c r="B822" s="7"/>
      <c r="C822" s="7"/>
      <c r="D822" s="8"/>
      <c r="E822" s="10"/>
      <c r="F822" s="10"/>
      <c r="H822" s="8"/>
      <c r="I822" s="11"/>
      <c r="J822" s="8"/>
      <c r="K822" s="8"/>
      <c r="L822" s="8"/>
      <c r="N822" s="10"/>
      <c r="O822" s="10"/>
      <c r="P822" s="10"/>
      <c r="Q822" s="11"/>
      <c r="R822" s="11"/>
      <c r="S822" s="10"/>
      <c r="T822" s="11"/>
    </row>
    <row r="823" ht="15.75" customHeight="1">
      <c r="A823" s="7"/>
      <c r="B823" s="7"/>
      <c r="C823" s="7"/>
      <c r="D823" s="8"/>
      <c r="E823" s="10"/>
      <c r="F823" s="10"/>
      <c r="H823" s="8"/>
      <c r="I823" s="11"/>
      <c r="J823" s="8"/>
      <c r="K823" s="8"/>
      <c r="L823" s="8"/>
      <c r="N823" s="10"/>
      <c r="O823" s="10"/>
      <c r="P823" s="10"/>
      <c r="Q823" s="11"/>
      <c r="R823" s="11"/>
      <c r="S823" s="10"/>
      <c r="T823" s="11"/>
    </row>
    <row r="824" ht="15.75" customHeight="1">
      <c r="A824" s="7"/>
      <c r="B824" s="7"/>
      <c r="C824" s="7"/>
      <c r="D824" s="8"/>
      <c r="E824" s="10"/>
      <c r="F824" s="10"/>
      <c r="H824" s="8"/>
      <c r="I824" s="11"/>
      <c r="J824" s="8"/>
      <c r="K824" s="8"/>
      <c r="L824" s="8"/>
      <c r="N824" s="10"/>
      <c r="O824" s="10"/>
      <c r="P824" s="10"/>
      <c r="Q824" s="11"/>
      <c r="R824" s="11"/>
      <c r="S824" s="10"/>
      <c r="T824" s="11"/>
    </row>
    <row r="825" ht="15.75" customHeight="1">
      <c r="A825" s="7"/>
      <c r="B825" s="7"/>
      <c r="C825" s="7"/>
      <c r="D825" s="8"/>
      <c r="E825" s="10"/>
      <c r="F825" s="10"/>
      <c r="H825" s="8"/>
      <c r="I825" s="11"/>
      <c r="J825" s="8"/>
      <c r="K825" s="8"/>
      <c r="L825" s="8"/>
      <c r="N825" s="10"/>
      <c r="O825" s="10"/>
      <c r="P825" s="10"/>
      <c r="Q825" s="11"/>
      <c r="R825" s="11"/>
      <c r="S825" s="10"/>
      <c r="T825" s="11"/>
    </row>
    <row r="826" ht="15.75" customHeight="1">
      <c r="A826" s="7"/>
      <c r="B826" s="7"/>
      <c r="C826" s="7"/>
      <c r="D826" s="8"/>
      <c r="E826" s="10"/>
      <c r="F826" s="10"/>
      <c r="H826" s="8"/>
      <c r="I826" s="11"/>
      <c r="J826" s="8"/>
      <c r="K826" s="8"/>
      <c r="L826" s="8"/>
      <c r="N826" s="10"/>
      <c r="O826" s="10"/>
      <c r="P826" s="10"/>
      <c r="Q826" s="11"/>
      <c r="R826" s="11"/>
      <c r="S826" s="10"/>
      <c r="T826" s="11"/>
    </row>
    <row r="827" ht="15.75" customHeight="1">
      <c r="A827" s="7"/>
      <c r="B827" s="7"/>
      <c r="C827" s="7"/>
      <c r="D827" s="8"/>
      <c r="E827" s="10"/>
      <c r="F827" s="10"/>
      <c r="H827" s="8"/>
      <c r="I827" s="11"/>
      <c r="J827" s="8"/>
      <c r="K827" s="8"/>
      <c r="L827" s="8"/>
      <c r="N827" s="10"/>
      <c r="O827" s="10"/>
      <c r="P827" s="10"/>
      <c r="Q827" s="11"/>
      <c r="R827" s="11"/>
      <c r="S827" s="10"/>
      <c r="T827" s="11"/>
    </row>
    <row r="828" ht="15.75" customHeight="1">
      <c r="A828" s="7"/>
      <c r="B828" s="7"/>
      <c r="C828" s="7"/>
      <c r="D828" s="8"/>
      <c r="E828" s="10"/>
      <c r="F828" s="10"/>
      <c r="H828" s="8"/>
      <c r="I828" s="11"/>
      <c r="J828" s="8"/>
      <c r="K828" s="8"/>
      <c r="L828" s="8"/>
      <c r="N828" s="10"/>
      <c r="O828" s="10"/>
      <c r="P828" s="10"/>
      <c r="Q828" s="11"/>
      <c r="R828" s="11"/>
      <c r="S828" s="10"/>
      <c r="T828" s="11"/>
    </row>
    <row r="829" ht="15.75" customHeight="1">
      <c r="A829" s="7"/>
      <c r="B829" s="7"/>
      <c r="C829" s="7"/>
      <c r="D829" s="8"/>
      <c r="E829" s="10"/>
      <c r="F829" s="10"/>
      <c r="H829" s="8"/>
      <c r="I829" s="11"/>
      <c r="J829" s="8"/>
      <c r="K829" s="8"/>
      <c r="L829" s="8"/>
      <c r="N829" s="10"/>
      <c r="O829" s="10"/>
      <c r="P829" s="10"/>
      <c r="Q829" s="11"/>
      <c r="R829" s="11"/>
      <c r="S829" s="10"/>
      <c r="T829" s="11"/>
    </row>
    <row r="830" ht="15.75" customHeight="1">
      <c r="A830" s="7"/>
      <c r="B830" s="7"/>
      <c r="C830" s="7"/>
      <c r="D830" s="8"/>
      <c r="E830" s="10"/>
      <c r="F830" s="10"/>
      <c r="H830" s="8"/>
      <c r="I830" s="11"/>
      <c r="J830" s="8"/>
      <c r="K830" s="8"/>
      <c r="L830" s="8"/>
      <c r="N830" s="10"/>
      <c r="O830" s="10"/>
      <c r="P830" s="10"/>
      <c r="Q830" s="11"/>
      <c r="R830" s="11"/>
      <c r="S830" s="10"/>
      <c r="T830" s="11"/>
    </row>
    <row r="831" ht="15.75" customHeight="1">
      <c r="A831" s="7"/>
      <c r="B831" s="7"/>
      <c r="C831" s="7"/>
      <c r="D831" s="8"/>
      <c r="E831" s="10"/>
      <c r="F831" s="10"/>
      <c r="H831" s="8"/>
      <c r="I831" s="11"/>
      <c r="J831" s="8"/>
      <c r="K831" s="8"/>
      <c r="L831" s="8"/>
      <c r="N831" s="10"/>
      <c r="O831" s="10"/>
      <c r="P831" s="10"/>
      <c r="Q831" s="11"/>
      <c r="R831" s="11"/>
      <c r="S831" s="10"/>
      <c r="T831" s="11"/>
    </row>
    <row r="832" ht="15.75" customHeight="1">
      <c r="A832" s="7"/>
      <c r="B832" s="7"/>
      <c r="C832" s="7"/>
      <c r="D832" s="8"/>
      <c r="E832" s="10"/>
      <c r="F832" s="10"/>
      <c r="H832" s="8"/>
      <c r="I832" s="11"/>
      <c r="J832" s="8"/>
      <c r="K832" s="8"/>
      <c r="L832" s="8"/>
      <c r="N832" s="10"/>
      <c r="O832" s="10"/>
      <c r="P832" s="10"/>
      <c r="Q832" s="11"/>
      <c r="R832" s="11"/>
      <c r="S832" s="10"/>
      <c r="T832" s="11"/>
    </row>
    <row r="833" ht="15.75" customHeight="1">
      <c r="A833" s="7"/>
      <c r="B833" s="7"/>
      <c r="C833" s="7"/>
      <c r="D833" s="8"/>
      <c r="E833" s="10"/>
      <c r="F833" s="10"/>
      <c r="H833" s="8"/>
      <c r="I833" s="11"/>
      <c r="J833" s="8"/>
      <c r="K833" s="8"/>
      <c r="L833" s="8"/>
      <c r="N833" s="10"/>
      <c r="O833" s="10"/>
      <c r="P833" s="10"/>
      <c r="Q833" s="11"/>
      <c r="R833" s="11"/>
      <c r="S833" s="10"/>
      <c r="T833" s="11"/>
    </row>
    <row r="834" ht="15.75" customHeight="1">
      <c r="A834" s="7"/>
      <c r="B834" s="7"/>
      <c r="C834" s="7"/>
      <c r="D834" s="8"/>
      <c r="E834" s="10"/>
      <c r="F834" s="10"/>
      <c r="H834" s="8"/>
      <c r="I834" s="11"/>
      <c r="J834" s="8"/>
      <c r="K834" s="8"/>
      <c r="L834" s="8"/>
      <c r="N834" s="10"/>
      <c r="O834" s="10"/>
      <c r="P834" s="10"/>
      <c r="Q834" s="11"/>
      <c r="R834" s="11"/>
      <c r="S834" s="10"/>
      <c r="T834" s="11"/>
    </row>
    <row r="835" ht="15.75" customHeight="1">
      <c r="A835" s="7"/>
      <c r="B835" s="7"/>
      <c r="C835" s="7"/>
      <c r="D835" s="8"/>
      <c r="E835" s="10"/>
      <c r="F835" s="10"/>
      <c r="H835" s="8"/>
      <c r="I835" s="11"/>
      <c r="J835" s="8"/>
      <c r="K835" s="8"/>
      <c r="L835" s="8"/>
      <c r="N835" s="10"/>
      <c r="O835" s="10"/>
      <c r="P835" s="10"/>
      <c r="Q835" s="11"/>
      <c r="R835" s="11"/>
      <c r="S835" s="10"/>
      <c r="T835" s="11"/>
    </row>
    <row r="836" ht="15.75" customHeight="1">
      <c r="A836" s="7"/>
      <c r="B836" s="7"/>
      <c r="C836" s="7"/>
      <c r="D836" s="8"/>
      <c r="E836" s="10"/>
      <c r="F836" s="10"/>
      <c r="H836" s="8"/>
      <c r="I836" s="11"/>
      <c r="J836" s="8"/>
      <c r="K836" s="8"/>
      <c r="L836" s="8"/>
      <c r="N836" s="10"/>
      <c r="O836" s="10"/>
      <c r="P836" s="10"/>
      <c r="Q836" s="11"/>
      <c r="R836" s="11"/>
      <c r="S836" s="10"/>
      <c r="T836" s="11"/>
    </row>
    <row r="837" ht="15.75" customHeight="1">
      <c r="A837" s="7"/>
      <c r="B837" s="7"/>
      <c r="C837" s="7"/>
      <c r="D837" s="8"/>
      <c r="E837" s="10"/>
      <c r="F837" s="10"/>
      <c r="H837" s="8"/>
      <c r="I837" s="11"/>
      <c r="J837" s="8"/>
      <c r="K837" s="8"/>
      <c r="L837" s="8"/>
      <c r="N837" s="10"/>
      <c r="O837" s="10"/>
      <c r="P837" s="10"/>
      <c r="Q837" s="11"/>
      <c r="R837" s="11"/>
      <c r="S837" s="10"/>
      <c r="T837" s="11"/>
    </row>
    <row r="838" ht="15.75" customHeight="1">
      <c r="A838" s="7"/>
      <c r="B838" s="7"/>
      <c r="C838" s="7"/>
      <c r="D838" s="8"/>
      <c r="E838" s="10"/>
      <c r="F838" s="10"/>
      <c r="H838" s="8"/>
      <c r="I838" s="11"/>
      <c r="J838" s="8"/>
      <c r="K838" s="8"/>
      <c r="L838" s="8"/>
      <c r="N838" s="10"/>
      <c r="O838" s="10"/>
      <c r="P838" s="10"/>
      <c r="Q838" s="11"/>
      <c r="R838" s="11"/>
      <c r="S838" s="10"/>
      <c r="T838" s="11"/>
    </row>
    <row r="839" ht="15.75" customHeight="1">
      <c r="A839" s="7"/>
      <c r="B839" s="7"/>
      <c r="C839" s="7"/>
      <c r="D839" s="8"/>
      <c r="E839" s="10"/>
      <c r="F839" s="10"/>
      <c r="H839" s="8"/>
      <c r="I839" s="11"/>
      <c r="J839" s="8"/>
      <c r="K839" s="8"/>
      <c r="L839" s="8"/>
      <c r="N839" s="10"/>
      <c r="O839" s="10"/>
      <c r="P839" s="10"/>
      <c r="Q839" s="11"/>
      <c r="R839" s="11"/>
      <c r="S839" s="10"/>
      <c r="T839" s="11"/>
    </row>
    <row r="840" ht="15.75" customHeight="1">
      <c r="A840" s="7"/>
      <c r="B840" s="7"/>
      <c r="C840" s="7"/>
      <c r="D840" s="8"/>
      <c r="E840" s="10"/>
      <c r="F840" s="10"/>
      <c r="H840" s="8"/>
      <c r="I840" s="11"/>
      <c r="J840" s="8"/>
      <c r="K840" s="8"/>
      <c r="L840" s="8"/>
      <c r="N840" s="10"/>
      <c r="O840" s="10"/>
      <c r="P840" s="10"/>
      <c r="Q840" s="11"/>
      <c r="R840" s="11"/>
      <c r="S840" s="10"/>
      <c r="T840" s="11"/>
    </row>
    <row r="841" ht="15.75" customHeight="1">
      <c r="A841" s="7"/>
      <c r="B841" s="7"/>
      <c r="C841" s="7"/>
      <c r="D841" s="8"/>
      <c r="E841" s="10"/>
      <c r="F841" s="10"/>
      <c r="H841" s="8"/>
      <c r="I841" s="11"/>
      <c r="J841" s="8"/>
      <c r="K841" s="8"/>
      <c r="L841" s="8"/>
      <c r="N841" s="10"/>
      <c r="O841" s="10"/>
      <c r="P841" s="10"/>
      <c r="Q841" s="11"/>
      <c r="R841" s="11"/>
      <c r="S841" s="10"/>
      <c r="T841" s="11"/>
    </row>
    <row r="842" ht="15.75" customHeight="1">
      <c r="A842" s="7"/>
      <c r="B842" s="7"/>
      <c r="C842" s="7"/>
      <c r="D842" s="8"/>
      <c r="E842" s="10"/>
      <c r="F842" s="10"/>
      <c r="H842" s="8"/>
      <c r="I842" s="11"/>
      <c r="J842" s="8"/>
      <c r="K842" s="8"/>
      <c r="L842" s="8"/>
      <c r="N842" s="10"/>
      <c r="O842" s="10"/>
      <c r="P842" s="10"/>
      <c r="Q842" s="11"/>
      <c r="R842" s="11"/>
      <c r="S842" s="10"/>
      <c r="T842" s="11"/>
    </row>
    <row r="843" ht="15.75" customHeight="1">
      <c r="A843" s="7"/>
      <c r="B843" s="7"/>
      <c r="C843" s="7"/>
      <c r="D843" s="8"/>
      <c r="E843" s="10"/>
      <c r="F843" s="10"/>
      <c r="H843" s="8"/>
      <c r="I843" s="11"/>
      <c r="J843" s="8"/>
      <c r="K843" s="8"/>
      <c r="L843" s="8"/>
      <c r="N843" s="10"/>
      <c r="O843" s="10"/>
      <c r="P843" s="10"/>
      <c r="Q843" s="11"/>
      <c r="R843" s="11"/>
      <c r="S843" s="10"/>
      <c r="T843" s="11"/>
    </row>
    <row r="844" ht="15.75" customHeight="1">
      <c r="A844" s="7"/>
      <c r="B844" s="7"/>
      <c r="C844" s="7"/>
      <c r="D844" s="8"/>
      <c r="E844" s="10"/>
      <c r="F844" s="10"/>
      <c r="H844" s="8"/>
      <c r="I844" s="11"/>
      <c r="J844" s="8"/>
      <c r="K844" s="8"/>
      <c r="L844" s="8"/>
      <c r="N844" s="10"/>
      <c r="O844" s="10"/>
      <c r="P844" s="10"/>
      <c r="Q844" s="11"/>
      <c r="R844" s="11"/>
      <c r="S844" s="10"/>
      <c r="T844" s="11"/>
    </row>
    <row r="845" ht="15.75" customHeight="1">
      <c r="A845" s="7"/>
      <c r="B845" s="7"/>
      <c r="C845" s="7"/>
      <c r="D845" s="8"/>
      <c r="E845" s="10"/>
      <c r="F845" s="10"/>
      <c r="H845" s="8"/>
      <c r="I845" s="11"/>
      <c r="J845" s="8"/>
      <c r="K845" s="8"/>
      <c r="L845" s="8"/>
      <c r="N845" s="10"/>
      <c r="O845" s="10"/>
      <c r="P845" s="10"/>
      <c r="Q845" s="11"/>
      <c r="R845" s="11"/>
      <c r="S845" s="10"/>
      <c r="T845" s="11"/>
    </row>
    <row r="846" ht="15.75" customHeight="1">
      <c r="A846" s="7"/>
      <c r="B846" s="7"/>
      <c r="C846" s="7"/>
      <c r="D846" s="8"/>
      <c r="E846" s="10"/>
      <c r="F846" s="10"/>
      <c r="H846" s="8"/>
      <c r="I846" s="11"/>
      <c r="J846" s="8"/>
      <c r="K846" s="8"/>
      <c r="L846" s="8"/>
      <c r="N846" s="10"/>
      <c r="O846" s="10"/>
      <c r="P846" s="10"/>
      <c r="Q846" s="11"/>
      <c r="R846" s="11"/>
      <c r="S846" s="10"/>
      <c r="T846" s="11"/>
    </row>
    <row r="847" ht="15.75" customHeight="1">
      <c r="A847" s="7"/>
      <c r="B847" s="7"/>
      <c r="C847" s="7"/>
      <c r="D847" s="8"/>
      <c r="E847" s="10"/>
      <c r="F847" s="10"/>
      <c r="H847" s="8"/>
      <c r="I847" s="11"/>
      <c r="J847" s="8"/>
      <c r="K847" s="8"/>
      <c r="L847" s="8"/>
      <c r="N847" s="10"/>
      <c r="O847" s="10"/>
      <c r="P847" s="10"/>
      <c r="Q847" s="11"/>
      <c r="R847" s="11"/>
      <c r="S847" s="10"/>
      <c r="T847" s="11"/>
    </row>
    <row r="848" ht="15.75" customHeight="1">
      <c r="A848" s="7"/>
      <c r="B848" s="7"/>
      <c r="C848" s="7"/>
      <c r="D848" s="8"/>
      <c r="E848" s="10"/>
      <c r="F848" s="10"/>
      <c r="H848" s="8"/>
      <c r="I848" s="11"/>
      <c r="J848" s="8"/>
      <c r="K848" s="8"/>
      <c r="L848" s="8"/>
      <c r="N848" s="10"/>
      <c r="O848" s="10"/>
      <c r="P848" s="10"/>
      <c r="Q848" s="11"/>
      <c r="R848" s="11"/>
      <c r="S848" s="10"/>
      <c r="T848" s="11"/>
    </row>
    <row r="849" ht="15.75" customHeight="1">
      <c r="A849" s="7"/>
      <c r="B849" s="7"/>
      <c r="C849" s="7"/>
      <c r="D849" s="8"/>
      <c r="E849" s="10"/>
      <c r="F849" s="10"/>
      <c r="H849" s="8"/>
      <c r="I849" s="11"/>
      <c r="J849" s="8"/>
      <c r="K849" s="8"/>
      <c r="L849" s="8"/>
      <c r="N849" s="10"/>
      <c r="O849" s="10"/>
      <c r="P849" s="10"/>
      <c r="Q849" s="11"/>
      <c r="R849" s="11"/>
      <c r="S849" s="10"/>
      <c r="T849" s="11"/>
    </row>
    <row r="850" ht="15.75" customHeight="1">
      <c r="A850" s="7"/>
      <c r="B850" s="7"/>
      <c r="C850" s="7"/>
      <c r="D850" s="8"/>
      <c r="E850" s="10"/>
      <c r="F850" s="10"/>
      <c r="H850" s="8"/>
      <c r="I850" s="11"/>
      <c r="J850" s="8"/>
      <c r="K850" s="8"/>
      <c r="L850" s="8"/>
      <c r="N850" s="10"/>
      <c r="O850" s="10"/>
      <c r="P850" s="10"/>
      <c r="Q850" s="11"/>
      <c r="R850" s="11"/>
      <c r="S850" s="10"/>
      <c r="T850" s="11"/>
    </row>
    <row r="851" ht="15.75" customHeight="1">
      <c r="A851" s="7"/>
      <c r="B851" s="7"/>
      <c r="C851" s="7"/>
      <c r="D851" s="8"/>
      <c r="E851" s="10"/>
      <c r="F851" s="10"/>
      <c r="H851" s="8"/>
      <c r="I851" s="11"/>
      <c r="J851" s="8"/>
      <c r="K851" s="8"/>
      <c r="L851" s="8"/>
      <c r="N851" s="10"/>
      <c r="O851" s="10"/>
      <c r="P851" s="10"/>
      <c r="Q851" s="11"/>
      <c r="R851" s="11"/>
      <c r="S851" s="10"/>
      <c r="T851" s="11"/>
    </row>
    <row r="852" ht="15.75" customHeight="1">
      <c r="A852" s="7"/>
      <c r="B852" s="7"/>
      <c r="C852" s="7"/>
      <c r="D852" s="8"/>
      <c r="E852" s="10"/>
      <c r="F852" s="10"/>
      <c r="H852" s="8"/>
      <c r="I852" s="11"/>
      <c r="J852" s="8"/>
      <c r="K852" s="8"/>
      <c r="L852" s="8"/>
      <c r="N852" s="10"/>
      <c r="O852" s="10"/>
      <c r="P852" s="10"/>
      <c r="Q852" s="11"/>
      <c r="R852" s="11"/>
      <c r="S852" s="10"/>
      <c r="T852" s="11"/>
    </row>
    <row r="853" ht="15.75" customHeight="1">
      <c r="A853" s="7"/>
      <c r="B853" s="7"/>
      <c r="C853" s="7"/>
      <c r="D853" s="8"/>
      <c r="E853" s="10"/>
      <c r="F853" s="10"/>
      <c r="H853" s="8"/>
      <c r="I853" s="11"/>
      <c r="J853" s="8"/>
      <c r="K853" s="8"/>
      <c r="L853" s="8"/>
      <c r="N853" s="10"/>
      <c r="O853" s="10"/>
      <c r="P853" s="10"/>
      <c r="Q853" s="11"/>
      <c r="R853" s="11"/>
      <c r="S853" s="10"/>
      <c r="T853" s="11"/>
    </row>
    <row r="854" ht="15.75" customHeight="1">
      <c r="A854" s="7"/>
      <c r="B854" s="7"/>
      <c r="C854" s="7"/>
      <c r="D854" s="8"/>
      <c r="E854" s="10"/>
      <c r="F854" s="10"/>
      <c r="H854" s="8"/>
      <c r="I854" s="11"/>
      <c r="J854" s="8"/>
      <c r="K854" s="8"/>
      <c r="L854" s="8"/>
      <c r="N854" s="10"/>
      <c r="O854" s="10"/>
      <c r="P854" s="10"/>
      <c r="Q854" s="11"/>
      <c r="R854" s="11"/>
      <c r="S854" s="10"/>
      <c r="T854" s="11"/>
    </row>
    <row r="855" ht="15.75" customHeight="1">
      <c r="A855" s="7"/>
      <c r="B855" s="7"/>
      <c r="C855" s="7"/>
      <c r="D855" s="8"/>
      <c r="E855" s="10"/>
      <c r="F855" s="10"/>
      <c r="H855" s="8"/>
      <c r="I855" s="11"/>
      <c r="J855" s="8"/>
      <c r="K855" s="8"/>
      <c r="L855" s="8"/>
      <c r="N855" s="10"/>
      <c r="O855" s="10"/>
      <c r="P855" s="10"/>
      <c r="Q855" s="11"/>
      <c r="R855" s="11"/>
      <c r="S855" s="10"/>
      <c r="T855" s="11"/>
    </row>
    <row r="856" ht="15.75" customHeight="1">
      <c r="A856" s="7"/>
      <c r="B856" s="7"/>
      <c r="C856" s="7"/>
      <c r="D856" s="8"/>
      <c r="E856" s="10"/>
      <c r="F856" s="10"/>
      <c r="H856" s="8"/>
      <c r="I856" s="11"/>
      <c r="J856" s="8"/>
      <c r="K856" s="8"/>
      <c r="L856" s="8"/>
      <c r="N856" s="10"/>
      <c r="O856" s="10"/>
      <c r="P856" s="10"/>
      <c r="Q856" s="11"/>
      <c r="R856" s="11"/>
      <c r="S856" s="10"/>
      <c r="T856" s="11"/>
    </row>
    <row r="857" ht="15.75" customHeight="1">
      <c r="A857" s="7"/>
      <c r="B857" s="7"/>
      <c r="C857" s="7"/>
      <c r="D857" s="8"/>
      <c r="E857" s="10"/>
      <c r="F857" s="10"/>
      <c r="H857" s="8"/>
      <c r="I857" s="11"/>
      <c r="J857" s="8"/>
      <c r="K857" s="8"/>
      <c r="L857" s="8"/>
      <c r="N857" s="10"/>
      <c r="O857" s="10"/>
      <c r="P857" s="10"/>
      <c r="Q857" s="11"/>
      <c r="R857" s="11"/>
      <c r="S857" s="10"/>
      <c r="T857" s="11"/>
    </row>
    <row r="858" ht="15.75" customHeight="1">
      <c r="A858" s="7"/>
      <c r="B858" s="7"/>
      <c r="C858" s="7"/>
      <c r="D858" s="8"/>
      <c r="E858" s="10"/>
      <c r="F858" s="10"/>
      <c r="H858" s="8"/>
      <c r="I858" s="11"/>
      <c r="J858" s="8"/>
      <c r="K858" s="8"/>
      <c r="L858" s="8"/>
      <c r="N858" s="10"/>
      <c r="O858" s="10"/>
      <c r="P858" s="10"/>
      <c r="Q858" s="11"/>
      <c r="R858" s="11"/>
      <c r="S858" s="10"/>
      <c r="T858" s="11"/>
    </row>
    <row r="859" ht="15.75" customHeight="1">
      <c r="A859" s="7"/>
      <c r="B859" s="7"/>
      <c r="C859" s="7"/>
      <c r="D859" s="8"/>
      <c r="E859" s="10"/>
      <c r="F859" s="10"/>
      <c r="H859" s="8"/>
      <c r="I859" s="11"/>
      <c r="J859" s="8"/>
      <c r="K859" s="8"/>
      <c r="L859" s="8"/>
      <c r="N859" s="10"/>
      <c r="O859" s="10"/>
      <c r="P859" s="10"/>
      <c r="Q859" s="11"/>
      <c r="R859" s="11"/>
      <c r="S859" s="10"/>
      <c r="T859" s="11"/>
    </row>
    <row r="860" ht="15.75" customHeight="1">
      <c r="A860" s="7"/>
      <c r="B860" s="7"/>
      <c r="C860" s="7"/>
      <c r="D860" s="8"/>
      <c r="E860" s="10"/>
      <c r="F860" s="10"/>
      <c r="H860" s="8"/>
      <c r="I860" s="11"/>
      <c r="J860" s="8"/>
      <c r="K860" s="8"/>
      <c r="L860" s="8"/>
      <c r="N860" s="10"/>
      <c r="O860" s="10"/>
      <c r="P860" s="10"/>
      <c r="Q860" s="11"/>
      <c r="R860" s="11"/>
      <c r="S860" s="10"/>
      <c r="T860" s="11"/>
    </row>
    <row r="861" ht="15.75" customHeight="1">
      <c r="A861" s="7"/>
      <c r="B861" s="7"/>
      <c r="C861" s="7"/>
      <c r="D861" s="8"/>
      <c r="E861" s="10"/>
      <c r="F861" s="10"/>
      <c r="H861" s="8"/>
      <c r="I861" s="11"/>
      <c r="J861" s="8"/>
      <c r="K861" s="8"/>
      <c r="L861" s="8"/>
      <c r="N861" s="10"/>
      <c r="O861" s="10"/>
      <c r="P861" s="10"/>
      <c r="Q861" s="11"/>
      <c r="R861" s="11"/>
      <c r="S861" s="10"/>
      <c r="T861" s="11"/>
    </row>
    <row r="862" ht="15.75" customHeight="1">
      <c r="A862" s="7"/>
      <c r="B862" s="7"/>
      <c r="C862" s="7"/>
      <c r="D862" s="8"/>
      <c r="E862" s="10"/>
      <c r="F862" s="10"/>
      <c r="H862" s="8"/>
      <c r="I862" s="11"/>
      <c r="J862" s="8"/>
      <c r="K862" s="8"/>
      <c r="L862" s="8"/>
      <c r="N862" s="10"/>
      <c r="O862" s="10"/>
      <c r="P862" s="10"/>
      <c r="Q862" s="11"/>
      <c r="R862" s="11"/>
      <c r="S862" s="10"/>
      <c r="T862" s="11"/>
    </row>
    <row r="863" ht="15.75" customHeight="1">
      <c r="A863" s="7"/>
      <c r="B863" s="7"/>
      <c r="C863" s="7"/>
      <c r="D863" s="8"/>
      <c r="E863" s="10"/>
      <c r="F863" s="10"/>
      <c r="H863" s="8"/>
      <c r="I863" s="11"/>
      <c r="J863" s="8"/>
      <c r="K863" s="8"/>
      <c r="L863" s="8"/>
      <c r="N863" s="10"/>
      <c r="O863" s="10"/>
      <c r="P863" s="10"/>
      <c r="Q863" s="11"/>
      <c r="R863" s="11"/>
      <c r="S863" s="10"/>
      <c r="T863" s="11"/>
    </row>
    <row r="864" ht="15.75" customHeight="1">
      <c r="A864" s="7"/>
      <c r="B864" s="7"/>
      <c r="C864" s="7"/>
      <c r="D864" s="8"/>
      <c r="E864" s="10"/>
      <c r="F864" s="10"/>
      <c r="H864" s="8"/>
      <c r="I864" s="11"/>
      <c r="J864" s="8"/>
      <c r="K864" s="8"/>
      <c r="L864" s="8"/>
      <c r="N864" s="10"/>
      <c r="O864" s="10"/>
      <c r="P864" s="10"/>
      <c r="Q864" s="11"/>
      <c r="R864" s="11"/>
      <c r="S864" s="10"/>
      <c r="T864" s="11"/>
    </row>
    <row r="865" ht="15.75" customHeight="1">
      <c r="A865" s="7"/>
      <c r="B865" s="7"/>
      <c r="C865" s="7"/>
      <c r="D865" s="8"/>
      <c r="E865" s="10"/>
      <c r="F865" s="10"/>
      <c r="H865" s="8"/>
      <c r="I865" s="11"/>
      <c r="J865" s="8"/>
      <c r="K865" s="8"/>
      <c r="L865" s="8"/>
      <c r="N865" s="10"/>
      <c r="O865" s="10"/>
      <c r="P865" s="10"/>
      <c r="Q865" s="11"/>
      <c r="R865" s="11"/>
      <c r="S865" s="10"/>
      <c r="T865" s="11"/>
    </row>
    <row r="866" ht="15.75" customHeight="1">
      <c r="A866" s="7"/>
      <c r="B866" s="7"/>
      <c r="C866" s="7"/>
      <c r="D866" s="8"/>
      <c r="E866" s="10"/>
      <c r="F866" s="10"/>
      <c r="H866" s="8"/>
      <c r="I866" s="11"/>
      <c r="J866" s="8"/>
      <c r="K866" s="8"/>
      <c r="L866" s="8"/>
      <c r="N866" s="10"/>
      <c r="O866" s="10"/>
      <c r="P866" s="10"/>
      <c r="Q866" s="11"/>
      <c r="R866" s="11"/>
      <c r="S866" s="10"/>
      <c r="T866" s="11"/>
    </row>
    <row r="867" ht="15.75" customHeight="1">
      <c r="A867" s="7"/>
      <c r="B867" s="7"/>
      <c r="C867" s="7"/>
      <c r="D867" s="8"/>
      <c r="E867" s="10"/>
      <c r="F867" s="10"/>
      <c r="H867" s="8"/>
      <c r="I867" s="11"/>
      <c r="J867" s="8"/>
      <c r="K867" s="8"/>
      <c r="L867" s="8"/>
      <c r="N867" s="10"/>
      <c r="O867" s="10"/>
      <c r="P867" s="10"/>
      <c r="Q867" s="11"/>
      <c r="R867" s="11"/>
      <c r="S867" s="10"/>
      <c r="T867" s="11"/>
    </row>
    <row r="868" ht="15.75" customHeight="1">
      <c r="A868" s="7"/>
      <c r="B868" s="7"/>
      <c r="C868" s="7"/>
      <c r="D868" s="8"/>
      <c r="E868" s="10"/>
      <c r="F868" s="10"/>
      <c r="H868" s="8"/>
      <c r="I868" s="11"/>
      <c r="J868" s="8"/>
      <c r="K868" s="8"/>
      <c r="L868" s="8"/>
      <c r="N868" s="10"/>
      <c r="O868" s="10"/>
      <c r="P868" s="10"/>
      <c r="Q868" s="11"/>
      <c r="R868" s="11"/>
      <c r="S868" s="10"/>
      <c r="T868" s="11"/>
    </row>
    <row r="869" ht="15.75" customHeight="1">
      <c r="A869" s="7"/>
      <c r="B869" s="7"/>
      <c r="C869" s="7"/>
      <c r="D869" s="8"/>
      <c r="E869" s="10"/>
      <c r="F869" s="10"/>
      <c r="H869" s="8"/>
      <c r="I869" s="11"/>
      <c r="J869" s="8"/>
      <c r="K869" s="8"/>
      <c r="L869" s="8"/>
      <c r="N869" s="10"/>
      <c r="O869" s="10"/>
      <c r="P869" s="10"/>
      <c r="Q869" s="11"/>
      <c r="R869" s="11"/>
      <c r="S869" s="10"/>
      <c r="T869" s="11"/>
    </row>
    <row r="870" ht="15.75" customHeight="1">
      <c r="A870" s="7"/>
      <c r="B870" s="7"/>
      <c r="C870" s="7"/>
      <c r="D870" s="8"/>
      <c r="E870" s="10"/>
      <c r="F870" s="10"/>
      <c r="H870" s="8"/>
      <c r="I870" s="11"/>
      <c r="J870" s="8"/>
      <c r="K870" s="8"/>
      <c r="L870" s="8"/>
      <c r="N870" s="10"/>
      <c r="O870" s="10"/>
      <c r="P870" s="10"/>
      <c r="Q870" s="11"/>
      <c r="R870" s="11"/>
      <c r="S870" s="10"/>
      <c r="T870" s="11"/>
    </row>
    <row r="871" ht="15.75" customHeight="1">
      <c r="A871" s="7"/>
      <c r="B871" s="7"/>
      <c r="C871" s="7"/>
      <c r="D871" s="8"/>
      <c r="E871" s="10"/>
      <c r="F871" s="10"/>
      <c r="H871" s="8"/>
      <c r="I871" s="11"/>
      <c r="J871" s="8"/>
      <c r="K871" s="8"/>
      <c r="L871" s="8"/>
      <c r="N871" s="10"/>
      <c r="O871" s="10"/>
      <c r="P871" s="10"/>
      <c r="Q871" s="11"/>
      <c r="R871" s="11"/>
      <c r="S871" s="10"/>
      <c r="T871" s="11"/>
    </row>
    <row r="872" ht="15.75" customHeight="1">
      <c r="A872" s="7"/>
      <c r="B872" s="7"/>
      <c r="C872" s="7"/>
      <c r="D872" s="8"/>
      <c r="E872" s="10"/>
      <c r="F872" s="10"/>
      <c r="H872" s="8"/>
      <c r="I872" s="11"/>
      <c r="J872" s="8"/>
      <c r="K872" s="8"/>
      <c r="L872" s="8"/>
      <c r="N872" s="10"/>
      <c r="O872" s="10"/>
      <c r="P872" s="10"/>
      <c r="Q872" s="11"/>
      <c r="R872" s="11"/>
      <c r="S872" s="10"/>
      <c r="T872" s="11"/>
    </row>
    <row r="873" ht="15.75" customHeight="1">
      <c r="A873" s="7"/>
      <c r="B873" s="7"/>
      <c r="C873" s="7"/>
      <c r="D873" s="8"/>
      <c r="E873" s="10"/>
      <c r="F873" s="10"/>
      <c r="H873" s="8"/>
      <c r="I873" s="11"/>
      <c r="J873" s="8"/>
      <c r="K873" s="8"/>
      <c r="L873" s="8"/>
      <c r="N873" s="10"/>
      <c r="O873" s="10"/>
      <c r="P873" s="10"/>
      <c r="Q873" s="11"/>
      <c r="R873" s="11"/>
      <c r="S873" s="10"/>
      <c r="T873" s="11"/>
    </row>
    <row r="874" ht="15.75" customHeight="1">
      <c r="A874" s="7"/>
      <c r="B874" s="7"/>
      <c r="C874" s="7"/>
      <c r="D874" s="8"/>
      <c r="E874" s="10"/>
      <c r="F874" s="10"/>
      <c r="H874" s="8"/>
      <c r="I874" s="11"/>
      <c r="J874" s="8"/>
      <c r="K874" s="8"/>
      <c r="L874" s="8"/>
      <c r="N874" s="10"/>
      <c r="O874" s="10"/>
      <c r="P874" s="10"/>
      <c r="Q874" s="11"/>
      <c r="R874" s="11"/>
      <c r="S874" s="10"/>
      <c r="T874" s="11"/>
    </row>
    <row r="875" ht="15.75" customHeight="1">
      <c r="A875" s="7"/>
      <c r="B875" s="7"/>
      <c r="C875" s="7"/>
      <c r="D875" s="8"/>
      <c r="E875" s="10"/>
      <c r="F875" s="10"/>
      <c r="H875" s="8"/>
      <c r="I875" s="11"/>
      <c r="J875" s="8"/>
      <c r="K875" s="8"/>
      <c r="L875" s="8"/>
      <c r="N875" s="10"/>
      <c r="O875" s="10"/>
      <c r="P875" s="10"/>
      <c r="Q875" s="11"/>
      <c r="R875" s="11"/>
      <c r="S875" s="10"/>
      <c r="T875" s="11"/>
    </row>
    <row r="876" ht="15.75" customHeight="1">
      <c r="A876" s="7"/>
      <c r="B876" s="7"/>
      <c r="C876" s="7"/>
      <c r="D876" s="8"/>
      <c r="E876" s="10"/>
      <c r="F876" s="10"/>
      <c r="H876" s="8"/>
      <c r="I876" s="11"/>
      <c r="J876" s="8"/>
      <c r="K876" s="8"/>
      <c r="L876" s="8"/>
      <c r="N876" s="10"/>
      <c r="O876" s="10"/>
      <c r="P876" s="10"/>
      <c r="Q876" s="11"/>
      <c r="R876" s="11"/>
      <c r="S876" s="10"/>
      <c r="T876" s="11"/>
    </row>
    <row r="877" ht="15.75" customHeight="1">
      <c r="A877" s="7"/>
      <c r="B877" s="7"/>
      <c r="C877" s="7"/>
      <c r="D877" s="8"/>
      <c r="E877" s="10"/>
      <c r="F877" s="10"/>
      <c r="H877" s="8"/>
      <c r="I877" s="11"/>
      <c r="J877" s="8"/>
      <c r="K877" s="8"/>
      <c r="L877" s="8"/>
      <c r="N877" s="10"/>
      <c r="O877" s="10"/>
      <c r="P877" s="10"/>
      <c r="Q877" s="11"/>
      <c r="R877" s="11"/>
      <c r="S877" s="10"/>
      <c r="T877" s="11"/>
    </row>
    <row r="878" ht="15.75" customHeight="1">
      <c r="A878" s="7"/>
      <c r="B878" s="7"/>
      <c r="C878" s="7"/>
      <c r="D878" s="8"/>
      <c r="E878" s="10"/>
      <c r="F878" s="10"/>
      <c r="H878" s="8"/>
      <c r="I878" s="11"/>
      <c r="J878" s="8"/>
      <c r="K878" s="8"/>
      <c r="L878" s="8"/>
      <c r="N878" s="10"/>
      <c r="O878" s="10"/>
      <c r="P878" s="10"/>
      <c r="Q878" s="11"/>
      <c r="R878" s="11"/>
      <c r="S878" s="10"/>
      <c r="T878" s="11"/>
    </row>
    <row r="879" ht="15.75" customHeight="1">
      <c r="A879" s="7"/>
      <c r="B879" s="7"/>
      <c r="C879" s="7"/>
      <c r="D879" s="8"/>
      <c r="E879" s="10"/>
      <c r="F879" s="10"/>
      <c r="H879" s="8"/>
      <c r="I879" s="11"/>
      <c r="J879" s="8"/>
      <c r="K879" s="8"/>
      <c r="L879" s="8"/>
      <c r="N879" s="10"/>
      <c r="O879" s="10"/>
      <c r="P879" s="10"/>
      <c r="Q879" s="11"/>
      <c r="R879" s="11"/>
      <c r="S879" s="10"/>
      <c r="T879" s="11"/>
    </row>
    <row r="880" ht="15.75" customHeight="1">
      <c r="A880" s="7"/>
      <c r="B880" s="7"/>
      <c r="C880" s="7"/>
      <c r="D880" s="8"/>
      <c r="E880" s="10"/>
      <c r="F880" s="10"/>
      <c r="H880" s="8"/>
      <c r="I880" s="11"/>
      <c r="J880" s="8"/>
      <c r="K880" s="8"/>
      <c r="L880" s="8"/>
      <c r="N880" s="10"/>
      <c r="O880" s="10"/>
      <c r="P880" s="10"/>
      <c r="Q880" s="11"/>
      <c r="R880" s="11"/>
      <c r="S880" s="10"/>
      <c r="T880" s="11"/>
    </row>
    <row r="881" ht="15.75" customHeight="1">
      <c r="A881" s="7"/>
      <c r="B881" s="7"/>
      <c r="C881" s="7"/>
      <c r="D881" s="8"/>
      <c r="E881" s="10"/>
      <c r="F881" s="10"/>
      <c r="H881" s="8"/>
      <c r="I881" s="11"/>
      <c r="J881" s="8"/>
      <c r="K881" s="8"/>
      <c r="L881" s="8"/>
      <c r="N881" s="10"/>
      <c r="O881" s="10"/>
      <c r="P881" s="10"/>
      <c r="Q881" s="11"/>
      <c r="R881" s="11"/>
      <c r="S881" s="10"/>
      <c r="T881" s="11"/>
    </row>
    <row r="882" ht="15.75" customHeight="1">
      <c r="A882" s="7"/>
      <c r="B882" s="7"/>
      <c r="C882" s="7"/>
      <c r="D882" s="8"/>
      <c r="E882" s="10"/>
      <c r="F882" s="10"/>
      <c r="H882" s="8"/>
      <c r="I882" s="11"/>
      <c r="J882" s="8"/>
      <c r="K882" s="8"/>
      <c r="L882" s="8"/>
      <c r="N882" s="10"/>
      <c r="O882" s="10"/>
      <c r="P882" s="10"/>
      <c r="Q882" s="11"/>
      <c r="R882" s="11"/>
      <c r="S882" s="10"/>
      <c r="T882" s="11"/>
    </row>
    <row r="883" ht="15.75" customHeight="1">
      <c r="A883" s="7"/>
      <c r="B883" s="7"/>
      <c r="C883" s="7"/>
      <c r="D883" s="8"/>
      <c r="E883" s="10"/>
      <c r="F883" s="10"/>
      <c r="H883" s="8"/>
      <c r="I883" s="11"/>
      <c r="J883" s="8"/>
      <c r="K883" s="8"/>
      <c r="L883" s="8"/>
      <c r="N883" s="10"/>
      <c r="O883" s="10"/>
      <c r="P883" s="10"/>
      <c r="Q883" s="11"/>
      <c r="R883" s="11"/>
      <c r="S883" s="10"/>
      <c r="T883" s="11"/>
    </row>
    <row r="884" ht="15.75" customHeight="1">
      <c r="A884" s="7"/>
      <c r="B884" s="7"/>
      <c r="C884" s="7"/>
      <c r="D884" s="8"/>
      <c r="E884" s="10"/>
      <c r="F884" s="10"/>
      <c r="H884" s="8"/>
      <c r="I884" s="11"/>
      <c r="J884" s="8"/>
      <c r="K884" s="8"/>
      <c r="L884" s="8"/>
      <c r="N884" s="10"/>
      <c r="O884" s="10"/>
      <c r="P884" s="10"/>
      <c r="Q884" s="11"/>
      <c r="R884" s="11"/>
      <c r="S884" s="10"/>
      <c r="T884" s="11"/>
    </row>
    <row r="885" ht="15.75" customHeight="1">
      <c r="A885" s="7"/>
      <c r="B885" s="7"/>
      <c r="C885" s="7"/>
      <c r="D885" s="8"/>
      <c r="E885" s="10"/>
      <c r="F885" s="10"/>
      <c r="H885" s="8"/>
      <c r="I885" s="11"/>
      <c r="J885" s="8"/>
      <c r="K885" s="8"/>
      <c r="L885" s="8"/>
      <c r="N885" s="10"/>
      <c r="O885" s="10"/>
      <c r="P885" s="10"/>
      <c r="Q885" s="11"/>
      <c r="R885" s="11"/>
      <c r="S885" s="10"/>
      <c r="T885" s="11"/>
    </row>
    <row r="886" ht="15.75" customHeight="1">
      <c r="A886" s="7"/>
      <c r="B886" s="7"/>
      <c r="C886" s="7"/>
      <c r="D886" s="8"/>
      <c r="E886" s="10"/>
      <c r="F886" s="10"/>
      <c r="H886" s="8"/>
      <c r="I886" s="11"/>
      <c r="J886" s="8"/>
      <c r="K886" s="8"/>
      <c r="L886" s="8"/>
      <c r="N886" s="10"/>
      <c r="O886" s="10"/>
      <c r="P886" s="10"/>
      <c r="Q886" s="11"/>
      <c r="R886" s="11"/>
      <c r="S886" s="10"/>
      <c r="T886" s="11"/>
    </row>
    <row r="887" ht="15.75" customHeight="1">
      <c r="A887" s="7"/>
      <c r="B887" s="7"/>
      <c r="C887" s="7"/>
      <c r="D887" s="8"/>
      <c r="E887" s="10"/>
      <c r="F887" s="10"/>
      <c r="H887" s="8"/>
      <c r="I887" s="11"/>
      <c r="J887" s="8"/>
      <c r="K887" s="8"/>
      <c r="L887" s="8"/>
      <c r="N887" s="10"/>
      <c r="O887" s="10"/>
      <c r="P887" s="10"/>
      <c r="Q887" s="11"/>
      <c r="R887" s="11"/>
      <c r="S887" s="10"/>
      <c r="T887" s="11"/>
    </row>
    <row r="888" ht="15.75" customHeight="1">
      <c r="A888" s="7"/>
      <c r="B888" s="7"/>
      <c r="C888" s="7"/>
      <c r="D888" s="8"/>
      <c r="E888" s="10"/>
      <c r="F888" s="10"/>
      <c r="H888" s="8"/>
      <c r="I888" s="11"/>
      <c r="J888" s="8"/>
      <c r="K888" s="8"/>
      <c r="L888" s="8"/>
      <c r="N888" s="10"/>
      <c r="O888" s="10"/>
      <c r="P888" s="10"/>
      <c r="Q888" s="11"/>
      <c r="R888" s="11"/>
      <c r="S888" s="10"/>
      <c r="T888" s="11"/>
    </row>
    <row r="889" ht="15.75" customHeight="1">
      <c r="A889" s="7"/>
      <c r="B889" s="7"/>
      <c r="C889" s="7"/>
      <c r="D889" s="8"/>
      <c r="E889" s="10"/>
      <c r="F889" s="10"/>
      <c r="H889" s="8"/>
      <c r="I889" s="11"/>
      <c r="J889" s="8"/>
      <c r="K889" s="8"/>
      <c r="L889" s="8"/>
      <c r="N889" s="10"/>
      <c r="O889" s="10"/>
      <c r="P889" s="10"/>
      <c r="Q889" s="11"/>
      <c r="R889" s="11"/>
      <c r="S889" s="10"/>
      <c r="T889" s="11"/>
    </row>
    <row r="890" ht="15.75" customHeight="1">
      <c r="A890" s="7"/>
      <c r="B890" s="7"/>
      <c r="C890" s="7"/>
      <c r="D890" s="8"/>
      <c r="E890" s="10"/>
      <c r="F890" s="10"/>
      <c r="H890" s="8"/>
      <c r="I890" s="11"/>
      <c r="J890" s="8"/>
      <c r="K890" s="8"/>
      <c r="L890" s="8"/>
      <c r="N890" s="10"/>
      <c r="O890" s="10"/>
      <c r="P890" s="10"/>
      <c r="Q890" s="11"/>
      <c r="R890" s="11"/>
      <c r="S890" s="10"/>
      <c r="T890" s="11"/>
    </row>
    <row r="891" ht="15.75" customHeight="1">
      <c r="A891" s="7"/>
      <c r="B891" s="7"/>
      <c r="C891" s="7"/>
      <c r="D891" s="8"/>
      <c r="E891" s="10"/>
      <c r="F891" s="10"/>
      <c r="H891" s="8"/>
      <c r="I891" s="11"/>
      <c r="J891" s="8"/>
      <c r="K891" s="8"/>
      <c r="L891" s="8"/>
      <c r="N891" s="10"/>
      <c r="O891" s="10"/>
      <c r="P891" s="10"/>
      <c r="Q891" s="11"/>
      <c r="R891" s="11"/>
      <c r="S891" s="10"/>
      <c r="T891" s="11"/>
    </row>
    <row r="892" ht="15.75" customHeight="1">
      <c r="A892" s="7"/>
      <c r="B892" s="7"/>
      <c r="C892" s="7"/>
      <c r="D892" s="8"/>
      <c r="E892" s="10"/>
      <c r="F892" s="10"/>
      <c r="H892" s="8"/>
      <c r="I892" s="11"/>
      <c r="J892" s="8"/>
      <c r="K892" s="8"/>
      <c r="L892" s="8"/>
      <c r="N892" s="10"/>
      <c r="O892" s="10"/>
      <c r="P892" s="10"/>
      <c r="Q892" s="11"/>
      <c r="R892" s="11"/>
      <c r="S892" s="10"/>
      <c r="T892" s="11"/>
    </row>
    <row r="893" ht="15.75" customHeight="1">
      <c r="A893" s="7"/>
      <c r="B893" s="7"/>
      <c r="C893" s="7"/>
      <c r="D893" s="8"/>
      <c r="E893" s="10"/>
      <c r="F893" s="10"/>
      <c r="H893" s="8"/>
      <c r="I893" s="11"/>
      <c r="J893" s="8"/>
      <c r="K893" s="8"/>
      <c r="L893" s="8"/>
      <c r="N893" s="10"/>
      <c r="O893" s="10"/>
      <c r="P893" s="10"/>
      <c r="Q893" s="11"/>
      <c r="R893" s="11"/>
      <c r="S893" s="10"/>
      <c r="T893" s="11"/>
    </row>
    <row r="894" ht="15.75" customHeight="1">
      <c r="A894" s="7"/>
      <c r="B894" s="7"/>
      <c r="C894" s="7"/>
      <c r="D894" s="8"/>
      <c r="E894" s="10"/>
      <c r="F894" s="10"/>
      <c r="H894" s="8"/>
      <c r="I894" s="11"/>
      <c r="J894" s="8"/>
      <c r="K894" s="8"/>
      <c r="L894" s="8"/>
      <c r="N894" s="10"/>
      <c r="O894" s="10"/>
      <c r="P894" s="10"/>
      <c r="Q894" s="11"/>
      <c r="R894" s="11"/>
      <c r="S894" s="10"/>
      <c r="T894" s="11"/>
    </row>
    <row r="895" ht="15.75" customHeight="1">
      <c r="A895" s="7"/>
      <c r="B895" s="7"/>
      <c r="C895" s="7"/>
      <c r="D895" s="8"/>
      <c r="E895" s="10"/>
      <c r="F895" s="10"/>
      <c r="H895" s="8"/>
      <c r="I895" s="11"/>
      <c r="J895" s="8"/>
      <c r="K895" s="8"/>
      <c r="L895" s="8"/>
      <c r="N895" s="10"/>
      <c r="O895" s="10"/>
      <c r="P895" s="10"/>
      <c r="Q895" s="11"/>
      <c r="R895" s="11"/>
      <c r="S895" s="10"/>
      <c r="T895" s="11"/>
    </row>
    <row r="896" ht="15.75" customHeight="1">
      <c r="A896" s="7"/>
      <c r="B896" s="7"/>
      <c r="C896" s="7"/>
      <c r="D896" s="8"/>
      <c r="E896" s="10"/>
      <c r="F896" s="10"/>
      <c r="H896" s="8"/>
      <c r="I896" s="11"/>
      <c r="J896" s="8"/>
      <c r="K896" s="8"/>
      <c r="L896" s="8"/>
      <c r="N896" s="10"/>
      <c r="O896" s="10"/>
      <c r="P896" s="10"/>
      <c r="Q896" s="11"/>
      <c r="R896" s="11"/>
      <c r="S896" s="10"/>
      <c r="T896" s="11"/>
    </row>
    <row r="897" ht="15.75" customHeight="1">
      <c r="A897" s="7"/>
      <c r="B897" s="7"/>
      <c r="C897" s="7"/>
      <c r="D897" s="8"/>
      <c r="E897" s="10"/>
      <c r="F897" s="10"/>
      <c r="H897" s="8"/>
      <c r="I897" s="11"/>
      <c r="J897" s="8"/>
      <c r="K897" s="8"/>
      <c r="L897" s="8"/>
      <c r="N897" s="10"/>
      <c r="O897" s="10"/>
      <c r="P897" s="10"/>
      <c r="Q897" s="11"/>
      <c r="R897" s="11"/>
      <c r="S897" s="10"/>
      <c r="T897" s="11"/>
    </row>
    <row r="898" ht="15.75" customHeight="1">
      <c r="A898" s="7"/>
      <c r="B898" s="7"/>
      <c r="C898" s="7"/>
      <c r="D898" s="8"/>
      <c r="E898" s="10"/>
      <c r="F898" s="10"/>
      <c r="H898" s="8"/>
      <c r="I898" s="11"/>
      <c r="J898" s="8"/>
      <c r="K898" s="8"/>
      <c r="L898" s="8"/>
      <c r="N898" s="10"/>
      <c r="O898" s="10"/>
      <c r="P898" s="10"/>
      <c r="Q898" s="11"/>
      <c r="R898" s="11"/>
      <c r="S898" s="10"/>
      <c r="T898" s="11"/>
    </row>
    <row r="899" ht="15.75" customHeight="1">
      <c r="A899" s="7"/>
      <c r="B899" s="7"/>
      <c r="C899" s="7"/>
      <c r="D899" s="8"/>
      <c r="E899" s="10"/>
      <c r="F899" s="10"/>
      <c r="H899" s="8"/>
      <c r="I899" s="11"/>
      <c r="J899" s="8"/>
      <c r="K899" s="8"/>
      <c r="L899" s="8"/>
      <c r="N899" s="10"/>
      <c r="O899" s="10"/>
      <c r="P899" s="10"/>
      <c r="Q899" s="11"/>
      <c r="R899" s="11"/>
      <c r="S899" s="10"/>
      <c r="T899" s="11"/>
    </row>
    <row r="900" ht="15.75" customHeight="1">
      <c r="A900" s="7"/>
      <c r="B900" s="7"/>
      <c r="C900" s="7"/>
      <c r="D900" s="8"/>
      <c r="E900" s="10"/>
      <c r="F900" s="10"/>
      <c r="H900" s="8"/>
      <c r="I900" s="11"/>
      <c r="J900" s="8"/>
      <c r="K900" s="8"/>
      <c r="L900" s="8"/>
      <c r="N900" s="10"/>
      <c r="O900" s="10"/>
      <c r="P900" s="10"/>
      <c r="Q900" s="11"/>
      <c r="R900" s="11"/>
      <c r="S900" s="10"/>
      <c r="T900" s="11"/>
    </row>
    <row r="901" ht="15.75" customHeight="1">
      <c r="A901" s="7"/>
      <c r="B901" s="7"/>
      <c r="C901" s="7"/>
      <c r="D901" s="8"/>
      <c r="E901" s="10"/>
      <c r="F901" s="10"/>
      <c r="H901" s="8"/>
      <c r="I901" s="11"/>
      <c r="J901" s="8"/>
      <c r="K901" s="8"/>
      <c r="L901" s="8"/>
      <c r="N901" s="10"/>
      <c r="O901" s="10"/>
      <c r="P901" s="10"/>
      <c r="Q901" s="11"/>
      <c r="R901" s="11"/>
      <c r="S901" s="10"/>
      <c r="T901" s="11"/>
    </row>
    <row r="902" ht="15.75" customHeight="1">
      <c r="A902" s="7"/>
      <c r="B902" s="7"/>
      <c r="C902" s="7"/>
      <c r="D902" s="8"/>
      <c r="E902" s="10"/>
      <c r="F902" s="10"/>
      <c r="H902" s="8"/>
      <c r="I902" s="11"/>
      <c r="J902" s="8"/>
      <c r="K902" s="8"/>
      <c r="L902" s="8"/>
      <c r="N902" s="10"/>
      <c r="O902" s="10"/>
      <c r="P902" s="10"/>
      <c r="Q902" s="11"/>
      <c r="R902" s="11"/>
      <c r="S902" s="10"/>
      <c r="T902" s="11"/>
    </row>
    <row r="903" ht="15.75" customHeight="1">
      <c r="A903" s="7"/>
      <c r="B903" s="7"/>
      <c r="C903" s="7"/>
      <c r="D903" s="8"/>
      <c r="E903" s="10"/>
      <c r="F903" s="10"/>
      <c r="H903" s="8"/>
      <c r="I903" s="11"/>
      <c r="J903" s="8"/>
      <c r="K903" s="8"/>
      <c r="L903" s="8"/>
      <c r="N903" s="10"/>
      <c r="O903" s="10"/>
      <c r="P903" s="10"/>
      <c r="Q903" s="11"/>
      <c r="R903" s="11"/>
      <c r="S903" s="10"/>
      <c r="T903" s="11"/>
    </row>
    <row r="904" ht="15.75" customHeight="1">
      <c r="A904" s="7"/>
      <c r="B904" s="7"/>
      <c r="C904" s="7"/>
      <c r="D904" s="8"/>
      <c r="E904" s="10"/>
      <c r="F904" s="10"/>
      <c r="H904" s="8"/>
      <c r="I904" s="11"/>
      <c r="J904" s="8"/>
      <c r="K904" s="8"/>
      <c r="L904" s="8"/>
      <c r="N904" s="10"/>
      <c r="O904" s="10"/>
      <c r="P904" s="10"/>
      <c r="Q904" s="11"/>
      <c r="R904" s="11"/>
      <c r="S904" s="10"/>
      <c r="T904" s="11"/>
    </row>
    <row r="905" ht="15.75" customHeight="1">
      <c r="A905" s="7"/>
      <c r="B905" s="7"/>
      <c r="C905" s="7"/>
      <c r="D905" s="8"/>
      <c r="E905" s="10"/>
      <c r="F905" s="10"/>
      <c r="H905" s="8"/>
      <c r="I905" s="11"/>
      <c r="J905" s="8"/>
      <c r="K905" s="8"/>
      <c r="L905" s="8"/>
      <c r="N905" s="10"/>
      <c r="O905" s="10"/>
      <c r="P905" s="10"/>
      <c r="Q905" s="11"/>
      <c r="R905" s="11"/>
      <c r="S905" s="10"/>
      <c r="T905" s="11"/>
    </row>
    <row r="906" ht="15.75" customHeight="1">
      <c r="A906" s="7"/>
      <c r="B906" s="7"/>
      <c r="C906" s="7"/>
      <c r="D906" s="8"/>
      <c r="E906" s="10"/>
      <c r="F906" s="10"/>
      <c r="H906" s="8"/>
      <c r="I906" s="11"/>
      <c r="J906" s="8"/>
      <c r="K906" s="8"/>
      <c r="L906" s="8"/>
      <c r="N906" s="10"/>
      <c r="O906" s="10"/>
      <c r="P906" s="10"/>
      <c r="Q906" s="11"/>
      <c r="R906" s="11"/>
      <c r="S906" s="10"/>
      <c r="T906" s="11"/>
    </row>
    <row r="907" ht="15.75" customHeight="1">
      <c r="A907" s="7"/>
      <c r="B907" s="7"/>
      <c r="C907" s="7"/>
      <c r="D907" s="8"/>
      <c r="E907" s="10"/>
      <c r="F907" s="10"/>
      <c r="H907" s="8"/>
      <c r="I907" s="11"/>
      <c r="J907" s="8"/>
      <c r="K907" s="8"/>
      <c r="L907" s="8"/>
      <c r="N907" s="10"/>
      <c r="O907" s="10"/>
      <c r="P907" s="10"/>
      <c r="Q907" s="11"/>
      <c r="R907" s="11"/>
      <c r="S907" s="10"/>
      <c r="T907" s="11"/>
    </row>
    <row r="908" ht="15.75" customHeight="1">
      <c r="A908" s="7"/>
      <c r="B908" s="7"/>
      <c r="C908" s="7"/>
      <c r="D908" s="8"/>
      <c r="E908" s="10"/>
      <c r="F908" s="10"/>
      <c r="H908" s="8"/>
      <c r="I908" s="11"/>
      <c r="J908" s="8"/>
      <c r="K908" s="8"/>
      <c r="L908" s="8"/>
      <c r="N908" s="10"/>
      <c r="O908" s="10"/>
      <c r="P908" s="10"/>
      <c r="Q908" s="11"/>
      <c r="R908" s="11"/>
      <c r="S908" s="10"/>
      <c r="T908" s="11"/>
    </row>
    <row r="909" ht="15.75" customHeight="1">
      <c r="A909" s="7"/>
      <c r="B909" s="7"/>
      <c r="C909" s="7"/>
      <c r="D909" s="8"/>
      <c r="E909" s="10"/>
      <c r="F909" s="10"/>
      <c r="H909" s="8"/>
      <c r="I909" s="11"/>
      <c r="J909" s="8"/>
      <c r="K909" s="8"/>
      <c r="L909" s="8"/>
      <c r="N909" s="10"/>
      <c r="O909" s="10"/>
      <c r="P909" s="10"/>
      <c r="Q909" s="11"/>
      <c r="R909" s="11"/>
      <c r="S909" s="10"/>
      <c r="T909" s="11"/>
    </row>
    <row r="910" ht="15.75" customHeight="1">
      <c r="A910" s="7"/>
      <c r="B910" s="7"/>
      <c r="C910" s="7"/>
      <c r="D910" s="8"/>
      <c r="E910" s="10"/>
      <c r="F910" s="10"/>
      <c r="H910" s="8"/>
      <c r="I910" s="11"/>
      <c r="J910" s="8"/>
      <c r="K910" s="8"/>
      <c r="L910" s="8"/>
      <c r="N910" s="10"/>
      <c r="O910" s="10"/>
      <c r="P910" s="10"/>
      <c r="Q910" s="11"/>
      <c r="R910" s="11"/>
      <c r="S910" s="10"/>
      <c r="T910" s="11"/>
    </row>
    <row r="911" ht="15.75" customHeight="1">
      <c r="A911" s="7"/>
      <c r="B911" s="7"/>
      <c r="C911" s="7"/>
      <c r="D911" s="8"/>
      <c r="E911" s="10"/>
      <c r="F911" s="10"/>
      <c r="H911" s="8"/>
      <c r="I911" s="11"/>
      <c r="J911" s="8"/>
      <c r="K911" s="8"/>
      <c r="L911" s="8"/>
      <c r="N911" s="10"/>
      <c r="O911" s="10"/>
      <c r="P911" s="10"/>
      <c r="Q911" s="11"/>
      <c r="R911" s="11"/>
      <c r="S911" s="10"/>
      <c r="T911" s="11"/>
    </row>
    <row r="912" ht="15.75" customHeight="1">
      <c r="A912" s="7"/>
      <c r="B912" s="7"/>
      <c r="C912" s="7"/>
      <c r="D912" s="8"/>
      <c r="E912" s="10"/>
      <c r="F912" s="10"/>
      <c r="H912" s="8"/>
      <c r="I912" s="11"/>
      <c r="J912" s="8"/>
      <c r="K912" s="8"/>
      <c r="L912" s="8"/>
      <c r="N912" s="10"/>
      <c r="O912" s="10"/>
      <c r="P912" s="10"/>
      <c r="Q912" s="11"/>
      <c r="R912" s="11"/>
      <c r="S912" s="10"/>
      <c r="T912" s="11"/>
    </row>
    <row r="913" ht="15.75" customHeight="1">
      <c r="A913" s="7"/>
      <c r="B913" s="7"/>
      <c r="C913" s="7"/>
      <c r="D913" s="8"/>
      <c r="E913" s="10"/>
      <c r="F913" s="10"/>
      <c r="H913" s="8"/>
      <c r="I913" s="11"/>
      <c r="J913" s="8"/>
      <c r="K913" s="8"/>
      <c r="L913" s="8"/>
      <c r="N913" s="10"/>
      <c r="O913" s="10"/>
      <c r="P913" s="10"/>
      <c r="Q913" s="11"/>
      <c r="R913" s="11"/>
      <c r="S913" s="10"/>
      <c r="T913" s="11"/>
    </row>
    <row r="914" ht="15.75" customHeight="1">
      <c r="A914" s="7"/>
      <c r="B914" s="7"/>
      <c r="C914" s="7"/>
      <c r="D914" s="8"/>
      <c r="E914" s="10"/>
      <c r="F914" s="10"/>
      <c r="H914" s="8"/>
      <c r="I914" s="11"/>
      <c r="J914" s="8"/>
      <c r="K914" s="8"/>
      <c r="L914" s="8"/>
      <c r="N914" s="10"/>
      <c r="O914" s="10"/>
      <c r="P914" s="10"/>
      <c r="Q914" s="11"/>
      <c r="R914" s="11"/>
      <c r="S914" s="10"/>
      <c r="T914" s="11"/>
    </row>
    <row r="915" ht="15.75" customHeight="1">
      <c r="A915" s="7"/>
      <c r="B915" s="7"/>
      <c r="C915" s="7"/>
      <c r="D915" s="8"/>
      <c r="E915" s="10"/>
      <c r="F915" s="10"/>
      <c r="H915" s="8"/>
      <c r="I915" s="11"/>
      <c r="J915" s="8"/>
      <c r="K915" s="8"/>
      <c r="L915" s="8"/>
      <c r="N915" s="10"/>
      <c r="O915" s="10"/>
      <c r="P915" s="10"/>
      <c r="Q915" s="11"/>
      <c r="R915" s="11"/>
      <c r="S915" s="10"/>
      <c r="T915" s="11"/>
    </row>
    <row r="916" ht="15.75" customHeight="1">
      <c r="A916" s="7"/>
      <c r="B916" s="7"/>
      <c r="C916" s="7"/>
      <c r="D916" s="8"/>
      <c r="E916" s="10"/>
      <c r="F916" s="10"/>
      <c r="H916" s="8"/>
      <c r="I916" s="11"/>
      <c r="J916" s="8"/>
      <c r="K916" s="8"/>
      <c r="L916" s="8"/>
      <c r="N916" s="10"/>
      <c r="O916" s="10"/>
      <c r="P916" s="10"/>
      <c r="Q916" s="11"/>
      <c r="R916" s="11"/>
      <c r="S916" s="10"/>
      <c r="T916" s="11"/>
    </row>
    <row r="917" ht="15.75" customHeight="1">
      <c r="A917" s="7"/>
      <c r="B917" s="7"/>
      <c r="C917" s="7"/>
      <c r="D917" s="8"/>
      <c r="E917" s="10"/>
      <c r="F917" s="10"/>
      <c r="H917" s="8"/>
      <c r="I917" s="11"/>
      <c r="J917" s="8"/>
      <c r="K917" s="8"/>
      <c r="L917" s="8"/>
      <c r="N917" s="10"/>
      <c r="O917" s="10"/>
      <c r="P917" s="10"/>
      <c r="Q917" s="11"/>
      <c r="R917" s="11"/>
      <c r="S917" s="10"/>
      <c r="T917" s="11"/>
    </row>
    <row r="918" ht="15.75" customHeight="1">
      <c r="A918" s="7"/>
      <c r="B918" s="7"/>
      <c r="C918" s="7"/>
      <c r="D918" s="8"/>
      <c r="E918" s="10"/>
      <c r="F918" s="10"/>
      <c r="H918" s="8"/>
      <c r="I918" s="11"/>
      <c r="J918" s="8"/>
      <c r="K918" s="8"/>
      <c r="L918" s="8"/>
      <c r="N918" s="10"/>
      <c r="O918" s="10"/>
      <c r="P918" s="10"/>
      <c r="Q918" s="11"/>
      <c r="R918" s="11"/>
      <c r="S918" s="10"/>
      <c r="T918" s="11"/>
    </row>
    <row r="919" ht="15.75" customHeight="1">
      <c r="A919" s="7"/>
      <c r="B919" s="7"/>
      <c r="C919" s="7"/>
      <c r="D919" s="8"/>
      <c r="E919" s="10"/>
      <c r="F919" s="10"/>
      <c r="H919" s="8"/>
      <c r="I919" s="11"/>
      <c r="J919" s="8"/>
      <c r="K919" s="8"/>
      <c r="L919" s="8"/>
      <c r="N919" s="10"/>
      <c r="O919" s="10"/>
      <c r="P919" s="10"/>
      <c r="Q919" s="11"/>
      <c r="R919" s="11"/>
      <c r="S919" s="10"/>
      <c r="T919" s="11"/>
    </row>
    <row r="920" ht="15.75" customHeight="1">
      <c r="A920" s="7"/>
      <c r="B920" s="7"/>
      <c r="C920" s="7"/>
      <c r="D920" s="8"/>
      <c r="E920" s="10"/>
      <c r="F920" s="10"/>
      <c r="H920" s="8"/>
      <c r="I920" s="11"/>
      <c r="J920" s="8"/>
      <c r="K920" s="8"/>
      <c r="L920" s="8"/>
      <c r="N920" s="10"/>
      <c r="O920" s="10"/>
      <c r="P920" s="10"/>
      <c r="Q920" s="11"/>
      <c r="R920" s="11"/>
      <c r="S920" s="10"/>
      <c r="T920" s="11"/>
    </row>
    <row r="921" ht="15.75" customHeight="1">
      <c r="A921" s="7"/>
      <c r="B921" s="7"/>
      <c r="C921" s="7"/>
      <c r="D921" s="8"/>
      <c r="E921" s="10"/>
      <c r="F921" s="10"/>
      <c r="H921" s="8"/>
      <c r="I921" s="11"/>
      <c r="J921" s="8"/>
      <c r="K921" s="8"/>
      <c r="L921" s="8"/>
      <c r="N921" s="10"/>
      <c r="O921" s="10"/>
      <c r="P921" s="10"/>
      <c r="Q921" s="11"/>
      <c r="R921" s="11"/>
      <c r="S921" s="10"/>
      <c r="T921" s="11"/>
    </row>
    <row r="922" ht="15.75" customHeight="1">
      <c r="A922" s="7"/>
      <c r="B922" s="7"/>
      <c r="C922" s="7"/>
      <c r="D922" s="8"/>
      <c r="E922" s="10"/>
      <c r="F922" s="10"/>
      <c r="H922" s="8"/>
      <c r="I922" s="11"/>
      <c r="J922" s="8"/>
      <c r="K922" s="8"/>
      <c r="L922" s="8"/>
      <c r="N922" s="10"/>
      <c r="O922" s="10"/>
      <c r="P922" s="10"/>
      <c r="Q922" s="11"/>
      <c r="R922" s="11"/>
      <c r="S922" s="10"/>
      <c r="T922" s="11"/>
    </row>
    <row r="923" ht="15.75" customHeight="1">
      <c r="A923" s="7"/>
      <c r="B923" s="7"/>
      <c r="C923" s="7"/>
      <c r="D923" s="8"/>
      <c r="E923" s="10"/>
      <c r="F923" s="10"/>
      <c r="H923" s="8"/>
      <c r="I923" s="11"/>
      <c r="J923" s="8"/>
      <c r="K923" s="8"/>
      <c r="L923" s="8"/>
      <c r="N923" s="10"/>
      <c r="O923" s="10"/>
      <c r="P923" s="10"/>
      <c r="Q923" s="11"/>
      <c r="R923" s="11"/>
      <c r="S923" s="10"/>
      <c r="T923" s="11"/>
    </row>
    <row r="924" ht="15.75" customHeight="1">
      <c r="A924" s="7"/>
      <c r="B924" s="7"/>
      <c r="C924" s="7"/>
      <c r="D924" s="8"/>
      <c r="E924" s="10"/>
      <c r="F924" s="10"/>
      <c r="H924" s="8"/>
      <c r="I924" s="11"/>
      <c r="J924" s="8"/>
      <c r="K924" s="8"/>
      <c r="L924" s="8"/>
      <c r="N924" s="10"/>
      <c r="O924" s="10"/>
      <c r="P924" s="10"/>
      <c r="Q924" s="11"/>
      <c r="R924" s="11"/>
      <c r="S924" s="10"/>
      <c r="T924" s="11"/>
    </row>
    <row r="925" ht="15.75" customHeight="1">
      <c r="A925" s="7"/>
      <c r="B925" s="7"/>
      <c r="C925" s="7"/>
      <c r="D925" s="8"/>
      <c r="E925" s="10"/>
      <c r="F925" s="10"/>
      <c r="H925" s="8"/>
      <c r="I925" s="11"/>
      <c r="J925" s="8"/>
      <c r="K925" s="8"/>
      <c r="L925" s="8"/>
      <c r="N925" s="10"/>
      <c r="O925" s="10"/>
      <c r="P925" s="10"/>
      <c r="Q925" s="11"/>
      <c r="R925" s="11"/>
      <c r="S925" s="10"/>
      <c r="T925" s="11"/>
    </row>
    <row r="926" ht="15.75" customHeight="1">
      <c r="A926" s="7"/>
      <c r="B926" s="7"/>
      <c r="C926" s="7"/>
      <c r="D926" s="8"/>
      <c r="E926" s="10"/>
      <c r="F926" s="10"/>
      <c r="H926" s="8"/>
      <c r="I926" s="11"/>
      <c r="J926" s="8"/>
      <c r="K926" s="8"/>
      <c r="L926" s="8"/>
      <c r="N926" s="10"/>
      <c r="O926" s="10"/>
      <c r="P926" s="10"/>
      <c r="Q926" s="11"/>
      <c r="R926" s="11"/>
      <c r="S926" s="10"/>
      <c r="T926" s="11"/>
    </row>
    <row r="927" ht="15.75" customHeight="1">
      <c r="A927" s="7"/>
      <c r="B927" s="7"/>
      <c r="C927" s="7"/>
      <c r="D927" s="8"/>
      <c r="E927" s="10"/>
      <c r="F927" s="10"/>
      <c r="H927" s="8"/>
      <c r="I927" s="11"/>
      <c r="J927" s="8"/>
      <c r="K927" s="8"/>
      <c r="L927" s="8"/>
      <c r="N927" s="10"/>
      <c r="O927" s="10"/>
      <c r="P927" s="10"/>
      <c r="Q927" s="11"/>
      <c r="R927" s="11"/>
      <c r="S927" s="10"/>
      <c r="T927" s="11"/>
    </row>
    <row r="928" ht="15.75" customHeight="1">
      <c r="A928" s="7"/>
      <c r="B928" s="7"/>
      <c r="C928" s="7"/>
      <c r="D928" s="8"/>
      <c r="E928" s="10"/>
      <c r="F928" s="10"/>
      <c r="H928" s="8"/>
      <c r="I928" s="11"/>
      <c r="J928" s="8"/>
      <c r="K928" s="8"/>
      <c r="L928" s="8"/>
      <c r="N928" s="10"/>
      <c r="O928" s="10"/>
      <c r="P928" s="10"/>
      <c r="Q928" s="11"/>
      <c r="R928" s="11"/>
      <c r="S928" s="10"/>
      <c r="T928" s="11"/>
    </row>
    <row r="929" ht="15.75" customHeight="1">
      <c r="A929" s="7"/>
      <c r="B929" s="7"/>
      <c r="C929" s="7"/>
      <c r="D929" s="8"/>
      <c r="E929" s="10"/>
      <c r="F929" s="10"/>
      <c r="H929" s="8"/>
      <c r="I929" s="11"/>
      <c r="J929" s="8"/>
      <c r="K929" s="8"/>
      <c r="L929" s="8"/>
      <c r="N929" s="10"/>
      <c r="O929" s="10"/>
      <c r="P929" s="10"/>
      <c r="Q929" s="11"/>
      <c r="R929" s="11"/>
      <c r="S929" s="10"/>
      <c r="T929" s="11"/>
    </row>
    <row r="930" ht="15.75" customHeight="1">
      <c r="A930" s="7"/>
      <c r="B930" s="7"/>
      <c r="C930" s="7"/>
      <c r="D930" s="8"/>
      <c r="E930" s="10"/>
      <c r="F930" s="10"/>
      <c r="H930" s="8"/>
      <c r="I930" s="11"/>
      <c r="J930" s="8"/>
      <c r="K930" s="8"/>
      <c r="L930" s="8"/>
      <c r="N930" s="10"/>
      <c r="O930" s="10"/>
      <c r="P930" s="10"/>
      <c r="Q930" s="11"/>
      <c r="R930" s="11"/>
      <c r="S930" s="10"/>
      <c r="T930" s="11"/>
    </row>
    <row r="931" ht="15.75" customHeight="1">
      <c r="A931" s="7"/>
      <c r="B931" s="7"/>
      <c r="C931" s="7"/>
      <c r="D931" s="8"/>
      <c r="E931" s="10"/>
      <c r="F931" s="10"/>
      <c r="H931" s="8"/>
      <c r="I931" s="11"/>
      <c r="J931" s="8"/>
      <c r="K931" s="8"/>
      <c r="L931" s="8"/>
      <c r="N931" s="10"/>
      <c r="O931" s="10"/>
      <c r="P931" s="10"/>
      <c r="Q931" s="11"/>
      <c r="R931" s="11"/>
      <c r="S931" s="10"/>
      <c r="T931" s="11"/>
    </row>
    <row r="932" ht="15.75" customHeight="1">
      <c r="A932" s="7"/>
      <c r="B932" s="7"/>
      <c r="C932" s="7"/>
      <c r="D932" s="8"/>
      <c r="E932" s="10"/>
      <c r="F932" s="10"/>
      <c r="H932" s="8"/>
      <c r="I932" s="11"/>
      <c r="J932" s="8"/>
      <c r="K932" s="8"/>
      <c r="L932" s="8"/>
      <c r="N932" s="10"/>
      <c r="O932" s="10"/>
      <c r="P932" s="10"/>
      <c r="Q932" s="11"/>
      <c r="R932" s="11"/>
      <c r="S932" s="10"/>
      <c r="T932" s="11"/>
    </row>
    <row r="933" ht="15.75" customHeight="1">
      <c r="A933" s="7"/>
      <c r="B933" s="7"/>
      <c r="C933" s="7"/>
      <c r="D933" s="8"/>
      <c r="E933" s="10"/>
      <c r="F933" s="10"/>
      <c r="H933" s="8"/>
      <c r="I933" s="11"/>
      <c r="J933" s="8"/>
      <c r="K933" s="8"/>
      <c r="L933" s="8"/>
      <c r="N933" s="10"/>
      <c r="O933" s="10"/>
      <c r="P933" s="10"/>
      <c r="Q933" s="11"/>
      <c r="R933" s="11"/>
      <c r="S933" s="10"/>
      <c r="T933" s="11"/>
    </row>
    <row r="934" ht="15.75" customHeight="1">
      <c r="A934" s="7"/>
      <c r="B934" s="7"/>
      <c r="C934" s="7"/>
      <c r="D934" s="8"/>
      <c r="E934" s="10"/>
      <c r="F934" s="10"/>
      <c r="H934" s="8"/>
      <c r="I934" s="11"/>
      <c r="J934" s="8"/>
      <c r="K934" s="8"/>
      <c r="L934" s="8"/>
      <c r="N934" s="10"/>
      <c r="O934" s="10"/>
      <c r="P934" s="10"/>
      <c r="Q934" s="11"/>
      <c r="R934" s="11"/>
      <c r="S934" s="10"/>
      <c r="T934" s="11"/>
    </row>
    <row r="935" ht="15.75" customHeight="1">
      <c r="A935" s="7"/>
      <c r="B935" s="7"/>
      <c r="C935" s="7"/>
      <c r="D935" s="8"/>
      <c r="E935" s="10"/>
      <c r="F935" s="10"/>
      <c r="H935" s="8"/>
      <c r="I935" s="11"/>
      <c r="J935" s="8"/>
      <c r="K935" s="8"/>
      <c r="L935" s="8"/>
      <c r="N935" s="10"/>
      <c r="O935" s="10"/>
      <c r="P935" s="10"/>
      <c r="Q935" s="11"/>
      <c r="R935" s="11"/>
      <c r="S935" s="10"/>
      <c r="T935" s="11"/>
    </row>
    <row r="936" ht="15.75" customHeight="1">
      <c r="A936" s="7"/>
      <c r="B936" s="7"/>
      <c r="C936" s="7"/>
      <c r="D936" s="8"/>
      <c r="E936" s="10"/>
      <c r="F936" s="10"/>
      <c r="H936" s="8"/>
      <c r="I936" s="11"/>
      <c r="J936" s="8"/>
      <c r="K936" s="8"/>
      <c r="L936" s="8"/>
      <c r="N936" s="10"/>
      <c r="O936" s="10"/>
      <c r="P936" s="10"/>
      <c r="Q936" s="11"/>
      <c r="R936" s="11"/>
      <c r="S936" s="10"/>
      <c r="T936" s="11"/>
    </row>
    <row r="937" ht="15.75" customHeight="1">
      <c r="A937" s="7"/>
      <c r="B937" s="7"/>
      <c r="C937" s="7"/>
      <c r="D937" s="8"/>
      <c r="E937" s="10"/>
      <c r="F937" s="10"/>
      <c r="H937" s="8"/>
      <c r="I937" s="11"/>
      <c r="J937" s="8"/>
      <c r="K937" s="8"/>
      <c r="L937" s="8"/>
      <c r="N937" s="10"/>
      <c r="O937" s="10"/>
      <c r="P937" s="10"/>
      <c r="Q937" s="11"/>
      <c r="R937" s="11"/>
      <c r="S937" s="10"/>
      <c r="T937" s="11"/>
    </row>
    <row r="938" ht="15.75" customHeight="1">
      <c r="A938" s="7"/>
      <c r="B938" s="7"/>
      <c r="C938" s="7"/>
      <c r="D938" s="8"/>
      <c r="E938" s="10"/>
      <c r="F938" s="10"/>
      <c r="H938" s="8"/>
      <c r="I938" s="11"/>
      <c r="J938" s="8"/>
      <c r="K938" s="8"/>
      <c r="L938" s="8"/>
      <c r="N938" s="10"/>
      <c r="O938" s="10"/>
      <c r="P938" s="10"/>
      <c r="Q938" s="11"/>
      <c r="R938" s="11"/>
      <c r="S938" s="10"/>
      <c r="T938" s="11"/>
    </row>
    <row r="939" ht="15.75" customHeight="1">
      <c r="A939" s="7"/>
      <c r="B939" s="7"/>
      <c r="C939" s="7"/>
      <c r="D939" s="8"/>
      <c r="E939" s="10"/>
      <c r="F939" s="10"/>
      <c r="H939" s="8"/>
      <c r="I939" s="11"/>
      <c r="J939" s="8"/>
      <c r="K939" s="8"/>
      <c r="L939" s="8"/>
      <c r="N939" s="10"/>
      <c r="O939" s="10"/>
      <c r="P939" s="10"/>
      <c r="Q939" s="11"/>
      <c r="R939" s="11"/>
      <c r="S939" s="10"/>
      <c r="T939" s="11"/>
    </row>
    <row r="940" ht="15.75" customHeight="1">
      <c r="A940" s="7"/>
      <c r="B940" s="7"/>
      <c r="C940" s="7"/>
      <c r="D940" s="8"/>
      <c r="E940" s="10"/>
      <c r="F940" s="10"/>
      <c r="H940" s="8"/>
      <c r="I940" s="11"/>
      <c r="J940" s="8"/>
      <c r="K940" s="8"/>
      <c r="L940" s="8"/>
      <c r="N940" s="10"/>
      <c r="O940" s="10"/>
      <c r="P940" s="10"/>
      <c r="Q940" s="11"/>
      <c r="R940" s="11"/>
      <c r="S940" s="10"/>
      <c r="T940" s="11"/>
    </row>
    <row r="941" ht="15.75" customHeight="1">
      <c r="A941" s="7"/>
      <c r="B941" s="7"/>
      <c r="C941" s="7"/>
      <c r="D941" s="8"/>
      <c r="E941" s="10"/>
      <c r="F941" s="10"/>
      <c r="H941" s="8"/>
      <c r="I941" s="11"/>
      <c r="J941" s="8"/>
      <c r="K941" s="8"/>
      <c r="L941" s="8"/>
      <c r="N941" s="10"/>
      <c r="O941" s="10"/>
      <c r="P941" s="10"/>
      <c r="Q941" s="11"/>
      <c r="R941" s="11"/>
      <c r="S941" s="10"/>
      <c r="T941" s="11"/>
    </row>
    <row r="942" ht="15.75" customHeight="1">
      <c r="A942" s="7"/>
      <c r="B942" s="7"/>
      <c r="C942" s="7"/>
      <c r="D942" s="8"/>
      <c r="E942" s="10"/>
      <c r="F942" s="10"/>
      <c r="H942" s="8"/>
      <c r="I942" s="11"/>
      <c r="J942" s="8"/>
      <c r="K942" s="8"/>
      <c r="L942" s="8"/>
      <c r="N942" s="10"/>
      <c r="O942" s="10"/>
      <c r="P942" s="10"/>
      <c r="Q942" s="11"/>
      <c r="R942" s="11"/>
      <c r="S942" s="10"/>
      <c r="T942" s="11"/>
    </row>
    <row r="943" ht="15.75" customHeight="1">
      <c r="A943" s="7"/>
      <c r="B943" s="7"/>
      <c r="C943" s="7"/>
      <c r="D943" s="8"/>
      <c r="E943" s="10"/>
      <c r="F943" s="10"/>
      <c r="H943" s="8"/>
      <c r="I943" s="11"/>
      <c r="J943" s="8"/>
      <c r="K943" s="8"/>
      <c r="L943" s="8"/>
      <c r="N943" s="10"/>
      <c r="O943" s="10"/>
      <c r="P943" s="10"/>
      <c r="Q943" s="11"/>
      <c r="R943" s="11"/>
      <c r="S943" s="10"/>
      <c r="T943" s="11"/>
    </row>
    <row r="944" ht="15.75" customHeight="1">
      <c r="A944" s="7"/>
      <c r="B944" s="7"/>
      <c r="C944" s="7"/>
      <c r="D944" s="8"/>
      <c r="E944" s="10"/>
      <c r="F944" s="10"/>
      <c r="H944" s="8"/>
      <c r="I944" s="11"/>
      <c r="J944" s="8"/>
      <c r="K944" s="8"/>
      <c r="L944" s="8"/>
      <c r="N944" s="10"/>
      <c r="O944" s="10"/>
      <c r="P944" s="10"/>
      <c r="Q944" s="11"/>
      <c r="R944" s="11"/>
      <c r="S944" s="10"/>
      <c r="T944" s="11"/>
    </row>
    <row r="945" ht="15.75" customHeight="1">
      <c r="A945" s="7"/>
      <c r="B945" s="7"/>
      <c r="C945" s="7"/>
      <c r="D945" s="8"/>
      <c r="E945" s="10"/>
      <c r="F945" s="10"/>
      <c r="H945" s="8"/>
      <c r="I945" s="11"/>
      <c r="J945" s="8"/>
      <c r="K945" s="8"/>
      <c r="L945" s="8"/>
      <c r="N945" s="10"/>
      <c r="O945" s="10"/>
      <c r="P945" s="10"/>
      <c r="Q945" s="11"/>
      <c r="R945" s="11"/>
      <c r="S945" s="10"/>
      <c r="T945" s="11"/>
    </row>
    <row r="946" ht="15.75" customHeight="1">
      <c r="A946" s="7"/>
      <c r="B946" s="7"/>
      <c r="C946" s="7"/>
      <c r="D946" s="8"/>
      <c r="E946" s="10"/>
      <c r="F946" s="10"/>
      <c r="H946" s="8"/>
      <c r="I946" s="11"/>
      <c r="J946" s="8"/>
      <c r="K946" s="8"/>
      <c r="L946" s="8"/>
      <c r="N946" s="10"/>
      <c r="O946" s="10"/>
      <c r="P946" s="10"/>
      <c r="Q946" s="11"/>
      <c r="R946" s="11"/>
      <c r="S946" s="10"/>
      <c r="T946" s="11"/>
    </row>
    <row r="947" ht="15.75" customHeight="1">
      <c r="A947" s="7"/>
      <c r="B947" s="7"/>
      <c r="C947" s="7"/>
      <c r="D947" s="8"/>
      <c r="E947" s="10"/>
      <c r="F947" s="10"/>
      <c r="H947" s="8"/>
      <c r="I947" s="11"/>
      <c r="J947" s="8"/>
      <c r="K947" s="8"/>
      <c r="L947" s="8"/>
      <c r="N947" s="10"/>
      <c r="O947" s="10"/>
      <c r="P947" s="10"/>
      <c r="Q947" s="11"/>
      <c r="R947" s="11"/>
      <c r="S947" s="10"/>
      <c r="T947" s="11"/>
    </row>
    <row r="948" ht="15.75" customHeight="1">
      <c r="A948" s="7"/>
      <c r="B948" s="7"/>
      <c r="C948" s="7"/>
      <c r="D948" s="8"/>
      <c r="E948" s="10"/>
      <c r="F948" s="10"/>
      <c r="H948" s="8"/>
      <c r="I948" s="11"/>
      <c r="J948" s="8"/>
      <c r="K948" s="8"/>
      <c r="L948" s="8"/>
      <c r="N948" s="10"/>
      <c r="O948" s="10"/>
      <c r="P948" s="10"/>
      <c r="Q948" s="11"/>
      <c r="R948" s="11"/>
      <c r="S948" s="10"/>
      <c r="T948" s="11"/>
    </row>
    <row r="949" ht="15.75" customHeight="1">
      <c r="A949" s="7"/>
      <c r="B949" s="7"/>
      <c r="C949" s="7"/>
      <c r="D949" s="8"/>
      <c r="E949" s="10"/>
      <c r="F949" s="10"/>
      <c r="H949" s="8"/>
      <c r="I949" s="11"/>
      <c r="J949" s="8"/>
      <c r="K949" s="8"/>
      <c r="L949" s="8"/>
      <c r="N949" s="10"/>
      <c r="O949" s="10"/>
      <c r="P949" s="10"/>
      <c r="Q949" s="11"/>
      <c r="R949" s="11"/>
      <c r="S949" s="10"/>
      <c r="T949" s="11"/>
    </row>
    <row r="950" ht="15.75" customHeight="1">
      <c r="A950" s="7"/>
      <c r="B950" s="7"/>
      <c r="C950" s="7"/>
      <c r="D950" s="8"/>
      <c r="E950" s="10"/>
      <c r="F950" s="10"/>
      <c r="H950" s="8"/>
      <c r="I950" s="11"/>
      <c r="J950" s="8"/>
      <c r="K950" s="8"/>
      <c r="L950" s="8"/>
      <c r="N950" s="10"/>
      <c r="O950" s="10"/>
      <c r="P950" s="10"/>
      <c r="Q950" s="11"/>
      <c r="R950" s="11"/>
      <c r="S950" s="10"/>
      <c r="T950" s="11"/>
    </row>
    <row r="951" ht="15.75" customHeight="1">
      <c r="A951" s="7"/>
      <c r="B951" s="7"/>
      <c r="C951" s="7"/>
      <c r="D951" s="8"/>
      <c r="E951" s="10"/>
      <c r="F951" s="10"/>
      <c r="H951" s="8"/>
      <c r="I951" s="11"/>
      <c r="J951" s="8"/>
      <c r="K951" s="8"/>
      <c r="L951" s="8"/>
      <c r="N951" s="10"/>
      <c r="O951" s="10"/>
      <c r="P951" s="10"/>
      <c r="Q951" s="11"/>
      <c r="R951" s="11"/>
      <c r="S951" s="10"/>
      <c r="T951" s="11"/>
    </row>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