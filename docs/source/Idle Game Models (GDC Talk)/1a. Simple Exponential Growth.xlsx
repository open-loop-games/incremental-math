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nential Item Growth" sheetId="1" r:id="rId5"/>
    <sheet state="visible" name="Calculations" sheetId="2" r:id="rId6"/>
  </sheets>
  <definedNames/>
  <calcPr/>
</workbook>
</file>

<file path=xl/sharedStrings.xml><?xml version="1.0" encoding="utf-8"?>
<sst xmlns="http://schemas.openxmlformats.org/spreadsheetml/2006/main" count="18" uniqueCount="17">
  <si>
    <t xml:space="preserve">This sheet provides a very simple model of growth for a generator. It uses a basic exponential growth formula with a linear value (i.e. income generation). It also allows you to give bonuses for owning a certain number of a generator, which allows you to temporarily bring the value of these generators back into the range of the cost. Finally, it has a very simple prestige model that allows you to see what the growth curve looks like with a few different multiplier estimates for prestige levels. Please read the cell comments (look for the yellow triangles) for more details and see the second sheet for the specific formulas. </t>
  </si>
  <si>
    <r>
      <rPr>
        <rFont val="Arial"/>
        <b/>
        <i/>
        <color theme="1"/>
      </rPr>
      <t>C</t>
    </r>
    <r>
      <rPr>
        <rFont val="Arial"/>
        <b/>
        <i val="0"/>
        <color theme="1"/>
      </rPr>
      <t>ore Stats</t>
    </r>
  </si>
  <si>
    <t>Base Income</t>
  </si>
  <si>
    <t>Starting Cost</t>
  </si>
  <si>
    <t xml:space="preserve">Cost Mult Factor </t>
  </si>
  <si>
    <t>Ownership Multipliers</t>
  </si>
  <si>
    <t>Number</t>
  </si>
  <si>
    <t>Bonus 
(per milestone)</t>
  </si>
  <si>
    <t>Prestige Levels</t>
  </si>
  <si>
    <t>Bonus (total)</t>
  </si>
  <si>
    <t>Cost</t>
  </si>
  <si>
    <t>Income</t>
  </si>
  <si>
    <t>Base Value</t>
  </si>
  <si>
    <t>Bonus Mult</t>
  </si>
  <si>
    <t>Prestige 1</t>
  </si>
  <si>
    <t>Prestige 2</t>
  </si>
  <si>
    <t>Prestige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</si>
</sst>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3" fontId="1" numFmtId="0" xfId="0" applyFill="1" applyFont="1"/>
    <xf borderId="0" fillId="2" fontId="4" numFmtId="0" xfId="0" applyFont="1"/>
    <xf borderId="0" fillId="0" fontId="3" numFmtId="0" xfId="0" applyFont="1"/>
    <xf borderId="0" fillId="4" fontId="4" numFmtId="0" xfId="0" applyFill="1" applyFont="1"/>
    <xf borderId="0" fillId="4" fontId="4" numFmtId="2" xfId="0" applyFont="1" applyNumberFormat="1"/>
    <xf borderId="0" fillId="4" fontId="1" numFmtId="0" xfId="0" applyFont="1"/>
    <xf borderId="0" fillId="0" fontId="1" numFmtId="2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Income vs. Cost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Calculations!$B$1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Calculations!$A$2:$A$81</c:f>
            </c:strRef>
          </c:cat>
          <c:val>
            <c:numRef>
              <c:f>Calculations!$B$2:$B$81</c:f>
              <c:numCache/>
            </c:numRef>
          </c:val>
          <c:smooth val="0"/>
        </c:ser>
        <c:ser>
          <c:idx val="1"/>
          <c:order val="1"/>
          <c:tx>
            <c:strRef>
              <c:f>Calculations!$C$1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Calculations!$A$2:$A$81</c:f>
            </c:strRef>
          </c:cat>
          <c:val>
            <c:numRef>
              <c:f>Calculations!$C$2:$C$81</c:f>
              <c:numCache/>
            </c:numRef>
          </c:val>
          <c:smooth val="0"/>
        </c:ser>
        <c:axId val="134605411"/>
        <c:axId val="2145688238"/>
      </c:lineChart>
      <c:catAx>
        <c:axId val="134605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45688238"/>
      </c:catAx>
      <c:valAx>
        <c:axId val="2145688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46054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Income vs. Cost (log scale)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Calculations!$B$1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Calculations!$A$2:$A$500</c:f>
            </c:strRef>
          </c:cat>
          <c:val>
            <c:numRef>
              <c:f>Calculations!$B$2:$B$500</c:f>
              <c:numCache/>
            </c:numRef>
          </c:val>
          <c:smooth val="0"/>
        </c:ser>
        <c:ser>
          <c:idx val="1"/>
          <c:order val="1"/>
          <c:tx>
            <c:strRef>
              <c:f>Calculations!$C$1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Calculations!$A$2:$A$500</c:f>
            </c:strRef>
          </c:cat>
          <c:val>
            <c:numRef>
              <c:f>Calculations!$C$2:$C$500</c:f>
              <c:numCache/>
            </c:numRef>
          </c:val>
          <c:smooth val="0"/>
        </c:ser>
        <c:axId val="612972007"/>
        <c:axId val="994743827"/>
      </c:lineChart>
      <c:catAx>
        <c:axId val="612972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94743827"/>
      </c:catAx>
      <c:valAx>
        <c:axId val="994743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129720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Income vs. Cost with Prestiges (log scale)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Calculations!$B$1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Calculations!$A$2:$A$500</c:f>
            </c:strRef>
          </c:cat>
          <c:val>
            <c:numRef>
              <c:f>Calculations!$B$2:$B$500</c:f>
              <c:numCache/>
            </c:numRef>
          </c:val>
          <c:smooth val="0"/>
        </c:ser>
        <c:ser>
          <c:idx val="1"/>
          <c:order val="1"/>
          <c:tx>
            <c:strRef>
              <c:f>Calculations!$C$1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Calculations!$A$2:$A$500</c:f>
            </c:strRef>
          </c:cat>
          <c:val>
            <c:numRef>
              <c:f>Calculations!$C$2:$C$500</c:f>
              <c:numCache/>
            </c:numRef>
          </c:val>
          <c:smooth val="0"/>
        </c:ser>
        <c:ser>
          <c:idx val="2"/>
          <c:order val="2"/>
          <c:tx>
            <c:strRef>
              <c:f>Calculations!$F$1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Calculations!$A$2:$A$500</c:f>
            </c:strRef>
          </c:cat>
          <c:val>
            <c:numRef>
              <c:f>Calculations!$F$2:$F$500</c:f>
              <c:numCache/>
            </c:numRef>
          </c:val>
          <c:smooth val="0"/>
        </c:ser>
        <c:ser>
          <c:idx val="3"/>
          <c:order val="3"/>
          <c:tx>
            <c:strRef>
              <c:f>Calculations!$G$1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Calculations!$A$2:$A$500</c:f>
            </c:strRef>
          </c:cat>
          <c:val>
            <c:numRef>
              <c:f>Calculations!$G$2:$G$500</c:f>
              <c:numCache/>
            </c:numRef>
          </c:val>
          <c:smooth val="0"/>
        </c:ser>
        <c:ser>
          <c:idx val="4"/>
          <c:order val="4"/>
          <c:tx>
            <c:strRef>
              <c:f>Calculations!$H$1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Calculations!$A$2:$A$500</c:f>
            </c:strRef>
          </c:cat>
          <c:val>
            <c:numRef>
              <c:f>Calculations!$H$2:$H$500</c:f>
              <c:numCache/>
            </c:numRef>
          </c:val>
          <c:smooth val="0"/>
        </c:ser>
        <c:axId val="1055250236"/>
        <c:axId val="206394182"/>
      </c:lineChart>
      <c:catAx>
        <c:axId val="1055250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06394182"/>
      </c:catAx>
      <c:valAx>
        <c:axId val="206394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552502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Income vs. Cost with Prestiges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Calculations!$B$1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Calculations!$A$2:$A$99</c:f>
            </c:strRef>
          </c:cat>
          <c:val>
            <c:numRef>
              <c:f>Calculations!$B$2:$B$99</c:f>
              <c:numCache/>
            </c:numRef>
          </c:val>
          <c:smooth val="0"/>
        </c:ser>
        <c:ser>
          <c:idx val="1"/>
          <c:order val="1"/>
          <c:tx>
            <c:strRef>
              <c:f>Calculations!$C$1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Calculations!$A$2:$A$99</c:f>
            </c:strRef>
          </c:cat>
          <c:val>
            <c:numRef>
              <c:f>Calculations!$C$2:$C$99</c:f>
              <c:numCache/>
            </c:numRef>
          </c:val>
          <c:smooth val="0"/>
        </c:ser>
        <c:ser>
          <c:idx val="2"/>
          <c:order val="2"/>
          <c:tx>
            <c:strRef>
              <c:f>Calculations!$F$1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Calculations!$A$2:$A$99</c:f>
            </c:strRef>
          </c:cat>
          <c:val>
            <c:numRef>
              <c:f>Calculations!$F$2:$F$226</c:f>
              <c:numCache/>
            </c:numRef>
          </c:val>
          <c:smooth val="0"/>
        </c:ser>
        <c:ser>
          <c:idx val="3"/>
          <c:order val="3"/>
          <c:tx>
            <c:strRef>
              <c:f>Calculations!$G$1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Calculations!$A$2:$A$99</c:f>
            </c:strRef>
          </c:cat>
          <c:val>
            <c:numRef>
              <c:f>Calculations!$G$2:$G$226</c:f>
              <c:numCache/>
            </c:numRef>
          </c:val>
          <c:smooth val="0"/>
        </c:ser>
        <c:ser>
          <c:idx val="4"/>
          <c:order val="4"/>
          <c:tx>
            <c:strRef>
              <c:f>Calculations!$H$1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Calculations!$A$2:$A$99</c:f>
            </c:strRef>
          </c:cat>
          <c:val>
            <c:numRef>
              <c:f>Calculations!$H$2:$H$99</c:f>
              <c:numCache/>
            </c:numRef>
          </c:val>
          <c:smooth val="0"/>
        </c:ser>
        <c:axId val="716163942"/>
        <c:axId val="845438820"/>
      </c:lineChart>
      <c:catAx>
        <c:axId val="71616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45438820"/>
      </c:catAx>
      <c:valAx>
        <c:axId val="845438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161639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2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200025</xdr:colOff>
      <xdr:row>1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180975</xdr:colOff>
      <xdr:row>20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9525</xdr:colOff>
      <xdr:row>20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88"/>
    <col customWidth="1" min="3" max="6" width="12.63"/>
  </cols>
  <sheetData>
    <row r="1" ht="15.75" customHeight="1">
      <c r="A1" s="1" t="s">
        <v>0</v>
      </c>
    </row>
    <row r="2" ht="15.75" customHeight="1">
      <c r="E2" s="2"/>
    </row>
    <row r="3" ht="15.75" customHeight="1">
      <c r="A3" s="3" t="s">
        <v>1</v>
      </c>
    </row>
    <row r="4" ht="15.75" customHeight="1">
      <c r="A4" s="4" t="s">
        <v>2</v>
      </c>
      <c r="B4" s="5">
        <v>1.67</v>
      </c>
    </row>
    <row r="5" ht="15.75" customHeight="1">
      <c r="A5" s="4" t="s">
        <v>3</v>
      </c>
      <c r="B5" s="5">
        <v>3.738</v>
      </c>
    </row>
    <row r="6" ht="15.75" customHeight="1">
      <c r="A6" s="4" t="s">
        <v>4</v>
      </c>
      <c r="B6" s="5">
        <v>1.07</v>
      </c>
    </row>
    <row r="7" ht="15.75" customHeight="1"/>
    <row r="8" ht="15.75" customHeight="1">
      <c r="A8" s="6" t="s">
        <v>5</v>
      </c>
      <c r="B8" s="7"/>
    </row>
    <row r="9" ht="15.75" customHeight="1">
      <c r="A9" s="7" t="s">
        <v>6</v>
      </c>
      <c r="B9" s="7" t="s">
        <v>7</v>
      </c>
    </row>
    <row r="10" ht="15.75" customHeight="1">
      <c r="A10" s="5">
        <v>25.0</v>
      </c>
      <c r="B10" s="5">
        <v>2.0</v>
      </c>
    </row>
    <row r="11" ht="15.75" customHeight="1">
      <c r="A11" s="5">
        <v>50.0</v>
      </c>
      <c r="B11" s="5">
        <v>2.0</v>
      </c>
    </row>
    <row r="12" ht="15.75" customHeight="1">
      <c r="A12" s="5">
        <v>100.0</v>
      </c>
      <c r="B12" s="5">
        <v>2.0</v>
      </c>
    </row>
    <row r="13" ht="15.75" customHeight="1">
      <c r="A13" s="5">
        <v>200.0</v>
      </c>
      <c r="B13" s="5">
        <v>2.0</v>
      </c>
    </row>
    <row r="14" ht="15.75" customHeight="1">
      <c r="A14" s="5">
        <v>300.0</v>
      </c>
      <c r="B14" s="5">
        <v>2.0</v>
      </c>
    </row>
    <row r="15" ht="15.75" customHeight="1">
      <c r="A15" s="5">
        <v>400.0</v>
      </c>
      <c r="B15" s="5">
        <v>2.0</v>
      </c>
    </row>
    <row r="16" ht="15.75" customHeight="1">
      <c r="A16" s="5">
        <v>500.0</v>
      </c>
      <c r="B16" s="5">
        <v>2.0</v>
      </c>
    </row>
    <row r="17" ht="15.75" customHeight="1">
      <c r="A17" s="5">
        <v>600.0</v>
      </c>
      <c r="B17" s="5">
        <v>2.0</v>
      </c>
    </row>
    <row r="18" ht="15.75" customHeight="1">
      <c r="A18" s="5">
        <v>1000.0</v>
      </c>
      <c r="B18" s="5">
        <v>2.0</v>
      </c>
    </row>
    <row r="19" ht="15.75" customHeight="1"/>
    <row r="20" ht="15.75" customHeight="1">
      <c r="A20" s="6" t="s">
        <v>8</v>
      </c>
      <c r="B20" s="7" t="s">
        <v>9</v>
      </c>
    </row>
    <row r="21" ht="15.75" customHeight="1">
      <c r="A21" s="2">
        <v>1.0</v>
      </c>
      <c r="B21" s="5">
        <v>5.0</v>
      </c>
    </row>
    <row r="22" ht="15.75" customHeight="1">
      <c r="A22" s="2">
        <v>2.0</v>
      </c>
      <c r="B22" s="5">
        <v>75.0</v>
      </c>
    </row>
    <row r="23" ht="15.75" customHeight="1">
      <c r="A23" s="2">
        <v>3.0</v>
      </c>
      <c r="B23" s="5">
        <v>1000.0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8" t="s">
        <v>6</v>
      </c>
      <c r="B1" s="9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ht="15.75" customHeight="1">
      <c r="A2" s="2">
        <v>1.0</v>
      </c>
      <c r="B2" s="11">
        <f>'Exponential Item Growth'!$B$5*'Exponential Item Growth'!$B$6^A2</f>
        <v>3.99966</v>
      </c>
      <c r="C2" s="12">
        <f t="shared" ref="C2:C751" si="1">E2*D2</f>
        <v>1.67</v>
      </c>
      <c r="D2" s="2">
        <f>A2*'Exponential Item Growth'!$B$4</f>
        <v>1.67</v>
      </c>
      <c r="E2" s="2">
        <v>1.0</v>
      </c>
      <c r="F2" s="12">
        <f>C2*'Exponential Item Growth'!$B$21</f>
        <v>8.35</v>
      </c>
      <c r="G2" s="12">
        <f>'Exponential Item Growth'!$B$22*C2</f>
        <v>125.25</v>
      </c>
      <c r="H2" s="12">
        <f>'Exponential Item Growth'!$B$23*C2</f>
        <v>1670</v>
      </c>
    </row>
    <row r="3" ht="15.75" customHeight="1">
      <c r="A3" s="2">
        <v>2.0</v>
      </c>
      <c r="B3" s="11">
        <f>'Exponential Item Growth'!$B$5*'Exponential Item Growth'!$B$6^A3</f>
        <v>4.2796362</v>
      </c>
      <c r="C3" s="12">
        <f t="shared" si="1"/>
        <v>3.34</v>
      </c>
      <c r="D3" s="2">
        <f>A3*'Exponential Item Growth'!$B$4</f>
        <v>3.34</v>
      </c>
      <c r="E3" s="12">
        <f>if(isna(VLOOKUP(A3,'Exponential Item Growth'!$A$10:$B$18,2,false)),E2, E2*VLOOKUP(A3,'Exponential Item Growth'!$A$10:$B$18,2,false))</f>
        <v>1</v>
      </c>
      <c r="F3" s="12">
        <f>C3*'Exponential Item Growth'!$B$21</f>
        <v>16.7</v>
      </c>
      <c r="G3" s="12">
        <f>'Exponential Item Growth'!$B$22*C3</f>
        <v>250.5</v>
      </c>
      <c r="H3" s="12">
        <f>'Exponential Item Growth'!$B$23*C3</f>
        <v>3340</v>
      </c>
    </row>
    <row r="4" ht="15.75" customHeight="1">
      <c r="A4" s="2">
        <v>3.0</v>
      </c>
      <c r="B4" s="11">
        <f>'Exponential Item Growth'!$B$5*'Exponential Item Growth'!$B$6^A4</f>
        <v>4.579210734</v>
      </c>
      <c r="C4" s="12">
        <f t="shared" si="1"/>
        <v>5.01</v>
      </c>
      <c r="D4" s="2">
        <f>A4*'Exponential Item Growth'!$B$4</f>
        <v>5.01</v>
      </c>
      <c r="E4" s="12">
        <f>if(isna(VLOOKUP(A4,'Exponential Item Growth'!$A$10:$B$18,2,false)),E3, E3*VLOOKUP(A4,'Exponential Item Growth'!$A$10:$B$18,2,false))</f>
        <v>1</v>
      </c>
      <c r="F4" s="12">
        <f>C4*'Exponential Item Growth'!$B$21</f>
        <v>25.05</v>
      </c>
      <c r="G4" s="12">
        <f>'Exponential Item Growth'!$B$22*C4</f>
        <v>375.75</v>
      </c>
      <c r="H4" s="12">
        <f>'Exponential Item Growth'!$B$23*C4</f>
        <v>5010</v>
      </c>
    </row>
    <row r="5" ht="15.75" customHeight="1">
      <c r="A5" s="2">
        <v>4.0</v>
      </c>
      <c r="B5" s="11">
        <f>'Exponential Item Growth'!$B$5*'Exponential Item Growth'!$B$6^A5</f>
        <v>4.899755485</v>
      </c>
      <c r="C5" s="12">
        <f t="shared" si="1"/>
        <v>6.68</v>
      </c>
      <c r="D5" s="2">
        <f>A5*'Exponential Item Growth'!$B$4</f>
        <v>6.68</v>
      </c>
      <c r="E5" s="12">
        <f>if(isna(VLOOKUP(A5,'Exponential Item Growth'!$A$10:$B$18,2,false)),E4, E4*VLOOKUP(A5,'Exponential Item Growth'!$A$10:$B$18,2,false))</f>
        <v>1</v>
      </c>
      <c r="F5" s="12">
        <f>C5*'Exponential Item Growth'!$B$21</f>
        <v>33.4</v>
      </c>
      <c r="G5" s="12">
        <f>'Exponential Item Growth'!$B$22*C5</f>
        <v>501</v>
      </c>
      <c r="H5" s="12">
        <f>'Exponential Item Growth'!$B$23*C5</f>
        <v>6680</v>
      </c>
    </row>
    <row r="6" ht="15.75" customHeight="1">
      <c r="A6" s="2">
        <v>5.0</v>
      </c>
      <c r="B6" s="11">
        <f>'Exponential Item Growth'!$B$5*'Exponential Item Growth'!$B$6^A6</f>
        <v>5.242738369</v>
      </c>
      <c r="C6" s="12">
        <f t="shared" si="1"/>
        <v>8.35</v>
      </c>
      <c r="D6" s="2">
        <f>A6*'Exponential Item Growth'!$B$4</f>
        <v>8.35</v>
      </c>
      <c r="E6" s="12">
        <f>if(isna(VLOOKUP(A6,'Exponential Item Growth'!$A$10:$B$18,2,false)),E5, E5*VLOOKUP(A6,'Exponential Item Growth'!$A$10:$B$18,2,false))</f>
        <v>1</v>
      </c>
      <c r="F6" s="12">
        <f>C6*'Exponential Item Growth'!$B$21</f>
        <v>41.75</v>
      </c>
      <c r="G6" s="12">
        <f>'Exponential Item Growth'!$B$22*C6</f>
        <v>626.25</v>
      </c>
      <c r="H6" s="12">
        <f>'Exponential Item Growth'!$B$23*C6</f>
        <v>8350</v>
      </c>
    </row>
    <row r="7" ht="15.75" customHeight="1">
      <c r="A7" s="2">
        <v>6.0</v>
      </c>
      <c r="B7" s="11">
        <f>'Exponential Item Growth'!$B$5*'Exponential Item Growth'!$B$6^A7</f>
        <v>5.609730055</v>
      </c>
      <c r="C7" s="12">
        <f t="shared" si="1"/>
        <v>10.02</v>
      </c>
      <c r="D7" s="2">
        <f>A7*'Exponential Item Growth'!$B$4</f>
        <v>10.02</v>
      </c>
      <c r="E7" s="12">
        <f>if(isna(VLOOKUP(A7,'Exponential Item Growth'!$A$10:$B$18,2,false)),E6, E6*VLOOKUP(A7,'Exponential Item Growth'!$A$10:$B$18,2,false))</f>
        <v>1</v>
      </c>
      <c r="F7" s="12">
        <f>C7*'Exponential Item Growth'!$B$21</f>
        <v>50.1</v>
      </c>
      <c r="G7" s="12">
        <f>'Exponential Item Growth'!$B$22*C7</f>
        <v>751.5</v>
      </c>
      <c r="H7" s="12">
        <f>'Exponential Item Growth'!$B$23*C7</f>
        <v>10020</v>
      </c>
    </row>
    <row r="8" ht="15.75" customHeight="1">
      <c r="A8" s="2">
        <v>7.0</v>
      </c>
      <c r="B8" s="11">
        <f>'Exponential Item Growth'!$B$5*'Exponential Item Growth'!$B$6^A8</f>
        <v>6.002411159</v>
      </c>
      <c r="C8" s="12">
        <f t="shared" si="1"/>
        <v>11.69</v>
      </c>
      <c r="D8" s="2">
        <f>A8*'Exponential Item Growth'!$B$4</f>
        <v>11.69</v>
      </c>
      <c r="E8" s="12">
        <f>if(isna(VLOOKUP(A8,'Exponential Item Growth'!$A$10:$B$18,2,false)),E7, E7*VLOOKUP(A8,'Exponential Item Growth'!$A$10:$B$18,2,false))</f>
        <v>1</v>
      </c>
      <c r="F8" s="12">
        <f>C8*'Exponential Item Growth'!$B$21</f>
        <v>58.45</v>
      </c>
      <c r="G8" s="12">
        <f>'Exponential Item Growth'!$B$22*C8</f>
        <v>876.75</v>
      </c>
      <c r="H8" s="12">
        <f>'Exponential Item Growth'!$B$23*C8</f>
        <v>11690</v>
      </c>
    </row>
    <row r="9" ht="15.75" customHeight="1">
      <c r="A9" s="2">
        <v>8.0</v>
      </c>
      <c r="B9" s="11">
        <f>'Exponential Item Growth'!$B$5*'Exponential Item Growth'!$B$6^A9</f>
        <v>6.42257994</v>
      </c>
      <c r="C9" s="12">
        <f t="shared" si="1"/>
        <v>13.36</v>
      </c>
      <c r="D9" s="2">
        <f>A9*'Exponential Item Growth'!$B$4</f>
        <v>13.36</v>
      </c>
      <c r="E9" s="12">
        <f>if(isna(VLOOKUP(A9,'Exponential Item Growth'!$A$10:$B$18,2,false)),E8, E8*VLOOKUP(A9,'Exponential Item Growth'!$A$10:$B$18,2,false))</f>
        <v>1</v>
      </c>
      <c r="F9" s="12">
        <f>C9*'Exponential Item Growth'!$B$21</f>
        <v>66.8</v>
      </c>
      <c r="G9" s="12">
        <f>'Exponential Item Growth'!$B$22*C9</f>
        <v>1002</v>
      </c>
      <c r="H9" s="12">
        <f>'Exponential Item Growth'!$B$23*C9</f>
        <v>13360</v>
      </c>
    </row>
    <row r="10" ht="15.75" customHeight="1">
      <c r="A10" s="2">
        <v>9.0</v>
      </c>
      <c r="B10" s="11">
        <f>'Exponential Item Growth'!$B$5*'Exponential Item Growth'!$B$6^A10</f>
        <v>6.872160536</v>
      </c>
      <c r="C10" s="12">
        <f t="shared" si="1"/>
        <v>15.03</v>
      </c>
      <c r="D10" s="2">
        <f>A10*'Exponential Item Growth'!$B$4</f>
        <v>15.03</v>
      </c>
      <c r="E10" s="12">
        <f>if(isna(VLOOKUP(A10,'Exponential Item Growth'!$A$10:$B$18,2,false)),E9, E9*VLOOKUP(A10,'Exponential Item Growth'!$A$10:$B$18,2,false))</f>
        <v>1</v>
      </c>
      <c r="F10" s="12">
        <f>C10*'Exponential Item Growth'!$B$21</f>
        <v>75.15</v>
      </c>
      <c r="G10" s="12">
        <f>'Exponential Item Growth'!$B$22*C10</f>
        <v>1127.25</v>
      </c>
      <c r="H10" s="12">
        <f>'Exponential Item Growth'!$B$23*C10</f>
        <v>15030</v>
      </c>
    </row>
    <row r="11" ht="15.75" customHeight="1">
      <c r="A11" s="2">
        <v>10.0</v>
      </c>
      <c r="B11" s="11">
        <f>'Exponential Item Growth'!$B$5*'Exponential Item Growth'!$B$6^A11</f>
        <v>7.353211774</v>
      </c>
      <c r="C11" s="12">
        <f t="shared" si="1"/>
        <v>16.7</v>
      </c>
      <c r="D11" s="2">
        <f>A11*'Exponential Item Growth'!$B$4</f>
        <v>16.7</v>
      </c>
      <c r="E11" s="12">
        <f>if(isna(VLOOKUP(A11,'Exponential Item Growth'!$A$10:$B$18,2,false)),E10, E10*VLOOKUP(A11,'Exponential Item Growth'!$A$10:$B$18,2,false))</f>
        <v>1</v>
      </c>
      <c r="F11" s="12">
        <f>C11*'Exponential Item Growth'!$B$21</f>
        <v>83.5</v>
      </c>
      <c r="G11" s="12">
        <f>'Exponential Item Growth'!$B$22*C11</f>
        <v>1252.5</v>
      </c>
      <c r="H11" s="12">
        <f>'Exponential Item Growth'!$B$23*C11</f>
        <v>16700</v>
      </c>
    </row>
    <row r="12" ht="15.75" customHeight="1">
      <c r="A12" s="2">
        <v>11.0</v>
      </c>
      <c r="B12" s="11">
        <f>'Exponential Item Growth'!$B$5*'Exponential Item Growth'!$B$6^A12</f>
        <v>7.867936598</v>
      </c>
      <c r="C12" s="12">
        <f t="shared" si="1"/>
        <v>18.37</v>
      </c>
      <c r="D12" s="2">
        <f>A12*'Exponential Item Growth'!$B$4</f>
        <v>18.37</v>
      </c>
      <c r="E12" s="12">
        <f>if(isna(VLOOKUP(A12,'Exponential Item Growth'!$A$10:$B$18,2,false)),E11, E11*VLOOKUP(A12,'Exponential Item Growth'!$A$10:$B$18,2,false))</f>
        <v>1</v>
      </c>
      <c r="F12" s="12">
        <f>C12*'Exponential Item Growth'!$B$21</f>
        <v>91.85</v>
      </c>
      <c r="G12" s="12">
        <f>'Exponential Item Growth'!$B$22*C12</f>
        <v>1377.75</v>
      </c>
      <c r="H12" s="12">
        <f>'Exponential Item Growth'!$B$23*C12</f>
        <v>18370</v>
      </c>
    </row>
    <row r="13" ht="15.75" customHeight="1">
      <c r="A13" s="2">
        <v>12.0</v>
      </c>
      <c r="B13" s="11">
        <f>'Exponential Item Growth'!$B$5*'Exponential Item Growth'!$B$6^A13</f>
        <v>8.41869216</v>
      </c>
      <c r="C13" s="12">
        <f t="shared" si="1"/>
        <v>20.04</v>
      </c>
      <c r="D13" s="2">
        <f>A13*'Exponential Item Growth'!$B$4</f>
        <v>20.04</v>
      </c>
      <c r="E13" s="12">
        <f>if(isna(VLOOKUP(A13,'Exponential Item Growth'!$A$10:$B$18,2,false)),E12, E12*VLOOKUP(A13,'Exponential Item Growth'!$A$10:$B$18,2,false))</f>
        <v>1</v>
      </c>
      <c r="F13" s="12">
        <f>C13*'Exponential Item Growth'!$B$21</f>
        <v>100.2</v>
      </c>
      <c r="G13" s="12">
        <f>'Exponential Item Growth'!$B$22*C13</f>
        <v>1503</v>
      </c>
      <c r="H13" s="12">
        <f>'Exponential Item Growth'!$B$23*C13</f>
        <v>20040</v>
      </c>
    </row>
    <row r="14" ht="15.75" customHeight="1">
      <c r="A14" s="2">
        <v>13.0</v>
      </c>
      <c r="B14" s="11">
        <f>'Exponential Item Growth'!$B$5*'Exponential Item Growth'!$B$6^A14</f>
        <v>9.008000611</v>
      </c>
      <c r="C14" s="12">
        <f t="shared" si="1"/>
        <v>21.71</v>
      </c>
      <c r="D14" s="2">
        <f>A14*'Exponential Item Growth'!$B$4</f>
        <v>21.71</v>
      </c>
      <c r="E14" s="12">
        <f>if(isna(VLOOKUP(A14,'Exponential Item Growth'!$A$10:$B$18,2,false)),E13, E13*VLOOKUP(A14,'Exponential Item Growth'!$A$10:$B$18,2,false))</f>
        <v>1</v>
      </c>
      <c r="F14" s="12">
        <f>C14*'Exponential Item Growth'!$B$21</f>
        <v>108.55</v>
      </c>
      <c r="G14" s="12">
        <f>'Exponential Item Growth'!$B$22*C14</f>
        <v>1628.25</v>
      </c>
      <c r="H14" s="12">
        <f>'Exponential Item Growth'!$B$23*C14</f>
        <v>21710</v>
      </c>
    </row>
    <row r="15" ht="15.75" customHeight="1">
      <c r="A15" s="2">
        <v>14.0</v>
      </c>
      <c r="B15" s="11">
        <f>'Exponential Item Growth'!$B$5*'Exponential Item Growth'!$B$6^A15</f>
        <v>9.638560653</v>
      </c>
      <c r="C15" s="12">
        <f t="shared" si="1"/>
        <v>23.38</v>
      </c>
      <c r="D15" s="2">
        <f>A15*'Exponential Item Growth'!$B$4</f>
        <v>23.38</v>
      </c>
      <c r="E15" s="12">
        <f>if(isna(VLOOKUP(A15,'Exponential Item Growth'!$A$10:$B$18,2,false)),E14, E14*VLOOKUP(A15,'Exponential Item Growth'!$A$10:$B$18,2,false))</f>
        <v>1</v>
      </c>
      <c r="F15" s="12">
        <f>C15*'Exponential Item Growth'!$B$21</f>
        <v>116.9</v>
      </c>
      <c r="G15" s="12">
        <f>'Exponential Item Growth'!$B$22*C15</f>
        <v>1753.5</v>
      </c>
      <c r="H15" s="12">
        <f>'Exponential Item Growth'!$B$23*C15</f>
        <v>23380</v>
      </c>
    </row>
    <row r="16" ht="15.75" customHeight="1">
      <c r="A16" s="2">
        <v>15.0</v>
      </c>
      <c r="B16" s="11">
        <f>'Exponential Item Growth'!$B$5*'Exponential Item Growth'!$B$6^A16</f>
        <v>10.3132599</v>
      </c>
      <c r="C16" s="12">
        <f t="shared" si="1"/>
        <v>25.05</v>
      </c>
      <c r="D16" s="2">
        <f>A16*'Exponential Item Growth'!$B$4</f>
        <v>25.05</v>
      </c>
      <c r="E16" s="12">
        <f>if(isna(VLOOKUP(A16,'Exponential Item Growth'!$A$10:$B$18,2,false)),E15, E15*VLOOKUP(A16,'Exponential Item Growth'!$A$10:$B$18,2,false))</f>
        <v>1</v>
      </c>
      <c r="F16" s="12">
        <f>C16*'Exponential Item Growth'!$B$21</f>
        <v>125.25</v>
      </c>
      <c r="G16" s="12">
        <f>'Exponential Item Growth'!$B$22*C16</f>
        <v>1878.75</v>
      </c>
      <c r="H16" s="12">
        <f>'Exponential Item Growth'!$B$23*C16</f>
        <v>25050</v>
      </c>
      <c r="K16" s="2"/>
    </row>
    <row r="17" ht="15.75" customHeight="1">
      <c r="A17" s="2">
        <v>16.0</v>
      </c>
      <c r="B17" s="11">
        <f>'Exponential Item Growth'!$B$5*'Exponential Item Growth'!$B$6^A17</f>
        <v>11.03518809</v>
      </c>
      <c r="C17" s="12">
        <f t="shared" si="1"/>
        <v>26.72</v>
      </c>
      <c r="D17" s="2">
        <f>A17*'Exponential Item Growth'!$B$4</f>
        <v>26.72</v>
      </c>
      <c r="E17" s="12">
        <f>if(isna(VLOOKUP(A17,'Exponential Item Growth'!$A$10:$B$18,2,false)),E16, E16*VLOOKUP(A17,'Exponential Item Growth'!$A$10:$B$18,2,false))</f>
        <v>1</v>
      </c>
      <c r="F17" s="12">
        <f>C17*'Exponential Item Growth'!$B$21</f>
        <v>133.6</v>
      </c>
      <c r="G17" s="12">
        <f>'Exponential Item Growth'!$B$22*C17</f>
        <v>2004</v>
      </c>
      <c r="H17" s="12">
        <f>'Exponential Item Growth'!$B$23*C17</f>
        <v>26720</v>
      </c>
    </row>
    <row r="18" ht="15.75" customHeight="1">
      <c r="A18" s="2">
        <v>17.0</v>
      </c>
      <c r="B18" s="11">
        <f>'Exponential Item Growth'!$B$5*'Exponential Item Growth'!$B$6^A18</f>
        <v>11.80765126</v>
      </c>
      <c r="C18" s="12">
        <f t="shared" si="1"/>
        <v>28.39</v>
      </c>
      <c r="D18" s="2">
        <f>A18*'Exponential Item Growth'!$B$4</f>
        <v>28.39</v>
      </c>
      <c r="E18" s="12">
        <f>if(isna(VLOOKUP(A18,'Exponential Item Growth'!$A$10:$B$18,2,false)),E17, E17*VLOOKUP(A18,'Exponential Item Growth'!$A$10:$B$18,2,false))</f>
        <v>1</v>
      </c>
      <c r="F18" s="12">
        <f>C18*'Exponential Item Growth'!$B$21</f>
        <v>141.95</v>
      </c>
      <c r="G18" s="12">
        <f>'Exponential Item Growth'!$B$22*C18</f>
        <v>2129.25</v>
      </c>
      <c r="H18" s="12">
        <f>'Exponential Item Growth'!$B$23*C18</f>
        <v>28390</v>
      </c>
    </row>
    <row r="19" ht="15.75" customHeight="1">
      <c r="A19" s="2">
        <v>18.0</v>
      </c>
      <c r="B19" s="11">
        <f>'Exponential Item Growth'!$B$5*'Exponential Item Growth'!$B$6^A19</f>
        <v>12.63418685</v>
      </c>
      <c r="C19" s="12">
        <f t="shared" si="1"/>
        <v>30.06</v>
      </c>
      <c r="D19" s="2">
        <f>A19*'Exponential Item Growth'!$B$4</f>
        <v>30.06</v>
      </c>
      <c r="E19" s="12">
        <f>if(isna(VLOOKUP(A19,'Exponential Item Growth'!$A$10:$B$18,2,false)),E18, E18*VLOOKUP(A19,'Exponential Item Growth'!$A$10:$B$18,2,false))</f>
        <v>1</v>
      </c>
      <c r="F19" s="12">
        <f>C19*'Exponential Item Growth'!$B$21</f>
        <v>150.3</v>
      </c>
      <c r="G19" s="12">
        <f>'Exponential Item Growth'!$B$22*C19</f>
        <v>2254.5</v>
      </c>
      <c r="H19" s="12">
        <f>'Exponential Item Growth'!$B$23*C19</f>
        <v>30060</v>
      </c>
    </row>
    <row r="20" ht="15.75" customHeight="1">
      <c r="A20" s="2">
        <v>19.0</v>
      </c>
      <c r="B20" s="11">
        <f>'Exponential Item Growth'!$B$5*'Exponential Item Growth'!$B$6^A20</f>
        <v>13.51857993</v>
      </c>
      <c r="C20" s="12">
        <f t="shared" si="1"/>
        <v>31.73</v>
      </c>
      <c r="D20" s="2">
        <f>A20*'Exponential Item Growth'!$B$4</f>
        <v>31.73</v>
      </c>
      <c r="E20" s="12">
        <f>if(isna(VLOOKUP(A20,'Exponential Item Growth'!$A$10:$B$18,2,false)),E19, E19*VLOOKUP(A20,'Exponential Item Growth'!$A$10:$B$18,2,false))</f>
        <v>1</v>
      </c>
      <c r="F20" s="12">
        <f>C20*'Exponential Item Growth'!$B$21</f>
        <v>158.65</v>
      </c>
      <c r="G20" s="12">
        <f>'Exponential Item Growth'!$B$22*C20</f>
        <v>2379.75</v>
      </c>
      <c r="H20" s="12">
        <f>'Exponential Item Growth'!$B$23*C20</f>
        <v>31730</v>
      </c>
    </row>
    <row r="21" ht="15.75" customHeight="1">
      <c r="A21" s="2">
        <v>20.0</v>
      </c>
      <c r="B21" s="11">
        <f>'Exponential Item Growth'!$B$5*'Exponential Item Growth'!$B$6^A21</f>
        <v>14.46488052</v>
      </c>
      <c r="C21" s="12">
        <f t="shared" si="1"/>
        <v>33.4</v>
      </c>
      <c r="D21" s="2">
        <f>A21*'Exponential Item Growth'!$B$4</f>
        <v>33.4</v>
      </c>
      <c r="E21" s="12">
        <f>if(isna(VLOOKUP(A21,'Exponential Item Growth'!$A$10:$B$18,2,false)),E20, E20*VLOOKUP(A21,'Exponential Item Growth'!$A$10:$B$18,2,false))</f>
        <v>1</v>
      </c>
      <c r="F21" s="12">
        <f>C21*'Exponential Item Growth'!$B$21</f>
        <v>167</v>
      </c>
      <c r="G21" s="12">
        <f>'Exponential Item Growth'!$B$22*C21</f>
        <v>2505</v>
      </c>
      <c r="H21" s="12">
        <f>'Exponential Item Growth'!$B$23*C21</f>
        <v>33400</v>
      </c>
    </row>
    <row r="22" ht="15.75" customHeight="1">
      <c r="A22" s="2">
        <v>21.0</v>
      </c>
      <c r="B22" s="11">
        <f>'Exponential Item Growth'!$B$5*'Exponential Item Growth'!$B$6^A22</f>
        <v>15.47742216</v>
      </c>
      <c r="C22" s="12">
        <f t="shared" si="1"/>
        <v>35.07</v>
      </c>
      <c r="D22" s="2">
        <f>A22*'Exponential Item Growth'!$B$4</f>
        <v>35.07</v>
      </c>
      <c r="E22" s="12">
        <f>if(isna(VLOOKUP(A22,'Exponential Item Growth'!$A$10:$B$18,2,false)),E21, E21*VLOOKUP(A22,'Exponential Item Growth'!$A$10:$B$18,2,false))</f>
        <v>1</v>
      </c>
      <c r="F22" s="12">
        <f>C22*'Exponential Item Growth'!$B$21</f>
        <v>175.35</v>
      </c>
      <c r="G22" s="12">
        <f>'Exponential Item Growth'!$B$22*C22</f>
        <v>2630.25</v>
      </c>
      <c r="H22" s="12">
        <f>'Exponential Item Growth'!$B$23*C22</f>
        <v>35070</v>
      </c>
    </row>
    <row r="23" ht="15.75" customHeight="1">
      <c r="A23" s="2">
        <v>22.0</v>
      </c>
      <c r="B23" s="11">
        <f>'Exponential Item Growth'!$B$5*'Exponential Item Growth'!$B$6^A23</f>
        <v>16.56084171</v>
      </c>
      <c r="C23" s="12">
        <f t="shared" si="1"/>
        <v>36.74</v>
      </c>
      <c r="D23" s="2">
        <f>A23*'Exponential Item Growth'!$B$4</f>
        <v>36.74</v>
      </c>
      <c r="E23" s="12">
        <f>if(isna(VLOOKUP(A23,'Exponential Item Growth'!$A$10:$B$18,2,false)),E22, E22*VLOOKUP(A23,'Exponential Item Growth'!$A$10:$B$18,2,false))</f>
        <v>1</v>
      </c>
      <c r="F23" s="12">
        <f>C23*'Exponential Item Growth'!$B$21</f>
        <v>183.7</v>
      </c>
      <c r="G23" s="12">
        <f>'Exponential Item Growth'!$B$22*C23</f>
        <v>2755.5</v>
      </c>
      <c r="H23" s="12">
        <f>'Exponential Item Growth'!$B$23*C23</f>
        <v>36740</v>
      </c>
    </row>
    <row r="24" ht="15.75" customHeight="1">
      <c r="A24" s="2">
        <v>23.0</v>
      </c>
      <c r="B24" s="11">
        <f>'Exponential Item Growth'!$B$5*'Exponential Item Growth'!$B$6^A24</f>
        <v>17.72010063</v>
      </c>
      <c r="C24" s="12">
        <f t="shared" si="1"/>
        <v>38.41</v>
      </c>
      <c r="D24" s="2">
        <f>A24*'Exponential Item Growth'!$B$4</f>
        <v>38.41</v>
      </c>
      <c r="E24" s="12">
        <f>if(isna(VLOOKUP(A24,'Exponential Item Growth'!$A$10:$B$18,2,false)),E23, E23*VLOOKUP(A24,'Exponential Item Growth'!$A$10:$B$18,2,false))</f>
        <v>1</v>
      </c>
      <c r="F24" s="12">
        <f>C24*'Exponential Item Growth'!$B$21</f>
        <v>192.05</v>
      </c>
      <c r="G24" s="12">
        <f>'Exponential Item Growth'!$B$22*C24</f>
        <v>2880.75</v>
      </c>
      <c r="H24" s="12">
        <f>'Exponential Item Growth'!$B$23*C24</f>
        <v>38410</v>
      </c>
    </row>
    <row r="25" ht="15.75" customHeight="1">
      <c r="A25" s="2">
        <v>24.0</v>
      </c>
      <c r="B25" s="11">
        <f>'Exponential Item Growth'!$B$5*'Exponential Item Growth'!$B$6^A25</f>
        <v>18.96050767</v>
      </c>
      <c r="C25" s="12">
        <f t="shared" si="1"/>
        <v>40.08</v>
      </c>
      <c r="D25" s="2">
        <f>A25*'Exponential Item Growth'!$B$4</f>
        <v>40.08</v>
      </c>
      <c r="E25" s="12">
        <f>if(isna(VLOOKUP(A25,'Exponential Item Growth'!$A$10:$B$18,2,false)),E24, E24*VLOOKUP(A25,'Exponential Item Growth'!$A$10:$B$18,2,false))</f>
        <v>1</v>
      </c>
      <c r="F25" s="12">
        <f>C25*'Exponential Item Growth'!$B$21</f>
        <v>200.4</v>
      </c>
      <c r="G25" s="12">
        <f>'Exponential Item Growth'!$B$22*C25</f>
        <v>3006</v>
      </c>
      <c r="H25" s="12">
        <f>'Exponential Item Growth'!$B$23*C25</f>
        <v>40080</v>
      </c>
    </row>
    <row r="26" ht="15.75" customHeight="1">
      <c r="A26" s="2">
        <v>25.0</v>
      </c>
      <c r="B26" s="11">
        <f>'Exponential Item Growth'!$B$5*'Exponential Item Growth'!$B$6^A26</f>
        <v>20.28774321</v>
      </c>
      <c r="C26" s="12">
        <f t="shared" si="1"/>
        <v>83.5</v>
      </c>
      <c r="D26" s="2">
        <f>A26*'Exponential Item Growth'!$B$4</f>
        <v>41.75</v>
      </c>
      <c r="E26" s="12">
        <f>if(isna(VLOOKUP(A26,'Exponential Item Growth'!$A$10:$B$18,2,false)),E25, E25*VLOOKUP(A26,'Exponential Item Growth'!$A$10:$B$18,2,false))</f>
        <v>2</v>
      </c>
      <c r="F26" s="12">
        <f>C26*'Exponential Item Growth'!$B$21</f>
        <v>417.5</v>
      </c>
      <c r="G26" s="12">
        <f>'Exponential Item Growth'!$B$22*C26</f>
        <v>6262.5</v>
      </c>
      <c r="H26" s="12">
        <f>'Exponential Item Growth'!$B$23*C26</f>
        <v>83500</v>
      </c>
    </row>
    <row r="27" ht="15.75" customHeight="1">
      <c r="A27" s="2">
        <v>26.0</v>
      </c>
      <c r="B27" s="11">
        <f>'Exponential Item Growth'!$B$5*'Exponential Item Growth'!$B$6^A27</f>
        <v>21.70788523</v>
      </c>
      <c r="C27" s="12">
        <f t="shared" si="1"/>
        <v>86.84</v>
      </c>
      <c r="D27" s="2">
        <f>A27*'Exponential Item Growth'!$B$4</f>
        <v>43.42</v>
      </c>
      <c r="E27" s="12">
        <f>if(isna(VLOOKUP(A27,'Exponential Item Growth'!$A$10:$B$18,2,false)),E26, E26*VLOOKUP(A27,'Exponential Item Growth'!$A$10:$B$18,2,false))</f>
        <v>2</v>
      </c>
      <c r="F27" s="12">
        <f>C27*'Exponential Item Growth'!$B$21</f>
        <v>434.2</v>
      </c>
      <c r="G27" s="12">
        <f>'Exponential Item Growth'!$B$22*C27</f>
        <v>6513</v>
      </c>
      <c r="H27" s="12">
        <f>'Exponential Item Growth'!$B$23*C27</f>
        <v>86840</v>
      </c>
    </row>
    <row r="28" ht="15.75" customHeight="1">
      <c r="A28" s="2">
        <v>27.0</v>
      </c>
      <c r="B28" s="11">
        <f>'Exponential Item Growth'!$B$5*'Exponential Item Growth'!$B$6^A28</f>
        <v>23.2274372</v>
      </c>
      <c r="C28" s="12">
        <f t="shared" si="1"/>
        <v>90.18</v>
      </c>
      <c r="D28" s="2">
        <f>A28*'Exponential Item Growth'!$B$4</f>
        <v>45.09</v>
      </c>
      <c r="E28" s="12">
        <f>if(isna(VLOOKUP(A28,'Exponential Item Growth'!$A$10:$B$18,2,false)),E27, E27*VLOOKUP(A28,'Exponential Item Growth'!$A$10:$B$18,2,false))</f>
        <v>2</v>
      </c>
      <c r="F28" s="12">
        <f>C28*'Exponential Item Growth'!$B$21</f>
        <v>450.9</v>
      </c>
      <c r="G28" s="12">
        <f>'Exponential Item Growth'!$B$22*C28</f>
        <v>6763.5</v>
      </c>
      <c r="H28" s="12">
        <f>'Exponential Item Growth'!$B$23*C28</f>
        <v>90180</v>
      </c>
    </row>
    <row r="29" ht="15.75" customHeight="1">
      <c r="A29" s="2">
        <v>28.0</v>
      </c>
      <c r="B29" s="11">
        <f>'Exponential Item Growth'!$B$5*'Exponential Item Growth'!$B$6^A29</f>
        <v>24.8533578</v>
      </c>
      <c r="C29" s="12">
        <f t="shared" si="1"/>
        <v>93.52</v>
      </c>
      <c r="D29" s="2">
        <f>A29*'Exponential Item Growth'!$B$4</f>
        <v>46.76</v>
      </c>
      <c r="E29" s="12">
        <f>if(isna(VLOOKUP(A29,'Exponential Item Growth'!$A$10:$B$18,2,false)),E28, E28*VLOOKUP(A29,'Exponential Item Growth'!$A$10:$B$18,2,false))</f>
        <v>2</v>
      </c>
      <c r="F29" s="12">
        <f>C29*'Exponential Item Growth'!$B$21</f>
        <v>467.6</v>
      </c>
      <c r="G29" s="12">
        <f>'Exponential Item Growth'!$B$22*C29</f>
        <v>7014</v>
      </c>
      <c r="H29" s="12">
        <f>'Exponential Item Growth'!$B$23*C29</f>
        <v>93520</v>
      </c>
    </row>
    <row r="30" ht="15.75" customHeight="1">
      <c r="A30" s="2">
        <v>29.0</v>
      </c>
      <c r="B30" s="11">
        <f>'Exponential Item Growth'!$B$5*'Exponential Item Growth'!$B$6^A30</f>
        <v>26.59309285</v>
      </c>
      <c r="C30" s="12">
        <f t="shared" si="1"/>
        <v>96.86</v>
      </c>
      <c r="D30" s="2">
        <f>A30*'Exponential Item Growth'!$B$4</f>
        <v>48.43</v>
      </c>
      <c r="E30" s="12">
        <f>if(isna(VLOOKUP(A30,'Exponential Item Growth'!$A$10:$B$18,2,false)),E29, E29*VLOOKUP(A30,'Exponential Item Growth'!$A$10:$B$18,2,false))</f>
        <v>2</v>
      </c>
      <c r="F30" s="12">
        <f>C30*'Exponential Item Growth'!$B$21</f>
        <v>484.3</v>
      </c>
      <c r="G30" s="12">
        <f>'Exponential Item Growth'!$B$22*C30</f>
        <v>7264.5</v>
      </c>
      <c r="H30" s="12">
        <f>'Exponential Item Growth'!$B$23*C30</f>
        <v>96860</v>
      </c>
    </row>
    <row r="31" ht="15.75" customHeight="1">
      <c r="A31" s="2">
        <v>30.0</v>
      </c>
      <c r="B31" s="11">
        <f>'Exponential Item Growth'!$B$5*'Exponential Item Growth'!$B$6^A31</f>
        <v>28.45460935</v>
      </c>
      <c r="C31" s="12">
        <f t="shared" si="1"/>
        <v>100.2</v>
      </c>
      <c r="D31" s="2">
        <f>A31*'Exponential Item Growth'!$B$4</f>
        <v>50.1</v>
      </c>
      <c r="E31" s="12">
        <f>if(isna(VLOOKUP(A31,'Exponential Item Growth'!$A$10:$B$18,2,false)),E30, E30*VLOOKUP(A31,'Exponential Item Growth'!$A$10:$B$18,2,false))</f>
        <v>2</v>
      </c>
      <c r="F31" s="12">
        <f>C31*'Exponential Item Growth'!$B$21</f>
        <v>501</v>
      </c>
      <c r="G31" s="12">
        <f>'Exponential Item Growth'!$B$22*C31</f>
        <v>7515</v>
      </c>
      <c r="H31" s="12">
        <f>'Exponential Item Growth'!$B$23*C31</f>
        <v>100200</v>
      </c>
    </row>
    <row r="32" ht="15.75" customHeight="1">
      <c r="A32" s="2">
        <v>31.0</v>
      </c>
      <c r="B32" s="11">
        <f>'Exponential Item Growth'!$B$5*'Exponential Item Growth'!$B$6^A32</f>
        <v>30.446432</v>
      </c>
      <c r="C32" s="12">
        <f t="shared" si="1"/>
        <v>103.54</v>
      </c>
      <c r="D32" s="2">
        <f>A32*'Exponential Item Growth'!$B$4</f>
        <v>51.77</v>
      </c>
      <c r="E32" s="12">
        <f>if(isna(VLOOKUP(A32,'Exponential Item Growth'!$A$10:$B$18,2,false)),E31, E31*VLOOKUP(A32,'Exponential Item Growth'!$A$10:$B$18,2,false))</f>
        <v>2</v>
      </c>
      <c r="F32" s="12">
        <f>C32*'Exponential Item Growth'!$B$21</f>
        <v>517.7</v>
      </c>
      <c r="G32" s="12">
        <f>'Exponential Item Growth'!$B$22*C32</f>
        <v>7765.5</v>
      </c>
      <c r="H32" s="12">
        <f>'Exponential Item Growth'!$B$23*C32</f>
        <v>103540</v>
      </c>
    </row>
    <row r="33" ht="15.75" customHeight="1">
      <c r="A33" s="2">
        <v>32.0</v>
      </c>
      <c r="B33" s="11">
        <f>'Exponential Item Growth'!$B$5*'Exponential Item Growth'!$B$6^A33</f>
        <v>32.57768224</v>
      </c>
      <c r="C33" s="12">
        <f t="shared" si="1"/>
        <v>106.88</v>
      </c>
      <c r="D33" s="2">
        <f>A33*'Exponential Item Growth'!$B$4</f>
        <v>53.44</v>
      </c>
      <c r="E33" s="12">
        <f>if(isna(VLOOKUP(A33,'Exponential Item Growth'!$A$10:$B$18,2,false)),E32, E32*VLOOKUP(A33,'Exponential Item Growth'!$A$10:$B$18,2,false))</f>
        <v>2</v>
      </c>
      <c r="F33" s="12">
        <f>C33*'Exponential Item Growth'!$B$21</f>
        <v>534.4</v>
      </c>
      <c r="G33" s="12">
        <f>'Exponential Item Growth'!$B$22*C33</f>
        <v>8016</v>
      </c>
      <c r="H33" s="12">
        <f>'Exponential Item Growth'!$B$23*C33</f>
        <v>106880</v>
      </c>
    </row>
    <row r="34" ht="15.75" customHeight="1">
      <c r="A34" s="2">
        <v>33.0</v>
      </c>
      <c r="B34" s="11">
        <f>'Exponential Item Growth'!$B$5*'Exponential Item Growth'!$B$6^A34</f>
        <v>34.85812</v>
      </c>
      <c r="C34" s="12">
        <f t="shared" si="1"/>
        <v>110.22</v>
      </c>
      <c r="D34" s="2">
        <f>A34*'Exponential Item Growth'!$B$4</f>
        <v>55.11</v>
      </c>
      <c r="E34" s="12">
        <f>if(isna(VLOOKUP(A34,'Exponential Item Growth'!$A$10:$B$18,2,false)),E33, E33*VLOOKUP(A34,'Exponential Item Growth'!$A$10:$B$18,2,false))</f>
        <v>2</v>
      </c>
      <c r="F34" s="12">
        <f>C34*'Exponential Item Growth'!$B$21</f>
        <v>551.1</v>
      </c>
      <c r="G34" s="12">
        <f>'Exponential Item Growth'!$B$22*C34</f>
        <v>8266.5</v>
      </c>
      <c r="H34" s="12">
        <f>'Exponential Item Growth'!$B$23*C34</f>
        <v>110220</v>
      </c>
    </row>
    <row r="35" ht="15.75" customHeight="1">
      <c r="A35" s="2">
        <v>34.0</v>
      </c>
      <c r="B35" s="11">
        <f>'Exponential Item Growth'!$B$5*'Exponential Item Growth'!$B$6^A35</f>
        <v>37.2981884</v>
      </c>
      <c r="C35" s="12">
        <f t="shared" si="1"/>
        <v>113.56</v>
      </c>
      <c r="D35" s="2">
        <f>A35*'Exponential Item Growth'!$B$4</f>
        <v>56.78</v>
      </c>
      <c r="E35" s="12">
        <f>if(isna(VLOOKUP(A35,'Exponential Item Growth'!$A$10:$B$18,2,false)),E34, E34*VLOOKUP(A35,'Exponential Item Growth'!$A$10:$B$18,2,false))</f>
        <v>2</v>
      </c>
      <c r="F35" s="12">
        <f>C35*'Exponential Item Growth'!$B$21</f>
        <v>567.8</v>
      </c>
      <c r="G35" s="12">
        <f>'Exponential Item Growth'!$B$22*C35</f>
        <v>8517</v>
      </c>
      <c r="H35" s="12">
        <f>'Exponential Item Growth'!$B$23*C35</f>
        <v>113560</v>
      </c>
    </row>
    <row r="36" ht="15.75" customHeight="1">
      <c r="A36" s="2">
        <v>35.0</v>
      </c>
      <c r="B36" s="11">
        <f>'Exponential Item Growth'!$B$5*'Exponential Item Growth'!$B$6^A36</f>
        <v>39.90906159</v>
      </c>
      <c r="C36" s="12">
        <f t="shared" si="1"/>
        <v>116.9</v>
      </c>
      <c r="D36" s="2">
        <f>A36*'Exponential Item Growth'!$B$4</f>
        <v>58.45</v>
      </c>
      <c r="E36" s="12">
        <f>if(isna(VLOOKUP(A36,'Exponential Item Growth'!$A$10:$B$18,2,false)),E35, E35*VLOOKUP(A36,'Exponential Item Growth'!$A$10:$B$18,2,false))</f>
        <v>2</v>
      </c>
      <c r="F36" s="12">
        <f>C36*'Exponential Item Growth'!$B$21</f>
        <v>584.5</v>
      </c>
      <c r="G36" s="12">
        <f>'Exponential Item Growth'!$B$22*C36</f>
        <v>8767.5</v>
      </c>
      <c r="H36" s="12">
        <f>'Exponential Item Growth'!$B$23*C36</f>
        <v>116900</v>
      </c>
    </row>
    <row r="37" ht="15.75" customHeight="1">
      <c r="A37" s="2">
        <v>36.0</v>
      </c>
      <c r="B37" s="11">
        <f>'Exponential Item Growth'!$B$5*'Exponential Item Growth'!$B$6^A37</f>
        <v>42.7026959</v>
      </c>
      <c r="C37" s="12">
        <f t="shared" si="1"/>
        <v>120.24</v>
      </c>
      <c r="D37" s="2">
        <f>A37*'Exponential Item Growth'!$B$4</f>
        <v>60.12</v>
      </c>
      <c r="E37" s="12">
        <f>if(isna(VLOOKUP(A37,'Exponential Item Growth'!$A$10:$B$18,2,false)),E36, E36*VLOOKUP(A37,'Exponential Item Growth'!$A$10:$B$18,2,false))</f>
        <v>2</v>
      </c>
      <c r="F37" s="12">
        <f>C37*'Exponential Item Growth'!$B$21</f>
        <v>601.2</v>
      </c>
      <c r="G37" s="12">
        <f>'Exponential Item Growth'!$B$22*C37</f>
        <v>9018</v>
      </c>
      <c r="H37" s="12">
        <f>'Exponential Item Growth'!$B$23*C37</f>
        <v>120240</v>
      </c>
    </row>
    <row r="38" ht="15.75" customHeight="1">
      <c r="A38" s="2">
        <v>37.0</v>
      </c>
      <c r="B38" s="11">
        <f>'Exponential Item Growth'!$B$5*'Exponential Item Growth'!$B$6^A38</f>
        <v>45.69188461</v>
      </c>
      <c r="C38" s="12">
        <f t="shared" si="1"/>
        <v>123.58</v>
      </c>
      <c r="D38" s="2">
        <f>A38*'Exponential Item Growth'!$B$4</f>
        <v>61.79</v>
      </c>
      <c r="E38" s="12">
        <f>if(isna(VLOOKUP(A38,'Exponential Item Growth'!$A$10:$B$18,2,false)),E37, E37*VLOOKUP(A38,'Exponential Item Growth'!$A$10:$B$18,2,false))</f>
        <v>2</v>
      </c>
      <c r="F38" s="12">
        <f>C38*'Exponential Item Growth'!$B$21</f>
        <v>617.9</v>
      </c>
      <c r="G38" s="12">
        <f>'Exponential Item Growth'!$B$22*C38</f>
        <v>9268.5</v>
      </c>
      <c r="H38" s="12">
        <f>'Exponential Item Growth'!$B$23*C38</f>
        <v>123580</v>
      </c>
    </row>
    <row r="39" ht="15.75" customHeight="1">
      <c r="A39" s="2">
        <v>38.0</v>
      </c>
      <c r="B39" s="11">
        <f>'Exponential Item Growth'!$B$5*'Exponential Item Growth'!$B$6^A39</f>
        <v>48.89031654</v>
      </c>
      <c r="C39" s="12">
        <f t="shared" si="1"/>
        <v>126.92</v>
      </c>
      <c r="D39" s="2">
        <f>A39*'Exponential Item Growth'!$B$4</f>
        <v>63.46</v>
      </c>
      <c r="E39" s="12">
        <f>if(isna(VLOOKUP(A39,'Exponential Item Growth'!$A$10:$B$18,2,false)),E38, E38*VLOOKUP(A39,'Exponential Item Growth'!$A$10:$B$18,2,false))</f>
        <v>2</v>
      </c>
      <c r="F39" s="12">
        <f>C39*'Exponential Item Growth'!$B$21</f>
        <v>634.6</v>
      </c>
      <c r="G39" s="12">
        <f>'Exponential Item Growth'!$B$22*C39</f>
        <v>9519</v>
      </c>
      <c r="H39" s="12">
        <f>'Exponential Item Growth'!$B$23*C39</f>
        <v>126920</v>
      </c>
    </row>
    <row r="40" ht="15.75" customHeight="1">
      <c r="A40" s="2">
        <v>39.0</v>
      </c>
      <c r="B40" s="11">
        <f>'Exponential Item Growth'!$B$5*'Exponential Item Growth'!$B$6^A40</f>
        <v>52.31263869</v>
      </c>
      <c r="C40" s="12">
        <f t="shared" si="1"/>
        <v>130.26</v>
      </c>
      <c r="D40" s="2">
        <f>A40*'Exponential Item Growth'!$B$4</f>
        <v>65.13</v>
      </c>
      <c r="E40" s="12">
        <f>if(isna(VLOOKUP(A40,'Exponential Item Growth'!$A$10:$B$18,2,false)),E39, E39*VLOOKUP(A40,'Exponential Item Growth'!$A$10:$B$18,2,false))</f>
        <v>2</v>
      </c>
      <c r="F40" s="12">
        <f>C40*'Exponential Item Growth'!$B$21</f>
        <v>651.3</v>
      </c>
      <c r="G40" s="12">
        <f>'Exponential Item Growth'!$B$22*C40</f>
        <v>9769.5</v>
      </c>
      <c r="H40" s="12">
        <f>'Exponential Item Growth'!$B$23*C40</f>
        <v>130260</v>
      </c>
    </row>
    <row r="41" ht="15.75" customHeight="1">
      <c r="A41" s="2">
        <v>40.0</v>
      </c>
      <c r="B41" s="11">
        <f>'Exponential Item Growth'!$B$5*'Exponential Item Growth'!$B$6^A41</f>
        <v>55.9745234</v>
      </c>
      <c r="C41" s="12">
        <f t="shared" si="1"/>
        <v>133.6</v>
      </c>
      <c r="D41" s="2">
        <f>A41*'Exponential Item Growth'!$B$4</f>
        <v>66.8</v>
      </c>
      <c r="E41" s="12">
        <f>if(isna(VLOOKUP(A41,'Exponential Item Growth'!$A$10:$B$18,2,false)),E40, E40*VLOOKUP(A41,'Exponential Item Growth'!$A$10:$B$18,2,false))</f>
        <v>2</v>
      </c>
      <c r="F41" s="12">
        <f>C41*'Exponential Item Growth'!$B$21</f>
        <v>668</v>
      </c>
      <c r="G41" s="12">
        <f>'Exponential Item Growth'!$B$22*C41</f>
        <v>10020</v>
      </c>
      <c r="H41" s="12">
        <f>'Exponential Item Growth'!$B$23*C41</f>
        <v>133600</v>
      </c>
    </row>
    <row r="42" ht="15.75" customHeight="1">
      <c r="A42" s="2">
        <v>41.0</v>
      </c>
      <c r="B42" s="11">
        <f>'Exponential Item Growth'!$B$5*'Exponential Item Growth'!$B$6^A42</f>
        <v>59.89274004</v>
      </c>
      <c r="C42" s="12">
        <f t="shared" si="1"/>
        <v>136.94</v>
      </c>
      <c r="D42" s="2">
        <f>A42*'Exponential Item Growth'!$B$4</f>
        <v>68.47</v>
      </c>
      <c r="E42" s="12">
        <f>if(isna(VLOOKUP(A42,'Exponential Item Growth'!$A$10:$B$18,2,false)),E41, E41*VLOOKUP(A42,'Exponential Item Growth'!$A$10:$B$18,2,false))</f>
        <v>2</v>
      </c>
      <c r="F42" s="12">
        <f>C42*'Exponential Item Growth'!$B$21</f>
        <v>684.7</v>
      </c>
      <c r="G42" s="12">
        <f>'Exponential Item Growth'!$B$22*C42</f>
        <v>10270.5</v>
      </c>
      <c r="H42" s="12">
        <f>'Exponential Item Growth'!$B$23*C42</f>
        <v>136940</v>
      </c>
    </row>
    <row r="43" ht="15.75" customHeight="1">
      <c r="A43" s="2">
        <v>42.0</v>
      </c>
      <c r="B43" s="11">
        <f>'Exponential Item Growth'!$B$5*'Exponential Item Growth'!$B$6^A43</f>
        <v>64.08523184</v>
      </c>
      <c r="C43" s="12">
        <f t="shared" si="1"/>
        <v>140.28</v>
      </c>
      <c r="D43" s="2">
        <f>A43*'Exponential Item Growth'!$B$4</f>
        <v>70.14</v>
      </c>
      <c r="E43" s="12">
        <f>if(isna(VLOOKUP(A43,'Exponential Item Growth'!$A$10:$B$18,2,false)),E42, E42*VLOOKUP(A43,'Exponential Item Growth'!$A$10:$B$18,2,false))</f>
        <v>2</v>
      </c>
      <c r="F43" s="12">
        <f>C43*'Exponential Item Growth'!$B$21</f>
        <v>701.4</v>
      </c>
      <c r="G43" s="12">
        <f>'Exponential Item Growth'!$B$22*C43</f>
        <v>10521</v>
      </c>
      <c r="H43" s="12">
        <f>'Exponential Item Growth'!$B$23*C43</f>
        <v>140280</v>
      </c>
    </row>
    <row r="44" ht="15.75" customHeight="1">
      <c r="A44" s="2">
        <v>43.0</v>
      </c>
      <c r="B44" s="11">
        <f>'Exponential Item Growth'!$B$5*'Exponential Item Growth'!$B$6^A44</f>
        <v>68.57119807</v>
      </c>
      <c r="C44" s="12">
        <f t="shared" si="1"/>
        <v>143.62</v>
      </c>
      <c r="D44" s="2">
        <f>A44*'Exponential Item Growth'!$B$4</f>
        <v>71.81</v>
      </c>
      <c r="E44" s="12">
        <f>if(isna(VLOOKUP(A44,'Exponential Item Growth'!$A$10:$B$18,2,false)),E43, E43*VLOOKUP(A44,'Exponential Item Growth'!$A$10:$B$18,2,false))</f>
        <v>2</v>
      </c>
      <c r="F44" s="12">
        <f>C44*'Exponential Item Growth'!$B$21</f>
        <v>718.1</v>
      </c>
      <c r="G44" s="12">
        <f>'Exponential Item Growth'!$B$22*C44</f>
        <v>10771.5</v>
      </c>
      <c r="H44" s="12">
        <f>'Exponential Item Growth'!$B$23*C44</f>
        <v>143620</v>
      </c>
    </row>
    <row r="45" ht="15.75" customHeight="1">
      <c r="A45" s="2">
        <v>44.0</v>
      </c>
      <c r="B45" s="11">
        <f>'Exponential Item Growth'!$B$5*'Exponential Item Growth'!$B$6^A45</f>
        <v>73.37118194</v>
      </c>
      <c r="C45" s="12">
        <f t="shared" si="1"/>
        <v>146.96</v>
      </c>
      <c r="D45" s="2">
        <f>A45*'Exponential Item Growth'!$B$4</f>
        <v>73.48</v>
      </c>
      <c r="E45" s="12">
        <f>if(isna(VLOOKUP(A45,'Exponential Item Growth'!$A$10:$B$18,2,false)),E44, E44*VLOOKUP(A45,'Exponential Item Growth'!$A$10:$B$18,2,false))</f>
        <v>2</v>
      </c>
      <c r="F45" s="12">
        <f>C45*'Exponential Item Growth'!$B$21</f>
        <v>734.8</v>
      </c>
      <c r="G45" s="12">
        <f>'Exponential Item Growth'!$B$22*C45</f>
        <v>11022</v>
      </c>
      <c r="H45" s="12">
        <f>'Exponential Item Growth'!$B$23*C45</f>
        <v>146960</v>
      </c>
    </row>
    <row r="46" ht="15.75" customHeight="1">
      <c r="A46" s="2">
        <v>45.0</v>
      </c>
      <c r="B46" s="11">
        <f>'Exponential Item Growth'!$B$5*'Exponential Item Growth'!$B$6^A46</f>
        <v>78.50716467</v>
      </c>
      <c r="C46" s="12">
        <f t="shared" si="1"/>
        <v>150.3</v>
      </c>
      <c r="D46" s="2">
        <f>A46*'Exponential Item Growth'!$B$4</f>
        <v>75.15</v>
      </c>
      <c r="E46" s="12">
        <f>if(isna(VLOOKUP(A46,'Exponential Item Growth'!$A$10:$B$18,2,false)),E45, E45*VLOOKUP(A46,'Exponential Item Growth'!$A$10:$B$18,2,false))</f>
        <v>2</v>
      </c>
      <c r="F46" s="12">
        <f>C46*'Exponential Item Growth'!$B$21</f>
        <v>751.5</v>
      </c>
      <c r="G46" s="12">
        <f>'Exponential Item Growth'!$B$22*C46</f>
        <v>11272.5</v>
      </c>
      <c r="H46" s="12">
        <f>'Exponential Item Growth'!$B$23*C46</f>
        <v>150300</v>
      </c>
    </row>
    <row r="47" ht="15.75" customHeight="1">
      <c r="A47" s="2">
        <v>46.0</v>
      </c>
      <c r="B47" s="11">
        <f>'Exponential Item Growth'!$B$5*'Exponential Item Growth'!$B$6^A47</f>
        <v>84.0026662</v>
      </c>
      <c r="C47" s="12">
        <f t="shared" si="1"/>
        <v>153.64</v>
      </c>
      <c r="D47" s="2">
        <f>A47*'Exponential Item Growth'!$B$4</f>
        <v>76.82</v>
      </c>
      <c r="E47" s="12">
        <f>if(isna(VLOOKUP(A47,'Exponential Item Growth'!$A$10:$B$18,2,false)),E46, E46*VLOOKUP(A47,'Exponential Item Growth'!$A$10:$B$18,2,false))</f>
        <v>2</v>
      </c>
      <c r="F47" s="12">
        <f>C47*'Exponential Item Growth'!$B$21</f>
        <v>768.2</v>
      </c>
      <c r="G47" s="12">
        <f>'Exponential Item Growth'!$B$22*C47</f>
        <v>11523</v>
      </c>
      <c r="H47" s="12">
        <f>'Exponential Item Growth'!$B$23*C47</f>
        <v>153640</v>
      </c>
    </row>
    <row r="48" ht="15.75" customHeight="1">
      <c r="A48" s="2">
        <v>47.0</v>
      </c>
      <c r="B48" s="11">
        <f>'Exponential Item Growth'!$B$5*'Exponential Item Growth'!$B$6^A48</f>
        <v>89.88285284</v>
      </c>
      <c r="C48" s="12">
        <f t="shared" si="1"/>
        <v>156.98</v>
      </c>
      <c r="D48" s="2">
        <f>A48*'Exponential Item Growth'!$B$4</f>
        <v>78.49</v>
      </c>
      <c r="E48" s="12">
        <f>if(isna(VLOOKUP(A48,'Exponential Item Growth'!$A$10:$B$18,2,false)),E47, E47*VLOOKUP(A48,'Exponential Item Growth'!$A$10:$B$18,2,false))</f>
        <v>2</v>
      </c>
      <c r="F48" s="12">
        <f>C48*'Exponential Item Growth'!$B$21</f>
        <v>784.9</v>
      </c>
      <c r="G48" s="12">
        <f>'Exponential Item Growth'!$B$22*C48</f>
        <v>11773.5</v>
      </c>
      <c r="H48" s="12">
        <f>'Exponential Item Growth'!$B$23*C48</f>
        <v>156980</v>
      </c>
    </row>
    <row r="49" ht="15.75" customHeight="1">
      <c r="A49" s="2">
        <v>48.0</v>
      </c>
      <c r="B49" s="11">
        <f>'Exponential Item Growth'!$B$5*'Exponential Item Growth'!$B$6^A49</f>
        <v>96.17465253</v>
      </c>
      <c r="C49" s="12">
        <f t="shared" si="1"/>
        <v>160.32</v>
      </c>
      <c r="D49" s="2">
        <f>A49*'Exponential Item Growth'!$B$4</f>
        <v>80.16</v>
      </c>
      <c r="E49" s="12">
        <f>if(isna(VLOOKUP(A49,'Exponential Item Growth'!$A$10:$B$18,2,false)),E48, E48*VLOOKUP(A49,'Exponential Item Growth'!$A$10:$B$18,2,false))</f>
        <v>2</v>
      </c>
      <c r="F49" s="12">
        <f>C49*'Exponential Item Growth'!$B$21</f>
        <v>801.6</v>
      </c>
      <c r="G49" s="12">
        <f>'Exponential Item Growth'!$B$22*C49</f>
        <v>12024</v>
      </c>
      <c r="H49" s="12">
        <f>'Exponential Item Growth'!$B$23*C49</f>
        <v>160320</v>
      </c>
    </row>
    <row r="50" ht="15.75" customHeight="1">
      <c r="A50" s="2">
        <v>49.0</v>
      </c>
      <c r="B50" s="11">
        <f>'Exponential Item Growth'!$B$5*'Exponential Item Growth'!$B$6^A50</f>
        <v>102.9068782</v>
      </c>
      <c r="C50" s="12">
        <f t="shared" si="1"/>
        <v>163.66</v>
      </c>
      <c r="D50" s="2">
        <f>A50*'Exponential Item Growth'!$B$4</f>
        <v>81.83</v>
      </c>
      <c r="E50" s="12">
        <f>if(isna(VLOOKUP(A50,'Exponential Item Growth'!$A$10:$B$18,2,false)),E49, E49*VLOOKUP(A50,'Exponential Item Growth'!$A$10:$B$18,2,false))</f>
        <v>2</v>
      </c>
      <c r="F50" s="12">
        <f>C50*'Exponential Item Growth'!$B$21</f>
        <v>818.3</v>
      </c>
      <c r="G50" s="12">
        <f>'Exponential Item Growth'!$B$22*C50</f>
        <v>12274.5</v>
      </c>
      <c r="H50" s="12">
        <f>'Exponential Item Growth'!$B$23*C50</f>
        <v>163660</v>
      </c>
    </row>
    <row r="51" ht="15.75" customHeight="1">
      <c r="A51" s="2">
        <v>50.0</v>
      </c>
      <c r="B51" s="11">
        <f>'Exponential Item Growth'!$B$5*'Exponential Item Growth'!$B$6^A51</f>
        <v>110.1103597</v>
      </c>
      <c r="C51" s="12">
        <f t="shared" si="1"/>
        <v>334</v>
      </c>
      <c r="D51" s="2">
        <f>A51*'Exponential Item Growth'!$B$4</f>
        <v>83.5</v>
      </c>
      <c r="E51" s="12">
        <f>if(isna(VLOOKUP(A51,'Exponential Item Growth'!$A$10:$B$18,2,false)),E50, E50*VLOOKUP(A51,'Exponential Item Growth'!$A$10:$B$18,2,false))</f>
        <v>4</v>
      </c>
      <c r="F51" s="12">
        <f>C51*'Exponential Item Growth'!$B$21</f>
        <v>1670</v>
      </c>
      <c r="G51" s="12">
        <f>'Exponential Item Growth'!$B$22*C51</f>
        <v>25050</v>
      </c>
      <c r="H51" s="12">
        <f>'Exponential Item Growth'!$B$23*C51</f>
        <v>334000</v>
      </c>
    </row>
    <row r="52" ht="15.75" customHeight="1">
      <c r="A52" s="2">
        <v>51.0</v>
      </c>
      <c r="B52" s="11">
        <f>'Exponential Item Growth'!$B$5*'Exponential Item Growth'!$B$6^A52</f>
        <v>117.8180849</v>
      </c>
      <c r="C52" s="12">
        <f t="shared" si="1"/>
        <v>340.68</v>
      </c>
      <c r="D52" s="2">
        <f>A52*'Exponential Item Growth'!$B$4</f>
        <v>85.17</v>
      </c>
      <c r="E52" s="12">
        <f>if(isna(VLOOKUP(A52,'Exponential Item Growth'!$A$10:$B$18,2,false)),E51, E51*VLOOKUP(A52,'Exponential Item Growth'!$A$10:$B$18,2,false))</f>
        <v>4</v>
      </c>
      <c r="F52" s="12">
        <f>C52*'Exponential Item Growth'!$B$21</f>
        <v>1703.4</v>
      </c>
      <c r="G52" s="12">
        <f>'Exponential Item Growth'!$B$22*C52</f>
        <v>25551</v>
      </c>
      <c r="H52" s="12">
        <f>'Exponential Item Growth'!$B$23*C52</f>
        <v>340680</v>
      </c>
    </row>
    <row r="53" ht="15.75" customHeight="1">
      <c r="A53" s="2">
        <v>52.0</v>
      </c>
      <c r="B53" s="11">
        <f>'Exponential Item Growth'!$B$5*'Exponential Item Growth'!$B$6^A53</f>
        <v>126.0653508</v>
      </c>
      <c r="C53" s="12">
        <f t="shared" si="1"/>
        <v>347.36</v>
      </c>
      <c r="D53" s="2">
        <f>A53*'Exponential Item Growth'!$B$4</f>
        <v>86.84</v>
      </c>
      <c r="E53" s="12">
        <f>if(isna(VLOOKUP(A53,'Exponential Item Growth'!$A$10:$B$18,2,false)),E52, E52*VLOOKUP(A53,'Exponential Item Growth'!$A$10:$B$18,2,false))</f>
        <v>4</v>
      </c>
      <c r="F53" s="12">
        <f>C53*'Exponential Item Growth'!$B$21</f>
        <v>1736.8</v>
      </c>
      <c r="G53" s="12">
        <f>'Exponential Item Growth'!$B$22*C53</f>
        <v>26052</v>
      </c>
      <c r="H53" s="12">
        <f>'Exponential Item Growth'!$B$23*C53</f>
        <v>347360</v>
      </c>
    </row>
    <row r="54" ht="15.75" customHeight="1">
      <c r="A54" s="2">
        <v>53.0</v>
      </c>
      <c r="B54" s="11">
        <f>'Exponential Item Growth'!$B$5*'Exponential Item Growth'!$B$6^A54</f>
        <v>134.8899254</v>
      </c>
      <c r="C54" s="12">
        <f t="shared" si="1"/>
        <v>354.04</v>
      </c>
      <c r="D54" s="2">
        <f>A54*'Exponential Item Growth'!$B$4</f>
        <v>88.51</v>
      </c>
      <c r="E54" s="12">
        <f>if(isna(VLOOKUP(A54,'Exponential Item Growth'!$A$10:$B$18,2,false)),E53, E53*VLOOKUP(A54,'Exponential Item Growth'!$A$10:$B$18,2,false))</f>
        <v>4</v>
      </c>
      <c r="F54" s="12">
        <f>C54*'Exponential Item Growth'!$B$21</f>
        <v>1770.2</v>
      </c>
      <c r="G54" s="12">
        <f>'Exponential Item Growth'!$B$22*C54</f>
        <v>26553</v>
      </c>
      <c r="H54" s="12">
        <f>'Exponential Item Growth'!$B$23*C54</f>
        <v>354040</v>
      </c>
    </row>
    <row r="55" ht="15.75" customHeight="1">
      <c r="A55" s="2">
        <v>54.0</v>
      </c>
      <c r="B55" s="11">
        <f>'Exponential Item Growth'!$B$5*'Exponential Item Growth'!$B$6^A55</f>
        <v>144.3322201</v>
      </c>
      <c r="C55" s="12">
        <f t="shared" si="1"/>
        <v>360.72</v>
      </c>
      <c r="D55" s="2">
        <f>A55*'Exponential Item Growth'!$B$4</f>
        <v>90.18</v>
      </c>
      <c r="E55" s="12">
        <f>if(isna(VLOOKUP(A55,'Exponential Item Growth'!$A$10:$B$18,2,false)),E54, E54*VLOOKUP(A55,'Exponential Item Growth'!$A$10:$B$18,2,false))</f>
        <v>4</v>
      </c>
      <c r="F55" s="12">
        <f>C55*'Exponential Item Growth'!$B$21</f>
        <v>1803.6</v>
      </c>
      <c r="G55" s="12">
        <f>'Exponential Item Growth'!$B$22*C55</f>
        <v>27054</v>
      </c>
      <c r="H55" s="12">
        <f>'Exponential Item Growth'!$B$23*C55</f>
        <v>360720</v>
      </c>
    </row>
    <row r="56" ht="15.75" customHeight="1">
      <c r="A56" s="2">
        <v>55.0</v>
      </c>
      <c r="B56" s="11">
        <f>'Exponential Item Growth'!$B$5*'Exponential Item Growth'!$B$6^A56</f>
        <v>154.4354755</v>
      </c>
      <c r="C56" s="12">
        <f t="shared" si="1"/>
        <v>367.4</v>
      </c>
      <c r="D56" s="2">
        <f>A56*'Exponential Item Growth'!$B$4</f>
        <v>91.85</v>
      </c>
      <c r="E56" s="12">
        <f>if(isna(VLOOKUP(A56,'Exponential Item Growth'!$A$10:$B$18,2,false)),E55, E55*VLOOKUP(A56,'Exponential Item Growth'!$A$10:$B$18,2,false))</f>
        <v>4</v>
      </c>
      <c r="F56" s="12">
        <f>C56*'Exponential Item Growth'!$B$21</f>
        <v>1837</v>
      </c>
      <c r="G56" s="12">
        <f>'Exponential Item Growth'!$B$22*C56</f>
        <v>27555</v>
      </c>
      <c r="H56" s="12">
        <f>'Exponential Item Growth'!$B$23*C56</f>
        <v>367400</v>
      </c>
    </row>
    <row r="57" ht="15.75" customHeight="1">
      <c r="A57" s="2">
        <v>56.0</v>
      </c>
      <c r="B57" s="11">
        <f>'Exponential Item Growth'!$B$5*'Exponential Item Growth'!$B$6^A57</f>
        <v>165.2459588</v>
      </c>
      <c r="C57" s="12">
        <f t="shared" si="1"/>
        <v>374.08</v>
      </c>
      <c r="D57" s="2">
        <f>A57*'Exponential Item Growth'!$B$4</f>
        <v>93.52</v>
      </c>
      <c r="E57" s="12">
        <f>if(isna(VLOOKUP(A57,'Exponential Item Growth'!$A$10:$B$18,2,false)),E56, E56*VLOOKUP(A57,'Exponential Item Growth'!$A$10:$B$18,2,false))</f>
        <v>4</v>
      </c>
      <c r="F57" s="12">
        <f>C57*'Exponential Item Growth'!$B$21</f>
        <v>1870.4</v>
      </c>
      <c r="G57" s="12">
        <f>'Exponential Item Growth'!$B$22*C57</f>
        <v>28056</v>
      </c>
      <c r="H57" s="12">
        <f>'Exponential Item Growth'!$B$23*C57</f>
        <v>374080</v>
      </c>
    </row>
    <row r="58" ht="15.75" customHeight="1">
      <c r="A58" s="2">
        <v>57.0</v>
      </c>
      <c r="B58" s="11">
        <f>'Exponential Item Growth'!$B$5*'Exponential Item Growth'!$B$6^A58</f>
        <v>176.813176</v>
      </c>
      <c r="C58" s="12">
        <f t="shared" si="1"/>
        <v>380.76</v>
      </c>
      <c r="D58" s="2">
        <f>A58*'Exponential Item Growth'!$B$4</f>
        <v>95.19</v>
      </c>
      <c r="E58" s="12">
        <f>if(isna(VLOOKUP(A58,'Exponential Item Growth'!$A$10:$B$18,2,false)),E57, E57*VLOOKUP(A58,'Exponential Item Growth'!$A$10:$B$18,2,false))</f>
        <v>4</v>
      </c>
      <c r="F58" s="12">
        <f>C58*'Exponential Item Growth'!$B$21</f>
        <v>1903.8</v>
      </c>
      <c r="G58" s="12">
        <f>'Exponential Item Growth'!$B$22*C58</f>
        <v>28557</v>
      </c>
      <c r="H58" s="12">
        <f>'Exponential Item Growth'!$B$23*C58</f>
        <v>380760</v>
      </c>
    </row>
    <row r="59" ht="15.75" customHeight="1">
      <c r="A59" s="2">
        <v>58.0</v>
      </c>
      <c r="B59" s="11">
        <f>'Exponential Item Growth'!$B$5*'Exponential Item Growth'!$B$6^A59</f>
        <v>189.1900983</v>
      </c>
      <c r="C59" s="12">
        <f t="shared" si="1"/>
        <v>387.44</v>
      </c>
      <c r="D59" s="2">
        <f>A59*'Exponential Item Growth'!$B$4</f>
        <v>96.86</v>
      </c>
      <c r="E59" s="12">
        <f>if(isna(VLOOKUP(A59,'Exponential Item Growth'!$A$10:$B$18,2,false)),E58, E58*VLOOKUP(A59,'Exponential Item Growth'!$A$10:$B$18,2,false))</f>
        <v>4</v>
      </c>
      <c r="F59" s="12">
        <f>C59*'Exponential Item Growth'!$B$21</f>
        <v>1937.2</v>
      </c>
      <c r="G59" s="12">
        <f>'Exponential Item Growth'!$B$22*C59</f>
        <v>29058</v>
      </c>
      <c r="H59" s="12">
        <f>'Exponential Item Growth'!$B$23*C59</f>
        <v>387440</v>
      </c>
    </row>
    <row r="60" ht="15.75" customHeight="1">
      <c r="A60" s="2">
        <v>59.0</v>
      </c>
      <c r="B60" s="11">
        <f>'Exponential Item Growth'!$B$5*'Exponential Item Growth'!$B$6^A60</f>
        <v>202.4334051</v>
      </c>
      <c r="C60" s="12">
        <f t="shared" si="1"/>
        <v>394.12</v>
      </c>
      <c r="D60" s="2">
        <f>A60*'Exponential Item Growth'!$B$4</f>
        <v>98.53</v>
      </c>
      <c r="E60" s="12">
        <f>if(isna(VLOOKUP(A60,'Exponential Item Growth'!$A$10:$B$18,2,false)),E59, E59*VLOOKUP(A60,'Exponential Item Growth'!$A$10:$B$18,2,false))</f>
        <v>4</v>
      </c>
      <c r="F60" s="12">
        <f>C60*'Exponential Item Growth'!$B$21</f>
        <v>1970.6</v>
      </c>
      <c r="G60" s="12">
        <f>'Exponential Item Growth'!$B$22*C60</f>
        <v>29559</v>
      </c>
      <c r="H60" s="12">
        <f>'Exponential Item Growth'!$B$23*C60</f>
        <v>394120</v>
      </c>
    </row>
    <row r="61" ht="15.75" customHeight="1">
      <c r="A61" s="2">
        <v>60.0</v>
      </c>
      <c r="B61" s="11">
        <f>'Exponential Item Growth'!$B$5*'Exponential Item Growth'!$B$6^A61</f>
        <v>216.6037435</v>
      </c>
      <c r="C61" s="12">
        <f t="shared" si="1"/>
        <v>400.8</v>
      </c>
      <c r="D61" s="2">
        <f>A61*'Exponential Item Growth'!$B$4</f>
        <v>100.2</v>
      </c>
      <c r="E61" s="12">
        <f>if(isna(VLOOKUP(A61,'Exponential Item Growth'!$A$10:$B$18,2,false)),E60, E60*VLOOKUP(A61,'Exponential Item Growth'!$A$10:$B$18,2,false))</f>
        <v>4</v>
      </c>
      <c r="F61" s="12">
        <f>C61*'Exponential Item Growth'!$B$21</f>
        <v>2004</v>
      </c>
      <c r="G61" s="12">
        <f>'Exponential Item Growth'!$B$22*C61</f>
        <v>30060</v>
      </c>
      <c r="H61" s="12">
        <f>'Exponential Item Growth'!$B$23*C61</f>
        <v>400800</v>
      </c>
    </row>
    <row r="62" ht="15.75" customHeight="1">
      <c r="A62" s="2">
        <v>61.0</v>
      </c>
      <c r="B62" s="11">
        <f>'Exponential Item Growth'!$B$5*'Exponential Item Growth'!$B$6^A62</f>
        <v>231.7660056</v>
      </c>
      <c r="C62" s="12">
        <f t="shared" si="1"/>
        <v>407.48</v>
      </c>
      <c r="D62" s="2">
        <f>A62*'Exponential Item Growth'!$B$4</f>
        <v>101.87</v>
      </c>
      <c r="E62" s="12">
        <f>if(isna(VLOOKUP(A62,'Exponential Item Growth'!$A$10:$B$18,2,false)),E61, E61*VLOOKUP(A62,'Exponential Item Growth'!$A$10:$B$18,2,false))</f>
        <v>4</v>
      </c>
      <c r="F62" s="12">
        <f>C62*'Exponential Item Growth'!$B$21</f>
        <v>2037.4</v>
      </c>
      <c r="G62" s="12">
        <f>'Exponential Item Growth'!$B$22*C62</f>
        <v>30561</v>
      </c>
      <c r="H62" s="12">
        <f>'Exponential Item Growth'!$B$23*C62</f>
        <v>407480</v>
      </c>
    </row>
    <row r="63" ht="15.75" customHeight="1">
      <c r="A63" s="2">
        <v>62.0</v>
      </c>
      <c r="B63" s="11">
        <f>'Exponential Item Growth'!$B$5*'Exponential Item Growth'!$B$6^A63</f>
        <v>247.9896259</v>
      </c>
      <c r="C63" s="12">
        <f t="shared" si="1"/>
        <v>414.16</v>
      </c>
      <c r="D63" s="2">
        <f>A63*'Exponential Item Growth'!$B$4</f>
        <v>103.54</v>
      </c>
      <c r="E63" s="12">
        <f>if(isna(VLOOKUP(A63,'Exponential Item Growth'!$A$10:$B$18,2,false)),E62, E62*VLOOKUP(A63,'Exponential Item Growth'!$A$10:$B$18,2,false))</f>
        <v>4</v>
      </c>
      <c r="F63" s="12">
        <f>C63*'Exponential Item Growth'!$B$21</f>
        <v>2070.8</v>
      </c>
      <c r="G63" s="12">
        <f>'Exponential Item Growth'!$B$22*C63</f>
        <v>31062</v>
      </c>
      <c r="H63" s="12">
        <f>'Exponential Item Growth'!$B$23*C63</f>
        <v>414160</v>
      </c>
    </row>
    <row r="64" ht="15.75" customHeight="1">
      <c r="A64" s="2">
        <v>63.0</v>
      </c>
      <c r="B64" s="11">
        <f>'Exponential Item Growth'!$B$5*'Exponential Item Growth'!$B$6^A64</f>
        <v>265.3488998</v>
      </c>
      <c r="C64" s="12">
        <f t="shared" si="1"/>
        <v>420.84</v>
      </c>
      <c r="D64" s="2">
        <f>A64*'Exponential Item Growth'!$B$4</f>
        <v>105.21</v>
      </c>
      <c r="E64" s="12">
        <f>if(isna(VLOOKUP(A64,'Exponential Item Growth'!$A$10:$B$18,2,false)),E63, E63*VLOOKUP(A64,'Exponential Item Growth'!$A$10:$B$18,2,false))</f>
        <v>4</v>
      </c>
      <c r="F64" s="12">
        <f>C64*'Exponential Item Growth'!$B$21</f>
        <v>2104.2</v>
      </c>
      <c r="G64" s="12">
        <f>'Exponential Item Growth'!$B$22*C64</f>
        <v>31563</v>
      </c>
      <c r="H64" s="12">
        <f>'Exponential Item Growth'!$B$23*C64</f>
        <v>420840</v>
      </c>
    </row>
    <row r="65" ht="15.75" customHeight="1">
      <c r="A65" s="2">
        <v>64.0</v>
      </c>
      <c r="B65" s="11">
        <f>'Exponential Item Growth'!$B$5*'Exponential Item Growth'!$B$6^A65</f>
        <v>283.9233227</v>
      </c>
      <c r="C65" s="12">
        <f t="shared" si="1"/>
        <v>427.52</v>
      </c>
      <c r="D65" s="2">
        <f>A65*'Exponential Item Growth'!$B$4</f>
        <v>106.88</v>
      </c>
      <c r="E65" s="12">
        <f>if(isna(VLOOKUP(A65,'Exponential Item Growth'!$A$10:$B$18,2,false)),E64, E64*VLOOKUP(A65,'Exponential Item Growth'!$A$10:$B$18,2,false))</f>
        <v>4</v>
      </c>
      <c r="F65" s="12">
        <f>C65*'Exponential Item Growth'!$B$21</f>
        <v>2137.6</v>
      </c>
      <c r="G65" s="12">
        <f>'Exponential Item Growth'!$B$22*C65</f>
        <v>32064</v>
      </c>
      <c r="H65" s="12">
        <f>'Exponential Item Growth'!$B$23*C65</f>
        <v>427520</v>
      </c>
    </row>
    <row r="66" ht="15.75" customHeight="1">
      <c r="A66" s="2">
        <v>65.0</v>
      </c>
      <c r="B66" s="11">
        <f>'Exponential Item Growth'!$B$5*'Exponential Item Growth'!$B$6^A66</f>
        <v>303.7979553</v>
      </c>
      <c r="C66" s="12">
        <f t="shared" si="1"/>
        <v>434.2</v>
      </c>
      <c r="D66" s="2">
        <f>A66*'Exponential Item Growth'!$B$4</f>
        <v>108.55</v>
      </c>
      <c r="E66" s="12">
        <f>if(isna(VLOOKUP(A66,'Exponential Item Growth'!$A$10:$B$18,2,false)),E65, E65*VLOOKUP(A66,'Exponential Item Growth'!$A$10:$B$18,2,false))</f>
        <v>4</v>
      </c>
      <c r="F66" s="12">
        <f>C66*'Exponential Item Growth'!$B$21</f>
        <v>2171</v>
      </c>
      <c r="G66" s="12">
        <f>'Exponential Item Growth'!$B$22*C66</f>
        <v>32565</v>
      </c>
      <c r="H66" s="12">
        <f>'Exponential Item Growth'!$B$23*C66</f>
        <v>434200</v>
      </c>
    </row>
    <row r="67" ht="15.75" customHeight="1">
      <c r="A67" s="2">
        <v>66.0</v>
      </c>
      <c r="B67" s="11">
        <f>'Exponential Item Growth'!$B$5*'Exponential Item Growth'!$B$6^A67</f>
        <v>325.0638122</v>
      </c>
      <c r="C67" s="12">
        <f t="shared" si="1"/>
        <v>440.88</v>
      </c>
      <c r="D67" s="2">
        <f>A67*'Exponential Item Growth'!$B$4</f>
        <v>110.22</v>
      </c>
      <c r="E67" s="12">
        <f>if(isna(VLOOKUP(A67,'Exponential Item Growth'!$A$10:$B$18,2,false)),E66, E66*VLOOKUP(A67,'Exponential Item Growth'!$A$10:$B$18,2,false))</f>
        <v>4</v>
      </c>
      <c r="F67" s="12">
        <f>C67*'Exponential Item Growth'!$B$21</f>
        <v>2204.4</v>
      </c>
      <c r="G67" s="12">
        <f>'Exponential Item Growth'!$B$22*C67</f>
        <v>33066</v>
      </c>
      <c r="H67" s="12">
        <f>'Exponential Item Growth'!$B$23*C67</f>
        <v>440880</v>
      </c>
    </row>
    <row r="68" ht="15.75" customHeight="1">
      <c r="A68" s="2">
        <v>67.0</v>
      </c>
      <c r="B68" s="11">
        <f>'Exponential Item Growth'!$B$5*'Exponential Item Growth'!$B$6^A68</f>
        <v>347.8182791</v>
      </c>
      <c r="C68" s="12">
        <f t="shared" si="1"/>
        <v>447.56</v>
      </c>
      <c r="D68" s="2">
        <f>A68*'Exponential Item Growth'!$B$4</f>
        <v>111.89</v>
      </c>
      <c r="E68" s="12">
        <f>if(isna(VLOOKUP(A68,'Exponential Item Growth'!$A$10:$B$18,2,false)),E67, E67*VLOOKUP(A68,'Exponential Item Growth'!$A$10:$B$18,2,false))</f>
        <v>4</v>
      </c>
      <c r="F68" s="12">
        <f>C68*'Exponential Item Growth'!$B$21</f>
        <v>2237.8</v>
      </c>
      <c r="G68" s="12">
        <f>'Exponential Item Growth'!$B$22*C68</f>
        <v>33567</v>
      </c>
      <c r="H68" s="12">
        <f>'Exponential Item Growth'!$B$23*C68</f>
        <v>447560</v>
      </c>
    </row>
    <row r="69" ht="15.75" customHeight="1">
      <c r="A69" s="2">
        <v>68.0</v>
      </c>
      <c r="B69" s="11">
        <f>'Exponential Item Growth'!$B$5*'Exponential Item Growth'!$B$6^A69</f>
        <v>372.1655586</v>
      </c>
      <c r="C69" s="12">
        <f t="shared" si="1"/>
        <v>454.24</v>
      </c>
      <c r="D69" s="2">
        <f>A69*'Exponential Item Growth'!$B$4</f>
        <v>113.56</v>
      </c>
      <c r="E69" s="12">
        <f>if(isna(VLOOKUP(A69,'Exponential Item Growth'!$A$10:$B$18,2,false)),E68, E68*VLOOKUP(A69,'Exponential Item Growth'!$A$10:$B$18,2,false))</f>
        <v>4</v>
      </c>
      <c r="F69" s="12">
        <f>C69*'Exponential Item Growth'!$B$21</f>
        <v>2271.2</v>
      </c>
      <c r="G69" s="12">
        <f>'Exponential Item Growth'!$B$22*C69</f>
        <v>34068</v>
      </c>
      <c r="H69" s="12">
        <f>'Exponential Item Growth'!$B$23*C69</f>
        <v>454240</v>
      </c>
    </row>
    <row r="70" ht="15.75" customHeight="1">
      <c r="A70" s="2">
        <v>69.0</v>
      </c>
      <c r="B70" s="11">
        <f>'Exponential Item Growth'!$B$5*'Exponential Item Growth'!$B$6^A70</f>
        <v>398.2171477</v>
      </c>
      <c r="C70" s="12">
        <f t="shared" si="1"/>
        <v>460.92</v>
      </c>
      <c r="D70" s="2">
        <f>A70*'Exponential Item Growth'!$B$4</f>
        <v>115.23</v>
      </c>
      <c r="E70" s="12">
        <f>if(isna(VLOOKUP(A70,'Exponential Item Growth'!$A$10:$B$18,2,false)),E69, E69*VLOOKUP(A70,'Exponential Item Growth'!$A$10:$B$18,2,false))</f>
        <v>4</v>
      </c>
      <c r="F70" s="12">
        <f>C70*'Exponential Item Growth'!$B$21</f>
        <v>2304.6</v>
      </c>
      <c r="G70" s="12">
        <f>'Exponential Item Growth'!$B$22*C70</f>
        <v>34569</v>
      </c>
      <c r="H70" s="12">
        <f>'Exponential Item Growth'!$B$23*C70</f>
        <v>460920</v>
      </c>
    </row>
    <row r="71" ht="15.75" customHeight="1">
      <c r="A71" s="2">
        <v>70.0</v>
      </c>
      <c r="B71" s="11">
        <f>'Exponential Item Growth'!$B$5*'Exponential Item Growth'!$B$6^A71</f>
        <v>426.092348</v>
      </c>
      <c r="C71" s="12">
        <f t="shared" si="1"/>
        <v>467.6</v>
      </c>
      <c r="D71" s="2">
        <f>A71*'Exponential Item Growth'!$B$4</f>
        <v>116.9</v>
      </c>
      <c r="E71" s="12">
        <f>if(isna(VLOOKUP(A71,'Exponential Item Growth'!$A$10:$B$18,2,false)),E70, E70*VLOOKUP(A71,'Exponential Item Growth'!$A$10:$B$18,2,false))</f>
        <v>4</v>
      </c>
      <c r="F71" s="12">
        <f>C71*'Exponential Item Growth'!$B$21</f>
        <v>2338</v>
      </c>
      <c r="G71" s="12">
        <f>'Exponential Item Growth'!$B$22*C71</f>
        <v>35070</v>
      </c>
      <c r="H71" s="12">
        <f>'Exponential Item Growth'!$B$23*C71</f>
        <v>467600</v>
      </c>
    </row>
    <row r="72" ht="15.75" customHeight="1">
      <c r="A72" s="2">
        <v>71.0</v>
      </c>
      <c r="B72" s="11">
        <f>'Exponential Item Growth'!$B$5*'Exponential Item Growth'!$B$6^A72</f>
        <v>455.9188124</v>
      </c>
      <c r="C72" s="12">
        <f t="shared" si="1"/>
        <v>474.28</v>
      </c>
      <c r="D72" s="2">
        <f>A72*'Exponential Item Growth'!$B$4</f>
        <v>118.57</v>
      </c>
      <c r="E72" s="12">
        <f>if(isna(VLOOKUP(A72,'Exponential Item Growth'!$A$10:$B$18,2,false)),E71, E71*VLOOKUP(A72,'Exponential Item Growth'!$A$10:$B$18,2,false))</f>
        <v>4</v>
      </c>
      <c r="F72" s="12">
        <f>C72*'Exponential Item Growth'!$B$21</f>
        <v>2371.4</v>
      </c>
      <c r="G72" s="12">
        <f>'Exponential Item Growth'!$B$22*C72</f>
        <v>35571</v>
      </c>
      <c r="H72" s="12">
        <f>'Exponential Item Growth'!$B$23*C72</f>
        <v>474280</v>
      </c>
    </row>
    <row r="73" ht="15.75" customHeight="1">
      <c r="A73" s="2">
        <v>72.0</v>
      </c>
      <c r="B73" s="11">
        <f>'Exponential Item Growth'!$B$5*'Exponential Item Growth'!$B$6^A73</f>
        <v>487.8331293</v>
      </c>
      <c r="C73" s="12">
        <f t="shared" si="1"/>
        <v>480.96</v>
      </c>
      <c r="D73" s="2">
        <f>A73*'Exponential Item Growth'!$B$4</f>
        <v>120.24</v>
      </c>
      <c r="E73" s="12">
        <f>if(isna(VLOOKUP(A73,'Exponential Item Growth'!$A$10:$B$18,2,false)),E72, E72*VLOOKUP(A73,'Exponential Item Growth'!$A$10:$B$18,2,false))</f>
        <v>4</v>
      </c>
      <c r="F73" s="12">
        <f>C73*'Exponential Item Growth'!$B$21</f>
        <v>2404.8</v>
      </c>
      <c r="G73" s="12">
        <f>'Exponential Item Growth'!$B$22*C73</f>
        <v>36072</v>
      </c>
      <c r="H73" s="12">
        <f>'Exponential Item Growth'!$B$23*C73</f>
        <v>480960</v>
      </c>
    </row>
    <row r="74" ht="15.75" customHeight="1">
      <c r="A74" s="2">
        <v>73.0</v>
      </c>
      <c r="B74" s="11">
        <f>'Exponential Item Growth'!$B$5*'Exponential Item Growth'!$B$6^A74</f>
        <v>521.9814483</v>
      </c>
      <c r="C74" s="12">
        <f t="shared" si="1"/>
        <v>487.64</v>
      </c>
      <c r="D74" s="2">
        <f>A74*'Exponential Item Growth'!$B$4</f>
        <v>121.91</v>
      </c>
      <c r="E74" s="12">
        <f>if(isna(VLOOKUP(A74,'Exponential Item Growth'!$A$10:$B$18,2,false)),E73, E73*VLOOKUP(A74,'Exponential Item Growth'!$A$10:$B$18,2,false))</f>
        <v>4</v>
      </c>
      <c r="F74" s="12">
        <f>C74*'Exponential Item Growth'!$B$21</f>
        <v>2438.2</v>
      </c>
      <c r="G74" s="12">
        <f>'Exponential Item Growth'!$B$22*C74</f>
        <v>36573</v>
      </c>
      <c r="H74" s="12">
        <f>'Exponential Item Growth'!$B$23*C74</f>
        <v>487640</v>
      </c>
    </row>
    <row r="75" ht="15.75" customHeight="1">
      <c r="A75" s="2">
        <v>74.0</v>
      </c>
      <c r="B75" s="11">
        <f>'Exponential Item Growth'!$B$5*'Exponential Item Growth'!$B$6^A75</f>
        <v>558.5201497</v>
      </c>
      <c r="C75" s="12">
        <f t="shared" si="1"/>
        <v>494.32</v>
      </c>
      <c r="D75" s="2">
        <f>A75*'Exponential Item Growth'!$B$4</f>
        <v>123.58</v>
      </c>
      <c r="E75" s="12">
        <f>if(isna(VLOOKUP(A75,'Exponential Item Growth'!$A$10:$B$18,2,false)),E74, E74*VLOOKUP(A75,'Exponential Item Growth'!$A$10:$B$18,2,false))</f>
        <v>4</v>
      </c>
      <c r="F75" s="12">
        <f>C75*'Exponential Item Growth'!$B$21</f>
        <v>2471.6</v>
      </c>
      <c r="G75" s="12">
        <f>'Exponential Item Growth'!$B$22*C75</f>
        <v>37074</v>
      </c>
      <c r="H75" s="12">
        <f>'Exponential Item Growth'!$B$23*C75</f>
        <v>494320</v>
      </c>
    </row>
    <row r="76" ht="15.75" customHeight="1">
      <c r="A76" s="2">
        <v>75.0</v>
      </c>
      <c r="B76" s="11">
        <f>'Exponential Item Growth'!$B$5*'Exponential Item Growth'!$B$6^A76</f>
        <v>597.6165602</v>
      </c>
      <c r="C76" s="12">
        <f t="shared" si="1"/>
        <v>501</v>
      </c>
      <c r="D76" s="2">
        <f>A76*'Exponential Item Growth'!$B$4</f>
        <v>125.25</v>
      </c>
      <c r="E76" s="12">
        <f>if(isna(VLOOKUP(A76,'Exponential Item Growth'!$A$10:$B$18,2,false)),E75, E75*VLOOKUP(A76,'Exponential Item Growth'!$A$10:$B$18,2,false))</f>
        <v>4</v>
      </c>
      <c r="F76" s="12">
        <f>C76*'Exponential Item Growth'!$B$21</f>
        <v>2505</v>
      </c>
      <c r="G76" s="12">
        <f>'Exponential Item Growth'!$B$22*C76</f>
        <v>37575</v>
      </c>
      <c r="H76" s="12">
        <f>'Exponential Item Growth'!$B$23*C76</f>
        <v>501000</v>
      </c>
    </row>
    <row r="77" ht="15.75" customHeight="1">
      <c r="A77" s="2">
        <v>76.0</v>
      </c>
      <c r="B77" s="11">
        <f>'Exponential Item Growth'!$B$5*'Exponential Item Growth'!$B$6^A77</f>
        <v>639.4497194</v>
      </c>
      <c r="C77" s="12">
        <f t="shared" si="1"/>
        <v>507.68</v>
      </c>
      <c r="D77" s="2">
        <f>A77*'Exponential Item Growth'!$B$4</f>
        <v>126.92</v>
      </c>
      <c r="E77" s="12">
        <f>if(isna(VLOOKUP(A77,'Exponential Item Growth'!$A$10:$B$18,2,false)),E76, E76*VLOOKUP(A77,'Exponential Item Growth'!$A$10:$B$18,2,false))</f>
        <v>4</v>
      </c>
      <c r="F77" s="12">
        <f>C77*'Exponential Item Growth'!$B$21</f>
        <v>2538.4</v>
      </c>
      <c r="G77" s="12">
        <f>'Exponential Item Growth'!$B$22*C77</f>
        <v>38076</v>
      </c>
      <c r="H77" s="12">
        <f>'Exponential Item Growth'!$B$23*C77</f>
        <v>507680</v>
      </c>
    </row>
    <row r="78" ht="15.75" customHeight="1">
      <c r="A78" s="2">
        <v>77.0</v>
      </c>
      <c r="B78" s="11">
        <f>'Exponential Item Growth'!$B$5*'Exponential Item Growth'!$B$6^A78</f>
        <v>684.2111997</v>
      </c>
      <c r="C78" s="12">
        <f t="shared" si="1"/>
        <v>514.36</v>
      </c>
      <c r="D78" s="2">
        <f>A78*'Exponential Item Growth'!$B$4</f>
        <v>128.59</v>
      </c>
      <c r="E78" s="12">
        <f>if(isna(VLOOKUP(A78,'Exponential Item Growth'!$A$10:$B$18,2,false)),E77, E77*VLOOKUP(A78,'Exponential Item Growth'!$A$10:$B$18,2,false))</f>
        <v>4</v>
      </c>
      <c r="F78" s="12">
        <f>C78*'Exponential Item Growth'!$B$21</f>
        <v>2571.8</v>
      </c>
      <c r="G78" s="12">
        <f>'Exponential Item Growth'!$B$22*C78</f>
        <v>38577</v>
      </c>
      <c r="H78" s="12">
        <f>'Exponential Item Growth'!$B$23*C78</f>
        <v>514360</v>
      </c>
    </row>
    <row r="79" ht="15.75" customHeight="1">
      <c r="A79" s="2">
        <v>78.0</v>
      </c>
      <c r="B79" s="11">
        <f>'Exponential Item Growth'!$B$5*'Exponential Item Growth'!$B$6^A79</f>
        <v>732.1059837</v>
      </c>
      <c r="C79" s="12">
        <f t="shared" si="1"/>
        <v>521.04</v>
      </c>
      <c r="D79" s="2">
        <f>A79*'Exponential Item Growth'!$B$4</f>
        <v>130.26</v>
      </c>
      <c r="E79" s="12">
        <f>if(isna(VLOOKUP(A79,'Exponential Item Growth'!$A$10:$B$18,2,false)),E78, E78*VLOOKUP(A79,'Exponential Item Growth'!$A$10:$B$18,2,false))</f>
        <v>4</v>
      </c>
      <c r="F79" s="12">
        <f>C79*'Exponential Item Growth'!$B$21</f>
        <v>2605.2</v>
      </c>
      <c r="G79" s="12">
        <f>'Exponential Item Growth'!$B$22*C79</f>
        <v>39078</v>
      </c>
      <c r="H79" s="12">
        <f>'Exponential Item Growth'!$B$23*C79</f>
        <v>521040</v>
      </c>
    </row>
    <row r="80" ht="15.75" customHeight="1">
      <c r="A80" s="2">
        <v>79.0</v>
      </c>
      <c r="B80" s="11">
        <f>'Exponential Item Growth'!$B$5*'Exponential Item Growth'!$B$6^A80</f>
        <v>783.3534026</v>
      </c>
      <c r="C80" s="12">
        <f t="shared" si="1"/>
        <v>527.72</v>
      </c>
      <c r="D80" s="2">
        <f>A80*'Exponential Item Growth'!$B$4</f>
        <v>131.93</v>
      </c>
      <c r="E80" s="12">
        <f>if(isna(VLOOKUP(A80,'Exponential Item Growth'!$A$10:$B$18,2,false)),E79, E79*VLOOKUP(A80,'Exponential Item Growth'!$A$10:$B$18,2,false))</f>
        <v>4</v>
      </c>
      <c r="F80" s="12">
        <f>C80*'Exponential Item Growth'!$B$21</f>
        <v>2638.6</v>
      </c>
      <c r="G80" s="12">
        <f>'Exponential Item Growth'!$B$22*C80</f>
        <v>39579</v>
      </c>
      <c r="H80" s="12">
        <f>'Exponential Item Growth'!$B$23*C80</f>
        <v>527720</v>
      </c>
    </row>
    <row r="81" ht="15.75" customHeight="1">
      <c r="A81" s="2">
        <v>80.0</v>
      </c>
      <c r="B81" s="11">
        <f>'Exponential Item Growth'!$B$5*'Exponential Item Growth'!$B$6^A81</f>
        <v>838.1881408</v>
      </c>
      <c r="C81" s="12">
        <f t="shared" si="1"/>
        <v>534.4</v>
      </c>
      <c r="D81" s="2">
        <f>A81*'Exponential Item Growth'!$B$4</f>
        <v>133.6</v>
      </c>
      <c r="E81" s="12">
        <f>if(isna(VLOOKUP(A81,'Exponential Item Growth'!$A$10:$B$18,2,false)),E80, E80*VLOOKUP(A81,'Exponential Item Growth'!$A$10:$B$18,2,false))</f>
        <v>4</v>
      </c>
      <c r="F81" s="12">
        <f>C81*'Exponential Item Growth'!$B$21</f>
        <v>2672</v>
      </c>
      <c r="G81" s="12">
        <f>'Exponential Item Growth'!$B$22*C81</f>
        <v>40080</v>
      </c>
      <c r="H81" s="12">
        <f>'Exponential Item Growth'!$B$23*C81</f>
        <v>534400</v>
      </c>
    </row>
    <row r="82" ht="15.75" customHeight="1">
      <c r="A82" s="2">
        <v>81.0</v>
      </c>
      <c r="B82" s="11">
        <f>'Exponential Item Growth'!$B$5*'Exponential Item Growth'!$B$6^A82</f>
        <v>896.8613106</v>
      </c>
      <c r="C82" s="12">
        <f t="shared" si="1"/>
        <v>541.08</v>
      </c>
      <c r="D82" s="2">
        <f>A82*'Exponential Item Growth'!$B$4</f>
        <v>135.27</v>
      </c>
      <c r="E82" s="12">
        <f>if(isna(VLOOKUP(A82,'Exponential Item Growth'!$A$10:$B$18,2,false)),E81, E81*VLOOKUP(A82,'Exponential Item Growth'!$A$10:$B$18,2,false))</f>
        <v>4</v>
      </c>
      <c r="F82" s="12">
        <f>C82*'Exponential Item Growth'!$B$21</f>
        <v>2705.4</v>
      </c>
      <c r="G82" s="12">
        <f>'Exponential Item Growth'!$B$22*C82</f>
        <v>40581</v>
      </c>
      <c r="H82" s="12">
        <f>'Exponential Item Growth'!$B$23*C82</f>
        <v>541080</v>
      </c>
    </row>
    <row r="83" ht="15.75" customHeight="1">
      <c r="A83" s="2">
        <v>82.0</v>
      </c>
      <c r="B83" s="11">
        <f>'Exponential Item Growth'!$B$5*'Exponential Item Growth'!$B$6^A83</f>
        <v>959.6416024</v>
      </c>
      <c r="C83" s="12">
        <f t="shared" si="1"/>
        <v>547.76</v>
      </c>
      <c r="D83" s="2">
        <f>A83*'Exponential Item Growth'!$B$4</f>
        <v>136.94</v>
      </c>
      <c r="E83" s="12">
        <f>if(isna(VLOOKUP(A83,'Exponential Item Growth'!$A$10:$B$18,2,false)),E82, E82*VLOOKUP(A83,'Exponential Item Growth'!$A$10:$B$18,2,false))</f>
        <v>4</v>
      </c>
      <c r="F83" s="12">
        <f>C83*'Exponential Item Growth'!$B$21</f>
        <v>2738.8</v>
      </c>
      <c r="G83" s="12">
        <f>'Exponential Item Growth'!$B$22*C83</f>
        <v>41082</v>
      </c>
      <c r="H83" s="12">
        <f>'Exponential Item Growth'!$B$23*C83</f>
        <v>547760</v>
      </c>
    </row>
    <row r="84" ht="15.75" customHeight="1">
      <c r="A84" s="2">
        <v>83.0</v>
      </c>
      <c r="B84" s="11">
        <f>'Exponential Item Growth'!$B$5*'Exponential Item Growth'!$B$6^A84</f>
        <v>1026.816515</v>
      </c>
      <c r="C84" s="12">
        <f t="shared" si="1"/>
        <v>554.44</v>
      </c>
      <c r="D84" s="2">
        <f>A84*'Exponential Item Growth'!$B$4</f>
        <v>138.61</v>
      </c>
      <c r="E84" s="12">
        <f>if(isna(VLOOKUP(A84,'Exponential Item Growth'!$A$10:$B$18,2,false)),E83, E83*VLOOKUP(A84,'Exponential Item Growth'!$A$10:$B$18,2,false))</f>
        <v>4</v>
      </c>
      <c r="F84" s="12">
        <f>C84*'Exponential Item Growth'!$B$21</f>
        <v>2772.2</v>
      </c>
      <c r="G84" s="12">
        <f>'Exponential Item Growth'!$B$22*C84</f>
        <v>41583</v>
      </c>
      <c r="H84" s="12">
        <f>'Exponential Item Growth'!$B$23*C84</f>
        <v>554440</v>
      </c>
    </row>
    <row r="85" ht="15.75" customHeight="1">
      <c r="A85" s="2">
        <v>84.0</v>
      </c>
      <c r="B85" s="11">
        <f>'Exponential Item Growth'!$B$5*'Exponential Item Growth'!$B$6^A85</f>
        <v>1098.693671</v>
      </c>
      <c r="C85" s="12">
        <f t="shared" si="1"/>
        <v>561.12</v>
      </c>
      <c r="D85" s="2">
        <f>A85*'Exponential Item Growth'!$B$4</f>
        <v>140.28</v>
      </c>
      <c r="E85" s="12">
        <f>if(isna(VLOOKUP(A85,'Exponential Item Growth'!$A$10:$B$18,2,false)),E84, E84*VLOOKUP(A85,'Exponential Item Growth'!$A$10:$B$18,2,false))</f>
        <v>4</v>
      </c>
      <c r="F85" s="12">
        <f>C85*'Exponential Item Growth'!$B$21</f>
        <v>2805.6</v>
      </c>
      <c r="G85" s="12">
        <f>'Exponential Item Growth'!$B$22*C85</f>
        <v>42084</v>
      </c>
      <c r="H85" s="12">
        <f>'Exponential Item Growth'!$B$23*C85</f>
        <v>561120</v>
      </c>
    </row>
    <row r="86" ht="15.75" customHeight="1">
      <c r="A86" s="2">
        <v>85.0</v>
      </c>
      <c r="B86" s="11">
        <f>'Exponential Item Growth'!$B$5*'Exponential Item Growth'!$B$6^A86</f>
        <v>1175.602227</v>
      </c>
      <c r="C86" s="12">
        <f t="shared" si="1"/>
        <v>567.8</v>
      </c>
      <c r="D86" s="2">
        <f>A86*'Exponential Item Growth'!$B$4</f>
        <v>141.95</v>
      </c>
      <c r="E86" s="12">
        <f>if(isna(VLOOKUP(A86,'Exponential Item Growth'!$A$10:$B$18,2,false)),E85, E85*VLOOKUP(A86,'Exponential Item Growth'!$A$10:$B$18,2,false))</f>
        <v>4</v>
      </c>
      <c r="F86" s="12">
        <f>C86*'Exponential Item Growth'!$B$21</f>
        <v>2839</v>
      </c>
      <c r="G86" s="12">
        <f>'Exponential Item Growth'!$B$22*C86</f>
        <v>42585</v>
      </c>
      <c r="H86" s="12">
        <f>'Exponential Item Growth'!$B$23*C86</f>
        <v>567800</v>
      </c>
    </row>
    <row r="87" ht="15.75" customHeight="1">
      <c r="A87" s="2">
        <v>86.0</v>
      </c>
      <c r="B87" s="11">
        <f>'Exponential Item Growth'!$B$5*'Exponential Item Growth'!$B$6^A87</f>
        <v>1257.894383</v>
      </c>
      <c r="C87" s="12">
        <f t="shared" si="1"/>
        <v>574.48</v>
      </c>
      <c r="D87" s="2">
        <f>A87*'Exponential Item Growth'!$B$4</f>
        <v>143.62</v>
      </c>
      <c r="E87" s="12">
        <f>if(isna(VLOOKUP(A87,'Exponential Item Growth'!$A$10:$B$18,2,false)),E86, E86*VLOOKUP(A87,'Exponential Item Growth'!$A$10:$B$18,2,false))</f>
        <v>4</v>
      </c>
      <c r="F87" s="12">
        <f>C87*'Exponential Item Growth'!$B$21</f>
        <v>2872.4</v>
      </c>
      <c r="G87" s="12">
        <f>'Exponential Item Growth'!$B$22*C87</f>
        <v>43086</v>
      </c>
      <c r="H87" s="12">
        <f>'Exponential Item Growth'!$B$23*C87</f>
        <v>574480</v>
      </c>
    </row>
    <row r="88" ht="15.75" customHeight="1">
      <c r="A88" s="2">
        <v>87.0</v>
      </c>
      <c r="B88" s="11">
        <f>'Exponential Item Growth'!$B$5*'Exponential Item Growth'!$B$6^A88</f>
        <v>1345.94699</v>
      </c>
      <c r="C88" s="12">
        <f t="shared" si="1"/>
        <v>581.16</v>
      </c>
      <c r="D88" s="2">
        <f>A88*'Exponential Item Growth'!$B$4</f>
        <v>145.29</v>
      </c>
      <c r="E88" s="12">
        <f>if(isna(VLOOKUP(A88,'Exponential Item Growth'!$A$10:$B$18,2,false)),E87, E87*VLOOKUP(A88,'Exponential Item Growth'!$A$10:$B$18,2,false))</f>
        <v>4</v>
      </c>
      <c r="F88" s="12">
        <f>C88*'Exponential Item Growth'!$B$21</f>
        <v>2905.8</v>
      </c>
      <c r="G88" s="12">
        <f>'Exponential Item Growth'!$B$22*C88</f>
        <v>43587</v>
      </c>
      <c r="H88" s="12">
        <f>'Exponential Item Growth'!$B$23*C88</f>
        <v>581160</v>
      </c>
    </row>
    <row r="89" ht="15.75" customHeight="1">
      <c r="A89" s="2">
        <v>88.0</v>
      </c>
      <c r="B89" s="11">
        <f>'Exponential Item Growth'!$B$5*'Exponential Item Growth'!$B$6^A89</f>
        <v>1440.16328</v>
      </c>
      <c r="C89" s="12">
        <f t="shared" si="1"/>
        <v>587.84</v>
      </c>
      <c r="D89" s="2">
        <f>A89*'Exponential Item Growth'!$B$4</f>
        <v>146.96</v>
      </c>
      <c r="E89" s="12">
        <f>if(isna(VLOOKUP(A89,'Exponential Item Growth'!$A$10:$B$18,2,false)),E88, E88*VLOOKUP(A89,'Exponential Item Growth'!$A$10:$B$18,2,false))</f>
        <v>4</v>
      </c>
      <c r="F89" s="12">
        <f>C89*'Exponential Item Growth'!$B$21</f>
        <v>2939.2</v>
      </c>
      <c r="G89" s="12">
        <f>'Exponential Item Growth'!$B$22*C89</f>
        <v>44088</v>
      </c>
      <c r="H89" s="12">
        <f>'Exponential Item Growth'!$B$23*C89</f>
        <v>587840</v>
      </c>
    </row>
    <row r="90" ht="15.75" customHeight="1">
      <c r="A90" s="2">
        <v>89.0</v>
      </c>
      <c r="B90" s="11">
        <f>'Exponential Item Growth'!$B$5*'Exponential Item Growth'!$B$6^A90</f>
        <v>1540.974709</v>
      </c>
      <c r="C90" s="12">
        <f t="shared" si="1"/>
        <v>594.52</v>
      </c>
      <c r="D90" s="2">
        <f>A90*'Exponential Item Growth'!$B$4</f>
        <v>148.63</v>
      </c>
      <c r="E90" s="12">
        <f>if(isna(VLOOKUP(A90,'Exponential Item Growth'!$A$10:$B$18,2,false)),E89, E89*VLOOKUP(A90,'Exponential Item Growth'!$A$10:$B$18,2,false))</f>
        <v>4</v>
      </c>
      <c r="F90" s="12">
        <f>C90*'Exponential Item Growth'!$B$21</f>
        <v>2972.6</v>
      </c>
      <c r="G90" s="12">
        <f>'Exponential Item Growth'!$B$22*C90</f>
        <v>44589</v>
      </c>
      <c r="H90" s="12">
        <f>'Exponential Item Growth'!$B$23*C90</f>
        <v>594520</v>
      </c>
    </row>
    <row r="91" ht="15.75" customHeight="1">
      <c r="A91" s="2">
        <v>90.0</v>
      </c>
      <c r="B91" s="11">
        <f>'Exponential Item Growth'!$B$5*'Exponential Item Growth'!$B$6^A91</f>
        <v>1648.842939</v>
      </c>
      <c r="C91" s="12">
        <f t="shared" si="1"/>
        <v>601.2</v>
      </c>
      <c r="D91" s="2">
        <f>A91*'Exponential Item Growth'!$B$4</f>
        <v>150.3</v>
      </c>
      <c r="E91" s="12">
        <f>if(isna(VLOOKUP(A91,'Exponential Item Growth'!$A$10:$B$18,2,false)),E90, E90*VLOOKUP(A91,'Exponential Item Growth'!$A$10:$B$18,2,false))</f>
        <v>4</v>
      </c>
      <c r="F91" s="12">
        <f>C91*'Exponential Item Growth'!$B$21</f>
        <v>3006</v>
      </c>
      <c r="G91" s="12">
        <f>'Exponential Item Growth'!$B$22*C91</f>
        <v>45090</v>
      </c>
      <c r="H91" s="12">
        <f>'Exponential Item Growth'!$B$23*C91</f>
        <v>601200</v>
      </c>
    </row>
    <row r="92" ht="15.75" customHeight="1">
      <c r="A92" s="2">
        <v>91.0</v>
      </c>
      <c r="B92" s="11">
        <f>'Exponential Item Growth'!$B$5*'Exponential Item Growth'!$B$6^A92</f>
        <v>1764.261944</v>
      </c>
      <c r="C92" s="12">
        <f t="shared" si="1"/>
        <v>607.88</v>
      </c>
      <c r="D92" s="2">
        <f>A92*'Exponential Item Growth'!$B$4</f>
        <v>151.97</v>
      </c>
      <c r="E92" s="12">
        <f>if(isna(VLOOKUP(A92,'Exponential Item Growth'!$A$10:$B$18,2,false)),E91, E91*VLOOKUP(A92,'Exponential Item Growth'!$A$10:$B$18,2,false))</f>
        <v>4</v>
      </c>
      <c r="F92" s="12">
        <f>C92*'Exponential Item Growth'!$B$21</f>
        <v>3039.4</v>
      </c>
      <c r="G92" s="12">
        <f>'Exponential Item Growth'!$B$22*C92</f>
        <v>45591</v>
      </c>
      <c r="H92" s="12">
        <f>'Exponential Item Growth'!$B$23*C92</f>
        <v>607880</v>
      </c>
    </row>
    <row r="93" ht="15.75" customHeight="1">
      <c r="A93" s="2">
        <v>92.0</v>
      </c>
      <c r="B93" s="11">
        <f>'Exponential Item Growth'!$B$5*'Exponential Item Growth'!$B$6^A93</f>
        <v>1887.760281</v>
      </c>
      <c r="C93" s="12">
        <f t="shared" si="1"/>
        <v>614.56</v>
      </c>
      <c r="D93" s="2">
        <f>A93*'Exponential Item Growth'!$B$4</f>
        <v>153.64</v>
      </c>
      <c r="E93" s="12">
        <f>if(isna(VLOOKUP(A93,'Exponential Item Growth'!$A$10:$B$18,2,false)),E92, E92*VLOOKUP(A93,'Exponential Item Growth'!$A$10:$B$18,2,false))</f>
        <v>4</v>
      </c>
      <c r="F93" s="12">
        <f>C93*'Exponential Item Growth'!$B$21</f>
        <v>3072.8</v>
      </c>
      <c r="G93" s="12">
        <f>'Exponential Item Growth'!$B$22*C93</f>
        <v>46092</v>
      </c>
      <c r="H93" s="12">
        <f>'Exponential Item Growth'!$B$23*C93</f>
        <v>614560</v>
      </c>
    </row>
    <row r="94" ht="15.75" customHeight="1">
      <c r="A94" s="2">
        <v>93.0</v>
      </c>
      <c r="B94" s="11">
        <f>'Exponential Item Growth'!$B$5*'Exponential Item Growth'!$B$6^A94</f>
        <v>2019.9035</v>
      </c>
      <c r="C94" s="12">
        <f t="shared" si="1"/>
        <v>621.24</v>
      </c>
      <c r="D94" s="2">
        <f>A94*'Exponential Item Growth'!$B$4</f>
        <v>155.31</v>
      </c>
      <c r="E94" s="12">
        <f>if(isna(VLOOKUP(A94,'Exponential Item Growth'!$A$10:$B$18,2,false)),E93, E93*VLOOKUP(A94,'Exponential Item Growth'!$A$10:$B$18,2,false))</f>
        <v>4</v>
      </c>
      <c r="F94" s="12">
        <f>C94*'Exponential Item Growth'!$B$21</f>
        <v>3106.2</v>
      </c>
      <c r="G94" s="12">
        <f>'Exponential Item Growth'!$B$22*C94</f>
        <v>46593</v>
      </c>
      <c r="H94" s="12">
        <f>'Exponential Item Growth'!$B$23*C94</f>
        <v>621240</v>
      </c>
    </row>
    <row r="95" ht="15.75" customHeight="1">
      <c r="A95" s="2">
        <v>94.0</v>
      </c>
      <c r="B95" s="11">
        <f>'Exponential Item Growth'!$B$5*'Exponential Item Growth'!$B$6^A95</f>
        <v>2161.296745</v>
      </c>
      <c r="C95" s="12">
        <f t="shared" si="1"/>
        <v>627.92</v>
      </c>
      <c r="D95" s="2">
        <f>A95*'Exponential Item Growth'!$B$4</f>
        <v>156.98</v>
      </c>
      <c r="E95" s="12">
        <f>if(isna(VLOOKUP(A95,'Exponential Item Growth'!$A$10:$B$18,2,false)),E94, E94*VLOOKUP(A95,'Exponential Item Growth'!$A$10:$B$18,2,false))</f>
        <v>4</v>
      </c>
      <c r="F95" s="12">
        <f>C95*'Exponential Item Growth'!$B$21</f>
        <v>3139.6</v>
      </c>
      <c r="G95" s="12">
        <f>'Exponential Item Growth'!$B$22*C95</f>
        <v>47094</v>
      </c>
      <c r="H95" s="12">
        <f>'Exponential Item Growth'!$B$23*C95</f>
        <v>627920</v>
      </c>
    </row>
    <row r="96" ht="15.75" customHeight="1">
      <c r="A96" s="2">
        <v>95.0</v>
      </c>
      <c r="B96" s="11">
        <f>'Exponential Item Growth'!$B$5*'Exponential Item Growth'!$B$6^A96</f>
        <v>2312.587517</v>
      </c>
      <c r="C96" s="12">
        <f t="shared" si="1"/>
        <v>634.6</v>
      </c>
      <c r="D96" s="2">
        <f>A96*'Exponential Item Growth'!$B$4</f>
        <v>158.65</v>
      </c>
      <c r="E96" s="12">
        <f>if(isna(VLOOKUP(A96,'Exponential Item Growth'!$A$10:$B$18,2,false)),E95, E95*VLOOKUP(A96,'Exponential Item Growth'!$A$10:$B$18,2,false))</f>
        <v>4</v>
      </c>
      <c r="F96" s="12">
        <f>C96*'Exponential Item Growth'!$B$21</f>
        <v>3173</v>
      </c>
      <c r="G96" s="12">
        <f>'Exponential Item Growth'!$B$22*C96</f>
        <v>47595</v>
      </c>
      <c r="H96" s="12">
        <f>'Exponential Item Growth'!$B$23*C96</f>
        <v>634600</v>
      </c>
    </row>
    <row r="97" ht="15.75" customHeight="1">
      <c r="A97" s="2">
        <v>96.0</v>
      </c>
      <c r="B97" s="11">
        <f>'Exponential Item Growth'!$B$5*'Exponential Item Growth'!$B$6^A97</f>
        <v>2474.468644</v>
      </c>
      <c r="C97" s="12">
        <f t="shared" si="1"/>
        <v>641.28</v>
      </c>
      <c r="D97" s="2">
        <f>A97*'Exponential Item Growth'!$B$4</f>
        <v>160.32</v>
      </c>
      <c r="E97" s="12">
        <f>if(isna(VLOOKUP(A97,'Exponential Item Growth'!$A$10:$B$18,2,false)),E96, E96*VLOOKUP(A97,'Exponential Item Growth'!$A$10:$B$18,2,false))</f>
        <v>4</v>
      </c>
      <c r="F97" s="12">
        <f>C97*'Exponential Item Growth'!$B$21</f>
        <v>3206.4</v>
      </c>
      <c r="G97" s="12">
        <f>'Exponential Item Growth'!$B$22*C97</f>
        <v>48096</v>
      </c>
      <c r="H97" s="12">
        <f>'Exponential Item Growth'!$B$23*C97</f>
        <v>641280</v>
      </c>
    </row>
    <row r="98" ht="15.75" customHeight="1">
      <c r="A98" s="2">
        <v>97.0</v>
      </c>
      <c r="B98" s="11">
        <f>'Exponential Item Growth'!$B$5*'Exponential Item Growth'!$B$6^A98</f>
        <v>2647.681449</v>
      </c>
      <c r="C98" s="12">
        <f t="shared" si="1"/>
        <v>647.96</v>
      </c>
      <c r="D98" s="2">
        <f>A98*'Exponential Item Growth'!$B$4</f>
        <v>161.99</v>
      </c>
      <c r="E98" s="12">
        <f>if(isna(VLOOKUP(A98,'Exponential Item Growth'!$A$10:$B$18,2,false)),E97, E97*VLOOKUP(A98,'Exponential Item Growth'!$A$10:$B$18,2,false))</f>
        <v>4</v>
      </c>
      <c r="F98" s="12">
        <f>C98*'Exponential Item Growth'!$B$21</f>
        <v>3239.8</v>
      </c>
      <c r="G98" s="12">
        <f>'Exponential Item Growth'!$B$22*C98</f>
        <v>48597</v>
      </c>
      <c r="H98" s="12">
        <f>'Exponential Item Growth'!$B$23*C98</f>
        <v>647960</v>
      </c>
    </row>
    <row r="99" ht="15.75" customHeight="1">
      <c r="A99" s="2">
        <v>98.0</v>
      </c>
      <c r="B99" s="11">
        <f>'Exponential Item Growth'!$B$5*'Exponential Item Growth'!$B$6^A99</f>
        <v>2833.01915</v>
      </c>
      <c r="C99" s="12">
        <f t="shared" si="1"/>
        <v>654.64</v>
      </c>
      <c r="D99" s="2">
        <f>A99*'Exponential Item Growth'!$B$4</f>
        <v>163.66</v>
      </c>
      <c r="E99" s="12">
        <f>if(isna(VLOOKUP(A99,'Exponential Item Growth'!$A$10:$B$18,2,false)),E98, E98*VLOOKUP(A99,'Exponential Item Growth'!$A$10:$B$18,2,false))</f>
        <v>4</v>
      </c>
      <c r="F99" s="12">
        <f>C99*'Exponential Item Growth'!$B$21</f>
        <v>3273.2</v>
      </c>
      <c r="G99" s="12">
        <f>'Exponential Item Growth'!$B$22*C99</f>
        <v>49098</v>
      </c>
      <c r="H99" s="12">
        <f>'Exponential Item Growth'!$B$23*C99</f>
        <v>654640</v>
      </c>
    </row>
    <row r="100" ht="15.75" customHeight="1">
      <c r="A100" s="2">
        <v>99.0</v>
      </c>
      <c r="B100" s="11">
        <f>'Exponential Item Growth'!$B$5*'Exponential Item Growth'!$B$6^A100</f>
        <v>3031.330491</v>
      </c>
      <c r="C100" s="12">
        <f t="shared" si="1"/>
        <v>661.32</v>
      </c>
      <c r="D100" s="2">
        <f>A100*'Exponential Item Growth'!$B$4</f>
        <v>165.33</v>
      </c>
      <c r="E100" s="12">
        <f>if(isna(VLOOKUP(A100,'Exponential Item Growth'!$A$10:$B$18,2,false)),E99, E99*VLOOKUP(A100,'Exponential Item Growth'!$A$10:$B$18,2,false))</f>
        <v>4</v>
      </c>
      <c r="F100" s="12">
        <f>C100*'Exponential Item Growth'!$B$21</f>
        <v>3306.6</v>
      </c>
      <c r="G100" s="12">
        <f>'Exponential Item Growth'!$B$22*C100</f>
        <v>49599</v>
      </c>
      <c r="H100" s="12">
        <f>'Exponential Item Growth'!$B$23*C100</f>
        <v>661320</v>
      </c>
    </row>
    <row r="101" ht="15.75" customHeight="1">
      <c r="A101" s="2">
        <v>100.0</v>
      </c>
      <c r="B101" s="11">
        <f>'Exponential Item Growth'!$B$5*'Exponential Item Growth'!$B$6^A101</f>
        <v>3243.523625</v>
      </c>
      <c r="C101" s="12">
        <f t="shared" si="1"/>
        <v>1336</v>
      </c>
      <c r="D101" s="2">
        <f>A101*'Exponential Item Growth'!$B$4</f>
        <v>167</v>
      </c>
      <c r="E101" s="12">
        <f>if(isna(VLOOKUP(A101,'Exponential Item Growth'!$A$10:$B$18,2,false)),E100, E100*VLOOKUP(A101,'Exponential Item Growth'!$A$10:$B$18,2,false))</f>
        <v>8</v>
      </c>
      <c r="F101" s="12">
        <f>C101*'Exponential Item Growth'!$B$21</f>
        <v>6680</v>
      </c>
      <c r="G101" s="12">
        <f>'Exponential Item Growth'!$B$22*C101</f>
        <v>100200</v>
      </c>
      <c r="H101" s="12">
        <f>'Exponential Item Growth'!$B$23*C101</f>
        <v>1336000</v>
      </c>
    </row>
    <row r="102" ht="15.75" customHeight="1">
      <c r="A102" s="2">
        <v>101.0</v>
      </c>
      <c r="B102" s="11">
        <f>'Exponential Item Growth'!$B$5*'Exponential Item Growth'!$B$6^A102</f>
        <v>3470.570279</v>
      </c>
      <c r="C102" s="12">
        <f t="shared" si="1"/>
        <v>1349.36</v>
      </c>
      <c r="D102" s="2">
        <f>A102*'Exponential Item Growth'!$B$4</f>
        <v>168.67</v>
      </c>
      <c r="E102" s="12">
        <f>if(isna(VLOOKUP(A102,'Exponential Item Growth'!$A$10:$B$18,2,false)),E101, E101*VLOOKUP(A102,'Exponential Item Growth'!$A$10:$B$18,2,false))</f>
        <v>8</v>
      </c>
      <c r="F102" s="12">
        <f>C102*'Exponential Item Growth'!$B$21</f>
        <v>6746.8</v>
      </c>
      <c r="G102" s="12">
        <f>'Exponential Item Growth'!$B$22*C102</f>
        <v>101202</v>
      </c>
      <c r="H102" s="12">
        <f>'Exponential Item Growth'!$B$23*C102</f>
        <v>1349360</v>
      </c>
    </row>
    <row r="103" ht="15.75" customHeight="1">
      <c r="A103" s="2">
        <v>102.0</v>
      </c>
      <c r="B103" s="11">
        <f>'Exponential Item Growth'!$B$5*'Exponential Item Growth'!$B$6^A103</f>
        <v>3713.510198</v>
      </c>
      <c r="C103" s="12">
        <f t="shared" si="1"/>
        <v>1362.72</v>
      </c>
      <c r="D103" s="2">
        <f>A103*'Exponential Item Growth'!$B$4</f>
        <v>170.34</v>
      </c>
      <c r="E103" s="12">
        <f>if(isna(VLOOKUP(A103,'Exponential Item Growth'!$A$10:$B$18,2,false)),E102, E102*VLOOKUP(A103,'Exponential Item Growth'!$A$10:$B$18,2,false))</f>
        <v>8</v>
      </c>
      <c r="F103" s="12">
        <f>C103*'Exponential Item Growth'!$B$21</f>
        <v>6813.6</v>
      </c>
      <c r="G103" s="12">
        <f>'Exponential Item Growth'!$B$22*C103</f>
        <v>102204</v>
      </c>
      <c r="H103" s="12">
        <f>'Exponential Item Growth'!$B$23*C103</f>
        <v>1362720</v>
      </c>
    </row>
    <row r="104" ht="15.75" customHeight="1">
      <c r="A104" s="2">
        <v>103.0</v>
      </c>
      <c r="B104" s="11">
        <f>'Exponential Item Growth'!$B$5*'Exponential Item Growth'!$B$6^A104</f>
        <v>3973.455912</v>
      </c>
      <c r="C104" s="12">
        <f t="shared" si="1"/>
        <v>1376.08</v>
      </c>
      <c r="D104" s="2">
        <f>A104*'Exponential Item Growth'!$B$4</f>
        <v>172.01</v>
      </c>
      <c r="E104" s="12">
        <f>if(isna(VLOOKUP(A104,'Exponential Item Growth'!$A$10:$B$18,2,false)),E103, E103*VLOOKUP(A104,'Exponential Item Growth'!$A$10:$B$18,2,false))</f>
        <v>8</v>
      </c>
      <c r="F104" s="12">
        <f>C104*'Exponential Item Growth'!$B$21</f>
        <v>6880.4</v>
      </c>
      <c r="G104" s="12">
        <f>'Exponential Item Growth'!$B$22*C104</f>
        <v>103206</v>
      </c>
      <c r="H104" s="12">
        <f>'Exponential Item Growth'!$B$23*C104</f>
        <v>1376080</v>
      </c>
    </row>
    <row r="105" ht="15.75" customHeight="1">
      <c r="A105" s="2">
        <v>104.0</v>
      </c>
      <c r="B105" s="11">
        <f>'Exponential Item Growth'!$B$5*'Exponential Item Growth'!$B$6^A105</f>
        <v>4251.597826</v>
      </c>
      <c r="C105" s="12">
        <f t="shared" si="1"/>
        <v>1389.44</v>
      </c>
      <c r="D105" s="2">
        <f>A105*'Exponential Item Growth'!$B$4</f>
        <v>173.68</v>
      </c>
      <c r="E105" s="12">
        <f>if(isna(VLOOKUP(A105,'Exponential Item Growth'!$A$10:$B$18,2,false)),E104, E104*VLOOKUP(A105,'Exponential Item Growth'!$A$10:$B$18,2,false))</f>
        <v>8</v>
      </c>
      <c r="F105" s="12">
        <f>C105*'Exponential Item Growth'!$B$21</f>
        <v>6947.2</v>
      </c>
      <c r="G105" s="12">
        <f>'Exponential Item Growth'!$B$22*C105</f>
        <v>104208</v>
      </c>
      <c r="H105" s="12">
        <f>'Exponential Item Growth'!$B$23*C105</f>
        <v>1389440</v>
      </c>
    </row>
    <row r="106" ht="15.75" customHeight="1">
      <c r="A106" s="2">
        <v>105.0</v>
      </c>
      <c r="B106" s="11">
        <f>'Exponential Item Growth'!$B$5*'Exponential Item Growth'!$B$6^A106</f>
        <v>4549.209674</v>
      </c>
      <c r="C106" s="12">
        <f t="shared" si="1"/>
        <v>1402.8</v>
      </c>
      <c r="D106" s="2">
        <f>A106*'Exponential Item Growth'!$B$4</f>
        <v>175.35</v>
      </c>
      <c r="E106" s="12">
        <f>if(isna(VLOOKUP(A106,'Exponential Item Growth'!$A$10:$B$18,2,false)),E105, E105*VLOOKUP(A106,'Exponential Item Growth'!$A$10:$B$18,2,false))</f>
        <v>8</v>
      </c>
      <c r="F106" s="12">
        <f>C106*'Exponential Item Growth'!$B$21</f>
        <v>7014</v>
      </c>
      <c r="G106" s="12">
        <f>'Exponential Item Growth'!$B$22*C106</f>
        <v>105210</v>
      </c>
      <c r="H106" s="12">
        <f>'Exponential Item Growth'!$B$23*C106</f>
        <v>1402800</v>
      </c>
    </row>
    <row r="107" ht="15.75" customHeight="1">
      <c r="A107" s="2">
        <v>106.0</v>
      </c>
      <c r="B107" s="11">
        <f>'Exponential Item Growth'!$B$5*'Exponential Item Growth'!$B$6^A107</f>
        <v>4867.654351</v>
      </c>
      <c r="C107" s="12">
        <f t="shared" si="1"/>
        <v>1416.16</v>
      </c>
      <c r="D107" s="2">
        <f>A107*'Exponential Item Growth'!$B$4</f>
        <v>177.02</v>
      </c>
      <c r="E107" s="12">
        <f>if(isna(VLOOKUP(A107,'Exponential Item Growth'!$A$10:$B$18,2,false)),E106, E106*VLOOKUP(A107,'Exponential Item Growth'!$A$10:$B$18,2,false))</f>
        <v>8</v>
      </c>
      <c r="F107" s="12">
        <f>C107*'Exponential Item Growth'!$B$21</f>
        <v>7080.8</v>
      </c>
      <c r="G107" s="12">
        <f>'Exponential Item Growth'!$B$22*C107</f>
        <v>106212</v>
      </c>
      <c r="H107" s="12">
        <f>'Exponential Item Growth'!$B$23*C107</f>
        <v>1416160</v>
      </c>
    </row>
    <row r="108" ht="15.75" customHeight="1">
      <c r="A108" s="2">
        <v>107.0</v>
      </c>
      <c r="B108" s="11">
        <f>'Exponential Item Growth'!$B$5*'Exponential Item Growth'!$B$6^A108</f>
        <v>5208.390155</v>
      </c>
      <c r="C108" s="12">
        <f t="shared" si="1"/>
        <v>1429.52</v>
      </c>
      <c r="D108" s="2">
        <f>A108*'Exponential Item Growth'!$B$4</f>
        <v>178.69</v>
      </c>
      <c r="E108" s="12">
        <f>if(isna(VLOOKUP(A108,'Exponential Item Growth'!$A$10:$B$18,2,false)),E107, E107*VLOOKUP(A108,'Exponential Item Growth'!$A$10:$B$18,2,false))</f>
        <v>8</v>
      </c>
      <c r="F108" s="12">
        <f>C108*'Exponential Item Growth'!$B$21</f>
        <v>7147.6</v>
      </c>
      <c r="G108" s="12">
        <f>'Exponential Item Growth'!$B$22*C108</f>
        <v>107214</v>
      </c>
      <c r="H108" s="12">
        <f>'Exponential Item Growth'!$B$23*C108</f>
        <v>1429520</v>
      </c>
    </row>
    <row r="109" ht="15.75" customHeight="1">
      <c r="A109" s="2">
        <v>108.0</v>
      </c>
      <c r="B109" s="11">
        <f>'Exponential Item Growth'!$B$5*'Exponential Item Growth'!$B$6^A109</f>
        <v>5572.977466</v>
      </c>
      <c r="C109" s="12">
        <f t="shared" si="1"/>
        <v>1442.88</v>
      </c>
      <c r="D109" s="2">
        <f>A109*'Exponential Item Growth'!$B$4</f>
        <v>180.36</v>
      </c>
      <c r="E109" s="12">
        <f>if(isna(VLOOKUP(A109,'Exponential Item Growth'!$A$10:$B$18,2,false)),E108, E108*VLOOKUP(A109,'Exponential Item Growth'!$A$10:$B$18,2,false))</f>
        <v>8</v>
      </c>
      <c r="F109" s="12">
        <f>C109*'Exponential Item Growth'!$B$21</f>
        <v>7214.4</v>
      </c>
      <c r="G109" s="12">
        <f>'Exponential Item Growth'!$B$22*C109</f>
        <v>108216</v>
      </c>
      <c r="H109" s="12">
        <f>'Exponential Item Growth'!$B$23*C109</f>
        <v>1442880</v>
      </c>
    </row>
    <row r="110" ht="15.75" customHeight="1">
      <c r="A110" s="2">
        <v>109.0</v>
      </c>
      <c r="B110" s="11">
        <f>'Exponential Item Growth'!$B$5*'Exponential Item Growth'!$B$6^A110</f>
        <v>5963.085889</v>
      </c>
      <c r="C110" s="12">
        <f t="shared" si="1"/>
        <v>1456.24</v>
      </c>
      <c r="D110" s="2">
        <f>A110*'Exponential Item Growth'!$B$4</f>
        <v>182.03</v>
      </c>
      <c r="E110" s="12">
        <f>if(isna(VLOOKUP(A110,'Exponential Item Growth'!$A$10:$B$18,2,false)),E109, E109*VLOOKUP(A110,'Exponential Item Growth'!$A$10:$B$18,2,false))</f>
        <v>8</v>
      </c>
      <c r="F110" s="12">
        <f>C110*'Exponential Item Growth'!$B$21</f>
        <v>7281.2</v>
      </c>
      <c r="G110" s="12">
        <f>'Exponential Item Growth'!$B$22*C110</f>
        <v>109218</v>
      </c>
      <c r="H110" s="12">
        <f>'Exponential Item Growth'!$B$23*C110</f>
        <v>1456240</v>
      </c>
    </row>
    <row r="111" ht="15.75" customHeight="1">
      <c r="A111" s="2">
        <v>110.0</v>
      </c>
      <c r="B111" s="11">
        <f>'Exponential Item Growth'!$B$5*'Exponential Item Growth'!$B$6^A111</f>
        <v>6380.501901</v>
      </c>
      <c r="C111" s="12">
        <f t="shared" si="1"/>
        <v>1469.6</v>
      </c>
      <c r="D111" s="2">
        <f>A111*'Exponential Item Growth'!$B$4</f>
        <v>183.7</v>
      </c>
      <c r="E111" s="12">
        <f>if(isna(VLOOKUP(A111,'Exponential Item Growth'!$A$10:$B$18,2,false)),E110, E110*VLOOKUP(A111,'Exponential Item Growth'!$A$10:$B$18,2,false))</f>
        <v>8</v>
      </c>
      <c r="F111" s="12">
        <f>C111*'Exponential Item Growth'!$B$21</f>
        <v>7348</v>
      </c>
      <c r="G111" s="12">
        <f>'Exponential Item Growth'!$B$22*C111</f>
        <v>110220</v>
      </c>
      <c r="H111" s="12">
        <f>'Exponential Item Growth'!$B$23*C111</f>
        <v>1469600</v>
      </c>
    </row>
    <row r="112" ht="15.75" customHeight="1">
      <c r="A112" s="2">
        <v>111.0</v>
      </c>
      <c r="B112" s="11">
        <f>'Exponential Item Growth'!$B$5*'Exponential Item Growth'!$B$6^A112</f>
        <v>6827.137034</v>
      </c>
      <c r="C112" s="12">
        <f t="shared" si="1"/>
        <v>1482.96</v>
      </c>
      <c r="D112" s="2">
        <f>A112*'Exponential Item Growth'!$B$4</f>
        <v>185.37</v>
      </c>
      <c r="E112" s="12">
        <f>if(isna(VLOOKUP(A112,'Exponential Item Growth'!$A$10:$B$18,2,false)),E111, E111*VLOOKUP(A112,'Exponential Item Growth'!$A$10:$B$18,2,false))</f>
        <v>8</v>
      </c>
      <c r="F112" s="12">
        <f>C112*'Exponential Item Growth'!$B$21</f>
        <v>7414.8</v>
      </c>
      <c r="G112" s="12">
        <f>'Exponential Item Growth'!$B$22*C112</f>
        <v>111222</v>
      </c>
      <c r="H112" s="12">
        <f>'Exponential Item Growth'!$B$23*C112</f>
        <v>1482960</v>
      </c>
    </row>
    <row r="113" ht="15.75" customHeight="1">
      <c r="A113" s="2">
        <v>112.0</v>
      </c>
      <c r="B113" s="11">
        <f>'Exponential Item Growth'!$B$5*'Exponential Item Growth'!$B$6^A113</f>
        <v>7305.036627</v>
      </c>
      <c r="C113" s="12">
        <f t="shared" si="1"/>
        <v>1496.32</v>
      </c>
      <c r="D113" s="2">
        <f>A113*'Exponential Item Growth'!$B$4</f>
        <v>187.04</v>
      </c>
      <c r="E113" s="12">
        <f>if(isna(VLOOKUP(A113,'Exponential Item Growth'!$A$10:$B$18,2,false)),E112, E112*VLOOKUP(A113,'Exponential Item Growth'!$A$10:$B$18,2,false))</f>
        <v>8</v>
      </c>
      <c r="F113" s="12">
        <f>C113*'Exponential Item Growth'!$B$21</f>
        <v>7481.6</v>
      </c>
      <c r="G113" s="12">
        <f>'Exponential Item Growth'!$B$22*C113</f>
        <v>112224</v>
      </c>
      <c r="H113" s="12">
        <f>'Exponential Item Growth'!$B$23*C113</f>
        <v>1496320</v>
      </c>
    </row>
    <row r="114" ht="15.75" customHeight="1">
      <c r="A114" s="2">
        <v>113.0</v>
      </c>
      <c r="B114" s="11">
        <f>'Exponential Item Growth'!$B$5*'Exponential Item Growth'!$B$6^A114</f>
        <v>7816.389191</v>
      </c>
      <c r="C114" s="12">
        <f t="shared" si="1"/>
        <v>1509.68</v>
      </c>
      <c r="D114" s="2">
        <f>A114*'Exponential Item Growth'!$B$4</f>
        <v>188.71</v>
      </c>
      <c r="E114" s="12">
        <f>if(isna(VLOOKUP(A114,'Exponential Item Growth'!$A$10:$B$18,2,false)),E113, E113*VLOOKUP(A114,'Exponential Item Growth'!$A$10:$B$18,2,false))</f>
        <v>8</v>
      </c>
      <c r="F114" s="12">
        <f>C114*'Exponential Item Growth'!$B$21</f>
        <v>7548.4</v>
      </c>
      <c r="G114" s="12">
        <f>'Exponential Item Growth'!$B$22*C114</f>
        <v>113226</v>
      </c>
      <c r="H114" s="12">
        <f>'Exponential Item Growth'!$B$23*C114</f>
        <v>1509680</v>
      </c>
    </row>
    <row r="115" ht="15.75" customHeight="1">
      <c r="A115" s="2">
        <v>114.0</v>
      </c>
      <c r="B115" s="11">
        <f>'Exponential Item Growth'!$B$5*'Exponential Item Growth'!$B$6^A115</f>
        <v>8363.536434</v>
      </c>
      <c r="C115" s="12">
        <f t="shared" si="1"/>
        <v>1523.04</v>
      </c>
      <c r="D115" s="2">
        <f>A115*'Exponential Item Growth'!$B$4</f>
        <v>190.38</v>
      </c>
      <c r="E115" s="12">
        <f>if(isna(VLOOKUP(A115,'Exponential Item Growth'!$A$10:$B$18,2,false)),E114, E114*VLOOKUP(A115,'Exponential Item Growth'!$A$10:$B$18,2,false))</f>
        <v>8</v>
      </c>
      <c r="F115" s="12">
        <f>C115*'Exponential Item Growth'!$B$21</f>
        <v>7615.2</v>
      </c>
      <c r="G115" s="12">
        <f>'Exponential Item Growth'!$B$22*C115</f>
        <v>114228</v>
      </c>
      <c r="H115" s="12">
        <f>'Exponential Item Growth'!$B$23*C115</f>
        <v>1523040</v>
      </c>
    </row>
    <row r="116" ht="15.75" customHeight="1">
      <c r="A116" s="2">
        <v>115.0</v>
      </c>
      <c r="B116" s="11">
        <f>'Exponential Item Growth'!$B$5*'Exponential Item Growth'!$B$6^A116</f>
        <v>8948.983984</v>
      </c>
      <c r="C116" s="12">
        <f t="shared" si="1"/>
        <v>1536.4</v>
      </c>
      <c r="D116" s="2">
        <f>A116*'Exponential Item Growth'!$B$4</f>
        <v>192.05</v>
      </c>
      <c r="E116" s="12">
        <f>if(isna(VLOOKUP(A116,'Exponential Item Growth'!$A$10:$B$18,2,false)),E115, E115*VLOOKUP(A116,'Exponential Item Growth'!$A$10:$B$18,2,false))</f>
        <v>8</v>
      </c>
      <c r="F116" s="12">
        <f>C116*'Exponential Item Growth'!$B$21</f>
        <v>7682</v>
      </c>
      <c r="G116" s="12">
        <f>'Exponential Item Growth'!$B$22*C116</f>
        <v>115230</v>
      </c>
      <c r="H116" s="12">
        <f>'Exponential Item Growth'!$B$23*C116</f>
        <v>1536400</v>
      </c>
    </row>
    <row r="117" ht="15.75" customHeight="1">
      <c r="A117" s="2">
        <v>116.0</v>
      </c>
      <c r="B117" s="11">
        <f>'Exponential Item Growth'!$B$5*'Exponential Item Growth'!$B$6^A117</f>
        <v>9575.412863</v>
      </c>
      <c r="C117" s="12">
        <f t="shared" si="1"/>
        <v>1549.76</v>
      </c>
      <c r="D117" s="2">
        <f>A117*'Exponential Item Growth'!$B$4</f>
        <v>193.72</v>
      </c>
      <c r="E117" s="12">
        <f>if(isna(VLOOKUP(A117,'Exponential Item Growth'!$A$10:$B$18,2,false)),E116, E116*VLOOKUP(A117,'Exponential Item Growth'!$A$10:$B$18,2,false))</f>
        <v>8</v>
      </c>
      <c r="F117" s="12">
        <f>C117*'Exponential Item Growth'!$B$21</f>
        <v>7748.8</v>
      </c>
      <c r="G117" s="12">
        <f>'Exponential Item Growth'!$B$22*C117</f>
        <v>116232</v>
      </c>
      <c r="H117" s="12">
        <f>'Exponential Item Growth'!$B$23*C117</f>
        <v>1549760</v>
      </c>
    </row>
    <row r="118" ht="15.75" customHeight="1">
      <c r="A118" s="2">
        <v>117.0</v>
      </c>
      <c r="B118" s="11">
        <f>'Exponential Item Growth'!$B$5*'Exponential Item Growth'!$B$6^A118</f>
        <v>10245.69176</v>
      </c>
      <c r="C118" s="12">
        <f t="shared" si="1"/>
        <v>1563.12</v>
      </c>
      <c r="D118" s="2">
        <f>A118*'Exponential Item Growth'!$B$4</f>
        <v>195.39</v>
      </c>
      <c r="E118" s="12">
        <f>if(isna(VLOOKUP(A118,'Exponential Item Growth'!$A$10:$B$18,2,false)),E117, E117*VLOOKUP(A118,'Exponential Item Growth'!$A$10:$B$18,2,false))</f>
        <v>8</v>
      </c>
      <c r="F118" s="12">
        <f>C118*'Exponential Item Growth'!$B$21</f>
        <v>7815.6</v>
      </c>
      <c r="G118" s="12">
        <f>'Exponential Item Growth'!$B$22*C118</f>
        <v>117234</v>
      </c>
      <c r="H118" s="12">
        <f>'Exponential Item Growth'!$B$23*C118</f>
        <v>1563120</v>
      </c>
    </row>
    <row r="119" ht="15.75" customHeight="1">
      <c r="A119" s="2">
        <v>118.0</v>
      </c>
      <c r="B119" s="11">
        <f>'Exponential Item Growth'!$B$5*'Exponential Item Growth'!$B$6^A119</f>
        <v>10962.89019</v>
      </c>
      <c r="C119" s="12">
        <f t="shared" si="1"/>
        <v>1576.48</v>
      </c>
      <c r="D119" s="2">
        <f>A119*'Exponential Item Growth'!$B$4</f>
        <v>197.06</v>
      </c>
      <c r="E119" s="12">
        <f>if(isna(VLOOKUP(A119,'Exponential Item Growth'!$A$10:$B$18,2,false)),E118, E118*VLOOKUP(A119,'Exponential Item Growth'!$A$10:$B$18,2,false))</f>
        <v>8</v>
      </c>
      <c r="F119" s="12">
        <f>C119*'Exponential Item Growth'!$B$21</f>
        <v>7882.4</v>
      </c>
      <c r="G119" s="12">
        <f>'Exponential Item Growth'!$B$22*C119</f>
        <v>118236</v>
      </c>
      <c r="H119" s="12">
        <f>'Exponential Item Growth'!$B$23*C119</f>
        <v>1576480</v>
      </c>
    </row>
    <row r="120" ht="15.75" customHeight="1">
      <c r="A120" s="2">
        <v>119.0</v>
      </c>
      <c r="B120" s="11">
        <f>'Exponential Item Growth'!$B$5*'Exponential Item Growth'!$B$6^A120</f>
        <v>11730.2925</v>
      </c>
      <c r="C120" s="12">
        <f t="shared" si="1"/>
        <v>1589.84</v>
      </c>
      <c r="D120" s="2">
        <f>A120*'Exponential Item Growth'!$B$4</f>
        <v>198.73</v>
      </c>
      <c r="E120" s="12">
        <f>if(isna(VLOOKUP(A120,'Exponential Item Growth'!$A$10:$B$18,2,false)),E119, E119*VLOOKUP(A120,'Exponential Item Growth'!$A$10:$B$18,2,false))</f>
        <v>8</v>
      </c>
      <c r="F120" s="12">
        <f>C120*'Exponential Item Growth'!$B$21</f>
        <v>7949.2</v>
      </c>
      <c r="G120" s="12">
        <f>'Exponential Item Growth'!$B$22*C120</f>
        <v>119238</v>
      </c>
      <c r="H120" s="12">
        <f>'Exponential Item Growth'!$B$23*C120</f>
        <v>1589840</v>
      </c>
    </row>
    <row r="121" ht="15.75" customHeight="1">
      <c r="A121" s="2">
        <v>120.0</v>
      </c>
      <c r="B121" s="11">
        <f>'Exponential Item Growth'!$B$5*'Exponential Item Growth'!$B$6^A121</f>
        <v>12551.41298</v>
      </c>
      <c r="C121" s="12">
        <f t="shared" si="1"/>
        <v>1603.2</v>
      </c>
      <c r="D121" s="2">
        <f>A121*'Exponential Item Growth'!$B$4</f>
        <v>200.4</v>
      </c>
      <c r="E121" s="12">
        <f>if(isna(VLOOKUP(A121,'Exponential Item Growth'!$A$10:$B$18,2,false)),E120, E120*VLOOKUP(A121,'Exponential Item Growth'!$A$10:$B$18,2,false))</f>
        <v>8</v>
      </c>
      <c r="F121" s="12">
        <f>C121*'Exponential Item Growth'!$B$21</f>
        <v>8016</v>
      </c>
      <c r="G121" s="12">
        <f>'Exponential Item Growth'!$B$22*C121</f>
        <v>120240</v>
      </c>
      <c r="H121" s="12">
        <f>'Exponential Item Growth'!$B$23*C121</f>
        <v>1603200</v>
      </c>
    </row>
    <row r="122" ht="15.75" customHeight="1">
      <c r="A122" s="2">
        <v>121.0</v>
      </c>
      <c r="B122" s="11">
        <f>'Exponential Item Growth'!$B$5*'Exponential Item Growth'!$B$6^A122</f>
        <v>13430.01188</v>
      </c>
      <c r="C122" s="12">
        <f t="shared" si="1"/>
        <v>1616.56</v>
      </c>
      <c r="D122" s="2">
        <f>A122*'Exponential Item Growth'!$B$4</f>
        <v>202.07</v>
      </c>
      <c r="E122" s="12">
        <f>if(isna(VLOOKUP(A122,'Exponential Item Growth'!$A$10:$B$18,2,false)),E121, E121*VLOOKUP(A122,'Exponential Item Growth'!$A$10:$B$18,2,false))</f>
        <v>8</v>
      </c>
      <c r="F122" s="12">
        <f>C122*'Exponential Item Growth'!$B$21</f>
        <v>8082.8</v>
      </c>
      <c r="G122" s="12">
        <f>'Exponential Item Growth'!$B$22*C122</f>
        <v>121242</v>
      </c>
      <c r="H122" s="12">
        <f>'Exponential Item Growth'!$B$23*C122</f>
        <v>1616560</v>
      </c>
    </row>
    <row r="123" ht="15.75" customHeight="1">
      <c r="A123" s="2">
        <v>122.0</v>
      </c>
      <c r="B123" s="11">
        <f>'Exponential Item Growth'!$B$5*'Exponential Item Growth'!$B$6^A123</f>
        <v>14370.11272</v>
      </c>
      <c r="C123" s="12">
        <f t="shared" si="1"/>
        <v>1629.92</v>
      </c>
      <c r="D123" s="2">
        <f>A123*'Exponential Item Growth'!$B$4</f>
        <v>203.74</v>
      </c>
      <c r="E123" s="12">
        <f>if(isna(VLOOKUP(A123,'Exponential Item Growth'!$A$10:$B$18,2,false)),E122, E122*VLOOKUP(A123,'Exponential Item Growth'!$A$10:$B$18,2,false))</f>
        <v>8</v>
      </c>
      <c r="F123" s="12">
        <f>C123*'Exponential Item Growth'!$B$21</f>
        <v>8149.6</v>
      </c>
      <c r="G123" s="12">
        <f>'Exponential Item Growth'!$B$22*C123</f>
        <v>122244</v>
      </c>
      <c r="H123" s="12">
        <f>'Exponential Item Growth'!$B$23*C123</f>
        <v>1629920</v>
      </c>
    </row>
    <row r="124" ht="15.75" customHeight="1">
      <c r="A124" s="2">
        <v>123.0</v>
      </c>
      <c r="B124" s="11">
        <f>'Exponential Item Growth'!$B$5*'Exponential Item Growth'!$B$6^A124</f>
        <v>15376.02061</v>
      </c>
      <c r="C124" s="12">
        <f t="shared" si="1"/>
        <v>1643.28</v>
      </c>
      <c r="D124" s="2">
        <f>A124*'Exponential Item Growth'!$B$4</f>
        <v>205.41</v>
      </c>
      <c r="E124" s="12">
        <f>if(isna(VLOOKUP(A124,'Exponential Item Growth'!$A$10:$B$18,2,false)),E123, E123*VLOOKUP(A124,'Exponential Item Growth'!$A$10:$B$18,2,false))</f>
        <v>8</v>
      </c>
      <c r="F124" s="12">
        <f>C124*'Exponential Item Growth'!$B$21</f>
        <v>8216.4</v>
      </c>
      <c r="G124" s="12">
        <f>'Exponential Item Growth'!$B$22*C124</f>
        <v>123246</v>
      </c>
      <c r="H124" s="12">
        <f>'Exponential Item Growth'!$B$23*C124</f>
        <v>1643280</v>
      </c>
    </row>
    <row r="125" ht="15.75" customHeight="1">
      <c r="A125" s="2">
        <v>124.0</v>
      </c>
      <c r="B125" s="11">
        <f>'Exponential Item Growth'!$B$5*'Exponential Item Growth'!$B$6^A125</f>
        <v>16452.34205</v>
      </c>
      <c r="C125" s="12">
        <f t="shared" si="1"/>
        <v>1656.64</v>
      </c>
      <c r="D125" s="2">
        <f>A125*'Exponential Item Growth'!$B$4</f>
        <v>207.08</v>
      </c>
      <c r="E125" s="12">
        <f>if(isna(VLOOKUP(A125,'Exponential Item Growth'!$A$10:$B$18,2,false)),E124, E124*VLOOKUP(A125,'Exponential Item Growth'!$A$10:$B$18,2,false))</f>
        <v>8</v>
      </c>
      <c r="F125" s="12">
        <f>C125*'Exponential Item Growth'!$B$21</f>
        <v>8283.2</v>
      </c>
      <c r="G125" s="12">
        <f>'Exponential Item Growth'!$B$22*C125</f>
        <v>124248</v>
      </c>
      <c r="H125" s="12">
        <f>'Exponential Item Growth'!$B$23*C125</f>
        <v>1656640</v>
      </c>
    </row>
    <row r="126" ht="15.75" customHeight="1">
      <c r="A126" s="2">
        <v>125.0</v>
      </c>
      <c r="B126" s="11">
        <f>'Exponential Item Growth'!$B$5*'Exponential Item Growth'!$B$6^A126</f>
        <v>17604.00599</v>
      </c>
      <c r="C126" s="12">
        <f t="shared" si="1"/>
        <v>1670</v>
      </c>
      <c r="D126" s="2">
        <f>A126*'Exponential Item Growth'!$B$4</f>
        <v>208.75</v>
      </c>
      <c r="E126" s="12">
        <f>if(isna(VLOOKUP(A126,'Exponential Item Growth'!$A$10:$B$18,2,false)),E125, E125*VLOOKUP(A126,'Exponential Item Growth'!$A$10:$B$18,2,false))</f>
        <v>8</v>
      </c>
      <c r="F126" s="12">
        <f>C126*'Exponential Item Growth'!$B$21</f>
        <v>8350</v>
      </c>
      <c r="G126" s="12">
        <f>'Exponential Item Growth'!$B$22*C126</f>
        <v>125250</v>
      </c>
      <c r="H126" s="12">
        <f>'Exponential Item Growth'!$B$23*C126</f>
        <v>1670000</v>
      </c>
    </row>
    <row r="127" ht="15.75" customHeight="1">
      <c r="A127" s="2">
        <v>126.0</v>
      </c>
      <c r="B127" s="11">
        <f>'Exponential Item Growth'!$B$5*'Exponential Item Growth'!$B$6^A127</f>
        <v>18836.28641</v>
      </c>
      <c r="C127" s="12">
        <f t="shared" si="1"/>
        <v>1683.36</v>
      </c>
      <c r="D127" s="2">
        <f>A127*'Exponential Item Growth'!$B$4</f>
        <v>210.42</v>
      </c>
      <c r="E127" s="12">
        <f>if(isna(VLOOKUP(A127,'Exponential Item Growth'!$A$10:$B$18,2,false)),E126, E126*VLOOKUP(A127,'Exponential Item Growth'!$A$10:$B$18,2,false))</f>
        <v>8</v>
      </c>
      <c r="F127" s="12">
        <f>C127*'Exponential Item Growth'!$B$21</f>
        <v>8416.8</v>
      </c>
      <c r="G127" s="12">
        <f>'Exponential Item Growth'!$B$22*C127</f>
        <v>126252</v>
      </c>
      <c r="H127" s="12">
        <f>'Exponential Item Growth'!$B$23*C127</f>
        <v>1683360</v>
      </c>
    </row>
    <row r="128" ht="15.75" customHeight="1">
      <c r="A128" s="2">
        <v>127.0</v>
      </c>
      <c r="B128" s="11">
        <f>'Exponential Item Growth'!$B$5*'Exponential Item Growth'!$B$6^A128</f>
        <v>20154.82646</v>
      </c>
      <c r="C128" s="12">
        <f t="shared" si="1"/>
        <v>1696.72</v>
      </c>
      <c r="D128" s="2">
        <f>A128*'Exponential Item Growth'!$B$4</f>
        <v>212.09</v>
      </c>
      <c r="E128" s="12">
        <f>if(isna(VLOOKUP(A128,'Exponential Item Growth'!$A$10:$B$18,2,false)),E127, E127*VLOOKUP(A128,'Exponential Item Growth'!$A$10:$B$18,2,false))</f>
        <v>8</v>
      </c>
      <c r="F128" s="12">
        <f>C128*'Exponential Item Growth'!$B$21</f>
        <v>8483.6</v>
      </c>
      <c r="G128" s="12">
        <f>'Exponential Item Growth'!$B$22*C128</f>
        <v>127254</v>
      </c>
      <c r="H128" s="12">
        <f>'Exponential Item Growth'!$B$23*C128</f>
        <v>1696720</v>
      </c>
    </row>
    <row r="129" ht="15.75" customHeight="1">
      <c r="A129" s="2">
        <v>128.0</v>
      </c>
      <c r="B129" s="11">
        <f>'Exponential Item Growth'!$B$5*'Exponential Item Growth'!$B$6^A129</f>
        <v>21565.66431</v>
      </c>
      <c r="C129" s="12">
        <f t="shared" si="1"/>
        <v>1710.08</v>
      </c>
      <c r="D129" s="2">
        <f>A129*'Exponential Item Growth'!$B$4</f>
        <v>213.76</v>
      </c>
      <c r="E129" s="12">
        <f>if(isna(VLOOKUP(A129,'Exponential Item Growth'!$A$10:$B$18,2,false)),E128, E128*VLOOKUP(A129,'Exponential Item Growth'!$A$10:$B$18,2,false))</f>
        <v>8</v>
      </c>
      <c r="F129" s="12">
        <f>C129*'Exponential Item Growth'!$B$21</f>
        <v>8550.4</v>
      </c>
      <c r="G129" s="12">
        <f>'Exponential Item Growth'!$B$22*C129</f>
        <v>128256</v>
      </c>
      <c r="H129" s="12">
        <f>'Exponential Item Growth'!$B$23*C129</f>
        <v>1710080</v>
      </c>
    </row>
    <row r="130" ht="15.75" customHeight="1">
      <c r="A130" s="2">
        <v>129.0</v>
      </c>
      <c r="B130" s="11">
        <f>'Exponential Item Growth'!$B$5*'Exponential Item Growth'!$B$6^A130</f>
        <v>23075.26081</v>
      </c>
      <c r="C130" s="12">
        <f t="shared" si="1"/>
        <v>1723.44</v>
      </c>
      <c r="D130" s="2">
        <f>A130*'Exponential Item Growth'!$B$4</f>
        <v>215.43</v>
      </c>
      <c r="E130" s="12">
        <f>if(isna(VLOOKUP(A130,'Exponential Item Growth'!$A$10:$B$18,2,false)),E129, E129*VLOOKUP(A130,'Exponential Item Growth'!$A$10:$B$18,2,false))</f>
        <v>8</v>
      </c>
      <c r="F130" s="12">
        <f>C130*'Exponential Item Growth'!$B$21</f>
        <v>8617.2</v>
      </c>
      <c r="G130" s="12">
        <f>'Exponential Item Growth'!$B$22*C130</f>
        <v>129258</v>
      </c>
      <c r="H130" s="12">
        <f>'Exponential Item Growth'!$B$23*C130</f>
        <v>1723440</v>
      </c>
    </row>
    <row r="131" ht="15.75" customHeight="1">
      <c r="A131" s="2">
        <v>130.0</v>
      </c>
      <c r="B131" s="11">
        <f>'Exponential Item Growth'!$B$5*'Exponential Item Growth'!$B$6^A131</f>
        <v>24690.52907</v>
      </c>
      <c r="C131" s="12">
        <f t="shared" si="1"/>
        <v>1736.8</v>
      </c>
      <c r="D131" s="2">
        <f>A131*'Exponential Item Growth'!$B$4</f>
        <v>217.1</v>
      </c>
      <c r="E131" s="12">
        <f>if(isna(VLOOKUP(A131,'Exponential Item Growth'!$A$10:$B$18,2,false)),E130, E130*VLOOKUP(A131,'Exponential Item Growth'!$A$10:$B$18,2,false))</f>
        <v>8</v>
      </c>
      <c r="F131" s="12">
        <f>C131*'Exponential Item Growth'!$B$21</f>
        <v>8684</v>
      </c>
      <c r="G131" s="12">
        <f>'Exponential Item Growth'!$B$22*C131</f>
        <v>130260</v>
      </c>
      <c r="H131" s="12">
        <f>'Exponential Item Growth'!$B$23*C131</f>
        <v>1736800</v>
      </c>
    </row>
    <row r="132" ht="15.75" customHeight="1">
      <c r="A132" s="2">
        <v>131.0</v>
      </c>
      <c r="B132" s="11">
        <f>'Exponential Item Growth'!$B$5*'Exponential Item Growth'!$B$6^A132</f>
        <v>26418.86611</v>
      </c>
      <c r="C132" s="12">
        <f t="shared" si="1"/>
        <v>1750.16</v>
      </c>
      <c r="D132" s="2">
        <f>A132*'Exponential Item Growth'!$B$4</f>
        <v>218.77</v>
      </c>
      <c r="E132" s="12">
        <f>if(isna(VLOOKUP(A132,'Exponential Item Growth'!$A$10:$B$18,2,false)),E131, E131*VLOOKUP(A132,'Exponential Item Growth'!$A$10:$B$18,2,false))</f>
        <v>8</v>
      </c>
      <c r="F132" s="12">
        <f>C132*'Exponential Item Growth'!$B$21</f>
        <v>8750.8</v>
      </c>
      <c r="G132" s="12">
        <f>'Exponential Item Growth'!$B$22*C132</f>
        <v>131262</v>
      </c>
      <c r="H132" s="12">
        <f>'Exponential Item Growth'!$B$23*C132</f>
        <v>1750160</v>
      </c>
    </row>
    <row r="133" ht="15.75" customHeight="1">
      <c r="A133" s="2">
        <v>132.0</v>
      </c>
      <c r="B133" s="11">
        <f>'Exponential Item Growth'!$B$5*'Exponential Item Growth'!$B$6^A133</f>
        <v>28268.18673</v>
      </c>
      <c r="C133" s="12">
        <f t="shared" si="1"/>
        <v>1763.52</v>
      </c>
      <c r="D133" s="2">
        <f>A133*'Exponential Item Growth'!$B$4</f>
        <v>220.44</v>
      </c>
      <c r="E133" s="12">
        <f>if(isna(VLOOKUP(A133,'Exponential Item Growth'!$A$10:$B$18,2,false)),E132, E132*VLOOKUP(A133,'Exponential Item Growth'!$A$10:$B$18,2,false))</f>
        <v>8</v>
      </c>
      <c r="F133" s="12">
        <f>C133*'Exponential Item Growth'!$B$21</f>
        <v>8817.6</v>
      </c>
      <c r="G133" s="12">
        <f>'Exponential Item Growth'!$B$22*C133</f>
        <v>132264</v>
      </c>
      <c r="H133" s="12">
        <f>'Exponential Item Growth'!$B$23*C133</f>
        <v>1763520</v>
      </c>
    </row>
    <row r="134" ht="15.75" customHeight="1">
      <c r="A134" s="2">
        <v>133.0</v>
      </c>
      <c r="B134" s="11">
        <f>'Exponential Item Growth'!$B$5*'Exponential Item Growth'!$B$6^A134</f>
        <v>30246.9598</v>
      </c>
      <c r="C134" s="12">
        <f t="shared" si="1"/>
        <v>1776.88</v>
      </c>
      <c r="D134" s="2">
        <f>A134*'Exponential Item Growth'!$B$4</f>
        <v>222.11</v>
      </c>
      <c r="E134" s="12">
        <f>if(isna(VLOOKUP(A134,'Exponential Item Growth'!$A$10:$B$18,2,false)),E133, E133*VLOOKUP(A134,'Exponential Item Growth'!$A$10:$B$18,2,false))</f>
        <v>8</v>
      </c>
      <c r="F134" s="12">
        <f>C134*'Exponential Item Growth'!$B$21</f>
        <v>8884.4</v>
      </c>
      <c r="G134" s="12">
        <f>'Exponential Item Growth'!$B$22*C134</f>
        <v>133266</v>
      </c>
      <c r="H134" s="12">
        <f>'Exponential Item Growth'!$B$23*C134</f>
        <v>1776880</v>
      </c>
    </row>
    <row r="135" ht="15.75" customHeight="1">
      <c r="A135" s="2">
        <v>134.0</v>
      </c>
      <c r="B135" s="11">
        <f>'Exponential Item Growth'!$B$5*'Exponential Item Growth'!$B$6^A135</f>
        <v>32364.24699</v>
      </c>
      <c r="C135" s="12">
        <f t="shared" si="1"/>
        <v>1790.24</v>
      </c>
      <c r="D135" s="2">
        <f>A135*'Exponential Item Growth'!$B$4</f>
        <v>223.78</v>
      </c>
      <c r="E135" s="12">
        <f>if(isna(VLOOKUP(A135,'Exponential Item Growth'!$A$10:$B$18,2,false)),E134, E134*VLOOKUP(A135,'Exponential Item Growth'!$A$10:$B$18,2,false))</f>
        <v>8</v>
      </c>
      <c r="F135" s="12">
        <f>C135*'Exponential Item Growth'!$B$21</f>
        <v>8951.2</v>
      </c>
      <c r="G135" s="12">
        <f>'Exponential Item Growth'!$B$22*C135</f>
        <v>134268</v>
      </c>
      <c r="H135" s="12">
        <f>'Exponential Item Growth'!$B$23*C135</f>
        <v>1790240</v>
      </c>
    </row>
    <row r="136" ht="15.75" customHeight="1">
      <c r="A136" s="2">
        <v>135.0</v>
      </c>
      <c r="B136" s="11">
        <f>'Exponential Item Growth'!$B$5*'Exponential Item Growth'!$B$6^A136</f>
        <v>34629.74428</v>
      </c>
      <c r="C136" s="12">
        <f t="shared" si="1"/>
        <v>1803.6</v>
      </c>
      <c r="D136" s="2">
        <f>A136*'Exponential Item Growth'!$B$4</f>
        <v>225.45</v>
      </c>
      <c r="E136" s="12">
        <f>if(isna(VLOOKUP(A136,'Exponential Item Growth'!$A$10:$B$18,2,false)),E135, E135*VLOOKUP(A136,'Exponential Item Growth'!$A$10:$B$18,2,false))</f>
        <v>8</v>
      </c>
      <c r="F136" s="12">
        <f>C136*'Exponential Item Growth'!$B$21</f>
        <v>9018</v>
      </c>
      <c r="G136" s="12">
        <f>'Exponential Item Growth'!$B$22*C136</f>
        <v>135270</v>
      </c>
      <c r="H136" s="12">
        <f>'Exponential Item Growth'!$B$23*C136</f>
        <v>1803600</v>
      </c>
    </row>
    <row r="137" ht="15.75" customHeight="1">
      <c r="A137" s="2">
        <v>136.0</v>
      </c>
      <c r="B137" s="11">
        <f>'Exponential Item Growth'!$B$5*'Exponential Item Growth'!$B$6^A137</f>
        <v>37053.82638</v>
      </c>
      <c r="C137" s="12">
        <f t="shared" si="1"/>
        <v>1816.96</v>
      </c>
      <c r="D137" s="2">
        <f>A137*'Exponential Item Growth'!$B$4</f>
        <v>227.12</v>
      </c>
      <c r="E137" s="12">
        <f>if(isna(VLOOKUP(A137,'Exponential Item Growth'!$A$10:$B$18,2,false)),E136, E136*VLOOKUP(A137,'Exponential Item Growth'!$A$10:$B$18,2,false))</f>
        <v>8</v>
      </c>
      <c r="F137" s="12">
        <f>C137*'Exponential Item Growth'!$B$21</f>
        <v>9084.8</v>
      </c>
      <c r="G137" s="12">
        <f>'Exponential Item Growth'!$B$22*C137</f>
        <v>136272</v>
      </c>
      <c r="H137" s="12">
        <f>'Exponential Item Growth'!$B$23*C137</f>
        <v>1816960</v>
      </c>
    </row>
    <row r="138" ht="15.75" customHeight="1">
      <c r="A138" s="2">
        <v>137.0</v>
      </c>
      <c r="B138" s="11">
        <f>'Exponential Item Growth'!$B$5*'Exponential Item Growth'!$B$6^A138</f>
        <v>39647.59423</v>
      </c>
      <c r="C138" s="12">
        <f t="shared" si="1"/>
        <v>1830.32</v>
      </c>
      <c r="D138" s="2">
        <f>A138*'Exponential Item Growth'!$B$4</f>
        <v>228.79</v>
      </c>
      <c r="E138" s="12">
        <f>if(isna(VLOOKUP(A138,'Exponential Item Growth'!$A$10:$B$18,2,false)),E137, E137*VLOOKUP(A138,'Exponential Item Growth'!$A$10:$B$18,2,false))</f>
        <v>8</v>
      </c>
      <c r="F138" s="12">
        <f>C138*'Exponential Item Growth'!$B$21</f>
        <v>9151.6</v>
      </c>
      <c r="G138" s="12">
        <f>'Exponential Item Growth'!$B$22*C138</f>
        <v>137274</v>
      </c>
      <c r="H138" s="12">
        <f>'Exponential Item Growth'!$B$23*C138</f>
        <v>1830320</v>
      </c>
    </row>
    <row r="139" ht="15.75" customHeight="1">
      <c r="A139" s="2">
        <v>138.0</v>
      </c>
      <c r="B139" s="11">
        <f>'Exponential Item Growth'!$B$5*'Exponential Item Growth'!$B$6^A139</f>
        <v>42422.92582</v>
      </c>
      <c r="C139" s="12">
        <f t="shared" si="1"/>
        <v>1843.68</v>
      </c>
      <c r="D139" s="2">
        <f>A139*'Exponential Item Growth'!$B$4</f>
        <v>230.46</v>
      </c>
      <c r="E139" s="12">
        <f>if(isna(VLOOKUP(A139,'Exponential Item Growth'!$A$10:$B$18,2,false)),E138, E138*VLOOKUP(A139,'Exponential Item Growth'!$A$10:$B$18,2,false))</f>
        <v>8</v>
      </c>
      <c r="F139" s="12">
        <f>C139*'Exponential Item Growth'!$B$21</f>
        <v>9218.4</v>
      </c>
      <c r="G139" s="12">
        <f>'Exponential Item Growth'!$B$22*C139</f>
        <v>138276</v>
      </c>
      <c r="H139" s="12">
        <f>'Exponential Item Growth'!$B$23*C139</f>
        <v>1843680</v>
      </c>
    </row>
    <row r="140" ht="15.75" customHeight="1">
      <c r="A140" s="2">
        <v>139.0</v>
      </c>
      <c r="B140" s="11">
        <f>'Exponential Item Growth'!$B$5*'Exponential Item Growth'!$B$6^A140</f>
        <v>45392.53063</v>
      </c>
      <c r="C140" s="12">
        <f t="shared" si="1"/>
        <v>1857.04</v>
      </c>
      <c r="D140" s="2">
        <f>A140*'Exponential Item Growth'!$B$4</f>
        <v>232.13</v>
      </c>
      <c r="E140" s="12">
        <f>if(isna(VLOOKUP(A140,'Exponential Item Growth'!$A$10:$B$18,2,false)),E139, E139*VLOOKUP(A140,'Exponential Item Growth'!$A$10:$B$18,2,false))</f>
        <v>8</v>
      </c>
      <c r="F140" s="12">
        <f>C140*'Exponential Item Growth'!$B$21</f>
        <v>9285.2</v>
      </c>
      <c r="G140" s="12">
        <f>'Exponential Item Growth'!$B$22*C140</f>
        <v>139278</v>
      </c>
      <c r="H140" s="12">
        <f>'Exponential Item Growth'!$B$23*C140</f>
        <v>1857040</v>
      </c>
    </row>
    <row r="141" ht="15.75" customHeight="1">
      <c r="A141" s="2">
        <v>140.0</v>
      </c>
      <c r="B141" s="11">
        <f>'Exponential Item Growth'!$B$5*'Exponential Item Growth'!$B$6^A141</f>
        <v>48570.00777</v>
      </c>
      <c r="C141" s="12">
        <f t="shared" si="1"/>
        <v>1870.4</v>
      </c>
      <c r="D141" s="2">
        <f>A141*'Exponential Item Growth'!$B$4</f>
        <v>233.8</v>
      </c>
      <c r="E141" s="12">
        <f>if(isna(VLOOKUP(A141,'Exponential Item Growth'!$A$10:$B$18,2,false)),E140, E140*VLOOKUP(A141,'Exponential Item Growth'!$A$10:$B$18,2,false))</f>
        <v>8</v>
      </c>
      <c r="F141" s="12">
        <f>C141*'Exponential Item Growth'!$B$21</f>
        <v>9352</v>
      </c>
      <c r="G141" s="12">
        <f>'Exponential Item Growth'!$B$22*C141</f>
        <v>140280</v>
      </c>
      <c r="H141" s="12">
        <f>'Exponential Item Growth'!$B$23*C141</f>
        <v>1870400</v>
      </c>
    </row>
    <row r="142" ht="15.75" customHeight="1">
      <c r="A142" s="2">
        <v>141.0</v>
      </c>
      <c r="B142" s="11">
        <f>'Exponential Item Growth'!$B$5*'Exponential Item Growth'!$B$6^A142</f>
        <v>51969.90832</v>
      </c>
      <c r="C142" s="12">
        <f t="shared" si="1"/>
        <v>1883.76</v>
      </c>
      <c r="D142" s="2">
        <f>A142*'Exponential Item Growth'!$B$4</f>
        <v>235.47</v>
      </c>
      <c r="E142" s="12">
        <f>if(isna(VLOOKUP(A142,'Exponential Item Growth'!$A$10:$B$18,2,false)),E141, E141*VLOOKUP(A142,'Exponential Item Growth'!$A$10:$B$18,2,false))</f>
        <v>8</v>
      </c>
      <c r="F142" s="12">
        <f>C142*'Exponential Item Growth'!$B$21</f>
        <v>9418.8</v>
      </c>
      <c r="G142" s="12">
        <f>'Exponential Item Growth'!$B$22*C142</f>
        <v>141282</v>
      </c>
      <c r="H142" s="12">
        <f>'Exponential Item Growth'!$B$23*C142</f>
        <v>1883760</v>
      </c>
    </row>
    <row r="143" ht="15.75" customHeight="1">
      <c r="A143" s="2">
        <v>142.0</v>
      </c>
      <c r="B143" s="11">
        <f>'Exponential Item Growth'!$B$5*'Exponential Item Growth'!$B$6^A143</f>
        <v>55607.8019</v>
      </c>
      <c r="C143" s="12">
        <f t="shared" si="1"/>
        <v>1897.12</v>
      </c>
      <c r="D143" s="2">
        <f>A143*'Exponential Item Growth'!$B$4</f>
        <v>237.14</v>
      </c>
      <c r="E143" s="12">
        <f>if(isna(VLOOKUP(A143,'Exponential Item Growth'!$A$10:$B$18,2,false)),E142, E142*VLOOKUP(A143,'Exponential Item Growth'!$A$10:$B$18,2,false))</f>
        <v>8</v>
      </c>
      <c r="F143" s="12">
        <f>C143*'Exponential Item Growth'!$B$21</f>
        <v>9485.6</v>
      </c>
      <c r="G143" s="12">
        <f>'Exponential Item Growth'!$B$22*C143</f>
        <v>142284</v>
      </c>
      <c r="H143" s="12">
        <f>'Exponential Item Growth'!$B$23*C143</f>
        <v>1897120</v>
      </c>
    </row>
    <row r="144" ht="15.75" customHeight="1">
      <c r="A144" s="2">
        <v>143.0</v>
      </c>
      <c r="B144" s="11">
        <f>'Exponential Item Growth'!$B$5*'Exponential Item Growth'!$B$6^A144</f>
        <v>59500.34803</v>
      </c>
      <c r="C144" s="12">
        <f t="shared" si="1"/>
        <v>1910.48</v>
      </c>
      <c r="D144" s="2">
        <f>A144*'Exponential Item Growth'!$B$4</f>
        <v>238.81</v>
      </c>
      <c r="E144" s="12">
        <f>if(isna(VLOOKUP(A144,'Exponential Item Growth'!$A$10:$B$18,2,false)),E143, E143*VLOOKUP(A144,'Exponential Item Growth'!$A$10:$B$18,2,false))</f>
        <v>8</v>
      </c>
      <c r="F144" s="12">
        <f>C144*'Exponential Item Growth'!$B$21</f>
        <v>9552.4</v>
      </c>
      <c r="G144" s="12">
        <f>'Exponential Item Growth'!$B$22*C144</f>
        <v>143286</v>
      </c>
      <c r="H144" s="12">
        <f>'Exponential Item Growth'!$B$23*C144</f>
        <v>1910480</v>
      </c>
    </row>
    <row r="145" ht="15.75" customHeight="1">
      <c r="A145" s="2">
        <v>144.0</v>
      </c>
      <c r="B145" s="11">
        <f>'Exponential Item Growth'!$B$5*'Exponential Item Growth'!$B$6^A145</f>
        <v>63665.37239</v>
      </c>
      <c r="C145" s="12">
        <f t="shared" si="1"/>
        <v>1923.84</v>
      </c>
      <c r="D145" s="2">
        <f>A145*'Exponential Item Growth'!$B$4</f>
        <v>240.48</v>
      </c>
      <c r="E145" s="12">
        <f>if(isna(VLOOKUP(A145,'Exponential Item Growth'!$A$10:$B$18,2,false)),E144, E144*VLOOKUP(A145,'Exponential Item Growth'!$A$10:$B$18,2,false))</f>
        <v>8</v>
      </c>
      <c r="F145" s="12">
        <f>C145*'Exponential Item Growth'!$B$21</f>
        <v>9619.2</v>
      </c>
      <c r="G145" s="12">
        <f>'Exponential Item Growth'!$B$22*C145</f>
        <v>144288</v>
      </c>
      <c r="H145" s="12">
        <f>'Exponential Item Growth'!$B$23*C145</f>
        <v>1923840</v>
      </c>
    </row>
    <row r="146" ht="15.75" customHeight="1">
      <c r="A146" s="2">
        <v>145.0</v>
      </c>
      <c r="B146" s="11">
        <f>'Exponential Item Growth'!$B$5*'Exponential Item Growth'!$B$6^A146</f>
        <v>68121.94846</v>
      </c>
      <c r="C146" s="12">
        <f t="shared" si="1"/>
        <v>1937.2</v>
      </c>
      <c r="D146" s="2">
        <f>A146*'Exponential Item Growth'!$B$4</f>
        <v>242.15</v>
      </c>
      <c r="E146" s="12">
        <f>if(isna(VLOOKUP(A146,'Exponential Item Growth'!$A$10:$B$18,2,false)),E145, E145*VLOOKUP(A146,'Exponential Item Growth'!$A$10:$B$18,2,false))</f>
        <v>8</v>
      </c>
      <c r="F146" s="12">
        <f>C146*'Exponential Item Growth'!$B$21</f>
        <v>9686</v>
      </c>
      <c r="G146" s="12">
        <f>'Exponential Item Growth'!$B$22*C146</f>
        <v>145290</v>
      </c>
      <c r="H146" s="12">
        <f>'Exponential Item Growth'!$B$23*C146</f>
        <v>1937200</v>
      </c>
    </row>
    <row r="147" ht="15.75" customHeight="1">
      <c r="A147" s="2">
        <v>146.0</v>
      </c>
      <c r="B147" s="11">
        <f>'Exponential Item Growth'!$B$5*'Exponential Item Growth'!$B$6^A147</f>
        <v>72890.48485</v>
      </c>
      <c r="C147" s="12">
        <f t="shared" si="1"/>
        <v>1950.56</v>
      </c>
      <c r="D147" s="2">
        <f>A147*'Exponential Item Growth'!$B$4</f>
        <v>243.82</v>
      </c>
      <c r="E147" s="12">
        <f>if(isna(VLOOKUP(A147,'Exponential Item Growth'!$A$10:$B$18,2,false)),E146, E146*VLOOKUP(A147,'Exponential Item Growth'!$A$10:$B$18,2,false))</f>
        <v>8</v>
      </c>
      <c r="F147" s="12">
        <f>C147*'Exponential Item Growth'!$B$21</f>
        <v>9752.8</v>
      </c>
      <c r="G147" s="12">
        <f>'Exponential Item Growth'!$B$22*C147</f>
        <v>146292</v>
      </c>
      <c r="H147" s="12">
        <f>'Exponential Item Growth'!$B$23*C147</f>
        <v>1950560</v>
      </c>
    </row>
    <row r="148" ht="15.75" customHeight="1">
      <c r="A148" s="2">
        <v>147.0</v>
      </c>
      <c r="B148" s="11">
        <f>'Exponential Item Growth'!$B$5*'Exponential Item Growth'!$B$6^A148</f>
        <v>77992.81879</v>
      </c>
      <c r="C148" s="12">
        <f t="shared" si="1"/>
        <v>1963.92</v>
      </c>
      <c r="D148" s="2">
        <f>A148*'Exponential Item Growth'!$B$4</f>
        <v>245.49</v>
      </c>
      <c r="E148" s="12">
        <f>if(isna(VLOOKUP(A148,'Exponential Item Growth'!$A$10:$B$18,2,false)),E147, E147*VLOOKUP(A148,'Exponential Item Growth'!$A$10:$B$18,2,false))</f>
        <v>8</v>
      </c>
      <c r="F148" s="12">
        <f>C148*'Exponential Item Growth'!$B$21</f>
        <v>9819.6</v>
      </c>
      <c r="G148" s="12">
        <f>'Exponential Item Growth'!$B$22*C148</f>
        <v>147294</v>
      </c>
      <c r="H148" s="12">
        <f>'Exponential Item Growth'!$B$23*C148</f>
        <v>1963920</v>
      </c>
    </row>
    <row r="149" ht="15.75" customHeight="1">
      <c r="A149" s="2">
        <v>148.0</v>
      </c>
      <c r="B149" s="11">
        <f>'Exponential Item Growth'!$B$5*'Exponential Item Growth'!$B$6^A149</f>
        <v>83452.31611</v>
      </c>
      <c r="C149" s="12">
        <f t="shared" si="1"/>
        <v>1977.28</v>
      </c>
      <c r="D149" s="2">
        <f>A149*'Exponential Item Growth'!$B$4</f>
        <v>247.16</v>
      </c>
      <c r="E149" s="12">
        <f>if(isna(VLOOKUP(A149,'Exponential Item Growth'!$A$10:$B$18,2,false)),E148, E148*VLOOKUP(A149,'Exponential Item Growth'!$A$10:$B$18,2,false))</f>
        <v>8</v>
      </c>
      <c r="F149" s="12">
        <f>C149*'Exponential Item Growth'!$B$21</f>
        <v>9886.4</v>
      </c>
      <c r="G149" s="12">
        <f>'Exponential Item Growth'!$B$22*C149</f>
        <v>148296</v>
      </c>
      <c r="H149" s="12">
        <f>'Exponential Item Growth'!$B$23*C149</f>
        <v>1977280</v>
      </c>
    </row>
    <row r="150" ht="15.75" customHeight="1">
      <c r="A150" s="2">
        <v>149.0</v>
      </c>
      <c r="B150" s="11">
        <f>'Exponential Item Growth'!$B$5*'Exponential Item Growth'!$B$6^A150</f>
        <v>89293.97824</v>
      </c>
      <c r="C150" s="12">
        <f t="shared" si="1"/>
        <v>1990.64</v>
      </c>
      <c r="D150" s="2">
        <f>A150*'Exponential Item Growth'!$B$4</f>
        <v>248.83</v>
      </c>
      <c r="E150" s="12">
        <f>if(isna(VLOOKUP(A150,'Exponential Item Growth'!$A$10:$B$18,2,false)),E149, E149*VLOOKUP(A150,'Exponential Item Growth'!$A$10:$B$18,2,false))</f>
        <v>8</v>
      </c>
      <c r="F150" s="12">
        <f>C150*'Exponential Item Growth'!$B$21</f>
        <v>9953.2</v>
      </c>
      <c r="G150" s="12">
        <f>'Exponential Item Growth'!$B$22*C150</f>
        <v>149298</v>
      </c>
      <c r="H150" s="12">
        <f>'Exponential Item Growth'!$B$23*C150</f>
        <v>1990640</v>
      </c>
    </row>
    <row r="151" ht="15.75" customHeight="1">
      <c r="A151" s="2">
        <v>150.0</v>
      </c>
      <c r="B151" s="11">
        <f>'Exponential Item Growth'!$B$5*'Exponential Item Growth'!$B$6^A151</f>
        <v>95544.55671</v>
      </c>
      <c r="C151" s="12">
        <f t="shared" si="1"/>
        <v>2004</v>
      </c>
      <c r="D151" s="2">
        <f>A151*'Exponential Item Growth'!$B$4</f>
        <v>250.5</v>
      </c>
      <c r="E151" s="12">
        <f>if(isna(VLOOKUP(A151,'Exponential Item Growth'!$A$10:$B$18,2,false)),E150, E150*VLOOKUP(A151,'Exponential Item Growth'!$A$10:$B$18,2,false))</f>
        <v>8</v>
      </c>
      <c r="F151" s="12">
        <f>C151*'Exponential Item Growth'!$B$21</f>
        <v>10020</v>
      </c>
      <c r="G151" s="12">
        <f>'Exponential Item Growth'!$B$22*C151</f>
        <v>150300</v>
      </c>
      <c r="H151" s="12">
        <f>'Exponential Item Growth'!$B$23*C151</f>
        <v>2004000</v>
      </c>
    </row>
    <row r="152" ht="15.75" customHeight="1">
      <c r="A152" s="2">
        <v>151.0</v>
      </c>
      <c r="B152" s="11">
        <f>'Exponential Item Growth'!$B$5*'Exponential Item Growth'!$B$6^A152</f>
        <v>102232.6757</v>
      </c>
      <c r="C152" s="12">
        <f t="shared" si="1"/>
        <v>2017.36</v>
      </c>
      <c r="D152" s="2">
        <f>A152*'Exponential Item Growth'!$B$4</f>
        <v>252.17</v>
      </c>
      <c r="E152" s="12">
        <f>if(isna(VLOOKUP(A152,'Exponential Item Growth'!$A$10:$B$18,2,false)),E151, E151*VLOOKUP(A152,'Exponential Item Growth'!$A$10:$B$18,2,false))</f>
        <v>8</v>
      </c>
      <c r="F152" s="12">
        <f>C152*'Exponential Item Growth'!$B$21</f>
        <v>10086.8</v>
      </c>
      <c r="G152" s="12">
        <f>'Exponential Item Growth'!$B$22*C152</f>
        <v>151302</v>
      </c>
      <c r="H152" s="12">
        <f>'Exponential Item Growth'!$B$23*C152</f>
        <v>2017360</v>
      </c>
    </row>
    <row r="153" ht="15.75" customHeight="1">
      <c r="A153" s="2">
        <v>152.0</v>
      </c>
      <c r="B153" s="11">
        <f>'Exponential Item Growth'!$B$5*'Exponential Item Growth'!$B$6^A153</f>
        <v>109388.963</v>
      </c>
      <c r="C153" s="12">
        <f t="shared" si="1"/>
        <v>2030.72</v>
      </c>
      <c r="D153" s="2">
        <f>A153*'Exponential Item Growth'!$B$4</f>
        <v>253.84</v>
      </c>
      <c r="E153" s="12">
        <f>if(isna(VLOOKUP(A153,'Exponential Item Growth'!$A$10:$B$18,2,false)),E152, E152*VLOOKUP(A153,'Exponential Item Growth'!$A$10:$B$18,2,false))</f>
        <v>8</v>
      </c>
      <c r="F153" s="12">
        <f>C153*'Exponential Item Growth'!$B$21</f>
        <v>10153.6</v>
      </c>
      <c r="G153" s="12">
        <f>'Exponential Item Growth'!$B$22*C153</f>
        <v>152304</v>
      </c>
      <c r="H153" s="12">
        <f>'Exponential Item Growth'!$B$23*C153</f>
        <v>2030720</v>
      </c>
    </row>
    <row r="154" ht="15.75" customHeight="1">
      <c r="A154" s="2">
        <v>153.0</v>
      </c>
      <c r="B154" s="11">
        <f>'Exponential Item Growth'!$B$5*'Exponential Item Growth'!$B$6^A154</f>
        <v>117046.1904</v>
      </c>
      <c r="C154" s="12">
        <f t="shared" si="1"/>
        <v>2044.08</v>
      </c>
      <c r="D154" s="2">
        <f>A154*'Exponential Item Growth'!$B$4</f>
        <v>255.51</v>
      </c>
      <c r="E154" s="12">
        <f>if(isna(VLOOKUP(A154,'Exponential Item Growth'!$A$10:$B$18,2,false)),E153, E153*VLOOKUP(A154,'Exponential Item Growth'!$A$10:$B$18,2,false))</f>
        <v>8</v>
      </c>
      <c r="F154" s="12">
        <f>C154*'Exponential Item Growth'!$B$21</f>
        <v>10220.4</v>
      </c>
      <c r="G154" s="12">
        <f>'Exponential Item Growth'!$B$22*C154</f>
        <v>153306</v>
      </c>
      <c r="H154" s="12">
        <f>'Exponential Item Growth'!$B$23*C154</f>
        <v>2044080</v>
      </c>
    </row>
    <row r="155" ht="15.75" customHeight="1">
      <c r="A155" s="2">
        <v>154.0</v>
      </c>
      <c r="B155" s="11">
        <f>'Exponential Item Growth'!$B$5*'Exponential Item Growth'!$B$6^A155</f>
        <v>125239.4237</v>
      </c>
      <c r="C155" s="12">
        <f t="shared" si="1"/>
        <v>2057.44</v>
      </c>
      <c r="D155" s="2">
        <f>A155*'Exponential Item Growth'!$B$4</f>
        <v>257.18</v>
      </c>
      <c r="E155" s="12">
        <f>if(isna(VLOOKUP(A155,'Exponential Item Growth'!$A$10:$B$18,2,false)),E154, E154*VLOOKUP(A155,'Exponential Item Growth'!$A$10:$B$18,2,false))</f>
        <v>8</v>
      </c>
      <c r="F155" s="12">
        <f>C155*'Exponential Item Growth'!$B$21</f>
        <v>10287.2</v>
      </c>
      <c r="G155" s="12">
        <f>'Exponential Item Growth'!$B$22*C155</f>
        <v>154308</v>
      </c>
      <c r="H155" s="12">
        <f>'Exponential Item Growth'!$B$23*C155</f>
        <v>2057440</v>
      </c>
    </row>
    <row r="156" ht="15.75" customHeight="1">
      <c r="A156" s="2">
        <v>155.0</v>
      </c>
      <c r="B156" s="11">
        <f>'Exponential Item Growth'!$B$5*'Exponential Item Growth'!$B$6^A156</f>
        <v>134006.1834</v>
      </c>
      <c r="C156" s="12">
        <f t="shared" si="1"/>
        <v>2070.8</v>
      </c>
      <c r="D156" s="2">
        <f>A156*'Exponential Item Growth'!$B$4</f>
        <v>258.85</v>
      </c>
      <c r="E156" s="12">
        <f>if(isna(VLOOKUP(A156,'Exponential Item Growth'!$A$10:$B$18,2,false)),E155, E155*VLOOKUP(A156,'Exponential Item Growth'!$A$10:$B$18,2,false))</f>
        <v>8</v>
      </c>
      <c r="F156" s="12">
        <f>C156*'Exponential Item Growth'!$B$21</f>
        <v>10354</v>
      </c>
      <c r="G156" s="12">
        <f>'Exponential Item Growth'!$B$22*C156</f>
        <v>155310</v>
      </c>
      <c r="H156" s="12">
        <f>'Exponential Item Growth'!$B$23*C156</f>
        <v>2070800</v>
      </c>
    </row>
    <row r="157" ht="15.75" customHeight="1">
      <c r="A157" s="2">
        <v>156.0</v>
      </c>
      <c r="B157" s="11">
        <f>'Exponential Item Growth'!$B$5*'Exponential Item Growth'!$B$6^A157</f>
        <v>143386.6162</v>
      </c>
      <c r="C157" s="12">
        <f t="shared" si="1"/>
        <v>2084.16</v>
      </c>
      <c r="D157" s="2">
        <f>A157*'Exponential Item Growth'!$B$4</f>
        <v>260.52</v>
      </c>
      <c r="E157" s="12">
        <f>if(isna(VLOOKUP(A157,'Exponential Item Growth'!$A$10:$B$18,2,false)),E156, E156*VLOOKUP(A157,'Exponential Item Growth'!$A$10:$B$18,2,false))</f>
        <v>8</v>
      </c>
      <c r="F157" s="12">
        <f>C157*'Exponential Item Growth'!$B$21</f>
        <v>10420.8</v>
      </c>
      <c r="G157" s="12">
        <f>'Exponential Item Growth'!$B$22*C157</f>
        <v>156312</v>
      </c>
      <c r="H157" s="12">
        <f>'Exponential Item Growth'!$B$23*C157</f>
        <v>2084160</v>
      </c>
    </row>
    <row r="158" ht="15.75" customHeight="1">
      <c r="A158" s="2">
        <v>157.0</v>
      </c>
      <c r="B158" s="11">
        <f>'Exponential Item Growth'!$B$5*'Exponential Item Growth'!$B$6^A158</f>
        <v>153423.6793</v>
      </c>
      <c r="C158" s="12">
        <f t="shared" si="1"/>
        <v>2097.52</v>
      </c>
      <c r="D158" s="2">
        <f>A158*'Exponential Item Growth'!$B$4</f>
        <v>262.19</v>
      </c>
      <c r="E158" s="12">
        <f>if(isna(VLOOKUP(A158,'Exponential Item Growth'!$A$10:$B$18,2,false)),E157, E157*VLOOKUP(A158,'Exponential Item Growth'!$A$10:$B$18,2,false))</f>
        <v>8</v>
      </c>
      <c r="F158" s="12">
        <f>C158*'Exponential Item Growth'!$B$21</f>
        <v>10487.6</v>
      </c>
      <c r="G158" s="12">
        <f>'Exponential Item Growth'!$B$22*C158</f>
        <v>157314</v>
      </c>
      <c r="H158" s="12">
        <f>'Exponential Item Growth'!$B$23*C158</f>
        <v>2097520</v>
      </c>
    </row>
    <row r="159" ht="15.75" customHeight="1">
      <c r="A159" s="2">
        <v>158.0</v>
      </c>
      <c r="B159" s="11">
        <f>'Exponential Item Growth'!$B$5*'Exponential Item Growth'!$B$6^A159</f>
        <v>164163.3369</v>
      </c>
      <c r="C159" s="12">
        <f t="shared" si="1"/>
        <v>2110.88</v>
      </c>
      <c r="D159" s="2">
        <f>A159*'Exponential Item Growth'!$B$4</f>
        <v>263.86</v>
      </c>
      <c r="E159" s="12">
        <f>if(isna(VLOOKUP(A159,'Exponential Item Growth'!$A$10:$B$18,2,false)),E158, E158*VLOOKUP(A159,'Exponential Item Growth'!$A$10:$B$18,2,false))</f>
        <v>8</v>
      </c>
      <c r="F159" s="12">
        <f>C159*'Exponential Item Growth'!$B$21</f>
        <v>10554.4</v>
      </c>
      <c r="G159" s="12">
        <f>'Exponential Item Growth'!$B$22*C159</f>
        <v>158316</v>
      </c>
      <c r="H159" s="12">
        <f>'Exponential Item Growth'!$B$23*C159</f>
        <v>2110880</v>
      </c>
    </row>
    <row r="160" ht="15.75" customHeight="1">
      <c r="A160" s="2">
        <v>159.0</v>
      </c>
      <c r="B160" s="11">
        <f>'Exponential Item Growth'!$B$5*'Exponential Item Growth'!$B$6^A160</f>
        <v>175654.7705</v>
      </c>
      <c r="C160" s="12">
        <f t="shared" si="1"/>
        <v>2124.24</v>
      </c>
      <c r="D160" s="2">
        <f>A160*'Exponential Item Growth'!$B$4</f>
        <v>265.53</v>
      </c>
      <c r="E160" s="12">
        <f>if(isna(VLOOKUP(A160,'Exponential Item Growth'!$A$10:$B$18,2,false)),E159, E159*VLOOKUP(A160,'Exponential Item Growth'!$A$10:$B$18,2,false))</f>
        <v>8</v>
      </c>
      <c r="F160" s="12">
        <f>C160*'Exponential Item Growth'!$B$21</f>
        <v>10621.2</v>
      </c>
      <c r="G160" s="12">
        <f>'Exponential Item Growth'!$B$22*C160</f>
        <v>159318</v>
      </c>
      <c r="H160" s="12">
        <f>'Exponential Item Growth'!$B$23*C160</f>
        <v>2124240</v>
      </c>
    </row>
    <row r="161" ht="15.75" customHeight="1">
      <c r="A161" s="2">
        <v>160.0</v>
      </c>
      <c r="B161" s="11">
        <f>'Exponential Item Growth'!$B$5*'Exponential Item Growth'!$B$6^A161</f>
        <v>187950.6044</v>
      </c>
      <c r="C161" s="12">
        <f t="shared" si="1"/>
        <v>2137.6</v>
      </c>
      <c r="D161" s="2">
        <f>A161*'Exponential Item Growth'!$B$4</f>
        <v>267.2</v>
      </c>
      <c r="E161" s="12">
        <f>if(isna(VLOOKUP(A161,'Exponential Item Growth'!$A$10:$B$18,2,false)),E160, E160*VLOOKUP(A161,'Exponential Item Growth'!$A$10:$B$18,2,false))</f>
        <v>8</v>
      </c>
      <c r="F161" s="12">
        <f>C161*'Exponential Item Growth'!$B$21</f>
        <v>10688</v>
      </c>
      <c r="G161" s="12">
        <f>'Exponential Item Growth'!$B$22*C161</f>
        <v>160320</v>
      </c>
      <c r="H161" s="12">
        <f>'Exponential Item Growth'!$B$23*C161</f>
        <v>2137600</v>
      </c>
    </row>
    <row r="162" ht="15.75" customHeight="1">
      <c r="A162" s="2">
        <v>161.0</v>
      </c>
      <c r="B162" s="11">
        <f>'Exponential Item Growth'!$B$5*'Exponential Item Growth'!$B$6^A162</f>
        <v>201107.1467</v>
      </c>
      <c r="C162" s="12">
        <f t="shared" si="1"/>
        <v>2150.96</v>
      </c>
      <c r="D162" s="2">
        <f>A162*'Exponential Item Growth'!$B$4</f>
        <v>268.87</v>
      </c>
      <c r="E162" s="12">
        <f>if(isna(VLOOKUP(A162,'Exponential Item Growth'!$A$10:$B$18,2,false)),E161, E161*VLOOKUP(A162,'Exponential Item Growth'!$A$10:$B$18,2,false))</f>
        <v>8</v>
      </c>
      <c r="F162" s="12">
        <f>C162*'Exponential Item Growth'!$B$21</f>
        <v>10754.8</v>
      </c>
      <c r="G162" s="12">
        <f>'Exponential Item Growth'!$B$22*C162</f>
        <v>161322</v>
      </c>
      <c r="H162" s="12">
        <f>'Exponential Item Growth'!$B$23*C162</f>
        <v>2150960</v>
      </c>
    </row>
    <row r="163" ht="15.75" customHeight="1">
      <c r="A163" s="2">
        <v>162.0</v>
      </c>
      <c r="B163" s="11">
        <f>'Exponential Item Growth'!$B$5*'Exponential Item Growth'!$B$6^A163</f>
        <v>215184.647</v>
      </c>
      <c r="C163" s="12">
        <f t="shared" si="1"/>
        <v>2164.32</v>
      </c>
      <c r="D163" s="2">
        <f>A163*'Exponential Item Growth'!$B$4</f>
        <v>270.54</v>
      </c>
      <c r="E163" s="12">
        <f>if(isna(VLOOKUP(A163,'Exponential Item Growth'!$A$10:$B$18,2,false)),E162, E162*VLOOKUP(A163,'Exponential Item Growth'!$A$10:$B$18,2,false))</f>
        <v>8</v>
      </c>
      <c r="F163" s="12">
        <f>C163*'Exponential Item Growth'!$B$21</f>
        <v>10821.6</v>
      </c>
      <c r="G163" s="12">
        <f>'Exponential Item Growth'!$B$22*C163</f>
        <v>162324</v>
      </c>
      <c r="H163" s="12">
        <f>'Exponential Item Growth'!$B$23*C163</f>
        <v>2164320</v>
      </c>
    </row>
    <row r="164" ht="15.75" customHeight="1">
      <c r="A164" s="2">
        <v>163.0</v>
      </c>
      <c r="B164" s="11">
        <f>'Exponential Item Growth'!$B$5*'Exponential Item Growth'!$B$6^A164</f>
        <v>230247.5723</v>
      </c>
      <c r="C164" s="12">
        <f t="shared" si="1"/>
        <v>2177.68</v>
      </c>
      <c r="D164" s="2">
        <f>A164*'Exponential Item Growth'!$B$4</f>
        <v>272.21</v>
      </c>
      <c r="E164" s="12">
        <f>if(isna(VLOOKUP(A164,'Exponential Item Growth'!$A$10:$B$18,2,false)),E163, E163*VLOOKUP(A164,'Exponential Item Growth'!$A$10:$B$18,2,false))</f>
        <v>8</v>
      </c>
      <c r="F164" s="12">
        <f>C164*'Exponential Item Growth'!$B$21</f>
        <v>10888.4</v>
      </c>
      <c r="G164" s="12">
        <f>'Exponential Item Growth'!$B$22*C164</f>
        <v>163326</v>
      </c>
      <c r="H164" s="12">
        <f>'Exponential Item Growth'!$B$23*C164</f>
        <v>2177680</v>
      </c>
    </row>
    <row r="165" ht="15.75" customHeight="1">
      <c r="A165" s="2">
        <v>164.0</v>
      </c>
      <c r="B165" s="11">
        <f>'Exponential Item Growth'!$B$5*'Exponential Item Growth'!$B$6^A165</f>
        <v>246364.9024</v>
      </c>
      <c r="C165" s="12">
        <f t="shared" si="1"/>
        <v>2191.04</v>
      </c>
      <c r="D165" s="2">
        <f>A165*'Exponential Item Growth'!$B$4</f>
        <v>273.88</v>
      </c>
      <c r="E165" s="12">
        <f>if(isna(VLOOKUP(A165,'Exponential Item Growth'!$A$10:$B$18,2,false)),E164, E164*VLOOKUP(A165,'Exponential Item Growth'!$A$10:$B$18,2,false))</f>
        <v>8</v>
      </c>
      <c r="F165" s="12">
        <f>C165*'Exponential Item Growth'!$B$21</f>
        <v>10955.2</v>
      </c>
      <c r="G165" s="12">
        <f>'Exponential Item Growth'!$B$22*C165</f>
        <v>164328</v>
      </c>
      <c r="H165" s="12">
        <f>'Exponential Item Growth'!$B$23*C165</f>
        <v>2191040</v>
      </c>
    </row>
    <row r="166" ht="15.75" customHeight="1">
      <c r="A166" s="2">
        <v>165.0</v>
      </c>
      <c r="B166" s="11">
        <f>'Exponential Item Growth'!$B$5*'Exponential Item Growth'!$B$6^A166</f>
        <v>263610.4455</v>
      </c>
      <c r="C166" s="12">
        <f t="shared" si="1"/>
        <v>2204.4</v>
      </c>
      <c r="D166" s="2">
        <f>A166*'Exponential Item Growth'!$B$4</f>
        <v>275.55</v>
      </c>
      <c r="E166" s="12">
        <f>if(isna(VLOOKUP(A166,'Exponential Item Growth'!$A$10:$B$18,2,false)),E165, E165*VLOOKUP(A166,'Exponential Item Growth'!$A$10:$B$18,2,false))</f>
        <v>8</v>
      </c>
      <c r="F166" s="12">
        <f>C166*'Exponential Item Growth'!$B$21</f>
        <v>11022</v>
      </c>
      <c r="G166" s="12">
        <f>'Exponential Item Growth'!$B$22*C166</f>
        <v>165330</v>
      </c>
      <c r="H166" s="12">
        <f>'Exponential Item Growth'!$B$23*C166</f>
        <v>2204400</v>
      </c>
    </row>
    <row r="167" ht="15.75" customHeight="1">
      <c r="A167" s="2">
        <v>166.0</v>
      </c>
      <c r="B167" s="11">
        <f>'Exponential Item Growth'!$B$5*'Exponential Item Growth'!$B$6^A167</f>
        <v>282063.1767</v>
      </c>
      <c r="C167" s="12">
        <f t="shared" si="1"/>
        <v>2217.76</v>
      </c>
      <c r="D167" s="2">
        <f>A167*'Exponential Item Growth'!$B$4</f>
        <v>277.22</v>
      </c>
      <c r="E167" s="12">
        <f>if(isna(VLOOKUP(A167,'Exponential Item Growth'!$A$10:$B$18,2,false)),E166, E166*VLOOKUP(A167,'Exponential Item Growth'!$A$10:$B$18,2,false))</f>
        <v>8</v>
      </c>
      <c r="F167" s="12">
        <f>C167*'Exponential Item Growth'!$B$21</f>
        <v>11088.8</v>
      </c>
      <c r="G167" s="12">
        <f>'Exponential Item Growth'!$B$22*C167</f>
        <v>166332</v>
      </c>
      <c r="H167" s="12">
        <f>'Exponential Item Growth'!$B$23*C167</f>
        <v>2217760</v>
      </c>
    </row>
    <row r="168" ht="15.75" customHeight="1">
      <c r="A168" s="2">
        <v>167.0</v>
      </c>
      <c r="B168" s="11">
        <f>'Exponential Item Growth'!$B$5*'Exponential Item Growth'!$B$6^A168</f>
        <v>301807.5991</v>
      </c>
      <c r="C168" s="12">
        <f t="shared" si="1"/>
        <v>2231.12</v>
      </c>
      <c r="D168" s="2">
        <f>A168*'Exponential Item Growth'!$B$4</f>
        <v>278.89</v>
      </c>
      <c r="E168" s="12">
        <f>if(isna(VLOOKUP(A168,'Exponential Item Growth'!$A$10:$B$18,2,false)),E167, E167*VLOOKUP(A168,'Exponential Item Growth'!$A$10:$B$18,2,false))</f>
        <v>8</v>
      </c>
      <c r="F168" s="12">
        <f>C168*'Exponential Item Growth'!$B$21</f>
        <v>11155.6</v>
      </c>
      <c r="G168" s="12">
        <f>'Exponential Item Growth'!$B$22*C168</f>
        <v>167334</v>
      </c>
      <c r="H168" s="12">
        <f>'Exponential Item Growth'!$B$23*C168</f>
        <v>2231120</v>
      </c>
    </row>
    <row r="169" ht="15.75" customHeight="1">
      <c r="A169" s="2">
        <v>168.0</v>
      </c>
      <c r="B169" s="11">
        <f>'Exponential Item Growth'!$B$5*'Exponential Item Growth'!$B$6^A169</f>
        <v>322934.131</v>
      </c>
      <c r="C169" s="12">
        <f t="shared" si="1"/>
        <v>2244.48</v>
      </c>
      <c r="D169" s="2">
        <f>A169*'Exponential Item Growth'!$B$4</f>
        <v>280.56</v>
      </c>
      <c r="E169" s="12">
        <f>if(isna(VLOOKUP(A169,'Exponential Item Growth'!$A$10:$B$18,2,false)),E168, E168*VLOOKUP(A169,'Exponential Item Growth'!$A$10:$B$18,2,false))</f>
        <v>8</v>
      </c>
      <c r="F169" s="12">
        <f>C169*'Exponential Item Growth'!$B$21</f>
        <v>11222.4</v>
      </c>
      <c r="G169" s="12">
        <f>'Exponential Item Growth'!$B$22*C169</f>
        <v>168336</v>
      </c>
      <c r="H169" s="12">
        <f>'Exponential Item Growth'!$B$23*C169</f>
        <v>2244480</v>
      </c>
    </row>
    <row r="170" ht="15.75" customHeight="1">
      <c r="A170" s="2">
        <v>169.0</v>
      </c>
      <c r="B170" s="11">
        <f>'Exponential Item Growth'!$B$5*'Exponential Item Growth'!$B$6^A170</f>
        <v>345539.5202</v>
      </c>
      <c r="C170" s="12">
        <f t="shared" si="1"/>
        <v>2257.84</v>
      </c>
      <c r="D170" s="2">
        <f>A170*'Exponential Item Growth'!$B$4</f>
        <v>282.23</v>
      </c>
      <c r="E170" s="12">
        <f>if(isna(VLOOKUP(A170,'Exponential Item Growth'!$A$10:$B$18,2,false)),E169, E169*VLOOKUP(A170,'Exponential Item Growth'!$A$10:$B$18,2,false))</f>
        <v>8</v>
      </c>
      <c r="F170" s="12">
        <f>C170*'Exponential Item Growth'!$B$21</f>
        <v>11289.2</v>
      </c>
      <c r="G170" s="12">
        <f>'Exponential Item Growth'!$B$22*C170</f>
        <v>169338</v>
      </c>
      <c r="H170" s="12">
        <f>'Exponential Item Growth'!$B$23*C170</f>
        <v>2257840</v>
      </c>
    </row>
    <row r="171" ht="15.75" customHeight="1">
      <c r="A171" s="2">
        <v>170.0</v>
      </c>
      <c r="B171" s="11">
        <f>'Exponential Item Growth'!$B$5*'Exponential Item Growth'!$B$6^A171</f>
        <v>369727.2866</v>
      </c>
      <c r="C171" s="12">
        <f t="shared" si="1"/>
        <v>2271.2</v>
      </c>
      <c r="D171" s="2">
        <f>A171*'Exponential Item Growth'!$B$4</f>
        <v>283.9</v>
      </c>
      <c r="E171" s="12">
        <f>if(isna(VLOOKUP(A171,'Exponential Item Growth'!$A$10:$B$18,2,false)),E170, E170*VLOOKUP(A171,'Exponential Item Growth'!$A$10:$B$18,2,false))</f>
        <v>8</v>
      </c>
      <c r="F171" s="12">
        <f>C171*'Exponential Item Growth'!$B$21</f>
        <v>11356</v>
      </c>
      <c r="G171" s="12">
        <f>'Exponential Item Growth'!$B$22*C171</f>
        <v>170340</v>
      </c>
      <c r="H171" s="12">
        <f>'Exponential Item Growth'!$B$23*C171</f>
        <v>2271200</v>
      </c>
    </row>
    <row r="172" ht="15.75" customHeight="1">
      <c r="A172" s="2">
        <v>171.0</v>
      </c>
      <c r="B172" s="11">
        <f>'Exponential Item Growth'!$B$5*'Exponential Item Growth'!$B$6^A172</f>
        <v>395608.1966</v>
      </c>
      <c r="C172" s="12">
        <f t="shared" si="1"/>
        <v>2284.56</v>
      </c>
      <c r="D172" s="2">
        <f>A172*'Exponential Item Growth'!$B$4</f>
        <v>285.57</v>
      </c>
      <c r="E172" s="12">
        <f>if(isna(VLOOKUP(A172,'Exponential Item Growth'!$A$10:$B$18,2,false)),E171, E171*VLOOKUP(A172,'Exponential Item Growth'!$A$10:$B$18,2,false))</f>
        <v>8</v>
      </c>
      <c r="F172" s="12">
        <f>C172*'Exponential Item Growth'!$B$21</f>
        <v>11422.8</v>
      </c>
      <c r="G172" s="12">
        <f>'Exponential Item Growth'!$B$22*C172</f>
        <v>171342</v>
      </c>
      <c r="H172" s="12">
        <f>'Exponential Item Growth'!$B$23*C172</f>
        <v>2284560</v>
      </c>
    </row>
    <row r="173" ht="15.75" customHeight="1">
      <c r="A173" s="2">
        <v>172.0</v>
      </c>
      <c r="B173" s="11">
        <f>'Exponential Item Growth'!$B$5*'Exponential Item Growth'!$B$6^A173</f>
        <v>423300.7704</v>
      </c>
      <c r="C173" s="12">
        <f t="shared" si="1"/>
        <v>2297.92</v>
      </c>
      <c r="D173" s="2">
        <f>A173*'Exponential Item Growth'!$B$4</f>
        <v>287.24</v>
      </c>
      <c r="E173" s="12">
        <f>if(isna(VLOOKUP(A173,'Exponential Item Growth'!$A$10:$B$18,2,false)),E172, E172*VLOOKUP(A173,'Exponential Item Growth'!$A$10:$B$18,2,false))</f>
        <v>8</v>
      </c>
      <c r="F173" s="12">
        <f>C173*'Exponential Item Growth'!$B$21</f>
        <v>11489.6</v>
      </c>
      <c r="G173" s="12">
        <f>'Exponential Item Growth'!$B$22*C173</f>
        <v>172344</v>
      </c>
      <c r="H173" s="12">
        <f>'Exponential Item Growth'!$B$23*C173</f>
        <v>2297920</v>
      </c>
    </row>
    <row r="174" ht="15.75" customHeight="1">
      <c r="A174" s="2">
        <v>173.0</v>
      </c>
      <c r="B174" s="11">
        <f>'Exponential Item Growth'!$B$5*'Exponential Item Growth'!$B$6^A174</f>
        <v>452931.8243</v>
      </c>
      <c r="C174" s="12">
        <f t="shared" si="1"/>
        <v>2311.28</v>
      </c>
      <c r="D174" s="2">
        <f>A174*'Exponential Item Growth'!$B$4</f>
        <v>288.91</v>
      </c>
      <c r="E174" s="12">
        <f>if(isna(VLOOKUP(A174,'Exponential Item Growth'!$A$10:$B$18,2,false)),E173, E173*VLOOKUP(A174,'Exponential Item Growth'!$A$10:$B$18,2,false))</f>
        <v>8</v>
      </c>
      <c r="F174" s="12">
        <f>C174*'Exponential Item Growth'!$B$21</f>
        <v>11556.4</v>
      </c>
      <c r="G174" s="12">
        <f>'Exponential Item Growth'!$B$22*C174</f>
        <v>173346</v>
      </c>
      <c r="H174" s="12">
        <f>'Exponential Item Growth'!$B$23*C174</f>
        <v>2311280</v>
      </c>
    </row>
    <row r="175" ht="15.75" customHeight="1">
      <c r="A175" s="2">
        <v>174.0</v>
      </c>
      <c r="B175" s="11">
        <f>'Exponential Item Growth'!$B$5*'Exponential Item Growth'!$B$6^A175</f>
        <v>484637.052</v>
      </c>
      <c r="C175" s="12">
        <f t="shared" si="1"/>
        <v>2324.64</v>
      </c>
      <c r="D175" s="2">
        <f>A175*'Exponential Item Growth'!$B$4</f>
        <v>290.58</v>
      </c>
      <c r="E175" s="12">
        <f>if(isna(VLOOKUP(A175,'Exponential Item Growth'!$A$10:$B$18,2,false)),E174, E174*VLOOKUP(A175,'Exponential Item Growth'!$A$10:$B$18,2,false))</f>
        <v>8</v>
      </c>
      <c r="F175" s="12">
        <f>C175*'Exponential Item Growth'!$B$21</f>
        <v>11623.2</v>
      </c>
      <c r="G175" s="12">
        <f>'Exponential Item Growth'!$B$22*C175</f>
        <v>174348</v>
      </c>
      <c r="H175" s="12">
        <f>'Exponential Item Growth'!$B$23*C175</f>
        <v>2324640</v>
      </c>
    </row>
    <row r="176" ht="15.75" customHeight="1">
      <c r="A176" s="2">
        <v>175.0</v>
      </c>
      <c r="B176" s="11">
        <f>'Exponential Item Growth'!$B$5*'Exponential Item Growth'!$B$6^A176</f>
        <v>518561.6457</v>
      </c>
      <c r="C176" s="12">
        <f t="shared" si="1"/>
        <v>2338</v>
      </c>
      <c r="D176" s="2">
        <f>A176*'Exponential Item Growth'!$B$4</f>
        <v>292.25</v>
      </c>
      <c r="E176" s="12">
        <f>if(isna(VLOOKUP(A176,'Exponential Item Growth'!$A$10:$B$18,2,false)),E175, E175*VLOOKUP(A176,'Exponential Item Growth'!$A$10:$B$18,2,false))</f>
        <v>8</v>
      </c>
      <c r="F176" s="12">
        <f>C176*'Exponential Item Growth'!$B$21</f>
        <v>11690</v>
      </c>
      <c r="G176" s="12">
        <f>'Exponential Item Growth'!$B$22*C176</f>
        <v>175350</v>
      </c>
      <c r="H176" s="12">
        <f>'Exponential Item Growth'!$B$23*C176</f>
        <v>2338000</v>
      </c>
    </row>
    <row r="177" ht="15.75" customHeight="1">
      <c r="A177" s="2">
        <v>176.0</v>
      </c>
      <c r="B177" s="11">
        <f>'Exponential Item Growth'!$B$5*'Exponential Item Growth'!$B$6^A177</f>
        <v>554860.9609</v>
      </c>
      <c r="C177" s="12">
        <f t="shared" si="1"/>
        <v>2351.36</v>
      </c>
      <c r="D177" s="2">
        <f>A177*'Exponential Item Growth'!$B$4</f>
        <v>293.92</v>
      </c>
      <c r="E177" s="12">
        <f>if(isna(VLOOKUP(A177,'Exponential Item Growth'!$A$10:$B$18,2,false)),E176, E176*VLOOKUP(A177,'Exponential Item Growth'!$A$10:$B$18,2,false))</f>
        <v>8</v>
      </c>
      <c r="F177" s="12">
        <f>C177*'Exponential Item Growth'!$B$21</f>
        <v>11756.8</v>
      </c>
      <c r="G177" s="12">
        <f>'Exponential Item Growth'!$B$22*C177</f>
        <v>176352</v>
      </c>
      <c r="H177" s="12">
        <f>'Exponential Item Growth'!$B$23*C177</f>
        <v>2351360</v>
      </c>
    </row>
    <row r="178" ht="15.75" customHeight="1">
      <c r="A178" s="2">
        <v>177.0</v>
      </c>
      <c r="B178" s="11">
        <f>'Exponential Item Growth'!$B$5*'Exponential Item Growth'!$B$6^A178</f>
        <v>593701.2282</v>
      </c>
      <c r="C178" s="12">
        <f t="shared" si="1"/>
        <v>2364.72</v>
      </c>
      <c r="D178" s="2">
        <f>A178*'Exponential Item Growth'!$B$4</f>
        <v>295.59</v>
      </c>
      <c r="E178" s="12">
        <f>if(isna(VLOOKUP(A178,'Exponential Item Growth'!$A$10:$B$18,2,false)),E177, E177*VLOOKUP(A178,'Exponential Item Growth'!$A$10:$B$18,2,false))</f>
        <v>8</v>
      </c>
      <c r="F178" s="12">
        <f>C178*'Exponential Item Growth'!$B$21</f>
        <v>11823.6</v>
      </c>
      <c r="G178" s="12">
        <f>'Exponential Item Growth'!$B$22*C178</f>
        <v>177354</v>
      </c>
      <c r="H178" s="12">
        <f>'Exponential Item Growth'!$B$23*C178</f>
        <v>2364720</v>
      </c>
    </row>
    <row r="179" ht="15.75" customHeight="1">
      <c r="A179" s="2">
        <v>178.0</v>
      </c>
      <c r="B179" s="11">
        <f>'Exponential Item Growth'!$B$5*'Exponential Item Growth'!$B$6^A179</f>
        <v>635260.3141</v>
      </c>
      <c r="C179" s="12">
        <f t="shared" si="1"/>
        <v>2378.08</v>
      </c>
      <c r="D179" s="2">
        <f>A179*'Exponential Item Growth'!$B$4</f>
        <v>297.26</v>
      </c>
      <c r="E179" s="12">
        <f>if(isna(VLOOKUP(A179,'Exponential Item Growth'!$A$10:$B$18,2,false)),E178, E178*VLOOKUP(A179,'Exponential Item Growth'!$A$10:$B$18,2,false))</f>
        <v>8</v>
      </c>
      <c r="F179" s="12">
        <f>C179*'Exponential Item Growth'!$B$21</f>
        <v>11890.4</v>
      </c>
      <c r="G179" s="12">
        <f>'Exponential Item Growth'!$B$22*C179</f>
        <v>178356</v>
      </c>
      <c r="H179" s="12">
        <f>'Exponential Item Growth'!$B$23*C179</f>
        <v>2378080</v>
      </c>
    </row>
    <row r="180" ht="15.75" customHeight="1">
      <c r="A180" s="2">
        <v>179.0</v>
      </c>
      <c r="B180" s="11">
        <f>'Exponential Item Growth'!$B$5*'Exponential Item Growth'!$B$6^A180</f>
        <v>679728.5361</v>
      </c>
      <c r="C180" s="12">
        <f t="shared" si="1"/>
        <v>2391.44</v>
      </c>
      <c r="D180" s="2">
        <f>A180*'Exponential Item Growth'!$B$4</f>
        <v>298.93</v>
      </c>
      <c r="E180" s="12">
        <f>if(isna(VLOOKUP(A180,'Exponential Item Growth'!$A$10:$B$18,2,false)),E179, E179*VLOOKUP(A180,'Exponential Item Growth'!$A$10:$B$18,2,false))</f>
        <v>8</v>
      </c>
      <c r="F180" s="12">
        <f>C180*'Exponential Item Growth'!$B$21</f>
        <v>11957.2</v>
      </c>
      <c r="G180" s="12">
        <f>'Exponential Item Growth'!$B$22*C180</f>
        <v>179358</v>
      </c>
      <c r="H180" s="12">
        <f>'Exponential Item Growth'!$B$23*C180</f>
        <v>2391440</v>
      </c>
    </row>
    <row r="181" ht="15.75" customHeight="1">
      <c r="A181" s="2">
        <v>180.0</v>
      </c>
      <c r="B181" s="11">
        <f>'Exponential Item Growth'!$B$5*'Exponential Item Growth'!$B$6^A181</f>
        <v>727309.5336</v>
      </c>
      <c r="C181" s="12">
        <f t="shared" si="1"/>
        <v>2404.8</v>
      </c>
      <c r="D181" s="2">
        <f>A181*'Exponential Item Growth'!$B$4</f>
        <v>300.6</v>
      </c>
      <c r="E181" s="12">
        <f>if(isna(VLOOKUP(A181,'Exponential Item Growth'!$A$10:$B$18,2,false)),E180, E180*VLOOKUP(A181,'Exponential Item Growth'!$A$10:$B$18,2,false))</f>
        <v>8</v>
      </c>
      <c r="F181" s="12">
        <f>C181*'Exponential Item Growth'!$B$21</f>
        <v>12024</v>
      </c>
      <c r="G181" s="12">
        <f>'Exponential Item Growth'!$B$22*C181</f>
        <v>180360</v>
      </c>
      <c r="H181" s="12">
        <f>'Exponential Item Growth'!$B$23*C181</f>
        <v>2404800</v>
      </c>
    </row>
    <row r="182" ht="15.75" customHeight="1">
      <c r="A182" s="2">
        <v>181.0</v>
      </c>
      <c r="B182" s="11">
        <f>'Exponential Item Growth'!$B$5*'Exponential Item Growth'!$B$6^A182</f>
        <v>778221.201</v>
      </c>
      <c r="C182" s="12">
        <f t="shared" si="1"/>
        <v>2418.16</v>
      </c>
      <c r="D182" s="2">
        <f>A182*'Exponential Item Growth'!$B$4</f>
        <v>302.27</v>
      </c>
      <c r="E182" s="12">
        <f>if(isna(VLOOKUP(A182,'Exponential Item Growth'!$A$10:$B$18,2,false)),E181, E181*VLOOKUP(A182,'Exponential Item Growth'!$A$10:$B$18,2,false))</f>
        <v>8</v>
      </c>
      <c r="F182" s="12">
        <f>C182*'Exponential Item Growth'!$B$21</f>
        <v>12090.8</v>
      </c>
      <c r="G182" s="12">
        <f>'Exponential Item Growth'!$B$22*C182</f>
        <v>181362</v>
      </c>
      <c r="H182" s="12">
        <f>'Exponential Item Growth'!$B$23*C182</f>
        <v>2418160</v>
      </c>
    </row>
    <row r="183" ht="15.75" customHeight="1">
      <c r="A183" s="2">
        <v>182.0</v>
      </c>
      <c r="B183" s="11">
        <f>'Exponential Item Growth'!$B$5*'Exponential Item Growth'!$B$6^A183</f>
        <v>832696.6851</v>
      </c>
      <c r="C183" s="12">
        <f t="shared" si="1"/>
        <v>2431.52</v>
      </c>
      <c r="D183" s="2">
        <f>A183*'Exponential Item Growth'!$B$4</f>
        <v>303.94</v>
      </c>
      <c r="E183" s="12">
        <f>if(isna(VLOOKUP(A183,'Exponential Item Growth'!$A$10:$B$18,2,false)),E182, E182*VLOOKUP(A183,'Exponential Item Growth'!$A$10:$B$18,2,false))</f>
        <v>8</v>
      </c>
      <c r="F183" s="12">
        <f>C183*'Exponential Item Growth'!$B$21</f>
        <v>12157.6</v>
      </c>
      <c r="G183" s="12">
        <f>'Exponential Item Growth'!$B$22*C183</f>
        <v>182364</v>
      </c>
      <c r="H183" s="12">
        <f>'Exponential Item Growth'!$B$23*C183</f>
        <v>2431520</v>
      </c>
    </row>
    <row r="184" ht="15.75" customHeight="1">
      <c r="A184" s="2">
        <v>183.0</v>
      </c>
      <c r="B184" s="11">
        <f>'Exponential Item Growth'!$B$5*'Exponential Item Growth'!$B$6^A184</f>
        <v>890985.453</v>
      </c>
      <c r="C184" s="12">
        <f t="shared" si="1"/>
        <v>2444.88</v>
      </c>
      <c r="D184" s="2">
        <f>A184*'Exponential Item Growth'!$B$4</f>
        <v>305.61</v>
      </c>
      <c r="E184" s="12">
        <f>if(isna(VLOOKUP(A184,'Exponential Item Growth'!$A$10:$B$18,2,false)),E183, E183*VLOOKUP(A184,'Exponential Item Growth'!$A$10:$B$18,2,false))</f>
        <v>8</v>
      </c>
      <c r="F184" s="12">
        <f>C184*'Exponential Item Growth'!$B$21</f>
        <v>12224.4</v>
      </c>
      <c r="G184" s="12">
        <f>'Exponential Item Growth'!$B$22*C184</f>
        <v>183366</v>
      </c>
      <c r="H184" s="12">
        <f>'Exponential Item Growth'!$B$23*C184</f>
        <v>2444880</v>
      </c>
    </row>
    <row r="185" ht="15.75" customHeight="1">
      <c r="A185" s="2">
        <v>184.0</v>
      </c>
      <c r="B185" s="11">
        <f>'Exponential Item Growth'!$B$5*'Exponential Item Growth'!$B$6^A185</f>
        <v>953354.4347</v>
      </c>
      <c r="C185" s="12">
        <f t="shared" si="1"/>
        <v>2458.24</v>
      </c>
      <c r="D185" s="2">
        <f>A185*'Exponential Item Growth'!$B$4</f>
        <v>307.28</v>
      </c>
      <c r="E185" s="12">
        <f>if(isna(VLOOKUP(A185,'Exponential Item Growth'!$A$10:$B$18,2,false)),E184, E184*VLOOKUP(A185,'Exponential Item Growth'!$A$10:$B$18,2,false))</f>
        <v>8</v>
      </c>
      <c r="F185" s="12">
        <f>C185*'Exponential Item Growth'!$B$21</f>
        <v>12291.2</v>
      </c>
      <c r="G185" s="12">
        <f>'Exponential Item Growth'!$B$22*C185</f>
        <v>184368</v>
      </c>
      <c r="H185" s="12">
        <f>'Exponential Item Growth'!$B$23*C185</f>
        <v>2458240</v>
      </c>
    </row>
    <row r="186" ht="15.75" customHeight="1">
      <c r="A186" s="2">
        <v>185.0</v>
      </c>
      <c r="B186" s="11">
        <f>'Exponential Item Growth'!$B$5*'Exponential Item Growth'!$B$6^A186</f>
        <v>1020089.245</v>
      </c>
      <c r="C186" s="12">
        <f t="shared" si="1"/>
        <v>2471.6</v>
      </c>
      <c r="D186" s="2">
        <f>A186*'Exponential Item Growth'!$B$4</f>
        <v>308.95</v>
      </c>
      <c r="E186" s="12">
        <f>if(isna(VLOOKUP(A186,'Exponential Item Growth'!$A$10:$B$18,2,false)),E185, E185*VLOOKUP(A186,'Exponential Item Growth'!$A$10:$B$18,2,false))</f>
        <v>8</v>
      </c>
      <c r="F186" s="12">
        <f>C186*'Exponential Item Growth'!$B$21</f>
        <v>12358</v>
      </c>
      <c r="G186" s="12">
        <f>'Exponential Item Growth'!$B$22*C186</f>
        <v>185370</v>
      </c>
      <c r="H186" s="12">
        <f>'Exponential Item Growth'!$B$23*C186</f>
        <v>2471600</v>
      </c>
    </row>
    <row r="187" ht="15.75" customHeight="1">
      <c r="A187" s="2">
        <v>186.0</v>
      </c>
      <c r="B187" s="11">
        <f>'Exponential Item Growth'!$B$5*'Exponential Item Growth'!$B$6^A187</f>
        <v>1091495.492</v>
      </c>
      <c r="C187" s="12">
        <f t="shared" si="1"/>
        <v>2484.96</v>
      </c>
      <c r="D187" s="2">
        <f>A187*'Exponential Item Growth'!$B$4</f>
        <v>310.62</v>
      </c>
      <c r="E187" s="12">
        <f>if(isna(VLOOKUP(A187,'Exponential Item Growth'!$A$10:$B$18,2,false)),E186, E186*VLOOKUP(A187,'Exponential Item Growth'!$A$10:$B$18,2,false))</f>
        <v>8</v>
      </c>
      <c r="F187" s="12">
        <f>C187*'Exponential Item Growth'!$B$21</f>
        <v>12424.8</v>
      </c>
      <c r="G187" s="12">
        <f>'Exponential Item Growth'!$B$22*C187</f>
        <v>186372</v>
      </c>
      <c r="H187" s="12">
        <f>'Exponential Item Growth'!$B$23*C187</f>
        <v>2484960</v>
      </c>
    </row>
    <row r="188" ht="15.75" customHeight="1">
      <c r="A188" s="2">
        <v>187.0</v>
      </c>
      <c r="B188" s="11">
        <f>'Exponential Item Growth'!$B$5*'Exponential Item Growth'!$B$6^A188</f>
        <v>1167900.177</v>
      </c>
      <c r="C188" s="12">
        <f t="shared" si="1"/>
        <v>2498.32</v>
      </c>
      <c r="D188" s="2">
        <f>A188*'Exponential Item Growth'!$B$4</f>
        <v>312.29</v>
      </c>
      <c r="E188" s="12">
        <f>if(isna(VLOOKUP(A188,'Exponential Item Growth'!$A$10:$B$18,2,false)),E187, E187*VLOOKUP(A188,'Exponential Item Growth'!$A$10:$B$18,2,false))</f>
        <v>8</v>
      </c>
      <c r="F188" s="12">
        <f>C188*'Exponential Item Growth'!$B$21</f>
        <v>12491.6</v>
      </c>
      <c r="G188" s="12">
        <f>'Exponential Item Growth'!$B$22*C188</f>
        <v>187374</v>
      </c>
      <c r="H188" s="12">
        <f>'Exponential Item Growth'!$B$23*C188</f>
        <v>2498320</v>
      </c>
    </row>
    <row r="189" ht="15.75" customHeight="1">
      <c r="A189" s="2">
        <v>188.0</v>
      </c>
      <c r="B189" s="11">
        <f>'Exponential Item Growth'!$B$5*'Exponential Item Growth'!$B$6^A189</f>
        <v>1249653.189</v>
      </c>
      <c r="C189" s="12">
        <f t="shared" si="1"/>
        <v>2511.68</v>
      </c>
      <c r="D189" s="2">
        <f>A189*'Exponential Item Growth'!$B$4</f>
        <v>313.96</v>
      </c>
      <c r="E189" s="12">
        <f>if(isna(VLOOKUP(A189,'Exponential Item Growth'!$A$10:$B$18,2,false)),E188, E188*VLOOKUP(A189,'Exponential Item Growth'!$A$10:$B$18,2,false))</f>
        <v>8</v>
      </c>
      <c r="F189" s="12">
        <f>C189*'Exponential Item Growth'!$B$21</f>
        <v>12558.4</v>
      </c>
      <c r="G189" s="12">
        <f>'Exponential Item Growth'!$B$22*C189</f>
        <v>188376</v>
      </c>
      <c r="H189" s="12">
        <f>'Exponential Item Growth'!$B$23*C189</f>
        <v>2511680</v>
      </c>
    </row>
    <row r="190" ht="15.75" customHeight="1">
      <c r="A190" s="2">
        <v>189.0</v>
      </c>
      <c r="B190" s="11">
        <f>'Exponential Item Growth'!$B$5*'Exponential Item Growth'!$B$6^A190</f>
        <v>1337128.912</v>
      </c>
      <c r="C190" s="12">
        <f t="shared" si="1"/>
        <v>2525.04</v>
      </c>
      <c r="D190" s="2">
        <f>A190*'Exponential Item Growth'!$B$4</f>
        <v>315.63</v>
      </c>
      <c r="E190" s="12">
        <f>if(isna(VLOOKUP(A190,'Exponential Item Growth'!$A$10:$B$18,2,false)),E189, E189*VLOOKUP(A190,'Exponential Item Growth'!$A$10:$B$18,2,false))</f>
        <v>8</v>
      </c>
      <c r="F190" s="12">
        <f>C190*'Exponential Item Growth'!$B$21</f>
        <v>12625.2</v>
      </c>
      <c r="G190" s="12">
        <f>'Exponential Item Growth'!$B$22*C190</f>
        <v>189378</v>
      </c>
      <c r="H190" s="12">
        <f>'Exponential Item Growth'!$B$23*C190</f>
        <v>2525040</v>
      </c>
    </row>
    <row r="191" ht="15.75" customHeight="1">
      <c r="A191" s="2">
        <v>190.0</v>
      </c>
      <c r="B191" s="11">
        <f>'Exponential Item Growth'!$B$5*'Exponential Item Growth'!$B$6^A191</f>
        <v>1430727.936</v>
      </c>
      <c r="C191" s="12">
        <f t="shared" si="1"/>
        <v>2538.4</v>
      </c>
      <c r="D191" s="2">
        <f>A191*'Exponential Item Growth'!$B$4</f>
        <v>317.3</v>
      </c>
      <c r="E191" s="12">
        <f>if(isna(VLOOKUP(A191,'Exponential Item Growth'!$A$10:$B$18,2,false)),E190, E190*VLOOKUP(A191,'Exponential Item Growth'!$A$10:$B$18,2,false))</f>
        <v>8</v>
      </c>
      <c r="F191" s="12">
        <f>C191*'Exponential Item Growth'!$B$21</f>
        <v>12692</v>
      </c>
      <c r="G191" s="12">
        <f>'Exponential Item Growth'!$B$22*C191</f>
        <v>190380</v>
      </c>
      <c r="H191" s="12">
        <f>'Exponential Item Growth'!$B$23*C191</f>
        <v>2538400</v>
      </c>
    </row>
    <row r="192" ht="15.75" customHeight="1">
      <c r="A192" s="2">
        <v>191.0</v>
      </c>
      <c r="B192" s="11">
        <f>'Exponential Item Growth'!$B$5*'Exponential Item Growth'!$B$6^A192</f>
        <v>1530878.892</v>
      </c>
      <c r="C192" s="12">
        <f t="shared" si="1"/>
        <v>2551.76</v>
      </c>
      <c r="D192" s="2">
        <f>A192*'Exponential Item Growth'!$B$4</f>
        <v>318.97</v>
      </c>
      <c r="E192" s="12">
        <f>if(isna(VLOOKUP(A192,'Exponential Item Growth'!$A$10:$B$18,2,false)),E191, E191*VLOOKUP(A192,'Exponential Item Growth'!$A$10:$B$18,2,false))</f>
        <v>8</v>
      </c>
      <c r="F192" s="12">
        <f>C192*'Exponential Item Growth'!$B$21</f>
        <v>12758.8</v>
      </c>
      <c r="G192" s="12">
        <f>'Exponential Item Growth'!$B$22*C192</f>
        <v>191382</v>
      </c>
      <c r="H192" s="12">
        <f>'Exponential Item Growth'!$B$23*C192</f>
        <v>2551760</v>
      </c>
    </row>
    <row r="193" ht="15.75" customHeight="1">
      <c r="A193" s="2">
        <v>192.0</v>
      </c>
      <c r="B193" s="11">
        <f>'Exponential Item Growth'!$B$5*'Exponential Item Growth'!$B$6^A193</f>
        <v>1638040.414</v>
      </c>
      <c r="C193" s="12">
        <f t="shared" si="1"/>
        <v>2565.12</v>
      </c>
      <c r="D193" s="2">
        <f>A193*'Exponential Item Growth'!$B$4</f>
        <v>320.64</v>
      </c>
      <c r="E193" s="12">
        <f>if(isna(VLOOKUP(A193,'Exponential Item Growth'!$A$10:$B$18,2,false)),E192, E192*VLOOKUP(A193,'Exponential Item Growth'!$A$10:$B$18,2,false))</f>
        <v>8</v>
      </c>
      <c r="F193" s="12">
        <f>C193*'Exponential Item Growth'!$B$21</f>
        <v>12825.6</v>
      </c>
      <c r="G193" s="12">
        <f>'Exponential Item Growth'!$B$22*C193</f>
        <v>192384</v>
      </c>
      <c r="H193" s="12">
        <f>'Exponential Item Growth'!$B$23*C193</f>
        <v>2565120</v>
      </c>
    </row>
    <row r="194" ht="15.75" customHeight="1">
      <c r="A194" s="2">
        <v>193.0</v>
      </c>
      <c r="B194" s="11">
        <f>'Exponential Item Growth'!$B$5*'Exponential Item Growth'!$B$6^A194</f>
        <v>1752703.243</v>
      </c>
      <c r="C194" s="12">
        <f t="shared" si="1"/>
        <v>2578.48</v>
      </c>
      <c r="D194" s="2">
        <f>A194*'Exponential Item Growth'!$B$4</f>
        <v>322.31</v>
      </c>
      <c r="E194" s="12">
        <f>if(isna(VLOOKUP(A194,'Exponential Item Growth'!$A$10:$B$18,2,false)),E193, E193*VLOOKUP(A194,'Exponential Item Growth'!$A$10:$B$18,2,false))</f>
        <v>8</v>
      </c>
      <c r="F194" s="12">
        <f>C194*'Exponential Item Growth'!$B$21</f>
        <v>12892.4</v>
      </c>
      <c r="G194" s="12">
        <f>'Exponential Item Growth'!$B$22*C194</f>
        <v>193386</v>
      </c>
      <c r="H194" s="12">
        <f>'Exponential Item Growth'!$B$23*C194</f>
        <v>2578480</v>
      </c>
    </row>
    <row r="195" ht="15.75" customHeight="1">
      <c r="A195" s="2">
        <v>194.0</v>
      </c>
      <c r="B195" s="11">
        <f>'Exponential Item Growth'!$B$5*'Exponential Item Growth'!$B$6^A195</f>
        <v>1875392.47</v>
      </c>
      <c r="C195" s="12">
        <f t="shared" si="1"/>
        <v>2591.84</v>
      </c>
      <c r="D195" s="2">
        <f>A195*'Exponential Item Growth'!$B$4</f>
        <v>323.98</v>
      </c>
      <c r="E195" s="12">
        <f>if(isna(VLOOKUP(A195,'Exponential Item Growth'!$A$10:$B$18,2,false)),E194, E194*VLOOKUP(A195,'Exponential Item Growth'!$A$10:$B$18,2,false))</f>
        <v>8</v>
      </c>
      <c r="F195" s="12">
        <f>C195*'Exponential Item Growth'!$B$21</f>
        <v>12959.2</v>
      </c>
      <c r="G195" s="12">
        <f>'Exponential Item Growth'!$B$22*C195</f>
        <v>194388</v>
      </c>
      <c r="H195" s="12">
        <f>'Exponential Item Growth'!$B$23*C195</f>
        <v>2591840</v>
      </c>
    </row>
    <row r="196" ht="15.75" customHeight="1">
      <c r="A196" s="2">
        <v>195.0</v>
      </c>
      <c r="B196" s="11">
        <f>'Exponential Item Growth'!$B$5*'Exponential Item Growth'!$B$6^A196</f>
        <v>2006669.943</v>
      </c>
      <c r="C196" s="12">
        <f t="shared" si="1"/>
        <v>2605.2</v>
      </c>
      <c r="D196" s="2">
        <f>A196*'Exponential Item Growth'!$B$4</f>
        <v>325.65</v>
      </c>
      <c r="E196" s="12">
        <f>if(isna(VLOOKUP(A196,'Exponential Item Growth'!$A$10:$B$18,2,false)),E195, E195*VLOOKUP(A196,'Exponential Item Growth'!$A$10:$B$18,2,false))</f>
        <v>8</v>
      </c>
      <c r="F196" s="12">
        <f>C196*'Exponential Item Growth'!$B$21</f>
        <v>13026</v>
      </c>
      <c r="G196" s="12">
        <f>'Exponential Item Growth'!$B$22*C196</f>
        <v>195390</v>
      </c>
      <c r="H196" s="12">
        <f>'Exponential Item Growth'!$B$23*C196</f>
        <v>2605200</v>
      </c>
    </row>
    <row r="197" ht="15.75" customHeight="1">
      <c r="A197" s="2">
        <v>196.0</v>
      </c>
      <c r="B197" s="11">
        <f>'Exponential Item Growth'!$B$5*'Exponential Item Growth'!$B$6^A197</f>
        <v>2147136.839</v>
      </c>
      <c r="C197" s="12">
        <f t="shared" si="1"/>
        <v>2618.56</v>
      </c>
      <c r="D197" s="2">
        <f>A197*'Exponential Item Growth'!$B$4</f>
        <v>327.32</v>
      </c>
      <c r="E197" s="12">
        <f>if(isna(VLOOKUP(A197,'Exponential Item Growth'!$A$10:$B$18,2,false)),E196, E196*VLOOKUP(A197,'Exponential Item Growth'!$A$10:$B$18,2,false))</f>
        <v>8</v>
      </c>
      <c r="F197" s="12">
        <f>C197*'Exponential Item Growth'!$B$21</f>
        <v>13092.8</v>
      </c>
      <c r="G197" s="12">
        <f>'Exponential Item Growth'!$B$22*C197</f>
        <v>196392</v>
      </c>
      <c r="H197" s="12">
        <f>'Exponential Item Growth'!$B$23*C197</f>
        <v>2618560</v>
      </c>
    </row>
    <row r="198" ht="15.75" customHeight="1">
      <c r="A198" s="2">
        <v>197.0</v>
      </c>
      <c r="B198" s="11">
        <f>'Exponential Item Growth'!$B$5*'Exponential Item Growth'!$B$6^A198</f>
        <v>2297436.418</v>
      </c>
      <c r="C198" s="12">
        <f t="shared" si="1"/>
        <v>2631.92</v>
      </c>
      <c r="D198" s="2">
        <f>A198*'Exponential Item Growth'!$B$4</f>
        <v>328.99</v>
      </c>
      <c r="E198" s="12">
        <f>if(isna(VLOOKUP(A198,'Exponential Item Growth'!$A$10:$B$18,2,false)),E197, E197*VLOOKUP(A198,'Exponential Item Growth'!$A$10:$B$18,2,false))</f>
        <v>8</v>
      </c>
      <c r="F198" s="12">
        <f>C198*'Exponential Item Growth'!$B$21</f>
        <v>13159.6</v>
      </c>
      <c r="G198" s="12">
        <f>'Exponential Item Growth'!$B$22*C198</f>
        <v>197394</v>
      </c>
      <c r="H198" s="12">
        <f>'Exponential Item Growth'!$B$23*C198</f>
        <v>2631920</v>
      </c>
    </row>
    <row r="199" ht="15.75" customHeight="1">
      <c r="A199" s="2">
        <v>198.0</v>
      </c>
      <c r="B199" s="11">
        <f>'Exponential Item Growth'!$B$5*'Exponential Item Growth'!$B$6^A199</f>
        <v>2458256.967</v>
      </c>
      <c r="C199" s="12">
        <f t="shared" si="1"/>
        <v>2645.28</v>
      </c>
      <c r="D199" s="2">
        <f>A199*'Exponential Item Growth'!$B$4</f>
        <v>330.66</v>
      </c>
      <c r="E199" s="12">
        <f>if(isna(VLOOKUP(A199,'Exponential Item Growth'!$A$10:$B$18,2,false)),E198, E198*VLOOKUP(A199,'Exponential Item Growth'!$A$10:$B$18,2,false))</f>
        <v>8</v>
      </c>
      <c r="F199" s="12">
        <f>C199*'Exponential Item Growth'!$B$21</f>
        <v>13226.4</v>
      </c>
      <c r="G199" s="12">
        <f>'Exponential Item Growth'!$B$22*C199</f>
        <v>198396</v>
      </c>
      <c r="H199" s="12">
        <f>'Exponential Item Growth'!$B$23*C199</f>
        <v>2645280</v>
      </c>
    </row>
    <row r="200" ht="15.75" customHeight="1">
      <c r="A200" s="2">
        <v>199.0</v>
      </c>
      <c r="B200" s="11">
        <f>'Exponential Item Growth'!$B$5*'Exponential Item Growth'!$B$6^A200</f>
        <v>2630334.955</v>
      </c>
      <c r="C200" s="12">
        <f t="shared" si="1"/>
        <v>2658.64</v>
      </c>
      <c r="D200" s="2">
        <f>A200*'Exponential Item Growth'!$B$4</f>
        <v>332.33</v>
      </c>
      <c r="E200" s="12">
        <f>if(isna(VLOOKUP(A200,'Exponential Item Growth'!$A$10:$B$18,2,false)),E199, E199*VLOOKUP(A200,'Exponential Item Growth'!$A$10:$B$18,2,false))</f>
        <v>8</v>
      </c>
      <c r="F200" s="12">
        <f>C200*'Exponential Item Growth'!$B$21</f>
        <v>13293.2</v>
      </c>
      <c r="G200" s="12">
        <f>'Exponential Item Growth'!$B$22*C200</f>
        <v>199398</v>
      </c>
      <c r="H200" s="12">
        <f>'Exponential Item Growth'!$B$23*C200</f>
        <v>2658640</v>
      </c>
    </row>
    <row r="201" ht="15.75" customHeight="1">
      <c r="A201" s="2">
        <v>200.0</v>
      </c>
      <c r="B201" s="11">
        <f>'Exponential Item Growth'!$B$5*'Exponential Item Growth'!$B$6^A201</f>
        <v>2814458.402</v>
      </c>
      <c r="C201" s="12">
        <f t="shared" si="1"/>
        <v>5344</v>
      </c>
      <c r="D201" s="2">
        <f>A201*'Exponential Item Growth'!$B$4</f>
        <v>334</v>
      </c>
      <c r="E201" s="12">
        <f>if(isna(VLOOKUP(A201,'Exponential Item Growth'!$A$10:$B$18,2,false)),E200, E200*VLOOKUP(A201,'Exponential Item Growth'!$A$10:$B$18,2,false))</f>
        <v>16</v>
      </c>
      <c r="F201" s="12">
        <f>C201*'Exponential Item Growth'!$B$21</f>
        <v>26720</v>
      </c>
      <c r="G201" s="12">
        <f>'Exponential Item Growth'!$B$22*C201</f>
        <v>400800</v>
      </c>
      <c r="H201" s="12">
        <f>'Exponential Item Growth'!$B$23*C201</f>
        <v>5344000</v>
      </c>
    </row>
    <row r="202" ht="15.75" customHeight="1">
      <c r="A202" s="2">
        <v>201.0</v>
      </c>
      <c r="B202" s="11">
        <f>'Exponential Item Growth'!$B$5*'Exponential Item Growth'!$B$6^A202</f>
        <v>3011470.49</v>
      </c>
      <c r="C202" s="12">
        <f t="shared" si="1"/>
        <v>5370.72</v>
      </c>
      <c r="D202" s="2">
        <f>A202*'Exponential Item Growth'!$B$4</f>
        <v>335.67</v>
      </c>
      <c r="E202" s="12">
        <f>if(isna(VLOOKUP(A202,'Exponential Item Growth'!$A$10:$B$18,2,false)),E201, E201*VLOOKUP(A202,'Exponential Item Growth'!$A$10:$B$18,2,false))</f>
        <v>16</v>
      </c>
      <c r="F202" s="12">
        <f>C202*'Exponential Item Growth'!$B$21</f>
        <v>26853.6</v>
      </c>
      <c r="G202" s="12">
        <f>'Exponential Item Growth'!$B$22*C202</f>
        <v>402804</v>
      </c>
      <c r="H202" s="12">
        <f>'Exponential Item Growth'!$B$23*C202</f>
        <v>5370720</v>
      </c>
    </row>
    <row r="203" ht="15.75" customHeight="1">
      <c r="A203" s="2">
        <v>202.0</v>
      </c>
      <c r="B203" s="11">
        <f>'Exponential Item Growth'!$B$5*'Exponential Item Growth'!$B$6^A203</f>
        <v>3222273.424</v>
      </c>
      <c r="C203" s="12">
        <f t="shared" si="1"/>
        <v>5397.44</v>
      </c>
      <c r="D203" s="2">
        <f>A203*'Exponential Item Growth'!$B$4</f>
        <v>337.34</v>
      </c>
      <c r="E203" s="12">
        <f>if(isna(VLOOKUP(A203,'Exponential Item Growth'!$A$10:$B$18,2,false)),E202, E202*VLOOKUP(A203,'Exponential Item Growth'!$A$10:$B$18,2,false))</f>
        <v>16</v>
      </c>
      <c r="F203" s="12">
        <f>C203*'Exponential Item Growth'!$B$21</f>
        <v>26987.2</v>
      </c>
      <c r="G203" s="12">
        <f>'Exponential Item Growth'!$B$22*C203</f>
        <v>404808</v>
      </c>
      <c r="H203" s="12">
        <f>'Exponential Item Growth'!$B$23*C203</f>
        <v>5397440</v>
      </c>
    </row>
    <row r="204" ht="15.75" customHeight="1">
      <c r="A204" s="2">
        <v>203.0</v>
      </c>
      <c r="B204" s="11">
        <f>'Exponential Item Growth'!$B$5*'Exponential Item Growth'!$B$6^A204</f>
        <v>3447832.564</v>
      </c>
      <c r="C204" s="12">
        <f t="shared" si="1"/>
        <v>5424.16</v>
      </c>
      <c r="D204" s="2">
        <f>A204*'Exponential Item Growth'!$B$4</f>
        <v>339.01</v>
      </c>
      <c r="E204" s="12">
        <f>if(isna(VLOOKUP(A204,'Exponential Item Growth'!$A$10:$B$18,2,false)),E203, E203*VLOOKUP(A204,'Exponential Item Growth'!$A$10:$B$18,2,false))</f>
        <v>16</v>
      </c>
      <c r="F204" s="12">
        <f>C204*'Exponential Item Growth'!$B$21</f>
        <v>27120.8</v>
      </c>
      <c r="G204" s="12">
        <f>'Exponential Item Growth'!$B$22*C204</f>
        <v>406812</v>
      </c>
      <c r="H204" s="12">
        <f>'Exponential Item Growth'!$B$23*C204</f>
        <v>5424160</v>
      </c>
    </row>
    <row r="205" ht="15.75" customHeight="1">
      <c r="A205" s="2">
        <v>204.0</v>
      </c>
      <c r="B205" s="11">
        <f>'Exponential Item Growth'!$B$5*'Exponential Item Growth'!$B$6^A205</f>
        <v>3689180.843</v>
      </c>
      <c r="C205" s="12">
        <f t="shared" si="1"/>
        <v>5450.88</v>
      </c>
      <c r="D205" s="2">
        <f>A205*'Exponential Item Growth'!$B$4</f>
        <v>340.68</v>
      </c>
      <c r="E205" s="12">
        <f>if(isna(VLOOKUP(A205,'Exponential Item Growth'!$A$10:$B$18,2,false)),E204, E204*VLOOKUP(A205,'Exponential Item Growth'!$A$10:$B$18,2,false))</f>
        <v>16</v>
      </c>
      <c r="F205" s="12">
        <f>C205*'Exponential Item Growth'!$B$21</f>
        <v>27254.4</v>
      </c>
      <c r="G205" s="12">
        <f>'Exponential Item Growth'!$B$22*C205</f>
        <v>408816</v>
      </c>
      <c r="H205" s="12">
        <f>'Exponential Item Growth'!$B$23*C205</f>
        <v>5450880</v>
      </c>
    </row>
    <row r="206" ht="15.75" customHeight="1">
      <c r="A206" s="2">
        <v>205.0</v>
      </c>
      <c r="B206" s="11">
        <f>'Exponential Item Growth'!$B$5*'Exponential Item Growth'!$B$6^A206</f>
        <v>3947423.502</v>
      </c>
      <c r="C206" s="12">
        <f t="shared" si="1"/>
        <v>5477.6</v>
      </c>
      <c r="D206" s="2">
        <f>A206*'Exponential Item Growth'!$B$4</f>
        <v>342.35</v>
      </c>
      <c r="E206" s="12">
        <f>if(isna(VLOOKUP(A206,'Exponential Item Growth'!$A$10:$B$18,2,false)),E205, E205*VLOOKUP(A206,'Exponential Item Growth'!$A$10:$B$18,2,false))</f>
        <v>16</v>
      </c>
      <c r="F206" s="12">
        <f>C206*'Exponential Item Growth'!$B$21</f>
        <v>27388</v>
      </c>
      <c r="G206" s="12">
        <f>'Exponential Item Growth'!$B$22*C206</f>
        <v>410820</v>
      </c>
      <c r="H206" s="12">
        <f>'Exponential Item Growth'!$B$23*C206</f>
        <v>5477600</v>
      </c>
    </row>
    <row r="207" ht="15.75" customHeight="1">
      <c r="A207" s="2">
        <v>206.0</v>
      </c>
      <c r="B207" s="11">
        <f>'Exponential Item Growth'!$B$5*'Exponential Item Growth'!$B$6^A207</f>
        <v>4223743.148</v>
      </c>
      <c r="C207" s="12">
        <f t="shared" si="1"/>
        <v>5504.32</v>
      </c>
      <c r="D207" s="2">
        <f>A207*'Exponential Item Growth'!$B$4</f>
        <v>344.02</v>
      </c>
      <c r="E207" s="12">
        <f>if(isna(VLOOKUP(A207,'Exponential Item Growth'!$A$10:$B$18,2,false)),E206, E206*VLOOKUP(A207,'Exponential Item Growth'!$A$10:$B$18,2,false))</f>
        <v>16</v>
      </c>
      <c r="F207" s="12">
        <f>C207*'Exponential Item Growth'!$B$21</f>
        <v>27521.6</v>
      </c>
      <c r="G207" s="12">
        <f>'Exponential Item Growth'!$B$22*C207</f>
        <v>412824</v>
      </c>
      <c r="H207" s="12">
        <f>'Exponential Item Growth'!$B$23*C207</f>
        <v>5504320</v>
      </c>
    </row>
    <row r="208" ht="15.75" customHeight="1">
      <c r="A208" s="2">
        <v>207.0</v>
      </c>
      <c r="B208" s="11">
        <f>'Exponential Item Growth'!$B$5*'Exponential Item Growth'!$B$6^A208</f>
        <v>4519405.168</v>
      </c>
      <c r="C208" s="12">
        <f t="shared" si="1"/>
        <v>5531.04</v>
      </c>
      <c r="D208" s="2">
        <f>A208*'Exponential Item Growth'!$B$4</f>
        <v>345.69</v>
      </c>
      <c r="E208" s="12">
        <f>if(isna(VLOOKUP(A208,'Exponential Item Growth'!$A$10:$B$18,2,false)),E207, E207*VLOOKUP(A208,'Exponential Item Growth'!$A$10:$B$18,2,false))</f>
        <v>16</v>
      </c>
      <c r="F208" s="12">
        <f>C208*'Exponential Item Growth'!$B$21</f>
        <v>27655.2</v>
      </c>
      <c r="G208" s="12">
        <f>'Exponential Item Growth'!$B$22*C208</f>
        <v>414828</v>
      </c>
      <c r="H208" s="12">
        <f>'Exponential Item Growth'!$B$23*C208</f>
        <v>5531040</v>
      </c>
    </row>
    <row r="209" ht="15.75" customHeight="1">
      <c r="A209" s="2">
        <v>208.0</v>
      </c>
      <c r="B209" s="11">
        <f>'Exponential Item Growth'!$B$5*'Exponential Item Growth'!$B$6^A209</f>
        <v>4835763.53</v>
      </c>
      <c r="C209" s="12">
        <f t="shared" si="1"/>
        <v>5557.76</v>
      </c>
      <c r="D209" s="2">
        <f>A209*'Exponential Item Growth'!$B$4</f>
        <v>347.36</v>
      </c>
      <c r="E209" s="12">
        <f>if(isna(VLOOKUP(A209,'Exponential Item Growth'!$A$10:$B$18,2,false)),E208, E208*VLOOKUP(A209,'Exponential Item Growth'!$A$10:$B$18,2,false))</f>
        <v>16</v>
      </c>
      <c r="F209" s="12">
        <f>C209*'Exponential Item Growth'!$B$21</f>
        <v>27788.8</v>
      </c>
      <c r="G209" s="12">
        <f>'Exponential Item Growth'!$B$22*C209</f>
        <v>416832</v>
      </c>
      <c r="H209" s="12">
        <f>'Exponential Item Growth'!$B$23*C209</f>
        <v>5557760</v>
      </c>
    </row>
    <row r="210" ht="15.75" customHeight="1">
      <c r="A210" s="2">
        <v>209.0</v>
      </c>
      <c r="B210" s="11">
        <f>'Exponential Item Growth'!$B$5*'Exponential Item Growth'!$B$6^A210</f>
        <v>5174266.977</v>
      </c>
      <c r="C210" s="12">
        <f t="shared" si="1"/>
        <v>5584.48</v>
      </c>
      <c r="D210" s="2">
        <f>A210*'Exponential Item Growth'!$B$4</f>
        <v>349.03</v>
      </c>
      <c r="E210" s="12">
        <f>if(isna(VLOOKUP(A210,'Exponential Item Growth'!$A$10:$B$18,2,false)),E209, E209*VLOOKUP(A210,'Exponential Item Growth'!$A$10:$B$18,2,false))</f>
        <v>16</v>
      </c>
      <c r="F210" s="12">
        <f>C210*'Exponential Item Growth'!$B$21</f>
        <v>27922.4</v>
      </c>
      <c r="G210" s="12">
        <f>'Exponential Item Growth'!$B$22*C210</f>
        <v>418836</v>
      </c>
      <c r="H210" s="12">
        <f>'Exponential Item Growth'!$B$23*C210</f>
        <v>5584480</v>
      </c>
    </row>
    <row r="211" ht="15.75" customHeight="1">
      <c r="A211" s="2">
        <v>210.0</v>
      </c>
      <c r="B211" s="11">
        <f>'Exponential Item Growth'!$B$5*'Exponential Item Growth'!$B$6^A211</f>
        <v>5536465.665</v>
      </c>
      <c r="C211" s="12">
        <f t="shared" si="1"/>
        <v>5611.2</v>
      </c>
      <c r="D211" s="2">
        <f>A211*'Exponential Item Growth'!$B$4</f>
        <v>350.7</v>
      </c>
      <c r="E211" s="12">
        <f>if(isna(VLOOKUP(A211,'Exponential Item Growth'!$A$10:$B$18,2,false)),E210, E210*VLOOKUP(A211,'Exponential Item Growth'!$A$10:$B$18,2,false))</f>
        <v>16</v>
      </c>
      <c r="F211" s="12">
        <f>C211*'Exponential Item Growth'!$B$21</f>
        <v>28056</v>
      </c>
      <c r="G211" s="12">
        <f>'Exponential Item Growth'!$B$22*C211</f>
        <v>420840</v>
      </c>
      <c r="H211" s="12">
        <f>'Exponential Item Growth'!$B$23*C211</f>
        <v>5611200</v>
      </c>
    </row>
    <row r="212" ht="15.75" customHeight="1">
      <c r="A212" s="2">
        <v>211.0</v>
      </c>
      <c r="B212" s="11">
        <f>'Exponential Item Growth'!$B$5*'Exponential Item Growth'!$B$6^A212</f>
        <v>5924018.262</v>
      </c>
      <c r="C212" s="12">
        <f t="shared" si="1"/>
        <v>5637.92</v>
      </c>
      <c r="D212" s="2">
        <f>A212*'Exponential Item Growth'!$B$4</f>
        <v>352.37</v>
      </c>
      <c r="E212" s="12">
        <f>if(isna(VLOOKUP(A212,'Exponential Item Growth'!$A$10:$B$18,2,false)),E211, E211*VLOOKUP(A212,'Exponential Item Growth'!$A$10:$B$18,2,false))</f>
        <v>16</v>
      </c>
      <c r="F212" s="12">
        <f>C212*'Exponential Item Growth'!$B$21</f>
        <v>28189.6</v>
      </c>
      <c r="G212" s="12">
        <f>'Exponential Item Growth'!$B$22*C212</f>
        <v>422844</v>
      </c>
      <c r="H212" s="12">
        <f>'Exponential Item Growth'!$B$23*C212</f>
        <v>5637920</v>
      </c>
    </row>
    <row r="213" ht="15.75" customHeight="1">
      <c r="A213" s="2">
        <v>212.0</v>
      </c>
      <c r="B213" s="11">
        <f>'Exponential Item Growth'!$B$5*'Exponential Item Growth'!$B$6^A213</f>
        <v>6338699.54</v>
      </c>
      <c r="C213" s="12">
        <f t="shared" si="1"/>
        <v>5664.64</v>
      </c>
      <c r="D213" s="2">
        <f>A213*'Exponential Item Growth'!$B$4</f>
        <v>354.04</v>
      </c>
      <c r="E213" s="12">
        <f>if(isna(VLOOKUP(A213,'Exponential Item Growth'!$A$10:$B$18,2,false)),E212, E212*VLOOKUP(A213,'Exponential Item Growth'!$A$10:$B$18,2,false))</f>
        <v>16</v>
      </c>
      <c r="F213" s="12">
        <f>C213*'Exponential Item Growth'!$B$21</f>
        <v>28323.2</v>
      </c>
      <c r="G213" s="12">
        <f>'Exponential Item Growth'!$B$22*C213</f>
        <v>424848</v>
      </c>
      <c r="H213" s="12">
        <f>'Exponential Item Growth'!$B$23*C213</f>
        <v>5664640</v>
      </c>
    </row>
    <row r="214" ht="15.75" customHeight="1">
      <c r="A214" s="2">
        <v>213.0</v>
      </c>
      <c r="B214" s="11">
        <f>'Exponential Item Growth'!$B$5*'Exponential Item Growth'!$B$6^A214</f>
        <v>6782408.508</v>
      </c>
      <c r="C214" s="12">
        <f t="shared" si="1"/>
        <v>5691.36</v>
      </c>
      <c r="D214" s="2">
        <f>A214*'Exponential Item Growth'!$B$4</f>
        <v>355.71</v>
      </c>
      <c r="E214" s="12">
        <f>if(isna(VLOOKUP(A214,'Exponential Item Growth'!$A$10:$B$18,2,false)),E213, E213*VLOOKUP(A214,'Exponential Item Growth'!$A$10:$B$18,2,false))</f>
        <v>16</v>
      </c>
      <c r="F214" s="12">
        <f>C214*'Exponential Item Growth'!$B$21</f>
        <v>28456.8</v>
      </c>
      <c r="G214" s="12">
        <f>'Exponential Item Growth'!$B$22*C214</f>
        <v>426852</v>
      </c>
      <c r="H214" s="12">
        <f>'Exponential Item Growth'!$B$23*C214</f>
        <v>5691360</v>
      </c>
    </row>
    <row r="215" ht="15.75" customHeight="1">
      <c r="A215" s="2">
        <v>214.0</v>
      </c>
      <c r="B215" s="11">
        <f>'Exponential Item Growth'!$B$5*'Exponential Item Growth'!$B$6^A215</f>
        <v>7257177.103</v>
      </c>
      <c r="C215" s="12">
        <f t="shared" si="1"/>
        <v>5718.08</v>
      </c>
      <c r="D215" s="2">
        <f>A215*'Exponential Item Growth'!$B$4</f>
        <v>357.38</v>
      </c>
      <c r="E215" s="12">
        <f>if(isna(VLOOKUP(A215,'Exponential Item Growth'!$A$10:$B$18,2,false)),E214, E214*VLOOKUP(A215,'Exponential Item Growth'!$A$10:$B$18,2,false))</f>
        <v>16</v>
      </c>
      <c r="F215" s="12">
        <f>C215*'Exponential Item Growth'!$B$21</f>
        <v>28590.4</v>
      </c>
      <c r="G215" s="12">
        <f>'Exponential Item Growth'!$B$22*C215</f>
        <v>428856</v>
      </c>
      <c r="H215" s="12">
        <f>'Exponential Item Growth'!$B$23*C215</f>
        <v>5718080</v>
      </c>
    </row>
    <row r="216" ht="15.75" customHeight="1">
      <c r="A216" s="2">
        <v>215.0</v>
      </c>
      <c r="B216" s="11">
        <f>'Exponential Item Growth'!$B$5*'Exponential Item Growth'!$B$6^A216</f>
        <v>7765179.5</v>
      </c>
      <c r="C216" s="12">
        <f t="shared" si="1"/>
        <v>5744.8</v>
      </c>
      <c r="D216" s="2">
        <f>A216*'Exponential Item Growth'!$B$4</f>
        <v>359.05</v>
      </c>
      <c r="E216" s="12">
        <f>if(isna(VLOOKUP(A216,'Exponential Item Growth'!$A$10:$B$18,2,false)),E215, E215*VLOOKUP(A216,'Exponential Item Growth'!$A$10:$B$18,2,false))</f>
        <v>16</v>
      </c>
      <c r="F216" s="12">
        <f>C216*'Exponential Item Growth'!$B$21</f>
        <v>28724</v>
      </c>
      <c r="G216" s="12">
        <f>'Exponential Item Growth'!$B$22*C216</f>
        <v>430860</v>
      </c>
      <c r="H216" s="12">
        <f>'Exponential Item Growth'!$B$23*C216</f>
        <v>5744800</v>
      </c>
    </row>
    <row r="217" ht="15.75" customHeight="1">
      <c r="A217" s="2">
        <v>216.0</v>
      </c>
      <c r="B217" s="11">
        <f>'Exponential Item Growth'!$B$5*'Exponential Item Growth'!$B$6^A217</f>
        <v>8308742.065</v>
      </c>
      <c r="C217" s="12">
        <f t="shared" si="1"/>
        <v>5771.52</v>
      </c>
      <c r="D217" s="2">
        <f>A217*'Exponential Item Growth'!$B$4</f>
        <v>360.72</v>
      </c>
      <c r="E217" s="12">
        <f>if(isna(VLOOKUP(A217,'Exponential Item Growth'!$A$10:$B$18,2,false)),E216, E216*VLOOKUP(A217,'Exponential Item Growth'!$A$10:$B$18,2,false))</f>
        <v>16</v>
      </c>
      <c r="F217" s="12">
        <f>C217*'Exponential Item Growth'!$B$21</f>
        <v>28857.6</v>
      </c>
      <c r="G217" s="12">
        <f>'Exponential Item Growth'!$B$22*C217</f>
        <v>432864</v>
      </c>
      <c r="H217" s="12">
        <f>'Exponential Item Growth'!$B$23*C217</f>
        <v>5771520</v>
      </c>
    </row>
    <row r="218" ht="15.75" customHeight="1">
      <c r="A218" s="2">
        <v>217.0</v>
      </c>
      <c r="B218" s="11">
        <f>'Exponential Item Growth'!$B$5*'Exponential Item Growth'!$B$6^A218</f>
        <v>8890354.01</v>
      </c>
      <c r="C218" s="12">
        <f t="shared" si="1"/>
        <v>5798.24</v>
      </c>
      <c r="D218" s="2">
        <f>A218*'Exponential Item Growth'!$B$4</f>
        <v>362.39</v>
      </c>
      <c r="E218" s="12">
        <f>if(isna(VLOOKUP(A218,'Exponential Item Growth'!$A$10:$B$18,2,false)),E217, E217*VLOOKUP(A218,'Exponential Item Growth'!$A$10:$B$18,2,false))</f>
        <v>16</v>
      </c>
      <c r="F218" s="12">
        <f>C218*'Exponential Item Growth'!$B$21</f>
        <v>28991.2</v>
      </c>
      <c r="G218" s="12">
        <f>'Exponential Item Growth'!$B$22*C218</f>
        <v>434868</v>
      </c>
      <c r="H218" s="12">
        <f>'Exponential Item Growth'!$B$23*C218</f>
        <v>5798240</v>
      </c>
    </row>
    <row r="219" ht="15.75" customHeight="1">
      <c r="A219" s="2">
        <v>218.0</v>
      </c>
      <c r="B219" s="11">
        <f>'Exponential Item Growth'!$B$5*'Exponential Item Growth'!$B$6^A219</f>
        <v>9512678.791</v>
      </c>
      <c r="C219" s="12">
        <f t="shared" si="1"/>
        <v>5824.96</v>
      </c>
      <c r="D219" s="2">
        <f>A219*'Exponential Item Growth'!$B$4</f>
        <v>364.06</v>
      </c>
      <c r="E219" s="12">
        <f>if(isna(VLOOKUP(A219,'Exponential Item Growth'!$A$10:$B$18,2,false)),E218, E218*VLOOKUP(A219,'Exponential Item Growth'!$A$10:$B$18,2,false))</f>
        <v>16</v>
      </c>
      <c r="F219" s="12">
        <f>C219*'Exponential Item Growth'!$B$21</f>
        <v>29124.8</v>
      </c>
      <c r="G219" s="12">
        <f>'Exponential Item Growth'!$B$22*C219</f>
        <v>436872</v>
      </c>
      <c r="H219" s="12">
        <f>'Exponential Item Growth'!$B$23*C219</f>
        <v>5824960</v>
      </c>
    </row>
    <row r="220" ht="15.75" customHeight="1">
      <c r="A220" s="2">
        <v>219.0</v>
      </c>
      <c r="B220" s="11">
        <f>'Exponential Item Growth'!$B$5*'Exponential Item Growth'!$B$6^A220</f>
        <v>10178566.31</v>
      </c>
      <c r="C220" s="12">
        <f t="shared" si="1"/>
        <v>5851.68</v>
      </c>
      <c r="D220" s="2">
        <f>A220*'Exponential Item Growth'!$B$4</f>
        <v>365.73</v>
      </c>
      <c r="E220" s="12">
        <f>if(isna(VLOOKUP(A220,'Exponential Item Growth'!$A$10:$B$18,2,false)),E219, E219*VLOOKUP(A220,'Exponential Item Growth'!$A$10:$B$18,2,false))</f>
        <v>16</v>
      </c>
      <c r="F220" s="12">
        <f>C220*'Exponential Item Growth'!$B$21</f>
        <v>29258.4</v>
      </c>
      <c r="G220" s="12">
        <f>'Exponential Item Growth'!$B$22*C220</f>
        <v>438876</v>
      </c>
      <c r="H220" s="12">
        <f>'Exponential Item Growth'!$B$23*C220</f>
        <v>5851680</v>
      </c>
    </row>
    <row r="221" ht="15.75" customHeight="1">
      <c r="A221" s="2">
        <v>220.0</v>
      </c>
      <c r="B221" s="11">
        <f>'Exponential Item Growth'!$B$5*'Exponential Item Growth'!$B$6^A221</f>
        <v>10891065.95</v>
      </c>
      <c r="C221" s="12">
        <f t="shared" si="1"/>
        <v>5878.4</v>
      </c>
      <c r="D221" s="2">
        <f>A221*'Exponential Item Growth'!$B$4</f>
        <v>367.4</v>
      </c>
      <c r="E221" s="12">
        <f>if(isna(VLOOKUP(A221,'Exponential Item Growth'!$A$10:$B$18,2,false)),E220, E220*VLOOKUP(A221,'Exponential Item Growth'!$A$10:$B$18,2,false))</f>
        <v>16</v>
      </c>
      <c r="F221" s="12">
        <f>C221*'Exponential Item Growth'!$B$21</f>
        <v>29392</v>
      </c>
      <c r="G221" s="12">
        <f>'Exponential Item Growth'!$B$22*C221</f>
        <v>440880</v>
      </c>
      <c r="H221" s="12">
        <f>'Exponential Item Growth'!$B$23*C221</f>
        <v>5878400</v>
      </c>
    </row>
    <row r="222" ht="15.75" customHeight="1">
      <c r="A222" s="2">
        <v>221.0</v>
      </c>
      <c r="B222" s="11">
        <f>'Exponential Item Growth'!$B$5*'Exponential Item Growth'!$B$6^A222</f>
        <v>11653440.56</v>
      </c>
      <c r="C222" s="12">
        <f t="shared" si="1"/>
        <v>5905.12</v>
      </c>
      <c r="D222" s="2">
        <f>A222*'Exponential Item Growth'!$B$4</f>
        <v>369.07</v>
      </c>
      <c r="E222" s="12">
        <f>if(isna(VLOOKUP(A222,'Exponential Item Growth'!$A$10:$B$18,2,false)),E221, E221*VLOOKUP(A222,'Exponential Item Growth'!$A$10:$B$18,2,false))</f>
        <v>16</v>
      </c>
      <c r="F222" s="12">
        <f>C222*'Exponential Item Growth'!$B$21</f>
        <v>29525.6</v>
      </c>
      <c r="G222" s="12">
        <f>'Exponential Item Growth'!$B$22*C222</f>
        <v>442884</v>
      </c>
      <c r="H222" s="12">
        <f>'Exponential Item Growth'!$B$23*C222</f>
        <v>5905120</v>
      </c>
    </row>
    <row r="223" ht="15.75" customHeight="1">
      <c r="A223" s="2">
        <v>222.0</v>
      </c>
      <c r="B223" s="11">
        <f>'Exponential Item Growth'!$B$5*'Exponential Item Growth'!$B$6^A223</f>
        <v>12469181.4</v>
      </c>
      <c r="C223" s="12">
        <f t="shared" si="1"/>
        <v>5931.84</v>
      </c>
      <c r="D223" s="2">
        <f>A223*'Exponential Item Growth'!$B$4</f>
        <v>370.74</v>
      </c>
      <c r="E223" s="12">
        <f>if(isna(VLOOKUP(A223,'Exponential Item Growth'!$A$10:$B$18,2,false)),E222, E222*VLOOKUP(A223,'Exponential Item Growth'!$A$10:$B$18,2,false))</f>
        <v>16</v>
      </c>
      <c r="F223" s="12">
        <f>C223*'Exponential Item Growth'!$B$21</f>
        <v>29659.2</v>
      </c>
      <c r="G223" s="12">
        <f>'Exponential Item Growth'!$B$22*C223</f>
        <v>444888</v>
      </c>
      <c r="H223" s="12">
        <f>'Exponential Item Growth'!$B$23*C223</f>
        <v>5931840</v>
      </c>
    </row>
    <row r="224" ht="15.75" customHeight="1">
      <c r="A224" s="2">
        <v>223.0</v>
      </c>
      <c r="B224" s="11">
        <f>'Exponential Item Growth'!$B$5*'Exponential Item Growth'!$B$6^A224</f>
        <v>13342024.1</v>
      </c>
      <c r="C224" s="12">
        <f t="shared" si="1"/>
        <v>5958.56</v>
      </c>
      <c r="D224" s="2">
        <f>A224*'Exponential Item Growth'!$B$4</f>
        <v>372.41</v>
      </c>
      <c r="E224" s="12">
        <f>if(isna(VLOOKUP(A224,'Exponential Item Growth'!$A$10:$B$18,2,false)),E223, E223*VLOOKUP(A224,'Exponential Item Growth'!$A$10:$B$18,2,false))</f>
        <v>16</v>
      </c>
      <c r="F224" s="12">
        <f>C224*'Exponential Item Growth'!$B$21</f>
        <v>29792.8</v>
      </c>
      <c r="G224" s="12">
        <f>'Exponential Item Growth'!$B$22*C224</f>
        <v>446892</v>
      </c>
      <c r="H224" s="12">
        <f>'Exponential Item Growth'!$B$23*C224</f>
        <v>5958560</v>
      </c>
    </row>
    <row r="225" ht="15.75" customHeight="1">
      <c r="A225" s="2">
        <v>224.0</v>
      </c>
      <c r="B225" s="11">
        <f>'Exponential Item Growth'!$B$5*'Exponential Item Growth'!$B$6^A225</f>
        <v>14275965.79</v>
      </c>
      <c r="C225" s="12">
        <f t="shared" si="1"/>
        <v>5985.28</v>
      </c>
      <c r="D225" s="2">
        <f>A225*'Exponential Item Growth'!$B$4</f>
        <v>374.08</v>
      </c>
      <c r="E225" s="12">
        <f>if(isna(VLOOKUP(A225,'Exponential Item Growth'!$A$10:$B$18,2,false)),E224, E224*VLOOKUP(A225,'Exponential Item Growth'!$A$10:$B$18,2,false))</f>
        <v>16</v>
      </c>
      <c r="F225" s="12">
        <f>C225*'Exponential Item Growth'!$B$21</f>
        <v>29926.4</v>
      </c>
      <c r="G225" s="12">
        <f>'Exponential Item Growth'!$B$22*C225</f>
        <v>448896</v>
      </c>
      <c r="H225" s="12">
        <f>'Exponential Item Growth'!$B$23*C225</f>
        <v>5985280</v>
      </c>
    </row>
    <row r="226" ht="15.75" customHeight="1">
      <c r="A226" s="2">
        <v>225.0</v>
      </c>
      <c r="B226" s="11">
        <f>'Exponential Item Growth'!$B$5*'Exponential Item Growth'!$B$6^A226</f>
        <v>15275283.39</v>
      </c>
      <c r="C226" s="12">
        <f t="shared" si="1"/>
        <v>6012</v>
      </c>
      <c r="D226" s="2">
        <f>A226*'Exponential Item Growth'!$B$4</f>
        <v>375.75</v>
      </c>
      <c r="E226" s="12">
        <f>if(isna(VLOOKUP(A226,'Exponential Item Growth'!$A$10:$B$18,2,false)),E225, E225*VLOOKUP(A226,'Exponential Item Growth'!$A$10:$B$18,2,false))</f>
        <v>16</v>
      </c>
      <c r="F226" s="12">
        <f>C226*'Exponential Item Growth'!$B$21</f>
        <v>30060</v>
      </c>
      <c r="G226" s="12">
        <f>'Exponential Item Growth'!$B$22*C226</f>
        <v>450900</v>
      </c>
      <c r="H226" s="12">
        <f>'Exponential Item Growth'!$B$23*C226</f>
        <v>6012000</v>
      </c>
    </row>
    <row r="227" ht="15.75" customHeight="1">
      <c r="A227" s="2">
        <v>226.0</v>
      </c>
      <c r="B227" s="11">
        <f>'Exponential Item Growth'!$B$5*'Exponential Item Growth'!$B$6^A227</f>
        <v>16344553.23</v>
      </c>
      <c r="C227" s="12">
        <f t="shared" si="1"/>
        <v>6038.72</v>
      </c>
      <c r="D227" s="2">
        <f>A227*'Exponential Item Growth'!$B$4</f>
        <v>377.42</v>
      </c>
      <c r="E227" s="12">
        <f>if(isna(VLOOKUP(A227,'Exponential Item Growth'!$A$10:$B$18,2,false)),E226, E226*VLOOKUP(A227,'Exponential Item Growth'!$A$10:$B$18,2,false))</f>
        <v>16</v>
      </c>
      <c r="F227" s="12">
        <f>C227*'Exponential Item Growth'!$B$21</f>
        <v>30193.6</v>
      </c>
      <c r="G227" s="12">
        <f>'Exponential Item Growth'!$B$22*C227</f>
        <v>452904</v>
      </c>
      <c r="H227" s="12">
        <f>'Exponential Item Growth'!$B$23*C227</f>
        <v>6038720</v>
      </c>
    </row>
    <row r="228" ht="15.75" customHeight="1">
      <c r="A228" s="2">
        <v>227.0</v>
      </c>
      <c r="B228" s="11">
        <f>'Exponential Item Growth'!$B$5*'Exponential Item Growth'!$B$6^A228</f>
        <v>17488671.96</v>
      </c>
      <c r="C228" s="12">
        <f t="shared" si="1"/>
        <v>6065.44</v>
      </c>
      <c r="D228" s="2">
        <f>A228*'Exponential Item Growth'!$B$4</f>
        <v>379.09</v>
      </c>
      <c r="E228" s="12">
        <f>if(isna(VLOOKUP(A228,'Exponential Item Growth'!$A$10:$B$18,2,false)),E227, E227*VLOOKUP(A228,'Exponential Item Growth'!$A$10:$B$18,2,false))</f>
        <v>16</v>
      </c>
      <c r="F228" s="12">
        <f>C228*'Exponential Item Growth'!$B$21</f>
        <v>30327.2</v>
      </c>
      <c r="G228" s="12">
        <f>'Exponential Item Growth'!$B$22*C228</f>
        <v>454908</v>
      </c>
      <c r="H228" s="12">
        <f>'Exponential Item Growth'!$B$23*C228</f>
        <v>6065440</v>
      </c>
    </row>
    <row r="229" ht="15.75" customHeight="1">
      <c r="A229" s="2">
        <v>228.0</v>
      </c>
      <c r="B229" s="11">
        <f>'Exponential Item Growth'!$B$5*'Exponential Item Growth'!$B$6^A229</f>
        <v>18712878.99</v>
      </c>
      <c r="C229" s="12">
        <f t="shared" si="1"/>
        <v>6092.16</v>
      </c>
      <c r="D229" s="2">
        <f>A229*'Exponential Item Growth'!$B$4</f>
        <v>380.76</v>
      </c>
      <c r="E229" s="12">
        <f>if(isna(VLOOKUP(A229,'Exponential Item Growth'!$A$10:$B$18,2,false)),E228, E228*VLOOKUP(A229,'Exponential Item Growth'!$A$10:$B$18,2,false))</f>
        <v>16</v>
      </c>
      <c r="F229" s="12">
        <f>C229*'Exponential Item Growth'!$B$21</f>
        <v>30460.8</v>
      </c>
      <c r="G229" s="12">
        <f>'Exponential Item Growth'!$B$22*C229</f>
        <v>456912</v>
      </c>
      <c r="H229" s="12">
        <f>'Exponential Item Growth'!$B$23*C229</f>
        <v>6092160</v>
      </c>
    </row>
    <row r="230" ht="15.75" customHeight="1">
      <c r="A230" s="2">
        <v>229.0</v>
      </c>
      <c r="B230" s="11">
        <f>'Exponential Item Growth'!$B$5*'Exponential Item Growth'!$B$6^A230</f>
        <v>20022780.52</v>
      </c>
      <c r="C230" s="12">
        <f t="shared" si="1"/>
        <v>6118.88</v>
      </c>
      <c r="D230" s="2">
        <f>A230*'Exponential Item Growth'!$B$4</f>
        <v>382.43</v>
      </c>
      <c r="E230" s="12">
        <f>if(isna(VLOOKUP(A230,'Exponential Item Growth'!$A$10:$B$18,2,false)),E229, E229*VLOOKUP(A230,'Exponential Item Growth'!$A$10:$B$18,2,false))</f>
        <v>16</v>
      </c>
      <c r="F230" s="12">
        <f>C230*'Exponential Item Growth'!$B$21</f>
        <v>30594.4</v>
      </c>
      <c r="G230" s="12">
        <f>'Exponential Item Growth'!$B$22*C230</f>
        <v>458916</v>
      </c>
      <c r="H230" s="12">
        <f>'Exponential Item Growth'!$B$23*C230</f>
        <v>6118880</v>
      </c>
    </row>
    <row r="231" ht="15.75" customHeight="1">
      <c r="A231" s="2">
        <v>230.0</v>
      </c>
      <c r="B231" s="11">
        <f>'Exponential Item Growth'!$B$5*'Exponential Item Growth'!$B$6^A231</f>
        <v>21424375.16</v>
      </c>
      <c r="C231" s="12">
        <f t="shared" si="1"/>
        <v>6145.6</v>
      </c>
      <c r="D231" s="2">
        <f>A231*'Exponential Item Growth'!$B$4</f>
        <v>384.1</v>
      </c>
      <c r="E231" s="12">
        <f>if(isna(VLOOKUP(A231,'Exponential Item Growth'!$A$10:$B$18,2,false)),E230, E230*VLOOKUP(A231,'Exponential Item Growth'!$A$10:$B$18,2,false))</f>
        <v>16</v>
      </c>
      <c r="F231" s="12">
        <f>C231*'Exponential Item Growth'!$B$21</f>
        <v>30728</v>
      </c>
      <c r="G231" s="12">
        <f>'Exponential Item Growth'!$B$22*C231</f>
        <v>460920</v>
      </c>
      <c r="H231" s="12">
        <f>'Exponential Item Growth'!$B$23*C231</f>
        <v>6145600</v>
      </c>
    </row>
    <row r="232" ht="15.75" customHeight="1">
      <c r="A232" s="2">
        <v>231.0</v>
      </c>
      <c r="B232" s="11">
        <f>'Exponential Item Growth'!$B$5*'Exponential Item Growth'!$B$6^A232</f>
        <v>22924081.42</v>
      </c>
      <c r="C232" s="12">
        <f t="shared" si="1"/>
        <v>6172.32</v>
      </c>
      <c r="D232" s="2">
        <f>A232*'Exponential Item Growth'!$B$4</f>
        <v>385.77</v>
      </c>
      <c r="E232" s="12">
        <f>if(isna(VLOOKUP(A232,'Exponential Item Growth'!$A$10:$B$18,2,false)),E231, E231*VLOOKUP(A232,'Exponential Item Growth'!$A$10:$B$18,2,false))</f>
        <v>16</v>
      </c>
      <c r="F232" s="12">
        <f>C232*'Exponential Item Growth'!$B$21</f>
        <v>30861.6</v>
      </c>
      <c r="G232" s="12">
        <f>'Exponential Item Growth'!$B$22*C232</f>
        <v>462924</v>
      </c>
      <c r="H232" s="12">
        <f>'Exponential Item Growth'!$B$23*C232</f>
        <v>6172320</v>
      </c>
    </row>
    <row r="233" ht="15.75" customHeight="1">
      <c r="A233" s="2">
        <v>232.0</v>
      </c>
      <c r="B233" s="11">
        <f>'Exponential Item Growth'!$B$5*'Exponential Item Growth'!$B$6^A233</f>
        <v>24528767.12</v>
      </c>
      <c r="C233" s="12">
        <f t="shared" si="1"/>
        <v>6199.04</v>
      </c>
      <c r="D233" s="2">
        <f>A233*'Exponential Item Growth'!$B$4</f>
        <v>387.44</v>
      </c>
      <c r="E233" s="12">
        <f>if(isna(VLOOKUP(A233,'Exponential Item Growth'!$A$10:$B$18,2,false)),E232, E232*VLOOKUP(A233,'Exponential Item Growth'!$A$10:$B$18,2,false))</f>
        <v>16</v>
      </c>
      <c r="F233" s="12">
        <f>C233*'Exponential Item Growth'!$B$21</f>
        <v>30995.2</v>
      </c>
      <c r="G233" s="12">
        <f>'Exponential Item Growth'!$B$22*C233</f>
        <v>464928</v>
      </c>
      <c r="H233" s="12">
        <f>'Exponential Item Growth'!$B$23*C233</f>
        <v>6199040</v>
      </c>
    </row>
    <row r="234" ht="15.75" customHeight="1">
      <c r="A234" s="2">
        <v>233.0</v>
      </c>
      <c r="B234" s="11">
        <f>'Exponential Item Growth'!$B$5*'Exponential Item Growth'!$B$6^A234</f>
        <v>26245780.82</v>
      </c>
      <c r="C234" s="12">
        <f t="shared" si="1"/>
        <v>6225.76</v>
      </c>
      <c r="D234" s="2">
        <f>A234*'Exponential Item Growth'!$B$4</f>
        <v>389.11</v>
      </c>
      <c r="E234" s="12">
        <f>if(isna(VLOOKUP(A234,'Exponential Item Growth'!$A$10:$B$18,2,false)),E233, E233*VLOOKUP(A234,'Exponential Item Growth'!$A$10:$B$18,2,false))</f>
        <v>16</v>
      </c>
      <c r="F234" s="12">
        <f>C234*'Exponential Item Growth'!$B$21</f>
        <v>31128.8</v>
      </c>
      <c r="G234" s="12">
        <f>'Exponential Item Growth'!$B$22*C234</f>
        <v>466932</v>
      </c>
      <c r="H234" s="12">
        <f>'Exponential Item Growth'!$B$23*C234</f>
        <v>6225760</v>
      </c>
    </row>
    <row r="235" ht="15.75" customHeight="1">
      <c r="A235" s="2">
        <v>234.0</v>
      </c>
      <c r="B235" s="11">
        <f>'Exponential Item Growth'!$B$5*'Exponential Item Growth'!$B$6^A235</f>
        <v>28082985.48</v>
      </c>
      <c r="C235" s="12">
        <f t="shared" si="1"/>
        <v>6252.48</v>
      </c>
      <c r="D235" s="2">
        <f>A235*'Exponential Item Growth'!$B$4</f>
        <v>390.78</v>
      </c>
      <c r="E235" s="12">
        <f>if(isna(VLOOKUP(A235,'Exponential Item Growth'!$A$10:$B$18,2,false)),E234, E234*VLOOKUP(A235,'Exponential Item Growth'!$A$10:$B$18,2,false))</f>
        <v>16</v>
      </c>
      <c r="F235" s="12">
        <f>C235*'Exponential Item Growth'!$B$21</f>
        <v>31262.4</v>
      </c>
      <c r="G235" s="12">
        <f>'Exponential Item Growth'!$B$22*C235</f>
        <v>468936</v>
      </c>
      <c r="H235" s="12">
        <f>'Exponential Item Growth'!$B$23*C235</f>
        <v>6252480</v>
      </c>
    </row>
    <row r="236" ht="15.75" customHeight="1">
      <c r="A236" s="2">
        <v>235.0</v>
      </c>
      <c r="B236" s="11">
        <f>'Exponential Item Growth'!$B$5*'Exponential Item Growth'!$B$6^A236</f>
        <v>30048794.46</v>
      </c>
      <c r="C236" s="12">
        <f t="shared" si="1"/>
        <v>6279.2</v>
      </c>
      <c r="D236" s="2">
        <f>A236*'Exponential Item Growth'!$B$4</f>
        <v>392.45</v>
      </c>
      <c r="E236" s="12">
        <f>if(isna(VLOOKUP(A236,'Exponential Item Growth'!$A$10:$B$18,2,false)),E235, E235*VLOOKUP(A236,'Exponential Item Growth'!$A$10:$B$18,2,false))</f>
        <v>16</v>
      </c>
      <c r="F236" s="12">
        <f>C236*'Exponential Item Growth'!$B$21</f>
        <v>31396</v>
      </c>
      <c r="G236" s="12">
        <f>'Exponential Item Growth'!$B$22*C236</f>
        <v>470940</v>
      </c>
      <c r="H236" s="12">
        <f>'Exponential Item Growth'!$B$23*C236</f>
        <v>6279200</v>
      </c>
    </row>
    <row r="237" ht="15.75" customHeight="1">
      <c r="A237" s="2">
        <v>236.0</v>
      </c>
      <c r="B237" s="11">
        <f>'Exponential Item Growth'!$B$5*'Exponential Item Growth'!$B$6^A237</f>
        <v>32152210.07</v>
      </c>
      <c r="C237" s="12">
        <f t="shared" si="1"/>
        <v>6305.92</v>
      </c>
      <c r="D237" s="2">
        <f>A237*'Exponential Item Growth'!$B$4</f>
        <v>394.12</v>
      </c>
      <c r="E237" s="12">
        <f>if(isna(VLOOKUP(A237,'Exponential Item Growth'!$A$10:$B$18,2,false)),E236, E236*VLOOKUP(A237,'Exponential Item Growth'!$A$10:$B$18,2,false))</f>
        <v>16</v>
      </c>
      <c r="F237" s="12">
        <f>C237*'Exponential Item Growth'!$B$21</f>
        <v>31529.6</v>
      </c>
      <c r="G237" s="12">
        <f>'Exponential Item Growth'!$B$22*C237</f>
        <v>472944</v>
      </c>
      <c r="H237" s="12">
        <f>'Exponential Item Growth'!$B$23*C237</f>
        <v>6305920</v>
      </c>
    </row>
    <row r="238" ht="15.75" customHeight="1">
      <c r="A238" s="2">
        <v>237.0</v>
      </c>
      <c r="B238" s="11">
        <f>'Exponential Item Growth'!$B$5*'Exponential Item Growth'!$B$6^A238</f>
        <v>34402864.78</v>
      </c>
      <c r="C238" s="12">
        <f t="shared" si="1"/>
        <v>6332.64</v>
      </c>
      <c r="D238" s="2">
        <f>A238*'Exponential Item Growth'!$B$4</f>
        <v>395.79</v>
      </c>
      <c r="E238" s="12">
        <f>if(isna(VLOOKUP(A238,'Exponential Item Growth'!$A$10:$B$18,2,false)),E237, E237*VLOOKUP(A238,'Exponential Item Growth'!$A$10:$B$18,2,false))</f>
        <v>16</v>
      </c>
      <c r="F238" s="12">
        <f>C238*'Exponential Item Growth'!$B$21</f>
        <v>31663.2</v>
      </c>
      <c r="G238" s="12">
        <f>'Exponential Item Growth'!$B$22*C238</f>
        <v>474948</v>
      </c>
      <c r="H238" s="12">
        <f>'Exponential Item Growth'!$B$23*C238</f>
        <v>6332640</v>
      </c>
    </row>
    <row r="239" ht="15.75" customHeight="1">
      <c r="A239" s="2">
        <v>238.0</v>
      </c>
      <c r="B239" s="11">
        <f>'Exponential Item Growth'!$B$5*'Exponential Item Growth'!$B$6^A239</f>
        <v>36811065.31</v>
      </c>
      <c r="C239" s="12">
        <f t="shared" si="1"/>
        <v>6359.36</v>
      </c>
      <c r="D239" s="2">
        <f>A239*'Exponential Item Growth'!$B$4</f>
        <v>397.46</v>
      </c>
      <c r="E239" s="12">
        <f>if(isna(VLOOKUP(A239,'Exponential Item Growth'!$A$10:$B$18,2,false)),E238, E238*VLOOKUP(A239,'Exponential Item Growth'!$A$10:$B$18,2,false))</f>
        <v>16</v>
      </c>
      <c r="F239" s="12">
        <f>C239*'Exponential Item Growth'!$B$21</f>
        <v>31796.8</v>
      </c>
      <c r="G239" s="12">
        <f>'Exponential Item Growth'!$B$22*C239</f>
        <v>476952</v>
      </c>
      <c r="H239" s="12">
        <f>'Exponential Item Growth'!$B$23*C239</f>
        <v>6359360</v>
      </c>
    </row>
    <row r="240" ht="15.75" customHeight="1">
      <c r="A240" s="2">
        <v>239.0</v>
      </c>
      <c r="B240" s="11">
        <f>'Exponential Item Growth'!$B$5*'Exponential Item Growth'!$B$6^A240</f>
        <v>39387839.89</v>
      </c>
      <c r="C240" s="12">
        <f t="shared" si="1"/>
        <v>6386.08</v>
      </c>
      <c r="D240" s="2">
        <f>A240*'Exponential Item Growth'!$B$4</f>
        <v>399.13</v>
      </c>
      <c r="E240" s="12">
        <f>if(isna(VLOOKUP(A240,'Exponential Item Growth'!$A$10:$B$18,2,false)),E239, E239*VLOOKUP(A240,'Exponential Item Growth'!$A$10:$B$18,2,false))</f>
        <v>16</v>
      </c>
      <c r="F240" s="12">
        <f>C240*'Exponential Item Growth'!$B$21</f>
        <v>31930.4</v>
      </c>
      <c r="G240" s="12">
        <f>'Exponential Item Growth'!$B$22*C240</f>
        <v>478956</v>
      </c>
      <c r="H240" s="12">
        <f>'Exponential Item Growth'!$B$23*C240</f>
        <v>6386080</v>
      </c>
    </row>
    <row r="241" ht="15.75" customHeight="1">
      <c r="A241" s="2">
        <v>240.0</v>
      </c>
      <c r="B241" s="11">
        <f>'Exponential Item Growth'!$B$5*'Exponential Item Growth'!$B$6^A241</f>
        <v>42144988.68</v>
      </c>
      <c r="C241" s="12">
        <f t="shared" si="1"/>
        <v>6412.8</v>
      </c>
      <c r="D241" s="2">
        <f>A241*'Exponential Item Growth'!$B$4</f>
        <v>400.8</v>
      </c>
      <c r="E241" s="12">
        <f>if(isna(VLOOKUP(A241,'Exponential Item Growth'!$A$10:$B$18,2,false)),E240, E240*VLOOKUP(A241,'Exponential Item Growth'!$A$10:$B$18,2,false))</f>
        <v>16</v>
      </c>
      <c r="F241" s="12">
        <f>C241*'Exponential Item Growth'!$B$21</f>
        <v>32064</v>
      </c>
      <c r="G241" s="12">
        <f>'Exponential Item Growth'!$B$22*C241</f>
        <v>480960</v>
      </c>
      <c r="H241" s="12">
        <f>'Exponential Item Growth'!$B$23*C241</f>
        <v>6412800</v>
      </c>
    </row>
    <row r="242" ht="15.75" customHeight="1">
      <c r="A242" s="2">
        <v>241.0</v>
      </c>
      <c r="B242" s="11">
        <f>'Exponential Item Growth'!$B$5*'Exponential Item Growth'!$B$6^A242</f>
        <v>45095137.88</v>
      </c>
      <c r="C242" s="12">
        <f t="shared" si="1"/>
        <v>6439.52</v>
      </c>
      <c r="D242" s="2">
        <f>A242*'Exponential Item Growth'!$B$4</f>
        <v>402.47</v>
      </c>
      <c r="E242" s="12">
        <f>if(isna(VLOOKUP(A242,'Exponential Item Growth'!$A$10:$B$18,2,false)),E241, E241*VLOOKUP(A242,'Exponential Item Growth'!$A$10:$B$18,2,false))</f>
        <v>16</v>
      </c>
      <c r="F242" s="12">
        <f>C242*'Exponential Item Growth'!$B$21</f>
        <v>32197.6</v>
      </c>
      <c r="G242" s="12">
        <f>'Exponential Item Growth'!$B$22*C242</f>
        <v>482964</v>
      </c>
      <c r="H242" s="12">
        <f>'Exponential Item Growth'!$B$23*C242</f>
        <v>6439520</v>
      </c>
    </row>
    <row r="243" ht="15.75" customHeight="1">
      <c r="A243" s="2">
        <v>242.0</v>
      </c>
      <c r="B243" s="11">
        <f>'Exponential Item Growth'!$B$5*'Exponential Item Growth'!$B$6^A243</f>
        <v>48251797.54</v>
      </c>
      <c r="C243" s="12">
        <f t="shared" si="1"/>
        <v>6466.24</v>
      </c>
      <c r="D243" s="2">
        <f>A243*'Exponential Item Growth'!$B$4</f>
        <v>404.14</v>
      </c>
      <c r="E243" s="12">
        <f>if(isna(VLOOKUP(A243,'Exponential Item Growth'!$A$10:$B$18,2,false)),E242, E242*VLOOKUP(A243,'Exponential Item Growth'!$A$10:$B$18,2,false))</f>
        <v>16</v>
      </c>
      <c r="F243" s="12">
        <f>C243*'Exponential Item Growth'!$B$21</f>
        <v>32331.2</v>
      </c>
      <c r="G243" s="12">
        <f>'Exponential Item Growth'!$B$22*C243</f>
        <v>484968</v>
      </c>
      <c r="H243" s="12">
        <f>'Exponential Item Growth'!$B$23*C243</f>
        <v>6466240</v>
      </c>
    </row>
    <row r="244" ht="15.75" customHeight="1">
      <c r="A244" s="2">
        <v>243.0</v>
      </c>
      <c r="B244" s="11">
        <f>'Exponential Item Growth'!$B$5*'Exponential Item Growth'!$B$6^A244</f>
        <v>51629423.36</v>
      </c>
      <c r="C244" s="12">
        <f t="shared" si="1"/>
        <v>6492.96</v>
      </c>
      <c r="D244" s="2">
        <f>A244*'Exponential Item Growth'!$B$4</f>
        <v>405.81</v>
      </c>
      <c r="E244" s="12">
        <f>if(isna(VLOOKUP(A244,'Exponential Item Growth'!$A$10:$B$18,2,false)),E243, E243*VLOOKUP(A244,'Exponential Item Growth'!$A$10:$B$18,2,false))</f>
        <v>16</v>
      </c>
      <c r="F244" s="12">
        <f>C244*'Exponential Item Growth'!$B$21</f>
        <v>32464.8</v>
      </c>
      <c r="G244" s="12">
        <f>'Exponential Item Growth'!$B$22*C244</f>
        <v>486972</v>
      </c>
      <c r="H244" s="12">
        <f>'Exponential Item Growth'!$B$23*C244</f>
        <v>6492960</v>
      </c>
    </row>
    <row r="245" ht="15.75" customHeight="1">
      <c r="A245" s="2">
        <v>244.0</v>
      </c>
      <c r="B245" s="11">
        <f>'Exponential Item Growth'!$B$5*'Exponential Item Growth'!$B$6^A245</f>
        <v>55243483</v>
      </c>
      <c r="C245" s="12">
        <f t="shared" si="1"/>
        <v>6519.68</v>
      </c>
      <c r="D245" s="2">
        <f>A245*'Exponential Item Growth'!$B$4</f>
        <v>407.48</v>
      </c>
      <c r="E245" s="12">
        <f>if(isna(VLOOKUP(A245,'Exponential Item Growth'!$A$10:$B$18,2,false)),E244, E244*VLOOKUP(A245,'Exponential Item Growth'!$A$10:$B$18,2,false))</f>
        <v>16</v>
      </c>
      <c r="F245" s="12">
        <f>C245*'Exponential Item Growth'!$B$21</f>
        <v>32598.4</v>
      </c>
      <c r="G245" s="12">
        <f>'Exponential Item Growth'!$B$22*C245</f>
        <v>488976</v>
      </c>
      <c r="H245" s="12">
        <f>'Exponential Item Growth'!$B$23*C245</f>
        <v>6519680</v>
      </c>
    </row>
    <row r="246" ht="15.75" customHeight="1">
      <c r="A246" s="2">
        <v>245.0</v>
      </c>
      <c r="B246" s="11">
        <f>'Exponential Item Growth'!$B$5*'Exponential Item Growth'!$B$6^A246</f>
        <v>59110526.81</v>
      </c>
      <c r="C246" s="12">
        <f t="shared" si="1"/>
        <v>6546.4</v>
      </c>
      <c r="D246" s="2">
        <f>A246*'Exponential Item Growth'!$B$4</f>
        <v>409.15</v>
      </c>
      <c r="E246" s="12">
        <f>if(isna(VLOOKUP(A246,'Exponential Item Growth'!$A$10:$B$18,2,false)),E245, E245*VLOOKUP(A246,'Exponential Item Growth'!$A$10:$B$18,2,false))</f>
        <v>16</v>
      </c>
      <c r="F246" s="12">
        <f>C246*'Exponential Item Growth'!$B$21</f>
        <v>32732</v>
      </c>
      <c r="G246" s="12">
        <f>'Exponential Item Growth'!$B$22*C246</f>
        <v>490980</v>
      </c>
      <c r="H246" s="12">
        <f>'Exponential Item Growth'!$B$23*C246</f>
        <v>6546400</v>
      </c>
    </row>
    <row r="247" ht="15.75" customHeight="1">
      <c r="A247" s="2">
        <v>246.0</v>
      </c>
      <c r="B247" s="11">
        <f>'Exponential Item Growth'!$B$5*'Exponential Item Growth'!$B$6^A247</f>
        <v>63248263.69</v>
      </c>
      <c r="C247" s="12">
        <f t="shared" si="1"/>
        <v>6573.12</v>
      </c>
      <c r="D247" s="2">
        <f>A247*'Exponential Item Growth'!$B$4</f>
        <v>410.82</v>
      </c>
      <c r="E247" s="12">
        <f>if(isna(VLOOKUP(A247,'Exponential Item Growth'!$A$10:$B$18,2,false)),E246, E246*VLOOKUP(A247,'Exponential Item Growth'!$A$10:$B$18,2,false))</f>
        <v>16</v>
      </c>
      <c r="F247" s="12">
        <f>C247*'Exponential Item Growth'!$B$21</f>
        <v>32865.6</v>
      </c>
      <c r="G247" s="12">
        <f>'Exponential Item Growth'!$B$22*C247</f>
        <v>492984</v>
      </c>
      <c r="H247" s="12">
        <f>'Exponential Item Growth'!$B$23*C247</f>
        <v>6573120</v>
      </c>
    </row>
    <row r="248" ht="15.75" customHeight="1">
      <c r="A248" s="2">
        <v>247.0</v>
      </c>
      <c r="B248" s="11">
        <f>'Exponential Item Growth'!$B$5*'Exponential Item Growth'!$B$6^A248</f>
        <v>67675642.14</v>
      </c>
      <c r="C248" s="12">
        <f t="shared" si="1"/>
        <v>6599.84</v>
      </c>
      <c r="D248" s="2">
        <f>A248*'Exponential Item Growth'!$B$4</f>
        <v>412.49</v>
      </c>
      <c r="E248" s="12">
        <f>if(isna(VLOOKUP(A248,'Exponential Item Growth'!$A$10:$B$18,2,false)),E247, E247*VLOOKUP(A248,'Exponential Item Growth'!$A$10:$B$18,2,false))</f>
        <v>16</v>
      </c>
      <c r="F248" s="12">
        <f>C248*'Exponential Item Growth'!$B$21</f>
        <v>32999.2</v>
      </c>
      <c r="G248" s="12">
        <f>'Exponential Item Growth'!$B$22*C248</f>
        <v>494988</v>
      </c>
      <c r="H248" s="12">
        <f>'Exponential Item Growth'!$B$23*C248</f>
        <v>6599840</v>
      </c>
    </row>
    <row r="249" ht="15.75" customHeight="1">
      <c r="A249" s="2">
        <v>248.0</v>
      </c>
      <c r="B249" s="11">
        <f>'Exponential Item Growth'!$B$5*'Exponential Item Growth'!$B$6^A249</f>
        <v>72412937.09</v>
      </c>
      <c r="C249" s="12">
        <f t="shared" si="1"/>
        <v>6626.56</v>
      </c>
      <c r="D249" s="2">
        <f>A249*'Exponential Item Growth'!$B$4</f>
        <v>414.16</v>
      </c>
      <c r="E249" s="12">
        <f>if(isna(VLOOKUP(A249,'Exponential Item Growth'!$A$10:$B$18,2,false)),E248, E248*VLOOKUP(A249,'Exponential Item Growth'!$A$10:$B$18,2,false))</f>
        <v>16</v>
      </c>
      <c r="F249" s="12">
        <f>C249*'Exponential Item Growth'!$B$21</f>
        <v>33132.8</v>
      </c>
      <c r="G249" s="12">
        <f>'Exponential Item Growth'!$B$22*C249</f>
        <v>496992</v>
      </c>
      <c r="H249" s="12">
        <f>'Exponential Item Growth'!$B$23*C249</f>
        <v>6626560</v>
      </c>
    </row>
    <row r="250" ht="15.75" customHeight="1">
      <c r="A250" s="2">
        <v>249.0</v>
      </c>
      <c r="B250" s="11">
        <f>'Exponential Item Growth'!$B$5*'Exponential Item Growth'!$B$6^A250</f>
        <v>77481842.69</v>
      </c>
      <c r="C250" s="12">
        <f t="shared" si="1"/>
        <v>6653.28</v>
      </c>
      <c r="D250" s="2">
        <f>A250*'Exponential Item Growth'!$B$4</f>
        <v>415.83</v>
      </c>
      <c r="E250" s="12">
        <f>if(isna(VLOOKUP(A250,'Exponential Item Growth'!$A$10:$B$18,2,false)),E249, E249*VLOOKUP(A250,'Exponential Item Growth'!$A$10:$B$18,2,false))</f>
        <v>16</v>
      </c>
      <c r="F250" s="12">
        <f>C250*'Exponential Item Growth'!$B$21</f>
        <v>33266.4</v>
      </c>
      <c r="G250" s="12">
        <f>'Exponential Item Growth'!$B$22*C250</f>
        <v>498996</v>
      </c>
      <c r="H250" s="12">
        <f>'Exponential Item Growth'!$B$23*C250</f>
        <v>6653280</v>
      </c>
    </row>
    <row r="251" ht="15.75" customHeight="1">
      <c r="A251" s="2">
        <v>250.0</v>
      </c>
      <c r="B251" s="11">
        <f>'Exponential Item Growth'!$B$5*'Exponential Item Growth'!$B$6^A251</f>
        <v>82905571.68</v>
      </c>
      <c r="C251" s="12">
        <f t="shared" si="1"/>
        <v>6680</v>
      </c>
      <c r="D251" s="2">
        <f>A251*'Exponential Item Growth'!$B$4</f>
        <v>417.5</v>
      </c>
      <c r="E251" s="12">
        <f>if(isna(VLOOKUP(A251,'Exponential Item Growth'!$A$10:$B$18,2,false)),E250, E250*VLOOKUP(A251,'Exponential Item Growth'!$A$10:$B$18,2,false))</f>
        <v>16</v>
      </c>
      <c r="F251" s="12">
        <f>C251*'Exponential Item Growth'!$B$21</f>
        <v>33400</v>
      </c>
      <c r="G251" s="12">
        <f>'Exponential Item Growth'!$B$22*C251</f>
        <v>501000</v>
      </c>
      <c r="H251" s="12">
        <f>'Exponential Item Growth'!$B$23*C251</f>
        <v>6680000</v>
      </c>
    </row>
    <row r="252" ht="15.75" customHeight="1">
      <c r="A252" s="2">
        <v>251.0</v>
      </c>
      <c r="B252" s="11">
        <f>'Exponential Item Growth'!$B$5*'Exponential Item Growth'!$B$6^A252</f>
        <v>88708961.7</v>
      </c>
      <c r="C252" s="12">
        <f t="shared" si="1"/>
        <v>6706.72</v>
      </c>
      <c r="D252" s="2">
        <f>A252*'Exponential Item Growth'!$B$4</f>
        <v>419.17</v>
      </c>
      <c r="E252" s="12">
        <f>if(isna(VLOOKUP(A252,'Exponential Item Growth'!$A$10:$B$18,2,false)),E251, E251*VLOOKUP(A252,'Exponential Item Growth'!$A$10:$B$18,2,false))</f>
        <v>16</v>
      </c>
      <c r="F252" s="12">
        <f>C252*'Exponential Item Growth'!$B$21</f>
        <v>33533.6</v>
      </c>
      <c r="G252" s="12">
        <f>'Exponential Item Growth'!$B$22*C252</f>
        <v>503004</v>
      </c>
      <c r="H252" s="12">
        <f>'Exponential Item Growth'!$B$23*C252</f>
        <v>6706720</v>
      </c>
    </row>
    <row r="253" ht="15.75" customHeight="1">
      <c r="A253" s="2">
        <v>252.0</v>
      </c>
      <c r="B253" s="11">
        <f>'Exponential Item Growth'!$B$5*'Exponential Item Growth'!$B$6^A253</f>
        <v>94918589.02</v>
      </c>
      <c r="C253" s="12">
        <f t="shared" si="1"/>
        <v>6733.44</v>
      </c>
      <c r="D253" s="2">
        <f>A253*'Exponential Item Growth'!$B$4</f>
        <v>420.84</v>
      </c>
      <c r="E253" s="12">
        <f>if(isna(VLOOKUP(A253,'Exponential Item Growth'!$A$10:$B$18,2,false)),E252, E252*VLOOKUP(A253,'Exponential Item Growth'!$A$10:$B$18,2,false))</f>
        <v>16</v>
      </c>
      <c r="F253" s="12">
        <f>C253*'Exponential Item Growth'!$B$21</f>
        <v>33667.2</v>
      </c>
      <c r="G253" s="12">
        <f>'Exponential Item Growth'!$B$22*C253</f>
        <v>505008</v>
      </c>
      <c r="H253" s="12">
        <f>'Exponential Item Growth'!$B$23*C253</f>
        <v>6733440</v>
      </c>
    </row>
    <row r="254" ht="15.75" customHeight="1">
      <c r="A254" s="2">
        <v>253.0</v>
      </c>
      <c r="B254" s="11">
        <f>'Exponential Item Growth'!$B$5*'Exponential Item Growth'!$B$6^A254</f>
        <v>101562890.2</v>
      </c>
      <c r="C254" s="12">
        <f t="shared" si="1"/>
        <v>6760.16</v>
      </c>
      <c r="D254" s="2">
        <f>A254*'Exponential Item Growth'!$B$4</f>
        <v>422.51</v>
      </c>
      <c r="E254" s="12">
        <f>if(isna(VLOOKUP(A254,'Exponential Item Growth'!$A$10:$B$18,2,false)),E253, E253*VLOOKUP(A254,'Exponential Item Growth'!$A$10:$B$18,2,false))</f>
        <v>16</v>
      </c>
      <c r="F254" s="12">
        <f>C254*'Exponential Item Growth'!$B$21</f>
        <v>33800.8</v>
      </c>
      <c r="G254" s="12">
        <f>'Exponential Item Growth'!$B$22*C254</f>
        <v>507012</v>
      </c>
      <c r="H254" s="12">
        <f>'Exponential Item Growth'!$B$23*C254</f>
        <v>6760160</v>
      </c>
    </row>
    <row r="255" ht="15.75" customHeight="1">
      <c r="A255" s="2">
        <v>254.0</v>
      </c>
      <c r="B255" s="11">
        <f>'Exponential Item Growth'!$B$5*'Exponential Item Growth'!$B$6^A255</f>
        <v>108672292.6</v>
      </c>
      <c r="C255" s="12">
        <f t="shared" si="1"/>
        <v>6786.88</v>
      </c>
      <c r="D255" s="2">
        <f>A255*'Exponential Item Growth'!$B$4</f>
        <v>424.18</v>
      </c>
      <c r="E255" s="12">
        <f>if(isna(VLOOKUP(A255,'Exponential Item Growth'!$A$10:$B$18,2,false)),E254, E254*VLOOKUP(A255,'Exponential Item Growth'!$A$10:$B$18,2,false))</f>
        <v>16</v>
      </c>
      <c r="F255" s="12">
        <f>C255*'Exponential Item Growth'!$B$21</f>
        <v>33934.4</v>
      </c>
      <c r="G255" s="12">
        <f>'Exponential Item Growth'!$B$22*C255</f>
        <v>509016</v>
      </c>
      <c r="H255" s="12">
        <f>'Exponential Item Growth'!$B$23*C255</f>
        <v>6786880</v>
      </c>
    </row>
    <row r="256" ht="15.75" customHeight="1">
      <c r="A256" s="2">
        <v>255.0</v>
      </c>
      <c r="B256" s="11">
        <f>'Exponential Item Growth'!$B$5*'Exponential Item Growth'!$B$6^A256</f>
        <v>116279353</v>
      </c>
      <c r="C256" s="12">
        <f t="shared" si="1"/>
        <v>6813.6</v>
      </c>
      <c r="D256" s="2">
        <f>A256*'Exponential Item Growth'!$B$4</f>
        <v>425.85</v>
      </c>
      <c r="E256" s="12">
        <f>if(isna(VLOOKUP(A256,'Exponential Item Growth'!$A$10:$B$18,2,false)),E255, E255*VLOOKUP(A256,'Exponential Item Growth'!$A$10:$B$18,2,false))</f>
        <v>16</v>
      </c>
      <c r="F256" s="12">
        <f>C256*'Exponential Item Growth'!$B$21</f>
        <v>34068</v>
      </c>
      <c r="G256" s="12">
        <f>'Exponential Item Growth'!$B$22*C256</f>
        <v>511020</v>
      </c>
      <c r="H256" s="12">
        <f>'Exponential Item Growth'!$B$23*C256</f>
        <v>6813600</v>
      </c>
    </row>
    <row r="257" ht="15.75" customHeight="1">
      <c r="A257" s="2">
        <v>256.0</v>
      </c>
      <c r="B257" s="11">
        <f>'Exponential Item Growth'!$B$5*'Exponential Item Growth'!$B$6^A257</f>
        <v>124418907.8</v>
      </c>
      <c r="C257" s="12">
        <f t="shared" si="1"/>
        <v>6840.32</v>
      </c>
      <c r="D257" s="2">
        <f>A257*'Exponential Item Growth'!$B$4</f>
        <v>427.52</v>
      </c>
      <c r="E257" s="12">
        <f>if(isna(VLOOKUP(A257,'Exponential Item Growth'!$A$10:$B$18,2,false)),E256, E256*VLOOKUP(A257,'Exponential Item Growth'!$A$10:$B$18,2,false))</f>
        <v>16</v>
      </c>
      <c r="F257" s="12">
        <f>C257*'Exponential Item Growth'!$B$21</f>
        <v>34201.6</v>
      </c>
      <c r="G257" s="12">
        <f>'Exponential Item Growth'!$B$22*C257</f>
        <v>513024</v>
      </c>
      <c r="H257" s="12">
        <f>'Exponential Item Growth'!$B$23*C257</f>
        <v>6840320</v>
      </c>
    </row>
    <row r="258" ht="15.75" customHeight="1">
      <c r="A258" s="2">
        <v>257.0</v>
      </c>
      <c r="B258" s="11">
        <f>'Exponential Item Growth'!$B$5*'Exponential Item Growth'!$B$6^A258</f>
        <v>133128231.3</v>
      </c>
      <c r="C258" s="12">
        <f t="shared" si="1"/>
        <v>6867.04</v>
      </c>
      <c r="D258" s="2">
        <f>A258*'Exponential Item Growth'!$B$4</f>
        <v>429.19</v>
      </c>
      <c r="E258" s="12">
        <f>if(isna(VLOOKUP(A258,'Exponential Item Growth'!$A$10:$B$18,2,false)),E257, E257*VLOOKUP(A258,'Exponential Item Growth'!$A$10:$B$18,2,false))</f>
        <v>16</v>
      </c>
      <c r="F258" s="12">
        <f>C258*'Exponential Item Growth'!$B$21</f>
        <v>34335.2</v>
      </c>
      <c r="G258" s="12">
        <f>'Exponential Item Growth'!$B$22*C258</f>
        <v>515028</v>
      </c>
      <c r="H258" s="12">
        <f>'Exponential Item Growth'!$B$23*C258</f>
        <v>6867040</v>
      </c>
    </row>
    <row r="259" ht="15.75" customHeight="1">
      <c r="A259" s="2">
        <v>258.0</v>
      </c>
      <c r="B259" s="11">
        <f>'Exponential Item Growth'!$B$5*'Exponential Item Growth'!$B$6^A259</f>
        <v>142447207.5</v>
      </c>
      <c r="C259" s="12">
        <f t="shared" si="1"/>
        <v>6893.76</v>
      </c>
      <c r="D259" s="2">
        <f>A259*'Exponential Item Growth'!$B$4</f>
        <v>430.86</v>
      </c>
      <c r="E259" s="12">
        <f>if(isna(VLOOKUP(A259,'Exponential Item Growth'!$A$10:$B$18,2,false)),E258, E258*VLOOKUP(A259,'Exponential Item Growth'!$A$10:$B$18,2,false))</f>
        <v>16</v>
      </c>
      <c r="F259" s="12">
        <f>C259*'Exponential Item Growth'!$B$21</f>
        <v>34468.8</v>
      </c>
      <c r="G259" s="12">
        <f>'Exponential Item Growth'!$B$22*C259</f>
        <v>517032</v>
      </c>
      <c r="H259" s="12">
        <f>'Exponential Item Growth'!$B$23*C259</f>
        <v>6893760</v>
      </c>
    </row>
    <row r="260" ht="15.75" customHeight="1">
      <c r="A260" s="2">
        <v>259.0</v>
      </c>
      <c r="B260" s="11">
        <f>'Exponential Item Growth'!$B$5*'Exponential Item Growth'!$B$6^A260</f>
        <v>152418512</v>
      </c>
      <c r="C260" s="12">
        <f t="shared" si="1"/>
        <v>6920.48</v>
      </c>
      <c r="D260" s="2">
        <f>A260*'Exponential Item Growth'!$B$4</f>
        <v>432.53</v>
      </c>
      <c r="E260" s="12">
        <f>if(isna(VLOOKUP(A260,'Exponential Item Growth'!$A$10:$B$18,2,false)),E259, E259*VLOOKUP(A260,'Exponential Item Growth'!$A$10:$B$18,2,false))</f>
        <v>16</v>
      </c>
      <c r="F260" s="12">
        <f>C260*'Exponential Item Growth'!$B$21</f>
        <v>34602.4</v>
      </c>
      <c r="G260" s="12">
        <f>'Exponential Item Growth'!$B$22*C260</f>
        <v>519036</v>
      </c>
      <c r="H260" s="12">
        <f>'Exponential Item Growth'!$B$23*C260</f>
        <v>6920480</v>
      </c>
    </row>
    <row r="261" ht="15.75" customHeight="1">
      <c r="A261" s="2">
        <v>260.0</v>
      </c>
      <c r="B261" s="11">
        <f>'Exponential Item Growth'!$B$5*'Exponential Item Growth'!$B$6^A261</f>
        <v>163087807.9</v>
      </c>
      <c r="C261" s="12">
        <f t="shared" si="1"/>
        <v>6947.2</v>
      </c>
      <c r="D261" s="2">
        <f>A261*'Exponential Item Growth'!$B$4</f>
        <v>434.2</v>
      </c>
      <c r="E261" s="12">
        <f>if(isna(VLOOKUP(A261,'Exponential Item Growth'!$A$10:$B$18,2,false)),E260, E260*VLOOKUP(A261,'Exponential Item Growth'!$A$10:$B$18,2,false))</f>
        <v>16</v>
      </c>
      <c r="F261" s="12">
        <f>C261*'Exponential Item Growth'!$B$21</f>
        <v>34736</v>
      </c>
      <c r="G261" s="12">
        <f>'Exponential Item Growth'!$B$22*C261</f>
        <v>521040</v>
      </c>
      <c r="H261" s="12">
        <f>'Exponential Item Growth'!$B$23*C261</f>
        <v>6947200</v>
      </c>
    </row>
    <row r="262" ht="15.75" customHeight="1">
      <c r="A262" s="2">
        <v>261.0</v>
      </c>
      <c r="B262" s="11">
        <f>'Exponential Item Growth'!$B$5*'Exponential Item Growth'!$B$6^A262</f>
        <v>174503954.4</v>
      </c>
      <c r="C262" s="12">
        <f t="shared" si="1"/>
        <v>6973.92</v>
      </c>
      <c r="D262" s="2">
        <f>A262*'Exponential Item Growth'!$B$4</f>
        <v>435.87</v>
      </c>
      <c r="E262" s="12">
        <f>if(isna(VLOOKUP(A262,'Exponential Item Growth'!$A$10:$B$18,2,false)),E261, E261*VLOOKUP(A262,'Exponential Item Growth'!$A$10:$B$18,2,false))</f>
        <v>16</v>
      </c>
      <c r="F262" s="12">
        <f>C262*'Exponential Item Growth'!$B$21</f>
        <v>34869.6</v>
      </c>
      <c r="G262" s="12">
        <f>'Exponential Item Growth'!$B$22*C262</f>
        <v>523044</v>
      </c>
      <c r="H262" s="12">
        <f>'Exponential Item Growth'!$B$23*C262</f>
        <v>6973920</v>
      </c>
    </row>
    <row r="263" ht="15.75" customHeight="1">
      <c r="A263" s="2">
        <v>262.0</v>
      </c>
      <c r="B263" s="11">
        <f>'Exponential Item Growth'!$B$5*'Exponential Item Growth'!$B$6^A263</f>
        <v>186719231.2</v>
      </c>
      <c r="C263" s="12">
        <f t="shared" si="1"/>
        <v>7000.64</v>
      </c>
      <c r="D263" s="2">
        <f>A263*'Exponential Item Growth'!$B$4</f>
        <v>437.54</v>
      </c>
      <c r="E263" s="12">
        <f>if(isna(VLOOKUP(A263,'Exponential Item Growth'!$A$10:$B$18,2,false)),E262, E262*VLOOKUP(A263,'Exponential Item Growth'!$A$10:$B$18,2,false))</f>
        <v>16</v>
      </c>
      <c r="F263" s="12">
        <f>C263*'Exponential Item Growth'!$B$21</f>
        <v>35003.2</v>
      </c>
      <c r="G263" s="12">
        <f>'Exponential Item Growth'!$B$22*C263</f>
        <v>525048</v>
      </c>
      <c r="H263" s="12">
        <f>'Exponential Item Growth'!$B$23*C263</f>
        <v>7000640</v>
      </c>
    </row>
    <row r="264" ht="15.75" customHeight="1">
      <c r="A264" s="2">
        <v>263.0</v>
      </c>
      <c r="B264" s="11">
        <f>'Exponential Item Growth'!$B$5*'Exponential Item Growth'!$B$6^A264</f>
        <v>199789577.4</v>
      </c>
      <c r="C264" s="12">
        <f t="shared" si="1"/>
        <v>7027.36</v>
      </c>
      <c r="D264" s="2">
        <f>A264*'Exponential Item Growth'!$B$4</f>
        <v>439.21</v>
      </c>
      <c r="E264" s="12">
        <f>if(isna(VLOOKUP(A264,'Exponential Item Growth'!$A$10:$B$18,2,false)),E263, E263*VLOOKUP(A264,'Exponential Item Growth'!$A$10:$B$18,2,false))</f>
        <v>16</v>
      </c>
      <c r="F264" s="12">
        <f>C264*'Exponential Item Growth'!$B$21</f>
        <v>35136.8</v>
      </c>
      <c r="G264" s="12">
        <f>'Exponential Item Growth'!$B$22*C264</f>
        <v>527052</v>
      </c>
      <c r="H264" s="12">
        <f>'Exponential Item Growth'!$B$23*C264</f>
        <v>7027360</v>
      </c>
    </row>
    <row r="265" ht="15.75" customHeight="1">
      <c r="A265" s="2">
        <v>264.0</v>
      </c>
      <c r="B265" s="11">
        <f>'Exponential Item Growth'!$B$5*'Exponential Item Growth'!$B$6^A265</f>
        <v>213774847.8</v>
      </c>
      <c r="C265" s="12">
        <f t="shared" si="1"/>
        <v>7054.08</v>
      </c>
      <c r="D265" s="2">
        <f>A265*'Exponential Item Growth'!$B$4</f>
        <v>440.88</v>
      </c>
      <c r="E265" s="12">
        <f>if(isna(VLOOKUP(A265,'Exponential Item Growth'!$A$10:$B$18,2,false)),E264, E264*VLOOKUP(A265,'Exponential Item Growth'!$A$10:$B$18,2,false))</f>
        <v>16</v>
      </c>
      <c r="F265" s="12">
        <f>C265*'Exponential Item Growth'!$B$21</f>
        <v>35270.4</v>
      </c>
      <c r="G265" s="12">
        <f>'Exponential Item Growth'!$B$22*C265</f>
        <v>529056</v>
      </c>
      <c r="H265" s="12">
        <f>'Exponential Item Growth'!$B$23*C265</f>
        <v>7054080</v>
      </c>
    </row>
    <row r="266" ht="15.75" customHeight="1">
      <c r="A266" s="2">
        <v>265.0</v>
      </c>
      <c r="B266" s="11">
        <f>'Exponential Item Growth'!$B$5*'Exponential Item Growth'!$B$6^A266</f>
        <v>228739087.2</v>
      </c>
      <c r="C266" s="12">
        <f t="shared" si="1"/>
        <v>7080.8</v>
      </c>
      <c r="D266" s="2">
        <f>A266*'Exponential Item Growth'!$B$4</f>
        <v>442.55</v>
      </c>
      <c r="E266" s="12">
        <f>if(isna(VLOOKUP(A266,'Exponential Item Growth'!$A$10:$B$18,2,false)),E265, E265*VLOOKUP(A266,'Exponential Item Growth'!$A$10:$B$18,2,false))</f>
        <v>16</v>
      </c>
      <c r="F266" s="12">
        <f>C266*'Exponential Item Growth'!$B$21</f>
        <v>35404</v>
      </c>
      <c r="G266" s="12">
        <f>'Exponential Item Growth'!$B$22*C266</f>
        <v>531060</v>
      </c>
      <c r="H266" s="12">
        <f>'Exponential Item Growth'!$B$23*C266</f>
        <v>7080800</v>
      </c>
    </row>
    <row r="267" ht="15.75" customHeight="1">
      <c r="A267" s="2">
        <v>266.0</v>
      </c>
      <c r="B267" s="11">
        <f>'Exponential Item Growth'!$B$5*'Exponential Item Growth'!$B$6^A267</f>
        <v>244750823.3</v>
      </c>
      <c r="C267" s="12">
        <f t="shared" si="1"/>
        <v>7107.52</v>
      </c>
      <c r="D267" s="2">
        <f>A267*'Exponential Item Growth'!$B$4</f>
        <v>444.22</v>
      </c>
      <c r="E267" s="12">
        <f>if(isna(VLOOKUP(A267,'Exponential Item Growth'!$A$10:$B$18,2,false)),E266, E266*VLOOKUP(A267,'Exponential Item Growth'!$A$10:$B$18,2,false))</f>
        <v>16</v>
      </c>
      <c r="F267" s="12">
        <f>C267*'Exponential Item Growth'!$B$21</f>
        <v>35537.6</v>
      </c>
      <c r="G267" s="12">
        <f>'Exponential Item Growth'!$B$22*C267</f>
        <v>533064</v>
      </c>
      <c r="H267" s="12">
        <f>'Exponential Item Growth'!$B$23*C267</f>
        <v>7107520</v>
      </c>
    </row>
    <row r="268" ht="15.75" customHeight="1">
      <c r="A268" s="2">
        <v>267.0</v>
      </c>
      <c r="B268" s="11">
        <f>'Exponential Item Growth'!$B$5*'Exponential Item Growth'!$B$6^A268</f>
        <v>261883380.9</v>
      </c>
      <c r="C268" s="12">
        <f t="shared" si="1"/>
        <v>7134.24</v>
      </c>
      <c r="D268" s="2">
        <f>A268*'Exponential Item Growth'!$B$4</f>
        <v>445.89</v>
      </c>
      <c r="E268" s="12">
        <f>if(isna(VLOOKUP(A268,'Exponential Item Growth'!$A$10:$B$18,2,false)),E267, E267*VLOOKUP(A268,'Exponential Item Growth'!$A$10:$B$18,2,false))</f>
        <v>16</v>
      </c>
      <c r="F268" s="12">
        <f>C268*'Exponential Item Growth'!$B$21</f>
        <v>35671.2</v>
      </c>
      <c r="G268" s="12">
        <f>'Exponential Item Growth'!$B$22*C268</f>
        <v>535068</v>
      </c>
      <c r="H268" s="12">
        <f>'Exponential Item Growth'!$B$23*C268</f>
        <v>7134240</v>
      </c>
    </row>
    <row r="269" ht="15.75" customHeight="1">
      <c r="A269" s="2">
        <v>268.0</v>
      </c>
      <c r="B269" s="11">
        <f>'Exponential Item Growth'!$B$5*'Exponential Item Growth'!$B$6^A269</f>
        <v>280215217.6</v>
      </c>
      <c r="C269" s="12">
        <f t="shared" si="1"/>
        <v>7160.96</v>
      </c>
      <c r="D269" s="2">
        <f>A269*'Exponential Item Growth'!$B$4</f>
        <v>447.56</v>
      </c>
      <c r="E269" s="12">
        <f>if(isna(VLOOKUP(A269,'Exponential Item Growth'!$A$10:$B$18,2,false)),E268, E268*VLOOKUP(A269,'Exponential Item Growth'!$A$10:$B$18,2,false))</f>
        <v>16</v>
      </c>
      <c r="F269" s="12">
        <f>C269*'Exponential Item Growth'!$B$21</f>
        <v>35804.8</v>
      </c>
      <c r="G269" s="12">
        <f>'Exponential Item Growth'!$B$22*C269</f>
        <v>537072</v>
      </c>
      <c r="H269" s="12">
        <f>'Exponential Item Growth'!$B$23*C269</f>
        <v>7160960</v>
      </c>
    </row>
    <row r="270" ht="15.75" customHeight="1">
      <c r="A270" s="2">
        <v>269.0</v>
      </c>
      <c r="B270" s="11">
        <f>'Exponential Item Growth'!$B$5*'Exponential Item Growth'!$B$6^A270</f>
        <v>299830282.8</v>
      </c>
      <c r="C270" s="12">
        <f t="shared" si="1"/>
        <v>7187.68</v>
      </c>
      <c r="D270" s="2">
        <f>A270*'Exponential Item Growth'!$B$4</f>
        <v>449.23</v>
      </c>
      <c r="E270" s="12">
        <f>if(isna(VLOOKUP(A270,'Exponential Item Growth'!$A$10:$B$18,2,false)),E269, E269*VLOOKUP(A270,'Exponential Item Growth'!$A$10:$B$18,2,false))</f>
        <v>16</v>
      </c>
      <c r="F270" s="12">
        <f>C270*'Exponential Item Growth'!$B$21</f>
        <v>35938.4</v>
      </c>
      <c r="G270" s="12">
        <f>'Exponential Item Growth'!$B$22*C270</f>
        <v>539076</v>
      </c>
      <c r="H270" s="12">
        <f>'Exponential Item Growth'!$B$23*C270</f>
        <v>7187680</v>
      </c>
    </row>
    <row r="271" ht="15.75" customHeight="1">
      <c r="A271" s="2">
        <v>270.0</v>
      </c>
      <c r="B271" s="11">
        <f>'Exponential Item Growth'!$B$5*'Exponential Item Growth'!$B$6^A271</f>
        <v>320818402.6</v>
      </c>
      <c r="C271" s="12">
        <f t="shared" si="1"/>
        <v>7214.4</v>
      </c>
      <c r="D271" s="2">
        <f>A271*'Exponential Item Growth'!$B$4</f>
        <v>450.9</v>
      </c>
      <c r="E271" s="12">
        <f>if(isna(VLOOKUP(A271,'Exponential Item Growth'!$A$10:$B$18,2,false)),E270, E270*VLOOKUP(A271,'Exponential Item Growth'!$A$10:$B$18,2,false))</f>
        <v>16</v>
      </c>
      <c r="F271" s="12">
        <f>C271*'Exponential Item Growth'!$B$21</f>
        <v>36072</v>
      </c>
      <c r="G271" s="12">
        <f>'Exponential Item Growth'!$B$22*C271</f>
        <v>541080</v>
      </c>
      <c r="H271" s="12">
        <f>'Exponential Item Growth'!$B$23*C271</f>
        <v>7214400</v>
      </c>
    </row>
    <row r="272" ht="15.75" customHeight="1">
      <c r="A272" s="2">
        <v>271.0</v>
      </c>
      <c r="B272" s="11">
        <f>'Exponential Item Growth'!$B$5*'Exponential Item Growth'!$B$6^A272</f>
        <v>343275690.8</v>
      </c>
      <c r="C272" s="12">
        <f t="shared" si="1"/>
        <v>7241.12</v>
      </c>
      <c r="D272" s="2">
        <f>A272*'Exponential Item Growth'!$B$4</f>
        <v>452.57</v>
      </c>
      <c r="E272" s="12">
        <f>if(isna(VLOOKUP(A272,'Exponential Item Growth'!$A$10:$B$18,2,false)),E271, E271*VLOOKUP(A272,'Exponential Item Growth'!$A$10:$B$18,2,false))</f>
        <v>16</v>
      </c>
      <c r="F272" s="12">
        <f>C272*'Exponential Item Growth'!$B$21</f>
        <v>36205.6</v>
      </c>
      <c r="G272" s="12">
        <f>'Exponential Item Growth'!$B$22*C272</f>
        <v>543084</v>
      </c>
      <c r="H272" s="12">
        <f>'Exponential Item Growth'!$B$23*C272</f>
        <v>7241120</v>
      </c>
    </row>
    <row r="273" ht="15.75" customHeight="1">
      <c r="A273" s="2">
        <v>272.0</v>
      </c>
      <c r="B273" s="11">
        <f>'Exponential Item Growth'!$B$5*'Exponential Item Growth'!$B$6^A273</f>
        <v>367304989.1</v>
      </c>
      <c r="C273" s="12">
        <f t="shared" si="1"/>
        <v>7267.84</v>
      </c>
      <c r="D273" s="2">
        <f>A273*'Exponential Item Growth'!$B$4</f>
        <v>454.24</v>
      </c>
      <c r="E273" s="12">
        <f>if(isna(VLOOKUP(A273,'Exponential Item Growth'!$A$10:$B$18,2,false)),E272, E272*VLOOKUP(A273,'Exponential Item Growth'!$A$10:$B$18,2,false))</f>
        <v>16</v>
      </c>
      <c r="F273" s="12">
        <f>C273*'Exponential Item Growth'!$B$21</f>
        <v>36339.2</v>
      </c>
      <c r="G273" s="12">
        <f>'Exponential Item Growth'!$B$22*C273</f>
        <v>545088</v>
      </c>
      <c r="H273" s="12">
        <f>'Exponential Item Growth'!$B$23*C273</f>
        <v>7267840</v>
      </c>
    </row>
    <row r="274" ht="15.75" customHeight="1">
      <c r="A274" s="2">
        <v>273.0</v>
      </c>
      <c r="B274" s="11">
        <f>'Exponential Item Growth'!$B$5*'Exponential Item Growth'!$B$6^A274</f>
        <v>393016338.4</v>
      </c>
      <c r="C274" s="12">
        <f t="shared" si="1"/>
        <v>7294.56</v>
      </c>
      <c r="D274" s="2">
        <f>A274*'Exponential Item Growth'!$B$4</f>
        <v>455.91</v>
      </c>
      <c r="E274" s="12">
        <f>if(isna(VLOOKUP(A274,'Exponential Item Growth'!$A$10:$B$18,2,false)),E273, E273*VLOOKUP(A274,'Exponential Item Growth'!$A$10:$B$18,2,false))</f>
        <v>16</v>
      </c>
      <c r="F274" s="12">
        <f>C274*'Exponential Item Growth'!$B$21</f>
        <v>36472.8</v>
      </c>
      <c r="G274" s="12">
        <f>'Exponential Item Growth'!$B$22*C274</f>
        <v>547092</v>
      </c>
      <c r="H274" s="12">
        <f>'Exponential Item Growth'!$B$23*C274</f>
        <v>7294560</v>
      </c>
    </row>
    <row r="275" ht="15.75" customHeight="1">
      <c r="A275" s="2">
        <v>274.0</v>
      </c>
      <c r="B275" s="11">
        <f>'Exponential Item Growth'!$B$5*'Exponential Item Growth'!$B$6^A275</f>
        <v>420527482</v>
      </c>
      <c r="C275" s="12">
        <f t="shared" si="1"/>
        <v>7321.28</v>
      </c>
      <c r="D275" s="2">
        <f>A275*'Exponential Item Growth'!$B$4</f>
        <v>457.58</v>
      </c>
      <c r="E275" s="12">
        <f>if(isna(VLOOKUP(A275,'Exponential Item Growth'!$A$10:$B$18,2,false)),E274, E274*VLOOKUP(A275,'Exponential Item Growth'!$A$10:$B$18,2,false))</f>
        <v>16</v>
      </c>
      <c r="F275" s="12">
        <f>C275*'Exponential Item Growth'!$B$21</f>
        <v>36606.4</v>
      </c>
      <c r="G275" s="12">
        <f>'Exponential Item Growth'!$B$22*C275</f>
        <v>549096</v>
      </c>
      <c r="H275" s="12">
        <f>'Exponential Item Growth'!$B$23*C275</f>
        <v>7321280</v>
      </c>
    </row>
    <row r="276" ht="15.75" customHeight="1">
      <c r="A276" s="2">
        <v>275.0</v>
      </c>
      <c r="B276" s="11">
        <f>'Exponential Item Growth'!$B$5*'Exponential Item Growth'!$B$6^A276</f>
        <v>449964405.8</v>
      </c>
      <c r="C276" s="12">
        <f t="shared" si="1"/>
        <v>7348</v>
      </c>
      <c r="D276" s="2">
        <f>A276*'Exponential Item Growth'!$B$4</f>
        <v>459.25</v>
      </c>
      <c r="E276" s="12">
        <f>if(isna(VLOOKUP(A276,'Exponential Item Growth'!$A$10:$B$18,2,false)),E275, E275*VLOOKUP(A276,'Exponential Item Growth'!$A$10:$B$18,2,false))</f>
        <v>16</v>
      </c>
      <c r="F276" s="12">
        <f>C276*'Exponential Item Growth'!$B$21</f>
        <v>36740</v>
      </c>
      <c r="G276" s="12">
        <f>'Exponential Item Growth'!$B$22*C276</f>
        <v>551100</v>
      </c>
      <c r="H276" s="12">
        <f>'Exponential Item Growth'!$B$23*C276</f>
        <v>7348000</v>
      </c>
    </row>
    <row r="277" ht="15.75" customHeight="1">
      <c r="A277" s="2">
        <v>276.0</v>
      </c>
      <c r="B277" s="11">
        <f>'Exponential Item Growth'!$B$5*'Exponential Item Growth'!$B$6^A277</f>
        <v>481461914.2</v>
      </c>
      <c r="C277" s="12">
        <f t="shared" si="1"/>
        <v>7374.72</v>
      </c>
      <c r="D277" s="2">
        <f>A277*'Exponential Item Growth'!$B$4</f>
        <v>460.92</v>
      </c>
      <c r="E277" s="12">
        <f>if(isna(VLOOKUP(A277,'Exponential Item Growth'!$A$10:$B$18,2,false)),E276, E276*VLOOKUP(A277,'Exponential Item Growth'!$A$10:$B$18,2,false))</f>
        <v>16</v>
      </c>
      <c r="F277" s="12">
        <f>C277*'Exponential Item Growth'!$B$21</f>
        <v>36873.6</v>
      </c>
      <c r="G277" s="12">
        <f>'Exponential Item Growth'!$B$22*C277</f>
        <v>553104</v>
      </c>
      <c r="H277" s="12">
        <f>'Exponential Item Growth'!$B$23*C277</f>
        <v>7374720</v>
      </c>
    </row>
    <row r="278" ht="15.75" customHeight="1">
      <c r="A278" s="2">
        <v>277.0</v>
      </c>
      <c r="B278" s="11">
        <f>'Exponential Item Growth'!$B$5*'Exponential Item Growth'!$B$6^A278</f>
        <v>515164248.2</v>
      </c>
      <c r="C278" s="12">
        <f t="shared" si="1"/>
        <v>7401.44</v>
      </c>
      <c r="D278" s="2">
        <f>A278*'Exponential Item Growth'!$B$4</f>
        <v>462.59</v>
      </c>
      <c r="E278" s="12">
        <f>if(isna(VLOOKUP(A278,'Exponential Item Growth'!$A$10:$B$18,2,false)),E277, E277*VLOOKUP(A278,'Exponential Item Growth'!$A$10:$B$18,2,false))</f>
        <v>16</v>
      </c>
      <c r="F278" s="12">
        <f>C278*'Exponential Item Growth'!$B$21</f>
        <v>37007.2</v>
      </c>
      <c r="G278" s="12">
        <f>'Exponential Item Growth'!$B$22*C278</f>
        <v>555108</v>
      </c>
      <c r="H278" s="12">
        <f>'Exponential Item Growth'!$B$23*C278</f>
        <v>7401440</v>
      </c>
    </row>
    <row r="279" ht="15.75" customHeight="1">
      <c r="A279" s="2">
        <v>278.0</v>
      </c>
      <c r="B279" s="11">
        <f>'Exponential Item Growth'!$B$5*'Exponential Item Growth'!$B$6^A279</f>
        <v>551225745.5</v>
      </c>
      <c r="C279" s="12">
        <f t="shared" si="1"/>
        <v>7428.16</v>
      </c>
      <c r="D279" s="2">
        <f>A279*'Exponential Item Growth'!$B$4</f>
        <v>464.26</v>
      </c>
      <c r="E279" s="12">
        <f>if(isna(VLOOKUP(A279,'Exponential Item Growth'!$A$10:$B$18,2,false)),E278, E278*VLOOKUP(A279,'Exponential Item Growth'!$A$10:$B$18,2,false))</f>
        <v>16</v>
      </c>
      <c r="F279" s="12">
        <f>C279*'Exponential Item Growth'!$B$21</f>
        <v>37140.8</v>
      </c>
      <c r="G279" s="12">
        <f>'Exponential Item Growth'!$B$22*C279</f>
        <v>557112</v>
      </c>
      <c r="H279" s="12">
        <f>'Exponential Item Growth'!$B$23*C279</f>
        <v>7428160</v>
      </c>
    </row>
    <row r="280" ht="15.75" customHeight="1">
      <c r="A280" s="2">
        <v>279.0</v>
      </c>
      <c r="B280" s="11">
        <f>'Exponential Item Growth'!$B$5*'Exponential Item Growth'!$B$6^A280</f>
        <v>589811547.7</v>
      </c>
      <c r="C280" s="12">
        <f t="shared" si="1"/>
        <v>7454.88</v>
      </c>
      <c r="D280" s="2">
        <f>A280*'Exponential Item Growth'!$B$4</f>
        <v>465.93</v>
      </c>
      <c r="E280" s="12">
        <f>if(isna(VLOOKUP(A280,'Exponential Item Growth'!$A$10:$B$18,2,false)),E279, E279*VLOOKUP(A280,'Exponential Item Growth'!$A$10:$B$18,2,false))</f>
        <v>16</v>
      </c>
      <c r="F280" s="12">
        <f>C280*'Exponential Item Growth'!$B$21</f>
        <v>37274.4</v>
      </c>
      <c r="G280" s="12">
        <f>'Exponential Item Growth'!$B$22*C280</f>
        <v>559116</v>
      </c>
      <c r="H280" s="12">
        <f>'Exponential Item Growth'!$B$23*C280</f>
        <v>7454880</v>
      </c>
    </row>
    <row r="281" ht="15.75" customHeight="1">
      <c r="A281" s="2">
        <v>280.0</v>
      </c>
      <c r="B281" s="11">
        <f>'Exponential Item Growth'!$B$5*'Exponential Item Growth'!$B$6^A281</f>
        <v>631098356.1</v>
      </c>
      <c r="C281" s="12">
        <f t="shared" si="1"/>
        <v>7481.6</v>
      </c>
      <c r="D281" s="2">
        <f>A281*'Exponential Item Growth'!$B$4</f>
        <v>467.6</v>
      </c>
      <c r="E281" s="12">
        <f>if(isna(VLOOKUP(A281,'Exponential Item Growth'!$A$10:$B$18,2,false)),E280, E280*VLOOKUP(A281,'Exponential Item Growth'!$A$10:$B$18,2,false))</f>
        <v>16</v>
      </c>
      <c r="F281" s="12">
        <f>C281*'Exponential Item Growth'!$B$21</f>
        <v>37408</v>
      </c>
      <c r="G281" s="12">
        <f>'Exponential Item Growth'!$B$22*C281</f>
        <v>561120</v>
      </c>
      <c r="H281" s="12">
        <f>'Exponential Item Growth'!$B$23*C281</f>
        <v>7481600</v>
      </c>
    </row>
    <row r="282" ht="15.75" customHeight="1">
      <c r="A282" s="2">
        <v>281.0</v>
      </c>
      <c r="B282" s="11">
        <f>'Exponential Item Growth'!$B$5*'Exponential Item Growth'!$B$6^A282</f>
        <v>675275241</v>
      </c>
      <c r="C282" s="12">
        <f t="shared" si="1"/>
        <v>7508.32</v>
      </c>
      <c r="D282" s="2">
        <f>A282*'Exponential Item Growth'!$B$4</f>
        <v>469.27</v>
      </c>
      <c r="E282" s="12">
        <f>if(isna(VLOOKUP(A282,'Exponential Item Growth'!$A$10:$B$18,2,false)),E281, E281*VLOOKUP(A282,'Exponential Item Growth'!$A$10:$B$18,2,false))</f>
        <v>16</v>
      </c>
      <c r="F282" s="12">
        <f>C282*'Exponential Item Growth'!$B$21</f>
        <v>37541.6</v>
      </c>
      <c r="G282" s="12">
        <f>'Exponential Item Growth'!$B$22*C282</f>
        <v>563124</v>
      </c>
      <c r="H282" s="12">
        <f>'Exponential Item Growth'!$B$23*C282</f>
        <v>7508320</v>
      </c>
    </row>
    <row r="283" ht="15.75" customHeight="1">
      <c r="A283" s="2">
        <v>282.0</v>
      </c>
      <c r="B283" s="11">
        <f>'Exponential Item Growth'!$B$5*'Exponential Item Growth'!$B$6^A283</f>
        <v>722544507.9</v>
      </c>
      <c r="C283" s="12">
        <f t="shared" si="1"/>
        <v>7535.04</v>
      </c>
      <c r="D283" s="2">
        <f>A283*'Exponential Item Growth'!$B$4</f>
        <v>470.94</v>
      </c>
      <c r="E283" s="12">
        <f>if(isna(VLOOKUP(A283,'Exponential Item Growth'!$A$10:$B$18,2,false)),E282, E282*VLOOKUP(A283,'Exponential Item Growth'!$A$10:$B$18,2,false))</f>
        <v>16</v>
      </c>
      <c r="F283" s="12">
        <f>C283*'Exponential Item Growth'!$B$21</f>
        <v>37675.2</v>
      </c>
      <c r="G283" s="12">
        <f>'Exponential Item Growth'!$B$22*C283</f>
        <v>565128</v>
      </c>
      <c r="H283" s="12">
        <f>'Exponential Item Growth'!$B$23*C283</f>
        <v>7535040</v>
      </c>
    </row>
    <row r="284" ht="15.75" customHeight="1">
      <c r="A284" s="2">
        <v>283.0</v>
      </c>
      <c r="B284" s="11">
        <f>'Exponential Item Growth'!$B$5*'Exponential Item Growth'!$B$6^A284</f>
        <v>773122623.4</v>
      </c>
      <c r="C284" s="12">
        <f t="shared" si="1"/>
        <v>7561.76</v>
      </c>
      <c r="D284" s="2">
        <f>A284*'Exponential Item Growth'!$B$4</f>
        <v>472.61</v>
      </c>
      <c r="E284" s="12">
        <f>if(isna(VLOOKUP(A284,'Exponential Item Growth'!$A$10:$B$18,2,false)),E283, E283*VLOOKUP(A284,'Exponential Item Growth'!$A$10:$B$18,2,false))</f>
        <v>16</v>
      </c>
      <c r="F284" s="12">
        <f>C284*'Exponential Item Growth'!$B$21</f>
        <v>37808.8</v>
      </c>
      <c r="G284" s="12">
        <f>'Exponential Item Growth'!$B$22*C284</f>
        <v>567132</v>
      </c>
      <c r="H284" s="12">
        <f>'Exponential Item Growth'!$B$23*C284</f>
        <v>7561760</v>
      </c>
    </row>
    <row r="285" ht="15.75" customHeight="1">
      <c r="A285" s="2">
        <v>284.0</v>
      </c>
      <c r="B285" s="11">
        <f>'Exponential Item Growth'!$B$5*'Exponential Item Growth'!$B$6^A285</f>
        <v>827241207.1</v>
      </c>
      <c r="C285" s="12">
        <f t="shared" si="1"/>
        <v>7588.48</v>
      </c>
      <c r="D285" s="2">
        <f>A285*'Exponential Item Growth'!$B$4</f>
        <v>474.28</v>
      </c>
      <c r="E285" s="12">
        <f>if(isna(VLOOKUP(A285,'Exponential Item Growth'!$A$10:$B$18,2,false)),E284, E284*VLOOKUP(A285,'Exponential Item Growth'!$A$10:$B$18,2,false))</f>
        <v>16</v>
      </c>
      <c r="F285" s="12">
        <f>C285*'Exponential Item Growth'!$B$21</f>
        <v>37942.4</v>
      </c>
      <c r="G285" s="12">
        <f>'Exponential Item Growth'!$B$22*C285</f>
        <v>569136</v>
      </c>
      <c r="H285" s="12">
        <f>'Exponential Item Growth'!$B$23*C285</f>
        <v>7588480</v>
      </c>
    </row>
    <row r="286" ht="15.75" customHeight="1">
      <c r="A286" s="2">
        <v>285.0</v>
      </c>
      <c r="B286" s="11">
        <f>'Exponential Item Growth'!$B$5*'Exponential Item Growth'!$B$6^A286</f>
        <v>885148091.6</v>
      </c>
      <c r="C286" s="12">
        <f t="shared" si="1"/>
        <v>7615.2</v>
      </c>
      <c r="D286" s="2">
        <f>A286*'Exponential Item Growth'!$B$4</f>
        <v>475.95</v>
      </c>
      <c r="E286" s="12">
        <f>if(isna(VLOOKUP(A286,'Exponential Item Growth'!$A$10:$B$18,2,false)),E285, E285*VLOOKUP(A286,'Exponential Item Growth'!$A$10:$B$18,2,false))</f>
        <v>16</v>
      </c>
      <c r="F286" s="12">
        <f>C286*'Exponential Item Growth'!$B$21</f>
        <v>38076</v>
      </c>
      <c r="G286" s="12">
        <f>'Exponential Item Growth'!$B$22*C286</f>
        <v>571140</v>
      </c>
      <c r="H286" s="12">
        <f>'Exponential Item Growth'!$B$23*C286</f>
        <v>7615200</v>
      </c>
    </row>
    <row r="287" ht="15.75" customHeight="1">
      <c r="A287" s="2">
        <v>286.0</v>
      </c>
      <c r="B287" s="11">
        <f>'Exponential Item Growth'!$B$5*'Exponential Item Growth'!$B$6^A287</f>
        <v>947108458</v>
      </c>
      <c r="C287" s="12">
        <f t="shared" si="1"/>
        <v>7641.92</v>
      </c>
      <c r="D287" s="2">
        <f>A287*'Exponential Item Growth'!$B$4</f>
        <v>477.62</v>
      </c>
      <c r="E287" s="12">
        <f>if(isna(VLOOKUP(A287,'Exponential Item Growth'!$A$10:$B$18,2,false)),E286, E286*VLOOKUP(A287,'Exponential Item Growth'!$A$10:$B$18,2,false))</f>
        <v>16</v>
      </c>
      <c r="F287" s="12">
        <f>C287*'Exponential Item Growth'!$B$21</f>
        <v>38209.6</v>
      </c>
      <c r="G287" s="12">
        <f>'Exponential Item Growth'!$B$22*C287</f>
        <v>573144</v>
      </c>
      <c r="H287" s="12">
        <f>'Exponential Item Growth'!$B$23*C287</f>
        <v>7641920</v>
      </c>
    </row>
    <row r="288" ht="15.75" customHeight="1">
      <c r="A288" s="2">
        <v>287.0</v>
      </c>
      <c r="B288" s="11">
        <f>'Exponential Item Growth'!$B$5*'Exponential Item Growth'!$B$6^A288</f>
        <v>1013406050</v>
      </c>
      <c r="C288" s="12">
        <f t="shared" si="1"/>
        <v>7668.64</v>
      </c>
      <c r="D288" s="2">
        <f>A288*'Exponential Item Growth'!$B$4</f>
        <v>479.29</v>
      </c>
      <c r="E288" s="12">
        <f>if(isna(VLOOKUP(A288,'Exponential Item Growth'!$A$10:$B$18,2,false)),E287, E287*VLOOKUP(A288,'Exponential Item Growth'!$A$10:$B$18,2,false))</f>
        <v>16</v>
      </c>
      <c r="F288" s="12">
        <f>C288*'Exponential Item Growth'!$B$21</f>
        <v>38343.2</v>
      </c>
      <c r="G288" s="12">
        <f>'Exponential Item Growth'!$B$22*C288</f>
        <v>575148</v>
      </c>
      <c r="H288" s="12">
        <f>'Exponential Item Growth'!$B$23*C288</f>
        <v>7668640</v>
      </c>
    </row>
    <row r="289" ht="15.75" customHeight="1">
      <c r="A289" s="2">
        <v>288.0</v>
      </c>
      <c r="B289" s="11">
        <f>'Exponential Item Growth'!$B$5*'Exponential Item Growth'!$B$6^A289</f>
        <v>1084344474</v>
      </c>
      <c r="C289" s="12">
        <f t="shared" si="1"/>
        <v>7695.36</v>
      </c>
      <c r="D289" s="2">
        <f>A289*'Exponential Item Growth'!$B$4</f>
        <v>480.96</v>
      </c>
      <c r="E289" s="12">
        <f>if(isna(VLOOKUP(A289,'Exponential Item Growth'!$A$10:$B$18,2,false)),E288, E288*VLOOKUP(A289,'Exponential Item Growth'!$A$10:$B$18,2,false))</f>
        <v>16</v>
      </c>
      <c r="F289" s="12">
        <f>C289*'Exponential Item Growth'!$B$21</f>
        <v>38476.8</v>
      </c>
      <c r="G289" s="12">
        <f>'Exponential Item Growth'!$B$22*C289</f>
        <v>577152</v>
      </c>
      <c r="H289" s="12">
        <f>'Exponential Item Growth'!$B$23*C289</f>
        <v>7695360</v>
      </c>
    </row>
    <row r="290" ht="15.75" customHeight="1">
      <c r="A290" s="2">
        <v>289.0</v>
      </c>
      <c r="B290" s="11">
        <f>'Exponential Item Growth'!$B$5*'Exponential Item Growth'!$B$6^A290</f>
        <v>1160248587</v>
      </c>
      <c r="C290" s="12">
        <f t="shared" si="1"/>
        <v>7722.08</v>
      </c>
      <c r="D290" s="2">
        <f>A290*'Exponential Item Growth'!$B$4</f>
        <v>482.63</v>
      </c>
      <c r="E290" s="12">
        <f>if(isna(VLOOKUP(A290,'Exponential Item Growth'!$A$10:$B$18,2,false)),E289, E289*VLOOKUP(A290,'Exponential Item Growth'!$A$10:$B$18,2,false))</f>
        <v>16</v>
      </c>
      <c r="F290" s="12">
        <f>C290*'Exponential Item Growth'!$B$21</f>
        <v>38610.4</v>
      </c>
      <c r="G290" s="12">
        <f>'Exponential Item Growth'!$B$22*C290</f>
        <v>579156</v>
      </c>
      <c r="H290" s="12">
        <f>'Exponential Item Growth'!$B$23*C290</f>
        <v>7722080</v>
      </c>
    </row>
    <row r="291" ht="15.75" customHeight="1">
      <c r="A291" s="2">
        <v>290.0</v>
      </c>
      <c r="B291" s="11">
        <f>'Exponential Item Growth'!$B$5*'Exponential Item Growth'!$B$6^A291</f>
        <v>1241465988</v>
      </c>
      <c r="C291" s="12">
        <f t="shared" si="1"/>
        <v>7748.8</v>
      </c>
      <c r="D291" s="2">
        <f>A291*'Exponential Item Growth'!$B$4</f>
        <v>484.3</v>
      </c>
      <c r="E291" s="12">
        <f>if(isna(VLOOKUP(A291,'Exponential Item Growth'!$A$10:$B$18,2,false)),E290, E290*VLOOKUP(A291,'Exponential Item Growth'!$A$10:$B$18,2,false))</f>
        <v>16</v>
      </c>
      <c r="F291" s="12">
        <f>C291*'Exponential Item Growth'!$B$21</f>
        <v>38744</v>
      </c>
      <c r="G291" s="12">
        <f>'Exponential Item Growth'!$B$22*C291</f>
        <v>581160</v>
      </c>
      <c r="H291" s="12">
        <f>'Exponential Item Growth'!$B$23*C291</f>
        <v>7748800</v>
      </c>
    </row>
    <row r="292" ht="15.75" customHeight="1">
      <c r="A292" s="2">
        <v>291.0</v>
      </c>
      <c r="B292" s="11">
        <f>'Exponential Item Growth'!$B$5*'Exponential Item Growth'!$B$6^A292</f>
        <v>1328368607</v>
      </c>
      <c r="C292" s="12">
        <f t="shared" si="1"/>
        <v>7775.52</v>
      </c>
      <c r="D292" s="2">
        <f>A292*'Exponential Item Growth'!$B$4</f>
        <v>485.97</v>
      </c>
      <c r="E292" s="12">
        <f>if(isna(VLOOKUP(A292,'Exponential Item Growth'!$A$10:$B$18,2,false)),E291, E291*VLOOKUP(A292,'Exponential Item Growth'!$A$10:$B$18,2,false))</f>
        <v>16</v>
      </c>
      <c r="F292" s="12">
        <f>C292*'Exponential Item Growth'!$B$21</f>
        <v>38877.6</v>
      </c>
      <c r="G292" s="12">
        <f>'Exponential Item Growth'!$B$22*C292</f>
        <v>583164</v>
      </c>
      <c r="H292" s="12">
        <f>'Exponential Item Growth'!$B$23*C292</f>
        <v>7775520</v>
      </c>
    </row>
    <row r="293" ht="15.75" customHeight="1">
      <c r="A293" s="2">
        <v>292.0</v>
      </c>
      <c r="B293" s="11">
        <f>'Exponential Item Growth'!$B$5*'Exponential Item Growth'!$B$6^A293</f>
        <v>1421354409</v>
      </c>
      <c r="C293" s="12">
        <f t="shared" si="1"/>
        <v>7802.24</v>
      </c>
      <c r="D293" s="2">
        <f>A293*'Exponential Item Growth'!$B$4</f>
        <v>487.64</v>
      </c>
      <c r="E293" s="12">
        <f>if(isna(VLOOKUP(A293,'Exponential Item Growth'!$A$10:$B$18,2,false)),E292, E292*VLOOKUP(A293,'Exponential Item Growth'!$A$10:$B$18,2,false))</f>
        <v>16</v>
      </c>
      <c r="F293" s="12">
        <f>C293*'Exponential Item Growth'!$B$21</f>
        <v>39011.2</v>
      </c>
      <c r="G293" s="12">
        <f>'Exponential Item Growth'!$B$22*C293</f>
        <v>585168</v>
      </c>
      <c r="H293" s="12">
        <f>'Exponential Item Growth'!$B$23*C293</f>
        <v>7802240</v>
      </c>
    </row>
    <row r="294" ht="15.75" customHeight="1">
      <c r="A294" s="2">
        <v>293.0</v>
      </c>
      <c r="B294" s="11">
        <f>'Exponential Item Growth'!$B$5*'Exponential Item Growth'!$B$6^A294</f>
        <v>1520849218</v>
      </c>
      <c r="C294" s="12">
        <f t="shared" si="1"/>
        <v>7828.96</v>
      </c>
      <c r="D294" s="2">
        <f>A294*'Exponential Item Growth'!$B$4</f>
        <v>489.31</v>
      </c>
      <c r="E294" s="12">
        <f>if(isna(VLOOKUP(A294,'Exponential Item Growth'!$A$10:$B$18,2,false)),E293, E293*VLOOKUP(A294,'Exponential Item Growth'!$A$10:$B$18,2,false))</f>
        <v>16</v>
      </c>
      <c r="F294" s="12">
        <f>C294*'Exponential Item Growth'!$B$21</f>
        <v>39144.8</v>
      </c>
      <c r="G294" s="12">
        <f>'Exponential Item Growth'!$B$22*C294</f>
        <v>587172</v>
      </c>
      <c r="H294" s="12">
        <f>'Exponential Item Growth'!$B$23*C294</f>
        <v>7828960</v>
      </c>
    </row>
    <row r="295" ht="15.75" customHeight="1">
      <c r="A295" s="2">
        <v>294.0</v>
      </c>
      <c r="B295" s="11">
        <f>'Exponential Item Growth'!$B$5*'Exponential Item Growth'!$B$6^A295</f>
        <v>1627308663</v>
      </c>
      <c r="C295" s="12">
        <f t="shared" si="1"/>
        <v>7855.68</v>
      </c>
      <c r="D295" s="2">
        <f>A295*'Exponential Item Growth'!$B$4</f>
        <v>490.98</v>
      </c>
      <c r="E295" s="12">
        <f>if(isna(VLOOKUP(A295,'Exponential Item Growth'!$A$10:$B$18,2,false)),E294, E294*VLOOKUP(A295,'Exponential Item Growth'!$A$10:$B$18,2,false))</f>
        <v>16</v>
      </c>
      <c r="F295" s="12">
        <f>C295*'Exponential Item Growth'!$B$21</f>
        <v>39278.4</v>
      </c>
      <c r="G295" s="12">
        <f>'Exponential Item Growth'!$B$22*C295</f>
        <v>589176</v>
      </c>
      <c r="H295" s="12">
        <f>'Exponential Item Growth'!$B$23*C295</f>
        <v>7855680</v>
      </c>
    </row>
    <row r="296" ht="15.75" customHeight="1">
      <c r="A296" s="2">
        <v>295.0</v>
      </c>
      <c r="B296" s="11">
        <f>'Exponential Item Growth'!$B$5*'Exponential Item Growth'!$B$6^A296</f>
        <v>1741220270</v>
      </c>
      <c r="C296" s="12">
        <f t="shared" si="1"/>
        <v>7882.4</v>
      </c>
      <c r="D296" s="2">
        <f>A296*'Exponential Item Growth'!$B$4</f>
        <v>492.65</v>
      </c>
      <c r="E296" s="12">
        <f>if(isna(VLOOKUP(A296,'Exponential Item Growth'!$A$10:$B$18,2,false)),E295, E295*VLOOKUP(A296,'Exponential Item Growth'!$A$10:$B$18,2,false))</f>
        <v>16</v>
      </c>
      <c r="F296" s="12">
        <f>C296*'Exponential Item Growth'!$B$21</f>
        <v>39412</v>
      </c>
      <c r="G296" s="12">
        <f>'Exponential Item Growth'!$B$22*C296</f>
        <v>591180</v>
      </c>
      <c r="H296" s="12">
        <f>'Exponential Item Growth'!$B$23*C296</f>
        <v>7882400</v>
      </c>
    </row>
    <row r="297" ht="15.75" customHeight="1">
      <c r="A297" s="2">
        <v>296.0</v>
      </c>
      <c r="B297" s="11">
        <f>'Exponential Item Growth'!$B$5*'Exponential Item Growth'!$B$6^A297</f>
        <v>1863105689</v>
      </c>
      <c r="C297" s="12">
        <f t="shared" si="1"/>
        <v>7909.12</v>
      </c>
      <c r="D297" s="2">
        <f>A297*'Exponential Item Growth'!$B$4</f>
        <v>494.32</v>
      </c>
      <c r="E297" s="12">
        <f>if(isna(VLOOKUP(A297,'Exponential Item Growth'!$A$10:$B$18,2,false)),E296, E296*VLOOKUP(A297,'Exponential Item Growth'!$A$10:$B$18,2,false))</f>
        <v>16</v>
      </c>
      <c r="F297" s="12">
        <f>C297*'Exponential Item Growth'!$B$21</f>
        <v>39545.6</v>
      </c>
      <c r="G297" s="12">
        <f>'Exponential Item Growth'!$B$22*C297</f>
        <v>593184</v>
      </c>
      <c r="H297" s="12">
        <f>'Exponential Item Growth'!$B$23*C297</f>
        <v>7909120</v>
      </c>
    </row>
    <row r="298" ht="15.75" customHeight="1">
      <c r="A298" s="2">
        <v>297.0</v>
      </c>
      <c r="B298" s="11">
        <f>'Exponential Item Growth'!$B$5*'Exponential Item Growth'!$B$6^A298</f>
        <v>1993523087</v>
      </c>
      <c r="C298" s="12">
        <f t="shared" si="1"/>
        <v>7935.84</v>
      </c>
      <c r="D298" s="2">
        <f>A298*'Exponential Item Growth'!$B$4</f>
        <v>495.99</v>
      </c>
      <c r="E298" s="12">
        <f>if(isna(VLOOKUP(A298,'Exponential Item Growth'!$A$10:$B$18,2,false)),E297, E297*VLOOKUP(A298,'Exponential Item Growth'!$A$10:$B$18,2,false))</f>
        <v>16</v>
      </c>
      <c r="F298" s="12">
        <f>C298*'Exponential Item Growth'!$B$21</f>
        <v>39679.2</v>
      </c>
      <c r="G298" s="12">
        <f>'Exponential Item Growth'!$B$22*C298</f>
        <v>595188</v>
      </c>
      <c r="H298" s="12">
        <f>'Exponential Item Growth'!$B$23*C298</f>
        <v>7935840</v>
      </c>
    </row>
    <row r="299" ht="15.75" customHeight="1">
      <c r="A299" s="2">
        <v>298.0</v>
      </c>
      <c r="B299" s="11">
        <f>'Exponential Item Growth'!$B$5*'Exponential Item Growth'!$B$6^A299</f>
        <v>2133069703</v>
      </c>
      <c r="C299" s="12">
        <f t="shared" si="1"/>
        <v>7962.56</v>
      </c>
      <c r="D299" s="2">
        <f>A299*'Exponential Item Growth'!$B$4</f>
        <v>497.66</v>
      </c>
      <c r="E299" s="12">
        <f>if(isna(VLOOKUP(A299,'Exponential Item Growth'!$A$10:$B$18,2,false)),E298, E298*VLOOKUP(A299,'Exponential Item Growth'!$A$10:$B$18,2,false))</f>
        <v>16</v>
      </c>
      <c r="F299" s="12">
        <f>C299*'Exponential Item Growth'!$B$21</f>
        <v>39812.8</v>
      </c>
      <c r="G299" s="12">
        <f>'Exponential Item Growth'!$B$22*C299</f>
        <v>597192</v>
      </c>
      <c r="H299" s="12">
        <f>'Exponential Item Growth'!$B$23*C299</f>
        <v>7962560</v>
      </c>
    </row>
    <row r="300" ht="15.75" customHeight="1">
      <c r="A300" s="2">
        <v>299.0</v>
      </c>
      <c r="B300" s="11">
        <f>'Exponential Item Growth'!$B$5*'Exponential Item Growth'!$B$6^A300</f>
        <v>2282384582</v>
      </c>
      <c r="C300" s="12">
        <f t="shared" si="1"/>
        <v>7989.28</v>
      </c>
      <c r="D300" s="2">
        <f>A300*'Exponential Item Growth'!$B$4</f>
        <v>499.33</v>
      </c>
      <c r="E300" s="12">
        <f>if(isna(VLOOKUP(A300,'Exponential Item Growth'!$A$10:$B$18,2,false)),E299, E299*VLOOKUP(A300,'Exponential Item Growth'!$A$10:$B$18,2,false))</f>
        <v>16</v>
      </c>
      <c r="F300" s="12">
        <f>C300*'Exponential Item Growth'!$B$21</f>
        <v>39946.4</v>
      </c>
      <c r="G300" s="12">
        <f>'Exponential Item Growth'!$B$22*C300</f>
        <v>599196</v>
      </c>
      <c r="H300" s="12">
        <f>'Exponential Item Growth'!$B$23*C300</f>
        <v>7989280</v>
      </c>
    </row>
    <row r="301" ht="15.75" customHeight="1">
      <c r="A301" s="2">
        <v>300.0</v>
      </c>
      <c r="B301" s="11">
        <f>'Exponential Item Growth'!$B$5*'Exponential Item Growth'!$B$6^A301</f>
        <v>2442151503</v>
      </c>
      <c r="C301" s="12">
        <f t="shared" si="1"/>
        <v>16032</v>
      </c>
      <c r="D301" s="2">
        <f>A301*'Exponential Item Growth'!$B$4</f>
        <v>501</v>
      </c>
      <c r="E301" s="12">
        <f>if(isna(VLOOKUP(A301,'Exponential Item Growth'!$A$10:$B$18,2,false)),E300, E300*VLOOKUP(A301,'Exponential Item Growth'!$A$10:$B$18,2,false))</f>
        <v>32</v>
      </c>
      <c r="F301" s="12">
        <f>C301*'Exponential Item Growth'!$B$21</f>
        <v>80160</v>
      </c>
      <c r="G301" s="12">
        <f>'Exponential Item Growth'!$B$22*C301</f>
        <v>1202400</v>
      </c>
      <c r="H301" s="12">
        <f>'Exponential Item Growth'!$B$23*C301</f>
        <v>16032000</v>
      </c>
    </row>
    <row r="302" ht="15.75" customHeight="1">
      <c r="A302" s="2">
        <v>301.0</v>
      </c>
      <c r="B302" s="11">
        <f>'Exponential Item Growth'!$B$5*'Exponential Item Growth'!$B$6^A302</f>
        <v>2613102108</v>
      </c>
      <c r="C302" s="12">
        <f t="shared" si="1"/>
        <v>16085.44</v>
      </c>
      <c r="D302" s="2">
        <f>A302*'Exponential Item Growth'!$B$4</f>
        <v>502.67</v>
      </c>
      <c r="E302" s="12">
        <f>if(isna(VLOOKUP(A302,'Exponential Item Growth'!$A$10:$B$18,2,false)),E301, E301*VLOOKUP(A302,'Exponential Item Growth'!$A$10:$B$18,2,false))</f>
        <v>32</v>
      </c>
      <c r="F302" s="12">
        <f>C302*'Exponential Item Growth'!$B$21</f>
        <v>80427.2</v>
      </c>
      <c r="G302" s="12">
        <f>'Exponential Item Growth'!$B$22*C302</f>
        <v>1206408</v>
      </c>
      <c r="H302" s="12">
        <f>'Exponential Item Growth'!$B$23*C302</f>
        <v>16085440</v>
      </c>
    </row>
    <row r="303" ht="15.75" customHeight="1">
      <c r="A303" s="2">
        <v>302.0</v>
      </c>
      <c r="B303" s="11">
        <f>'Exponential Item Growth'!$B$5*'Exponential Item Growth'!$B$6^A303</f>
        <v>2796019256</v>
      </c>
      <c r="C303" s="12">
        <f t="shared" si="1"/>
        <v>16138.88</v>
      </c>
      <c r="D303" s="2">
        <f>A303*'Exponential Item Growth'!$B$4</f>
        <v>504.34</v>
      </c>
      <c r="E303" s="12">
        <f>if(isna(VLOOKUP(A303,'Exponential Item Growth'!$A$10:$B$18,2,false)),E302, E302*VLOOKUP(A303,'Exponential Item Growth'!$A$10:$B$18,2,false))</f>
        <v>32</v>
      </c>
      <c r="F303" s="12">
        <f>C303*'Exponential Item Growth'!$B$21</f>
        <v>80694.4</v>
      </c>
      <c r="G303" s="12">
        <f>'Exponential Item Growth'!$B$22*C303</f>
        <v>1210416</v>
      </c>
      <c r="H303" s="12">
        <f>'Exponential Item Growth'!$B$23*C303</f>
        <v>16138880</v>
      </c>
    </row>
    <row r="304" ht="15.75" customHeight="1">
      <c r="A304" s="2">
        <v>303.0</v>
      </c>
      <c r="B304" s="11">
        <f>'Exponential Item Growth'!$B$5*'Exponential Item Growth'!$B$6^A304</f>
        <v>2991740603</v>
      </c>
      <c r="C304" s="12">
        <f t="shared" si="1"/>
        <v>16192.32</v>
      </c>
      <c r="D304" s="2">
        <f>A304*'Exponential Item Growth'!$B$4</f>
        <v>506.01</v>
      </c>
      <c r="E304" s="12">
        <f>if(isna(VLOOKUP(A304,'Exponential Item Growth'!$A$10:$B$18,2,false)),E303, E303*VLOOKUP(A304,'Exponential Item Growth'!$A$10:$B$18,2,false))</f>
        <v>32</v>
      </c>
      <c r="F304" s="12">
        <f>C304*'Exponential Item Growth'!$B$21</f>
        <v>80961.6</v>
      </c>
      <c r="G304" s="12">
        <f>'Exponential Item Growth'!$B$22*C304</f>
        <v>1214424</v>
      </c>
      <c r="H304" s="12">
        <f>'Exponential Item Growth'!$B$23*C304</f>
        <v>16192320</v>
      </c>
    </row>
    <row r="305" ht="15.75" customHeight="1">
      <c r="A305" s="2">
        <v>304.0</v>
      </c>
      <c r="B305" s="11">
        <f>'Exponential Item Growth'!$B$5*'Exponential Item Growth'!$B$6^A305</f>
        <v>3201162446</v>
      </c>
      <c r="C305" s="12">
        <f t="shared" si="1"/>
        <v>16245.76</v>
      </c>
      <c r="D305" s="2">
        <f>A305*'Exponential Item Growth'!$B$4</f>
        <v>507.68</v>
      </c>
      <c r="E305" s="12">
        <f>if(isna(VLOOKUP(A305,'Exponential Item Growth'!$A$10:$B$18,2,false)),E304, E304*VLOOKUP(A305,'Exponential Item Growth'!$A$10:$B$18,2,false))</f>
        <v>32</v>
      </c>
      <c r="F305" s="12">
        <f>C305*'Exponential Item Growth'!$B$21</f>
        <v>81228.8</v>
      </c>
      <c r="G305" s="12">
        <f>'Exponential Item Growth'!$B$22*C305</f>
        <v>1218432</v>
      </c>
      <c r="H305" s="12">
        <f>'Exponential Item Growth'!$B$23*C305</f>
        <v>16245760</v>
      </c>
    </row>
    <row r="306" ht="15.75" customHeight="1">
      <c r="A306" s="2">
        <v>305.0</v>
      </c>
      <c r="B306" s="11">
        <f>'Exponential Item Growth'!$B$5*'Exponential Item Growth'!$B$6^A306</f>
        <v>3425243817</v>
      </c>
      <c r="C306" s="12">
        <f t="shared" si="1"/>
        <v>16299.2</v>
      </c>
      <c r="D306" s="2">
        <f>A306*'Exponential Item Growth'!$B$4</f>
        <v>509.35</v>
      </c>
      <c r="E306" s="12">
        <f>if(isna(VLOOKUP(A306,'Exponential Item Growth'!$A$10:$B$18,2,false)),E305, E305*VLOOKUP(A306,'Exponential Item Growth'!$A$10:$B$18,2,false))</f>
        <v>32</v>
      </c>
      <c r="F306" s="12">
        <f>C306*'Exponential Item Growth'!$B$21</f>
        <v>81496</v>
      </c>
      <c r="G306" s="12">
        <f>'Exponential Item Growth'!$B$22*C306</f>
        <v>1222440</v>
      </c>
      <c r="H306" s="12">
        <f>'Exponential Item Growth'!$B$23*C306</f>
        <v>16299200</v>
      </c>
    </row>
    <row r="307" ht="15.75" customHeight="1">
      <c r="A307" s="2">
        <v>306.0</v>
      </c>
      <c r="B307" s="11">
        <f>'Exponential Item Growth'!$B$5*'Exponential Item Growth'!$B$6^A307</f>
        <v>3665010884</v>
      </c>
      <c r="C307" s="12">
        <f t="shared" si="1"/>
        <v>16352.64</v>
      </c>
      <c r="D307" s="2">
        <f>A307*'Exponential Item Growth'!$B$4</f>
        <v>511.02</v>
      </c>
      <c r="E307" s="12">
        <f>if(isna(VLOOKUP(A307,'Exponential Item Growth'!$A$10:$B$18,2,false)),E306, E306*VLOOKUP(A307,'Exponential Item Growth'!$A$10:$B$18,2,false))</f>
        <v>32</v>
      </c>
      <c r="F307" s="12">
        <f>C307*'Exponential Item Growth'!$B$21</f>
        <v>81763.2</v>
      </c>
      <c r="G307" s="12">
        <f>'Exponential Item Growth'!$B$22*C307</f>
        <v>1226448</v>
      </c>
      <c r="H307" s="12">
        <f>'Exponential Item Growth'!$B$23*C307</f>
        <v>16352640</v>
      </c>
    </row>
    <row r="308" ht="15.75" customHeight="1">
      <c r="A308" s="2">
        <v>307.0</v>
      </c>
      <c r="B308" s="11">
        <f>'Exponential Item Growth'!$B$5*'Exponential Item Growth'!$B$6^A308</f>
        <v>3921561646</v>
      </c>
      <c r="C308" s="12">
        <f t="shared" si="1"/>
        <v>16406.08</v>
      </c>
      <c r="D308" s="2">
        <f>A308*'Exponential Item Growth'!$B$4</f>
        <v>512.69</v>
      </c>
      <c r="E308" s="12">
        <f>if(isna(VLOOKUP(A308,'Exponential Item Growth'!$A$10:$B$18,2,false)),E307, E307*VLOOKUP(A308,'Exponential Item Growth'!$A$10:$B$18,2,false))</f>
        <v>32</v>
      </c>
      <c r="F308" s="12">
        <f>C308*'Exponential Item Growth'!$B$21</f>
        <v>82030.4</v>
      </c>
      <c r="G308" s="12">
        <f>'Exponential Item Growth'!$B$22*C308</f>
        <v>1230456</v>
      </c>
      <c r="H308" s="12">
        <f>'Exponential Item Growth'!$B$23*C308</f>
        <v>16406080</v>
      </c>
    </row>
    <row r="309" ht="15.75" customHeight="1">
      <c r="A309" s="2">
        <v>308.0</v>
      </c>
      <c r="B309" s="11">
        <f>'Exponential Item Growth'!$B$5*'Exponential Item Growth'!$B$6^A309</f>
        <v>4196070961</v>
      </c>
      <c r="C309" s="12">
        <f t="shared" si="1"/>
        <v>16459.52</v>
      </c>
      <c r="D309" s="2">
        <f>A309*'Exponential Item Growth'!$B$4</f>
        <v>514.36</v>
      </c>
      <c r="E309" s="12">
        <f>if(isna(VLOOKUP(A309,'Exponential Item Growth'!$A$10:$B$18,2,false)),E308, E308*VLOOKUP(A309,'Exponential Item Growth'!$A$10:$B$18,2,false))</f>
        <v>32</v>
      </c>
      <c r="F309" s="12">
        <f>C309*'Exponential Item Growth'!$B$21</f>
        <v>82297.6</v>
      </c>
      <c r="G309" s="12">
        <f>'Exponential Item Growth'!$B$22*C309</f>
        <v>1234464</v>
      </c>
      <c r="H309" s="12">
        <f>'Exponential Item Growth'!$B$23*C309</f>
        <v>16459520</v>
      </c>
    </row>
    <row r="310" ht="15.75" customHeight="1">
      <c r="A310" s="2">
        <v>309.0</v>
      </c>
      <c r="B310" s="11">
        <f>'Exponential Item Growth'!$B$5*'Exponential Item Growth'!$B$6^A310</f>
        <v>4489795928</v>
      </c>
      <c r="C310" s="12">
        <f t="shared" si="1"/>
        <v>16512.96</v>
      </c>
      <c r="D310" s="2">
        <f>A310*'Exponential Item Growth'!$B$4</f>
        <v>516.03</v>
      </c>
      <c r="E310" s="12">
        <f>if(isna(VLOOKUP(A310,'Exponential Item Growth'!$A$10:$B$18,2,false)),E309, E309*VLOOKUP(A310,'Exponential Item Growth'!$A$10:$B$18,2,false))</f>
        <v>32</v>
      </c>
      <c r="F310" s="12">
        <f>C310*'Exponential Item Growth'!$B$21</f>
        <v>82564.8</v>
      </c>
      <c r="G310" s="12">
        <f>'Exponential Item Growth'!$B$22*C310</f>
        <v>1238472</v>
      </c>
      <c r="H310" s="12">
        <f>'Exponential Item Growth'!$B$23*C310</f>
        <v>16512960</v>
      </c>
    </row>
    <row r="311" ht="15.75" customHeight="1">
      <c r="A311" s="2">
        <v>310.0</v>
      </c>
      <c r="B311" s="11">
        <f>'Exponential Item Growth'!$B$5*'Exponential Item Growth'!$B$6^A311</f>
        <v>4804081643</v>
      </c>
      <c r="C311" s="12">
        <f t="shared" si="1"/>
        <v>16566.4</v>
      </c>
      <c r="D311" s="2">
        <f>A311*'Exponential Item Growth'!$B$4</f>
        <v>517.7</v>
      </c>
      <c r="E311" s="12">
        <f>if(isna(VLOOKUP(A311,'Exponential Item Growth'!$A$10:$B$18,2,false)),E310, E310*VLOOKUP(A311,'Exponential Item Growth'!$A$10:$B$18,2,false))</f>
        <v>32</v>
      </c>
      <c r="F311" s="12">
        <f>C311*'Exponential Item Growth'!$B$21</f>
        <v>82832</v>
      </c>
      <c r="G311" s="12">
        <f>'Exponential Item Growth'!$B$22*C311</f>
        <v>1242480</v>
      </c>
      <c r="H311" s="12">
        <f>'Exponential Item Growth'!$B$23*C311</f>
        <v>16566400</v>
      </c>
    </row>
    <row r="312" ht="15.75" customHeight="1">
      <c r="A312" s="2">
        <v>311.0</v>
      </c>
      <c r="B312" s="11">
        <f>'Exponential Item Growth'!$B$5*'Exponential Item Growth'!$B$6^A312</f>
        <v>5140367359</v>
      </c>
      <c r="C312" s="12">
        <f t="shared" si="1"/>
        <v>16619.84</v>
      </c>
      <c r="D312" s="2">
        <f>A312*'Exponential Item Growth'!$B$4</f>
        <v>519.37</v>
      </c>
      <c r="E312" s="12">
        <f>if(isna(VLOOKUP(A312,'Exponential Item Growth'!$A$10:$B$18,2,false)),E311, E311*VLOOKUP(A312,'Exponential Item Growth'!$A$10:$B$18,2,false))</f>
        <v>32</v>
      </c>
      <c r="F312" s="12">
        <f>C312*'Exponential Item Growth'!$B$21</f>
        <v>83099.2</v>
      </c>
      <c r="G312" s="12">
        <f>'Exponential Item Growth'!$B$22*C312</f>
        <v>1246488</v>
      </c>
      <c r="H312" s="12">
        <f>'Exponential Item Growth'!$B$23*C312</f>
        <v>16619840</v>
      </c>
    </row>
    <row r="313" ht="15.75" customHeight="1">
      <c r="A313" s="2">
        <v>312.0</v>
      </c>
      <c r="B313" s="11">
        <f>'Exponential Item Growth'!$B$5*'Exponential Item Growth'!$B$6^A313</f>
        <v>5500193074</v>
      </c>
      <c r="C313" s="12">
        <f t="shared" si="1"/>
        <v>16673.28</v>
      </c>
      <c r="D313" s="2">
        <f>A313*'Exponential Item Growth'!$B$4</f>
        <v>521.04</v>
      </c>
      <c r="E313" s="12">
        <f>if(isna(VLOOKUP(A313,'Exponential Item Growth'!$A$10:$B$18,2,false)),E312, E312*VLOOKUP(A313,'Exponential Item Growth'!$A$10:$B$18,2,false))</f>
        <v>32</v>
      </c>
      <c r="F313" s="12">
        <f>C313*'Exponential Item Growth'!$B$21</f>
        <v>83366.4</v>
      </c>
      <c r="G313" s="12">
        <f>'Exponential Item Growth'!$B$22*C313</f>
        <v>1250496</v>
      </c>
      <c r="H313" s="12">
        <f>'Exponential Item Growth'!$B$23*C313</f>
        <v>16673280</v>
      </c>
    </row>
    <row r="314" ht="15.75" customHeight="1">
      <c r="A314" s="2">
        <v>313.0</v>
      </c>
      <c r="B314" s="11">
        <f>'Exponential Item Growth'!$B$5*'Exponential Item Growth'!$B$6^A314</f>
        <v>5885206589</v>
      </c>
      <c r="C314" s="12">
        <f t="shared" si="1"/>
        <v>16726.72</v>
      </c>
      <c r="D314" s="2">
        <f>A314*'Exponential Item Growth'!$B$4</f>
        <v>522.71</v>
      </c>
      <c r="E314" s="12">
        <f>if(isna(VLOOKUP(A314,'Exponential Item Growth'!$A$10:$B$18,2,false)),E313, E313*VLOOKUP(A314,'Exponential Item Growth'!$A$10:$B$18,2,false))</f>
        <v>32</v>
      </c>
      <c r="F314" s="12">
        <f>C314*'Exponential Item Growth'!$B$21</f>
        <v>83633.6</v>
      </c>
      <c r="G314" s="12">
        <f>'Exponential Item Growth'!$B$22*C314</f>
        <v>1254504</v>
      </c>
      <c r="H314" s="12">
        <f>'Exponential Item Growth'!$B$23*C314</f>
        <v>16726720</v>
      </c>
    </row>
    <row r="315" ht="15.75" customHeight="1">
      <c r="A315" s="2">
        <v>314.0</v>
      </c>
      <c r="B315" s="11">
        <f>'Exponential Item Growth'!$B$5*'Exponential Item Growth'!$B$6^A315</f>
        <v>6297171050</v>
      </c>
      <c r="C315" s="12">
        <f t="shared" si="1"/>
        <v>16780.16</v>
      </c>
      <c r="D315" s="2">
        <f>A315*'Exponential Item Growth'!$B$4</f>
        <v>524.38</v>
      </c>
      <c r="E315" s="12">
        <f>if(isna(VLOOKUP(A315,'Exponential Item Growth'!$A$10:$B$18,2,false)),E314, E314*VLOOKUP(A315,'Exponential Item Growth'!$A$10:$B$18,2,false))</f>
        <v>32</v>
      </c>
      <c r="F315" s="12">
        <f>C315*'Exponential Item Growth'!$B$21</f>
        <v>83900.8</v>
      </c>
      <c r="G315" s="12">
        <f>'Exponential Item Growth'!$B$22*C315</f>
        <v>1258512</v>
      </c>
      <c r="H315" s="12">
        <f>'Exponential Item Growth'!$B$23*C315</f>
        <v>16780160</v>
      </c>
    </row>
    <row r="316" ht="15.75" customHeight="1">
      <c r="A316" s="2">
        <v>315.0</v>
      </c>
      <c r="B316" s="11">
        <f>'Exponential Item Growth'!$B$5*'Exponential Item Growth'!$B$6^A316</f>
        <v>6737973023</v>
      </c>
      <c r="C316" s="12">
        <f t="shared" si="1"/>
        <v>16833.6</v>
      </c>
      <c r="D316" s="2">
        <f>A316*'Exponential Item Growth'!$B$4</f>
        <v>526.05</v>
      </c>
      <c r="E316" s="12">
        <f>if(isna(VLOOKUP(A316,'Exponential Item Growth'!$A$10:$B$18,2,false)),E315, E315*VLOOKUP(A316,'Exponential Item Growth'!$A$10:$B$18,2,false))</f>
        <v>32</v>
      </c>
      <c r="F316" s="12">
        <f>C316*'Exponential Item Growth'!$B$21</f>
        <v>84168</v>
      </c>
      <c r="G316" s="12">
        <f>'Exponential Item Growth'!$B$22*C316</f>
        <v>1262520</v>
      </c>
      <c r="H316" s="12">
        <f>'Exponential Item Growth'!$B$23*C316</f>
        <v>16833600</v>
      </c>
    </row>
    <row r="317" ht="15.75" customHeight="1">
      <c r="A317" s="2">
        <v>316.0</v>
      </c>
      <c r="B317" s="11">
        <f>'Exponential Item Growth'!$B$5*'Exponential Item Growth'!$B$6^A317</f>
        <v>7209631135</v>
      </c>
      <c r="C317" s="12">
        <f t="shared" si="1"/>
        <v>16887.04</v>
      </c>
      <c r="D317" s="2">
        <f>A317*'Exponential Item Growth'!$B$4</f>
        <v>527.72</v>
      </c>
      <c r="E317" s="12">
        <f>if(isna(VLOOKUP(A317,'Exponential Item Growth'!$A$10:$B$18,2,false)),E316, E316*VLOOKUP(A317,'Exponential Item Growth'!$A$10:$B$18,2,false))</f>
        <v>32</v>
      </c>
      <c r="F317" s="12">
        <f>C317*'Exponential Item Growth'!$B$21</f>
        <v>84435.2</v>
      </c>
      <c r="G317" s="12">
        <f>'Exponential Item Growth'!$B$22*C317</f>
        <v>1266528</v>
      </c>
      <c r="H317" s="12">
        <f>'Exponential Item Growth'!$B$23*C317</f>
        <v>16887040</v>
      </c>
    </row>
    <row r="318" ht="15.75" customHeight="1">
      <c r="A318" s="2">
        <v>317.0</v>
      </c>
      <c r="B318" s="11">
        <f>'Exponential Item Growth'!$B$5*'Exponential Item Growth'!$B$6^A318</f>
        <v>7714305315</v>
      </c>
      <c r="C318" s="12">
        <f t="shared" si="1"/>
        <v>16940.48</v>
      </c>
      <c r="D318" s="2">
        <f>A318*'Exponential Item Growth'!$B$4</f>
        <v>529.39</v>
      </c>
      <c r="E318" s="12">
        <f>if(isna(VLOOKUP(A318,'Exponential Item Growth'!$A$10:$B$18,2,false)),E317, E317*VLOOKUP(A318,'Exponential Item Growth'!$A$10:$B$18,2,false))</f>
        <v>32</v>
      </c>
      <c r="F318" s="12">
        <f>C318*'Exponential Item Growth'!$B$21</f>
        <v>84702.4</v>
      </c>
      <c r="G318" s="12">
        <f>'Exponential Item Growth'!$B$22*C318</f>
        <v>1270536</v>
      </c>
      <c r="H318" s="12">
        <f>'Exponential Item Growth'!$B$23*C318</f>
        <v>16940480</v>
      </c>
    </row>
    <row r="319" ht="15.75" customHeight="1">
      <c r="A319" s="2">
        <v>318.0</v>
      </c>
      <c r="B319" s="11">
        <f>'Exponential Item Growth'!$B$5*'Exponential Item Growth'!$B$6^A319</f>
        <v>8254306687</v>
      </c>
      <c r="C319" s="12">
        <f t="shared" si="1"/>
        <v>16993.92</v>
      </c>
      <c r="D319" s="2">
        <f>A319*'Exponential Item Growth'!$B$4</f>
        <v>531.06</v>
      </c>
      <c r="E319" s="12">
        <f>if(isna(VLOOKUP(A319,'Exponential Item Growth'!$A$10:$B$18,2,false)),E318, E318*VLOOKUP(A319,'Exponential Item Growth'!$A$10:$B$18,2,false))</f>
        <v>32</v>
      </c>
      <c r="F319" s="12">
        <f>C319*'Exponential Item Growth'!$B$21</f>
        <v>84969.6</v>
      </c>
      <c r="G319" s="12">
        <f>'Exponential Item Growth'!$B$22*C319</f>
        <v>1274544</v>
      </c>
      <c r="H319" s="12">
        <f>'Exponential Item Growth'!$B$23*C319</f>
        <v>16993920</v>
      </c>
    </row>
    <row r="320" ht="15.75" customHeight="1">
      <c r="A320" s="2">
        <v>319.0</v>
      </c>
      <c r="B320" s="11">
        <f>'Exponential Item Growth'!$B$5*'Exponential Item Growth'!$B$6^A320</f>
        <v>8832108155</v>
      </c>
      <c r="C320" s="12">
        <f t="shared" si="1"/>
        <v>17047.36</v>
      </c>
      <c r="D320" s="2">
        <f>A320*'Exponential Item Growth'!$B$4</f>
        <v>532.73</v>
      </c>
      <c r="E320" s="12">
        <f>if(isna(VLOOKUP(A320,'Exponential Item Growth'!$A$10:$B$18,2,false)),E319, E319*VLOOKUP(A320,'Exponential Item Growth'!$A$10:$B$18,2,false))</f>
        <v>32</v>
      </c>
      <c r="F320" s="12">
        <f>C320*'Exponential Item Growth'!$B$21</f>
        <v>85236.8</v>
      </c>
      <c r="G320" s="12">
        <f>'Exponential Item Growth'!$B$22*C320</f>
        <v>1278552</v>
      </c>
      <c r="H320" s="12">
        <f>'Exponential Item Growth'!$B$23*C320</f>
        <v>17047360</v>
      </c>
    </row>
    <row r="321" ht="15.75" customHeight="1">
      <c r="A321" s="2">
        <v>320.0</v>
      </c>
      <c r="B321" s="11">
        <f>'Exponential Item Growth'!$B$5*'Exponential Item Growth'!$B$6^A321</f>
        <v>9450355726</v>
      </c>
      <c r="C321" s="12">
        <f t="shared" si="1"/>
        <v>17100.8</v>
      </c>
      <c r="D321" s="2">
        <f>A321*'Exponential Item Growth'!$B$4</f>
        <v>534.4</v>
      </c>
      <c r="E321" s="12">
        <f>if(isna(VLOOKUP(A321,'Exponential Item Growth'!$A$10:$B$18,2,false)),E320, E320*VLOOKUP(A321,'Exponential Item Growth'!$A$10:$B$18,2,false))</f>
        <v>32</v>
      </c>
      <c r="F321" s="12">
        <f>C321*'Exponential Item Growth'!$B$21</f>
        <v>85504</v>
      </c>
      <c r="G321" s="12">
        <f>'Exponential Item Growth'!$B$22*C321</f>
        <v>1282560</v>
      </c>
      <c r="H321" s="12">
        <f>'Exponential Item Growth'!$B$23*C321</f>
        <v>17100800</v>
      </c>
    </row>
    <row r="322" ht="15.75" customHeight="1">
      <c r="A322" s="2">
        <v>321.0</v>
      </c>
      <c r="B322" s="11">
        <f>'Exponential Item Growth'!$B$5*'Exponential Item Growth'!$B$6^A322</f>
        <v>10111880626</v>
      </c>
      <c r="C322" s="12">
        <f t="shared" si="1"/>
        <v>17154.24</v>
      </c>
      <c r="D322" s="2">
        <f>A322*'Exponential Item Growth'!$B$4</f>
        <v>536.07</v>
      </c>
      <c r="E322" s="12">
        <f>if(isna(VLOOKUP(A322,'Exponential Item Growth'!$A$10:$B$18,2,false)),E321, E321*VLOOKUP(A322,'Exponential Item Growth'!$A$10:$B$18,2,false))</f>
        <v>32</v>
      </c>
      <c r="F322" s="12">
        <f>C322*'Exponential Item Growth'!$B$21</f>
        <v>85771.2</v>
      </c>
      <c r="G322" s="12">
        <f>'Exponential Item Growth'!$B$22*C322</f>
        <v>1286568</v>
      </c>
      <c r="H322" s="12">
        <f>'Exponential Item Growth'!$B$23*C322</f>
        <v>17154240</v>
      </c>
    </row>
    <row r="323" ht="15.75" customHeight="1">
      <c r="A323" s="2">
        <v>322.0</v>
      </c>
      <c r="B323" s="11">
        <f>'Exponential Item Growth'!$B$5*'Exponential Item Growth'!$B$6^A323</f>
        <v>10819712270</v>
      </c>
      <c r="C323" s="12">
        <f t="shared" si="1"/>
        <v>17207.68</v>
      </c>
      <c r="D323" s="2">
        <f>A323*'Exponential Item Growth'!$B$4</f>
        <v>537.74</v>
      </c>
      <c r="E323" s="12">
        <f>if(isna(VLOOKUP(A323,'Exponential Item Growth'!$A$10:$B$18,2,false)),E322, E322*VLOOKUP(A323,'Exponential Item Growth'!$A$10:$B$18,2,false))</f>
        <v>32</v>
      </c>
      <c r="F323" s="12">
        <f>C323*'Exponential Item Growth'!$B$21</f>
        <v>86038.4</v>
      </c>
      <c r="G323" s="12">
        <f>'Exponential Item Growth'!$B$22*C323</f>
        <v>1290576</v>
      </c>
      <c r="H323" s="12">
        <f>'Exponential Item Growth'!$B$23*C323</f>
        <v>17207680</v>
      </c>
    </row>
    <row r="324" ht="15.75" customHeight="1">
      <c r="A324" s="2">
        <v>323.0</v>
      </c>
      <c r="B324" s="11">
        <f>'Exponential Item Growth'!$B$5*'Exponential Item Growth'!$B$6^A324</f>
        <v>11577092129</v>
      </c>
      <c r="C324" s="12">
        <f t="shared" si="1"/>
        <v>17261.12</v>
      </c>
      <c r="D324" s="2">
        <f>A324*'Exponential Item Growth'!$B$4</f>
        <v>539.41</v>
      </c>
      <c r="E324" s="12">
        <f>if(isna(VLOOKUP(A324,'Exponential Item Growth'!$A$10:$B$18,2,false)),E323, E323*VLOOKUP(A324,'Exponential Item Growth'!$A$10:$B$18,2,false))</f>
        <v>32</v>
      </c>
      <c r="F324" s="12">
        <f>C324*'Exponential Item Growth'!$B$21</f>
        <v>86305.6</v>
      </c>
      <c r="G324" s="12">
        <f>'Exponential Item Growth'!$B$22*C324</f>
        <v>1294584</v>
      </c>
      <c r="H324" s="12">
        <f>'Exponential Item Growth'!$B$23*C324</f>
        <v>17261120</v>
      </c>
    </row>
    <row r="325" ht="15.75" customHeight="1">
      <c r="A325" s="2">
        <v>324.0</v>
      </c>
      <c r="B325" s="11">
        <f>'Exponential Item Growth'!$B$5*'Exponential Item Growth'!$B$6^A325</f>
        <v>12387488578</v>
      </c>
      <c r="C325" s="12">
        <f t="shared" si="1"/>
        <v>17314.56</v>
      </c>
      <c r="D325" s="2">
        <f>A325*'Exponential Item Growth'!$B$4</f>
        <v>541.08</v>
      </c>
      <c r="E325" s="12">
        <f>if(isna(VLOOKUP(A325,'Exponential Item Growth'!$A$10:$B$18,2,false)),E324, E324*VLOOKUP(A325,'Exponential Item Growth'!$A$10:$B$18,2,false))</f>
        <v>32</v>
      </c>
      <c r="F325" s="12">
        <f>C325*'Exponential Item Growth'!$B$21</f>
        <v>86572.8</v>
      </c>
      <c r="G325" s="12">
        <f>'Exponential Item Growth'!$B$22*C325</f>
        <v>1298592</v>
      </c>
      <c r="H325" s="12">
        <f>'Exponential Item Growth'!$B$23*C325</f>
        <v>17314560</v>
      </c>
    </row>
    <row r="326" ht="15.75" customHeight="1">
      <c r="A326" s="2">
        <v>325.0</v>
      </c>
      <c r="B326" s="11">
        <f>'Exponential Item Growth'!$B$5*'Exponential Item Growth'!$B$6^A326</f>
        <v>13254612779</v>
      </c>
      <c r="C326" s="12">
        <f t="shared" si="1"/>
        <v>17368</v>
      </c>
      <c r="D326" s="2">
        <f>A326*'Exponential Item Growth'!$B$4</f>
        <v>542.75</v>
      </c>
      <c r="E326" s="12">
        <f>if(isna(VLOOKUP(A326,'Exponential Item Growth'!$A$10:$B$18,2,false)),E325, E325*VLOOKUP(A326,'Exponential Item Growth'!$A$10:$B$18,2,false))</f>
        <v>32</v>
      </c>
      <c r="F326" s="12">
        <f>C326*'Exponential Item Growth'!$B$21</f>
        <v>86840</v>
      </c>
      <c r="G326" s="12">
        <f>'Exponential Item Growth'!$B$22*C326</f>
        <v>1302600</v>
      </c>
      <c r="H326" s="12">
        <f>'Exponential Item Growth'!$B$23*C326</f>
        <v>17368000</v>
      </c>
    </row>
    <row r="327" ht="15.75" customHeight="1">
      <c r="A327" s="2">
        <v>326.0</v>
      </c>
      <c r="B327" s="11">
        <f>'Exponential Item Growth'!$B$5*'Exponential Item Growth'!$B$6^A327</f>
        <v>14182435673</v>
      </c>
      <c r="C327" s="12">
        <f t="shared" si="1"/>
        <v>17421.44</v>
      </c>
      <c r="D327" s="2">
        <f>A327*'Exponential Item Growth'!$B$4</f>
        <v>544.42</v>
      </c>
      <c r="E327" s="12">
        <f>if(isna(VLOOKUP(A327,'Exponential Item Growth'!$A$10:$B$18,2,false)),E326, E326*VLOOKUP(A327,'Exponential Item Growth'!$A$10:$B$18,2,false))</f>
        <v>32</v>
      </c>
      <c r="F327" s="12">
        <f>C327*'Exponential Item Growth'!$B$21</f>
        <v>87107.2</v>
      </c>
      <c r="G327" s="12">
        <f>'Exponential Item Growth'!$B$22*C327</f>
        <v>1306608</v>
      </c>
      <c r="H327" s="12">
        <f>'Exponential Item Growth'!$B$23*C327</f>
        <v>17421440</v>
      </c>
    </row>
    <row r="328" ht="15.75" customHeight="1">
      <c r="A328" s="2">
        <v>327.0</v>
      </c>
      <c r="B328" s="11">
        <f>'Exponential Item Growth'!$B$5*'Exponential Item Growth'!$B$6^A328</f>
        <v>15175206170</v>
      </c>
      <c r="C328" s="12">
        <f t="shared" si="1"/>
        <v>17474.88</v>
      </c>
      <c r="D328" s="2">
        <f>A328*'Exponential Item Growth'!$B$4</f>
        <v>546.09</v>
      </c>
      <c r="E328" s="12">
        <f>if(isna(VLOOKUP(A328,'Exponential Item Growth'!$A$10:$B$18,2,false)),E327, E327*VLOOKUP(A328,'Exponential Item Growth'!$A$10:$B$18,2,false))</f>
        <v>32</v>
      </c>
      <c r="F328" s="12">
        <f>C328*'Exponential Item Growth'!$B$21</f>
        <v>87374.4</v>
      </c>
      <c r="G328" s="12">
        <f>'Exponential Item Growth'!$B$22*C328</f>
        <v>1310616</v>
      </c>
      <c r="H328" s="12">
        <f>'Exponential Item Growth'!$B$23*C328</f>
        <v>17474880</v>
      </c>
    </row>
    <row r="329" ht="15.75" customHeight="1">
      <c r="A329" s="2">
        <v>328.0</v>
      </c>
      <c r="B329" s="11">
        <f>'Exponential Item Growth'!$B$5*'Exponential Item Growth'!$B$6^A329</f>
        <v>16237470602</v>
      </c>
      <c r="C329" s="12">
        <f t="shared" si="1"/>
        <v>17528.32</v>
      </c>
      <c r="D329" s="2">
        <f>A329*'Exponential Item Growth'!$B$4</f>
        <v>547.76</v>
      </c>
      <c r="E329" s="12">
        <f>if(isna(VLOOKUP(A329,'Exponential Item Growth'!$A$10:$B$18,2,false)),E328, E328*VLOOKUP(A329,'Exponential Item Growth'!$A$10:$B$18,2,false))</f>
        <v>32</v>
      </c>
      <c r="F329" s="12">
        <f>C329*'Exponential Item Growth'!$B$21</f>
        <v>87641.6</v>
      </c>
      <c r="G329" s="12">
        <f>'Exponential Item Growth'!$B$22*C329</f>
        <v>1314624</v>
      </c>
      <c r="H329" s="12">
        <f>'Exponential Item Growth'!$B$23*C329</f>
        <v>17528320</v>
      </c>
    </row>
    <row r="330" ht="15.75" customHeight="1">
      <c r="A330" s="2">
        <v>329.0</v>
      </c>
      <c r="B330" s="11">
        <f>'Exponential Item Growth'!$B$5*'Exponential Item Growth'!$B$6^A330</f>
        <v>17374093544</v>
      </c>
      <c r="C330" s="12">
        <f t="shared" si="1"/>
        <v>17581.76</v>
      </c>
      <c r="D330" s="2">
        <f>A330*'Exponential Item Growth'!$B$4</f>
        <v>549.43</v>
      </c>
      <c r="E330" s="12">
        <f>if(isna(VLOOKUP(A330,'Exponential Item Growth'!$A$10:$B$18,2,false)),E329, E329*VLOOKUP(A330,'Exponential Item Growth'!$A$10:$B$18,2,false))</f>
        <v>32</v>
      </c>
      <c r="F330" s="12">
        <f>C330*'Exponential Item Growth'!$B$21</f>
        <v>87908.8</v>
      </c>
      <c r="G330" s="12">
        <f>'Exponential Item Growth'!$B$22*C330</f>
        <v>1318632</v>
      </c>
      <c r="H330" s="12">
        <f>'Exponential Item Growth'!$B$23*C330</f>
        <v>17581760</v>
      </c>
    </row>
    <row r="331" ht="15.75" customHeight="1">
      <c r="A331" s="2">
        <v>330.0</v>
      </c>
      <c r="B331" s="11">
        <f>'Exponential Item Growth'!$B$5*'Exponential Item Growth'!$B$6^A331</f>
        <v>18590280092</v>
      </c>
      <c r="C331" s="12">
        <f t="shared" si="1"/>
        <v>17635.2</v>
      </c>
      <c r="D331" s="2">
        <f>A331*'Exponential Item Growth'!$B$4</f>
        <v>551.1</v>
      </c>
      <c r="E331" s="12">
        <f>if(isna(VLOOKUP(A331,'Exponential Item Growth'!$A$10:$B$18,2,false)),E330, E330*VLOOKUP(A331,'Exponential Item Growth'!$A$10:$B$18,2,false))</f>
        <v>32</v>
      </c>
      <c r="F331" s="12">
        <f>C331*'Exponential Item Growth'!$B$21</f>
        <v>88176</v>
      </c>
      <c r="G331" s="12">
        <f>'Exponential Item Growth'!$B$22*C331</f>
        <v>1322640</v>
      </c>
      <c r="H331" s="12">
        <f>'Exponential Item Growth'!$B$23*C331</f>
        <v>17635200</v>
      </c>
    </row>
    <row r="332" ht="15.75" customHeight="1">
      <c r="A332" s="2">
        <v>331.0</v>
      </c>
      <c r="B332" s="11">
        <f>'Exponential Item Growth'!$B$5*'Exponential Item Growth'!$B$6^A332</f>
        <v>19891599699</v>
      </c>
      <c r="C332" s="12">
        <f t="shared" si="1"/>
        <v>17688.64</v>
      </c>
      <c r="D332" s="2">
        <f>A332*'Exponential Item Growth'!$B$4</f>
        <v>552.77</v>
      </c>
      <c r="E332" s="12">
        <f>if(isna(VLOOKUP(A332,'Exponential Item Growth'!$A$10:$B$18,2,false)),E331, E331*VLOOKUP(A332,'Exponential Item Growth'!$A$10:$B$18,2,false))</f>
        <v>32</v>
      </c>
      <c r="F332" s="12">
        <f>C332*'Exponential Item Growth'!$B$21</f>
        <v>88443.2</v>
      </c>
      <c r="G332" s="12">
        <f>'Exponential Item Growth'!$B$22*C332</f>
        <v>1326648</v>
      </c>
      <c r="H332" s="12">
        <f>'Exponential Item Growth'!$B$23*C332</f>
        <v>17688640</v>
      </c>
    </row>
    <row r="333" ht="15.75" customHeight="1">
      <c r="A333" s="2">
        <v>332.0</v>
      </c>
      <c r="B333" s="11">
        <f>'Exponential Item Growth'!$B$5*'Exponential Item Growth'!$B$6^A333</f>
        <v>21284011678</v>
      </c>
      <c r="C333" s="12">
        <f t="shared" si="1"/>
        <v>17742.08</v>
      </c>
      <c r="D333" s="2">
        <f>A333*'Exponential Item Growth'!$B$4</f>
        <v>554.44</v>
      </c>
      <c r="E333" s="12">
        <f>if(isna(VLOOKUP(A333,'Exponential Item Growth'!$A$10:$B$18,2,false)),E332, E332*VLOOKUP(A333,'Exponential Item Growth'!$A$10:$B$18,2,false))</f>
        <v>32</v>
      </c>
      <c r="F333" s="12">
        <f>C333*'Exponential Item Growth'!$B$21</f>
        <v>88710.4</v>
      </c>
      <c r="G333" s="12">
        <f>'Exponential Item Growth'!$B$22*C333</f>
        <v>1330656</v>
      </c>
      <c r="H333" s="12">
        <f>'Exponential Item Growth'!$B$23*C333</f>
        <v>17742080</v>
      </c>
    </row>
    <row r="334" ht="15.75" customHeight="1">
      <c r="A334" s="2">
        <v>333.0</v>
      </c>
      <c r="B334" s="11">
        <f>'Exponential Item Growth'!$B$5*'Exponential Item Growth'!$B$6^A334</f>
        <v>22773892495</v>
      </c>
      <c r="C334" s="12">
        <f t="shared" si="1"/>
        <v>17795.52</v>
      </c>
      <c r="D334" s="2">
        <f>A334*'Exponential Item Growth'!$B$4</f>
        <v>556.11</v>
      </c>
      <c r="E334" s="12">
        <f>if(isna(VLOOKUP(A334,'Exponential Item Growth'!$A$10:$B$18,2,false)),E333, E333*VLOOKUP(A334,'Exponential Item Growth'!$A$10:$B$18,2,false))</f>
        <v>32</v>
      </c>
      <c r="F334" s="12">
        <f>C334*'Exponential Item Growth'!$B$21</f>
        <v>88977.6</v>
      </c>
      <c r="G334" s="12">
        <f>'Exponential Item Growth'!$B$22*C334</f>
        <v>1334664</v>
      </c>
      <c r="H334" s="12">
        <f>'Exponential Item Growth'!$B$23*C334</f>
        <v>17795520</v>
      </c>
    </row>
    <row r="335" ht="15.75" customHeight="1">
      <c r="A335" s="2">
        <v>334.0</v>
      </c>
      <c r="B335" s="11">
        <f>'Exponential Item Growth'!$B$5*'Exponential Item Growth'!$B$6^A335</f>
        <v>24368064970</v>
      </c>
      <c r="C335" s="12">
        <f t="shared" si="1"/>
        <v>17848.96</v>
      </c>
      <c r="D335" s="2">
        <f>A335*'Exponential Item Growth'!$B$4</f>
        <v>557.78</v>
      </c>
      <c r="E335" s="12">
        <f>if(isna(VLOOKUP(A335,'Exponential Item Growth'!$A$10:$B$18,2,false)),E334, E334*VLOOKUP(A335,'Exponential Item Growth'!$A$10:$B$18,2,false))</f>
        <v>32</v>
      </c>
      <c r="F335" s="12">
        <f>C335*'Exponential Item Growth'!$B$21</f>
        <v>89244.8</v>
      </c>
      <c r="G335" s="12">
        <f>'Exponential Item Growth'!$B$22*C335</f>
        <v>1338672</v>
      </c>
      <c r="H335" s="12">
        <f>'Exponential Item Growth'!$B$23*C335</f>
        <v>17848960</v>
      </c>
    </row>
    <row r="336" ht="15.75" customHeight="1">
      <c r="A336" s="2">
        <v>335.0</v>
      </c>
      <c r="B336" s="11">
        <f>'Exponential Item Growth'!$B$5*'Exponential Item Growth'!$B$6^A336</f>
        <v>26073829518</v>
      </c>
      <c r="C336" s="12">
        <f t="shared" si="1"/>
        <v>17902.4</v>
      </c>
      <c r="D336" s="2">
        <f>A336*'Exponential Item Growth'!$B$4</f>
        <v>559.45</v>
      </c>
      <c r="E336" s="12">
        <f>if(isna(VLOOKUP(A336,'Exponential Item Growth'!$A$10:$B$18,2,false)),E335, E335*VLOOKUP(A336,'Exponential Item Growth'!$A$10:$B$18,2,false))</f>
        <v>32</v>
      </c>
      <c r="F336" s="12">
        <f>C336*'Exponential Item Growth'!$B$21</f>
        <v>89512</v>
      </c>
      <c r="G336" s="12">
        <f>'Exponential Item Growth'!$B$22*C336</f>
        <v>1342680</v>
      </c>
      <c r="H336" s="12">
        <f>'Exponential Item Growth'!$B$23*C336</f>
        <v>17902400</v>
      </c>
    </row>
    <row r="337" ht="15.75" customHeight="1">
      <c r="A337" s="2">
        <v>336.0</v>
      </c>
      <c r="B337" s="11">
        <f>'Exponential Item Growth'!$B$5*'Exponential Item Growth'!$B$6^A337</f>
        <v>27898997584</v>
      </c>
      <c r="C337" s="12">
        <f t="shared" si="1"/>
        <v>17955.84</v>
      </c>
      <c r="D337" s="2">
        <f>A337*'Exponential Item Growth'!$B$4</f>
        <v>561.12</v>
      </c>
      <c r="E337" s="12">
        <f>if(isna(VLOOKUP(A337,'Exponential Item Growth'!$A$10:$B$18,2,false)),E336, E336*VLOOKUP(A337,'Exponential Item Growth'!$A$10:$B$18,2,false))</f>
        <v>32</v>
      </c>
      <c r="F337" s="12">
        <f>C337*'Exponential Item Growth'!$B$21</f>
        <v>89779.2</v>
      </c>
      <c r="G337" s="12">
        <f>'Exponential Item Growth'!$B$22*C337</f>
        <v>1346688</v>
      </c>
      <c r="H337" s="12">
        <f>'Exponential Item Growth'!$B$23*C337</f>
        <v>17955840</v>
      </c>
    </row>
    <row r="338" ht="15.75" customHeight="1">
      <c r="A338" s="2">
        <v>337.0</v>
      </c>
      <c r="B338" s="11">
        <f>'Exponential Item Growth'!$B$5*'Exponential Item Growth'!$B$6^A338</f>
        <v>29851927415</v>
      </c>
      <c r="C338" s="12">
        <f t="shared" si="1"/>
        <v>18009.28</v>
      </c>
      <c r="D338" s="2">
        <f>A338*'Exponential Item Growth'!$B$4</f>
        <v>562.79</v>
      </c>
      <c r="E338" s="12">
        <f>if(isna(VLOOKUP(A338,'Exponential Item Growth'!$A$10:$B$18,2,false)),E337, E337*VLOOKUP(A338,'Exponential Item Growth'!$A$10:$B$18,2,false))</f>
        <v>32</v>
      </c>
      <c r="F338" s="12">
        <f>C338*'Exponential Item Growth'!$B$21</f>
        <v>90046.4</v>
      </c>
      <c r="G338" s="12">
        <f>'Exponential Item Growth'!$B$22*C338</f>
        <v>1350696</v>
      </c>
      <c r="H338" s="12">
        <f>'Exponential Item Growth'!$B$23*C338</f>
        <v>18009280</v>
      </c>
    </row>
    <row r="339" ht="15.75" customHeight="1">
      <c r="A339" s="2">
        <v>338.0</v>
      </c>
      <c r="B339" s="11">
        <f>'Exponential Item Growth'!$B$5*'Exponential Item Growth'!$B$6^A339</f>
        <v>31941562334</v>
      </c>
      <c r="C339" s="12">
        <f t="shared" si="1"/>
        <v>18062.72</v>
      </c>
      <c r="D339" s="2">
        <f>A339*'Exponential Item Growth'!$B$4</f>
        <v>564.46</v>
      </c>
      <c r="E339" s="12">
        <f>if(isna(VLOOKUP(A339,'Exponential Item Growth'!$A$10:$B$18,2,false)),E338, E338*VLOOKUP(A339,'Exponential Item Growth'!$A$10:$B$18,2,false))</f>
        <v>32</v>
      </c>
      <c r="F339" s="12">
        <f>C339*'Exponential Item Growth'!$B$21</f>
        <v>90313.6</v>
      </c>
      <c r="G339" s="12">
        <f>'Exponential Item Growth'!$B$22*C339</f>
        <v>1354704</v>
      </c>
      <c r="H339" s="12">
        <f>'Exponential Item Growth'!$B$23*C339</f>
        <v>18062720</v>
      </c>
    </row>
    <row r="340" ht="15.75" customHeight="1">
      <c r="A340" s="2">
        <v>339.0</v>
      </c>
      <c r="B340" s="11">
        <f>'Exponential Item Growth'!$B$5*'Exponential Item Growth'!$B$6^A340</f>
        <v>34177471697</v>
      </c>
      <c r="C340" s="12">
        <f t="shared" si="1"/>
        <v>18116.16</v>
      </c>
      <c r="D340" s="2">
        <f>A340*'Exponential Item Growth'!$B$4</f>
        <v>566.13</v>
      </c>
      <c r="E340" s="12">
        <f>if(isna(VLOOKUP(A340,'Exponential Item Growth'!$A$10:$B$18,2,false)),E339, E339*VLOOKUP(A340,'Exponential Item Growth'!$A$10:$B$18,2,false))</f>
        <v>32</v>
      </c>
      <c r="F340" s="12">
        <f>C340*'Exponential Item Growth'!$B$21</f>
        <v>90580.8</v>
      </c>
      <c r="G340" s="12">
        <f>'Exponential Item Growth'!$B$22*C340</f>
        <v>1358712</v>
      </c>
      <c r="H340" s="12">
        <f>'Exponential Item Growth'!$B$23*C340</f>
        <v>18116160</v>
      </c>
    </row>
    <row r="341" ht="15.75" customHeight="1">
      <c r="A341" s="2">
        <v>340.0</v>
      </c>
      <c r="B341" s="11">
        <f>'Exponential Item Growth'!$B$5*'Exponential Item Growth'!$B$6^A341</f>
        <v>36569894716</v>
      </c>
      <c r="C341" s="12">
        <f t="shared" si="1"/>
        <v>18169.6</v>
      </c>
      <c r="D341" s="2">
        <f>A341*'Exponential Item Growth'!$B$4</f>
        <v>567.8</v>
      </c>
      <c r="E341" s="12">
        <f>if(isna(VLOOKUP(A341,'Exponential Item Growth'!$A$10:$B$18,2,false)),E340, E340*VLOOKUP(A341,'Exponential Item Growth'!$A$10:$B$18,2,false))</f>
        <v>32</v>
      </c>
      <c r="F341" s="12">
        <f>C341*'Exponential Item Growth'!$B$21</f>
        <v>90848</v>
      </c>
      <c r="G341" s="12">
        <f>'Exponential Item Growth'!$B$22*C341</f>
        <v>1362720</v>
      </c>
      <c r="H341" s="12">
        <f>'Exponential Item Growth'!$B$23*C341</f>
        <v>18169600</v>
      </c>
    </row>
    <row r="342" ht="15.75" customHeight="1">
      <c r="A342" s="2">
        <v>341.0</v>
      </c>
      <c r="B342" s="11">
        <f>'Exponential Item Growth'!$B$5*'Exponential Item Growth'!$B$6^A342</f>
        <v>39129787346</v>
      </c>
      <c r="C342" s="12">
        <f t="shared" si="1"/>
        <v>18223.04</v>
      </c>
      <c r="D342" s="2">
        <f>A342*'Exponential Item Growth'!$B$4</f>
        <v>569.47</v>
      </c>
      <c r="E342" s="12">
        <f>if(isna(VLOOKUP(A342,'Exponential Item Growth'!$A$10:$B$18,2,false)),E341, E341*VLOOKUP(A342,'Exponential Item Growth'!$A$10:$B$18,2,false))</f>
        <v>32</v>
      </c>
      <c r="F342" s="12">
        <f>C342*'Exponential Item Growth'!$B$21</f>
        <v>91115.2</v>
      </c>
      <c r="G342" s="12">
        <f>'Exponential Item Growth'!$B$22*C342</f>
        <v>1366728</v>
      </c>
      <c r="H342" s="12">
        <f>'Exponential Item Growth'!$B$23*C342</f>
        <v>18223040</v>
      </c>
    </row>
    <row r="343" ht="15.75" customHeight="1">
      <c r="A343" s="2">
        <v>342.0</v>
      </c>
      <c r="B343" s="11">
        <f>'Exponential Item Growth'!$B$5*'Exponential Item Growth'!$B$6^A343</f>
        <v>41868872460</v>
      </c>
      <c r="C343" s="12">
        <f t="shared" si="1"/>
        <v>18276.48</v>
      </c>
      <c r="D343" s="2">
        <f>A343*'Exponential Item Growth'!$B$4</f>
        <v>571.14</v>
      </c>
      <c r="E343" s="12">
        <f>if(isna(VLOOKUP(A343,'Exponential Item Growth'!$A$10:$B$18,2,false)),E342, E342*VLOOKUP(A343,'Exponential Item Growth'!$A$10:$B$18,2,false))</f>
        <v>32</v>
      </c>
      <c r="F343" s="12">
        <f>C343*'Exponential Item Growth'!$B$21</f>
        <v>91382.4</v>
      </c>
      <c r="G343" s="12">
        <f>'Exponential Item Growth'!$B$22*C343</f>
        <v>1370736</v>
      </c>
      <c r="H343" s="12">
        <f>'Exponential Item Growth'!$B$23*C343</f>
        <v>18276480</v>
      </c>
    </row>
    <row r="344" ht="15.75" customHeight="1">
      <c r="A344" s="2">
        <v>343.0</v>
      </c>
      <c r="B344" s="11">
        <f>'Exponential Item Growth'!$B$5*'Exponential Item Growth'!$B$6^A344</f>
        <v>44799693533</v>
      </c>
      <c r="C344" s="12">
        <f t="shared" si="1"/>
        <v>18329.92</v>
      </c>
      <c r="D344" s="2">
        <f>A344*'Exponential Item Growth'!$B$4</f>
        <v>572.81</v>
      </c>
      <c r="E344" s="12">
        <f>if(isna(VLOOKUP(A344,'Exponential Item Growth'!$A$10:$B$18,2,false)),E343, E343*VLOOKUP(A344,'Exponential Item Growth'!$A$10:$B$18,2,false))</f>
        <v>32</v>
      </c>
      <c r="F344" s="12">
        <f>C344*'Exponential Item Growth'!$B$21</f>
        <v>91649.6</v>
      </c>
      <c r="G344" s="12">
        <f>'Exponential Item Growth'!$B$22*C344</f>
        <v>1374744</v>
      </c>
      <c r="H344" s="12">
        <f>'Exponential Item Growth'!$B$23*C344</f>
        <v>18329920</v>
      </c>
    </row>
    <row r="345" ht="15.75" customHeight="1">
      <c r="A345" s="2">
        <v>344.0</v>
      </c>
      <c r="B345" s="11">
        <f>'Exponential Item Growth'!$B$5*'Exponential Item Growth'!$B$6^A345</f>
        <v>47935672080</v>
      </c>
      <c r="C345" s="12">
        <f t="shared" si="1"/>
        <v>18383.36</v>
      </c>
      <c r="D345" s="2">
        <f>A345*'Exponential Item Growth'!$B$4</f>
        <v>574.48</v>
      </c>
      <c r="E345" s="12">
        <f>if(isna(VLOOKUP(A345,'Exponential Item Growth'!$A$10:$B$18,2,false)),E344, E344*VLOOKUP(A345,'Exponential Item Growth'!$A$10:$B$18,2,false))</f>
        <v>32</v>
      </c>
      <c r="F345" s="12">
        <f>C345*'Exponential Item Growth'!$B$21</f>
        <v>91916.8</v>
      </c>
      <c r="G345" s="12">
        <f>'Exponential Item Growth'!$B$22*C345</f>
        <v>1378752</v>
      </c>
      <c r="H345" s="12">
        <f>'Exponential Item Growth'!$B$23*C345</f>
        <v>18383360</v>
      </c>
    </row>
    <row r="346" ht="15.75" customHeight="1">
      <c r="A346" s="2">
        <v>345.0</v>
      </c>
      <c r="B346" s="11">
        <f>'Exponential Item Growth'!$B$5*'Exponential Item Growth'!$B$6^A346</f>
        <v>51291169125</v>
      </c>
      <c r="C346" s="12">
        <f t="shared" si="1"/>
        <v>18436.8</v>
      </c>
      <c r="D346" s="2">
        <f>A346*'Exponential Item Growth'!$B$4</f>
        <v>576.15</v>
      </c>
      <c r="E346" s="12">
        <f>if(isna(VLOOKUP(A346,'Exponential Item Growth'!$A$10:$B$18,2,false)),E345, E345*VLOOKUP(A346,'Exponential Item Growth'!$A$10:$B$18,2,false))</f>
        <v>32</v>
      </c>
      <c r="F346" s="12">
        <f>C346*'Exponential Item Growth'!$B$21</f>
        <v>92184</v>
      </c>
      <c r="G346" s="12">
        <f>'Exponential Item Growth'!$B$22*C346</f>
        <v>1382760</v>
      </c>
      <c r="H346" s="12">
        <f>'Exponential Item Growth'!$B$23*C346</f>
        <v>18436800</v>
      </c>
    </row>
    <row r="347" ht="15.75" customHeight="1">
      <c r="A347" s="2">
        <v>346.0</v>
      </c>
      <c r="B347" s="11">
        <f>'Exponential Item Growth'!$B$5*'Exponential Item Growth'!$B$6^A347</f>
        <v>54881550964</v>
      </c>
      <c r="C347" s="12">
        <f t="shared" si="1"/>
        <v>18490.24</v>
      </c>
      <c r="D347" s="2">
        <f>A347*'Exponential Item Growth'!$B$4</f>
        <v>577.82</v>
      </c>
      <c r="E347" s="12">
        <f>if(isna(VLOOKUP(A347,'Exponential Item Growth'!$A$10:$B$18,2,false)),E346, E346*VLOOKUP(A347,'Exponential Item Growth'!$A$10:$B$18,2,false))</f>
        <v>32</v>
      </c>
      <c r="F347" s="12">
        <f>C347*'Exponential Item Growth'!$B$21</f>
        <v>92451.2</v>
      </c>
      <c r="G347" s="12">
        <f>'Exponential Item Growth'!$B$22*C347</f>
        <v>1386768</v>
      </c>
      <c r="H347" s="12">
        <f>'Exponential Item Growth'!$B$23*C347</f>
        <v>18490240</v>
      </c>
    </row>
    <row r="348" ht="15.75" customHeight="1">
      <c r="A348" s="2">
        <v>347.0</v>
      </c>
      <c r="B348" s="11">
        <f>'Exponential Item Growth'!$B$5*'Exponential Item Growth'!$B$6^A348</f>
        <v>58723259532</v>
      </c>
      <c r="C348" s="12">
        <f t="shared" si="1"/>
        <v>18543.68</v>
      </c>
      <c r="D348" s="2">
        <f>A348*'Exponential Item Growth'!$B$4</f>
        <v>579.49</v>
      </c>
      <c r="E348" s="12">
        <f>if(isna(VLOOKUP(A348,'Exponential Item Growth'!$A$10:$B$18,2,false)),E347, E347*VLOOKUP(A348,'Exponential Item Growth'!$A$10:$B$18,2,false))</f>
        <v>32</v>
      </c>
      <c r="F348" s="12">
        <f>C348*'Exponential Item Growth'!$B$21</f>
        <v>92718.4</v>
      </c>
      <c r="G348" s="12">
        <f>'Exponential Item Growth'!$B$22*C348</f>
        <v>1390776</v>
      </c>
      <c r="H348" s="12">
        <f>'Exponential Item Growth'!$B$23*C348</f>
        <v>18543680</v>
      </c>
    </row>
    <row r="349" ht="15.75" customHeight="1">
      <c r="A349" s="2">
        <v>348.0</v>
      </c>
      <c r="B349" s="11">
        <f>'Exponential Item Growth'!$B$5*'Exponential Item Growth'!$B$6^A349</f>
        <v>62833887699</v>
      </c>
      <c r="C349" s="12">
        <f t="shared" si="1"/>
        <v>18597.12</v>
      </c>
      <c r="D349" s="2">
        <f>A349*'Exponential Item Growth'!$B$4</f>
        <v>581.16</v>
      </c>
      <c r="E349" s="12">
        <f>if(isna(VLOOKUP(A349,'Exponential Item Growth'!$A$10:$B$18,2,false)),E348, E348*VLOOKUP(A349,'Exponential Item Growth'!$A$10:$B$18,2,false))</f>
        <v>32</v>
      </c>
      <c r="F349" s="12">
        <f>C349*'Exponential Item Growth'!$B$21</f>
        <v>92985.6</v>
      </c>
      <c r="G349" s="12">
        <f>'Exponential Item Growth'!$B$22*C349</f>
        <v>1394784</v>
      </c>
      <c r="H349" s="12">
        <f>'Exponential Item Growth'!$B$23*C349</f>
        <v>18597120</v>
      </c>
    </row>
    <row r="350" ht="15.75" customHeight="1">
      <c r="A350" s="2">
        <v>349.0</v>
      </c>
      <c r="B350" s="11">
        <f>'Exponential Item Growth'!$B$5*'Exponential Item Growth'!$B$6^A350</f>
        <v>67232259838</v>
      </c>
      <c r="C350" s="12">
        <f t="shared" si="1"/>
        <v>18650.56</v>
      </c>
      <c r="D350" s="2">
        <f>A350*'Exponential Item Growth'!$B$4</f>
        <v>582.83</v>
      </c>
      <c r="E350" s="12">
        <f>if(isna(VLOOKUP(A350,'Exponential Item Growth'!$A$10:$B$18,2,false)),E349, E349*VLOOKUP(A350,'Exponential Item Growth'!$A$10:$B$18,2,false))</f>
        <v>32</v>
      </c>
      <c r="F350" s="12">
        <f>C350*'Exponential Item Growth'!$B$21</f>
        <v>93252.8</v>
      </c>
      <c r="G350" s="12">
        <f>'Exponential Item Growth'!$B$22*C350</f>
        <v>1398792</v>
      </c>
      <c r="H350" s="12">
        <f>'Exponential Item Growth'!$B$23*C350</f>
        <v>18650560</v>
      </c>
    </row>
    <row r="351" ht="15.75" customHeight="1">
      <c r="A351" s="2">
        <v>350.0</v>
      </c>
      <c r="B351" s="11">
        <f>'Exponential Item Growth'!$B$5*'Exponential Item Growth'!$B$6^A351</f>
        <v>71938518026</v>
      </c>
      <c r="C351" s="12">
        <f t="shared" si="1"/>
        <v>18704</v>
      </c>
      <c r="D351" s="2">
        <f>A351*'Exponential Item Growth'!$B$4</f>
        <v>584.5</v>
      </c>
      <c r="E351" s="12">
        <f>if(isna(VLOOKUP(A351,'Exponential Item Growth'!$A$10:$B$18,2,false)),E350, E350*VLOOKUP(A351,'Exponential Item Growth'!$A$10:$B$18,2,false))</f>
        <v>32</v>
      </c>
      <c r="F351" s="12">
        <f>C351*'Exponential Item Growth'!$B$21</f>
        <v>93520</v>
      </c>
      <c r="G351" s="12">
        <f>'Exponential Item Growth'!$B$22*C351</f>
        <v>1402800</v>
      </c>
      <c r="H351" s="12">
        <f>'Exponential Item Growth'!$B$23*C351</f>
        <v>18704000</v>
      </c>
    </row>
    <row r="352" ht="15.75" customHeight="1">
      <c r="A352" s="2">
        <v>351.0</v>
      </c>
      <c r="B352" s="11">
        <f>'Exponential Item Growth'!$B$5*'Exponential Item Growth'!$B$6^A352</f>
        <v>76974214288</v>
      </c>
      <c r="C352" s="12">
        <f t="shared" si="1"/>
        <v>18757.44</v>
      </c>
      <c r="D352" s="2">
        <f>A352*'Exponential Item Growth'!$B$4</f>
        <v>586.17</v>
      </c>
      <c r="E352" s="12">
        <f>if(isna(VLOOKUP(A352,'Exponential Item Growth'!$A$10:$B$18,2,false)),E351, E351*VLOOKUP(A352,'Exponential Item Growth'!$A$10:$B$18,2,false))</f>
        <v>32</v>
      </c>
      <c r="F352" s="12">
        <f>C352*'Exponential Item Growth'!$B$21</f>
        <v>93787.2</v>
      </c>
      <c r="G352" s="12">
        <f>'Exponential Item Growth'!$B$22*C352</f>
        <v>1406808</v>
      </c>
      <c r="H352" s="12">
        <f>'Exponential Item Growth'!$B$23*C352</f>
        <v>18757440</v>
      </c>
    </row>
    <row r="353" ht="15.75" customHeight="1">
      <c r="A353" s="2">
        <v>352.0</v>
      </c>
      <c r="B353" s="11">
        <f>'Exponential Item Growth'!$B$5*'Exponential Item Growth'!$B$6^A353</f>
        <v>82362409288</v>
      </c>
      <c r="C353" s="12">
        <f t="shared" si="1"/>
        <v>18810.88</v>
      </c>
      <c r="D353" s="2">
        <f>A353*'Exponential Item Growth'!$B$4</f>
        <v>587.84</v>
      </c>
      <c r="E353" s="12">
        <f>if(isna(VLOOKUP(A353,'Exponential Item Growth'!$A$10:$B$18,2,false)),E352, E352*VLOOKUP(A353,'Exponential Item Growth'!$A$10:$B$18,2,false))</f>
        <v>32</v>
      </c>
      <c r="F353" s="12">
        <f>C353*'Exponential Item Growth'!$B$21</f>
        <v>94054.4</v>
      </c>
      <c r="G353" s="12">
        <f>'Exponential Item Growth'!$B$22*C353</f>
        <v>1410816</v>
      </c>
      <c r="H353" s="12">
        <f>'Exponential Item Growth'!$B$23*C353</f>
        <v>18810880</v>
      </c>
    </row>
    <row r="354" ht="15.75" customHeight="1">
      <c r="A354" s="2">
        <v>353.0</v>
      </c>
      <c r="B354" s="11">
        <f>'Exponential Item Growth'!$B$5*'Exponential Item Growth'!$B$6^A354</f>
        <v>88127777939</v>
      </c>
      <c r="C354" s="12">
        <f t="shared" si="1"/>
        <v>18864.32</v>
      </c>
      <c r="D354" s="2">
        <f>A354*'Exponential Item Growth'!$B$4</f>
        <v>589.51</v>
      </c>
      <c r="E354" s="12">
        <f>if(isna(VLOOKUP(A354,'Exponential Item Growth'!$A$10:$B$18,2,false)),E353, E353*VLOOKUP(A354,'Exponential Item Growth'!$A$10:$B$18,2,false))</f>
        <v>32</v>
      </c>
      <c r="F354" s="12">
        <f>C354*'Exponential Item Growth'!$B$21</f>
        <v>94321.6</v>
      </c>
      <c r="G354" s="12">
        <f>'Exponential Item Growth'!$B$22*C354</f>
        <v>1414824</v>
      </c>
      <c r="H354" s="12">
        <f>'Exponential Item Growth'!$B$23*C354</f>
        <v>18864320</v>
      </c>
    </row>
    <row r="355" ht="15.75" customHeight="1">
      <c r="A355" s="2">
        <v>354.0</v>
      </c>
      <c r="B355" s="11">
        <f>'Exponential Item Growth'!$B$5*'Exponential Item Growth'!$B$6^A355</f>
        <v>94296722394</v>
      </c>
      <c r="C355" s="12">
        <f t="shared" si="1"/>
        <v>18917.76</v>
      </c>
      <c r="D355" s="2">
        <f>A355*'Exponential Item Growth'!$B$4</f>
        <v>591.18</v>
      </c>
      <c r="E355" s="12">
        <f>if(isna(VLOOKUP(A355,'Exponential Item Growth'!$A$10:$B$18,2,false)),E354, E354*VLOOKUP(A355,'Exponential Item Growth'!$A$10:$B$18,2,false))</f>
        <v>32</v>
      </c>
      <c r="F355" s="12">
        <f>C355*'Exponential Item Growth'!$B$21</f>
        <v>94588.8</v>
      </c>
      <c r="G355" s="12">
        <f>'Exponential Item Growth'!$B$22*C355</f>
        <v>1418832</v>
      </c>
      <c r="H355" s="12">
        <f>'Exponential Item Growth'!$B$23*C355</f>
        <v>18917760</v>
      </c>
    </row>
    <row r="356" ht="15.75" customHeight="1">
      <c r="A356" s="2">
        <v>355.0</v>
      </c>
      <c r="B356" s="11">
        <f>'Exponential Item Growth'!$B$5*'Exponential Item Growth'!$B$6^A356</f>
        <v>100897492962</v>
      </c>
      <c r="C356" s="12">
        <f t="shared" si="1"/>
        <v>18971.2</v>
      </c>
      <c r="D356" s="2">
        <f>A356*'Exponential Item Growth'!$B$4</f>
        <v>592.85</v>
      </c>
      <c r="E356" s="12">
        <f>if(isna(VLOOKUP(A356,'Exponential Item Growth'!$A$10:$B$18,2,false)),E355, E355*VLOOKUP(A356,'Exponential Item Growth'!$A$10:$B$18,2,false))</f>
        <v>32</v>
      </c>
      <c r="F356" s="12">
        <f>C356*'Exponential Item Growth'!$B$21</f>
        <v>94856</v>
      </c>
      <c r="G356" s="12">
        <f>'Exponential Item Growth'!$B$22*C356</f>
        <v>1422840</v>
      </c>
      <c r="H356" s="12">
        <f>'Exponential Item Growth'!$B$23*C356</f>
        <v>18971200</v>
      </c>
    </row>
    <row r="357" ht="15.75" customHeight="1">
      <c r="A357" s="2">
        <v>356.0</v>
      </c>
      <c r="B357" s="11">
        <f>'Exponential Item Growth'!$B$5*'Exponential Item Growth'!$B$6^A357</f>
        <v>107960317469</v>
      </c>
      <c r="C357" s="12">
        <f t="shared" si="1"/>
        <v>19024.64</v>
      </c>
      <c r="D357" s="2">
        <f>A357*'Exponential Item Growth'!$B$4</f>
        <v>594.52</v>
      </c>
      <c r="E357" s="12">
        <f>if(isna(VLOOKUP(A357,'Exponential Item Growth'!$A$10:$B$18,2,false)),E356, E356*VLOOKUP(A357,'Exponential Item Growth'!$A$10:$B$18,2,false))</f>
        <v>32</v>
      </c>
      <c r="F357" s="12">
        <f>C357*'Exponential Item Growth'!$B$21</f>
        <v>95123.2</v>
      </c>
      <c r="G357" s="12">
        <f>'Exponential Item Growth'!$B$22*C357</f>
        <v>1426848</v>
      </c>
      <c r="H357" s="12">
        <f>'Exponential Item Growth'!$B$23*C357</f>
        <v>19024640</v>
      </c>
    </row>
    <row r="358" ht="15.75" customHeight="1">
      <c r="A358" s="2">
        <v>357.0</v>
      </c>
      <c r="B358" s="11">
        <f>'Exponential Item Growth'!$B$5*'Exponential Item Growth'!$B$6^A358</f>
        <v>115517539692</v>
      </c>
      <c r="C358" s="12">
        <f t="shared" si="1"/>
        <v>19078.08</v>
      </c>
      <c r="D358" s="2">
        <f>A358*'Exponential Item Growth'!$B$4</f>
        <v>596.19</v>
      </c>
      <c r="E358" s="12">
        <f>if(isna(VLOOKUP(A358,'Exponential Item Growth'!$A$10:$B$18,2,false)),E357, E357*VLOOKUP(A358,'Exponential Item Growth'!$A$10:$B$18,2,false))</f>
        <v>32</v>
      </c>
      <c r="F358" s="12">
        <f>C358*'Exponential Item Growth'!$B$21</f>
        <v>95390.4</v>
      </c>
      <c r="G358" s="12">
        <f>'Exponential Item Growth'!$B$22*C358</f>
        <v>1430856</v>
      </c>
      <c r="H358" s="12">
        <f>'Exponential Item Growth'!$B$23*C358</f>
        <v>19078080</v>
      </c>
    </row>
    <row r="359" ht="15.75" customHeight="1">
      <c r="A359" s="2">
        <v>358.0</v>
      </c>
      <c r="B359" s="11">
        <f>'Exponential Item Growth'!$B$5*'Exponential Item Growth'!$B$6^A359</f>
        <v>123603767471</v>
      </c>
      <c r="C359" s="12">
        <f t="shared" si="1"/>
        <v>19131.52</v>
      </c>
      <c r="D359" s="2">
        <f>A359*'Exponential Item Growth'!$B$4</f>
        <v>597.86</v>
      </c>
      <c r="E359" s="12">
        <f>if(isna(VLOOKUP(A359,'Exponential Item Growth'!$A$10:$B$18,2,false)),E358, E358*VLOOKUP(A359,'Exponential Item Growth'!$A$10:$B$18,2,false))</f>
        <v>32</v>
      </c>
      <c r="F359" s="12">
        <f>C359*'Exponential Item Growth'!$B$21</f>
        <v>95657.6</v>
      </c>
      <c r="G359" s="12">
        <f>'Exponential Item Growth'!$B$22*C359</f>
        <v>1434864</v>
      </c>
      <c r="H359" s="12">
        <f>'Exponential Item Growth'!$B$23*C359</f>
        <v>19131520</v>
      </c>
    </row>
    <row r="360" ht="15.75" customHeight="1">
      <c r="A360" s="2">
        <v>359.0</v>
      </c>
      <c r="B360" s="11">
        <f>'Exponential Item Growth'!$B$5*'Exponential Item Growth'!$B$6^A360</f>
        <v>132256031194</v>
      </c>
      <c r="C360" s="12">
        <f t="shared" si="1"/>
        <v>19184.96</v>
      </c>
      <c r="D360" s="2">
        <f>A360*'Exponential Item Growth'!$B$4</f>
        <v>599.53</v>
      </c>
      <c r="E360" s="12">
        <f>if(isna(VLOOKUP(A360,'Exponential Item Growth'!$A$10:$B$18,2,false)),E359, E359*VLOOKUP(A360,'Exponential Item Growth'!$A$10:$B$18,2,false))</f>
        <v>32</v>
      </c>
      <c r="F360" s="12">
        <f>C360*'Exponential Item Growth'!$B$21</f>
        <v>95924.8</v>
      </c>
      <c r="G360" s="12">
        <f>'Exponential Item Growth'!$B$22*C360</f>
        <v>1438872</v>
      </c>
      <c r="H360" s="12">
        <f>'Exponential Item Growth'!$B$23*C360</f>
        <v>19184960</v>
      </c>
    </row>
    <row r="361" ht="15.75" customHeight="1">
      <c r="A361" s="2">
        <v>360.0</v>
      </c>
      <c r="B361" s="11">
        <f>'Exponential Item Growth'!$B$5*'Exponential Item Growth'!$B$6^A361</f>
        <v>141513953377</v>
      </c>
      <c r="C361" s="12">
        <f t="shared" si="1"/>
        <v>19238.4</v>
      </c>
      <c r="D361" s="2">
        <f>A361*'Exponential Item Growth'!$B$4</f>
        <v>601.2</v>
      </c>
      <c r="E361" s="12">
        <f>if(isna(VLOOKUP(A361,'Exponential Item Growth'!$A$10:$B$18,2,false)),E360, E360*VLOOKUP(A361,'Exponential Item Growth'!$A$10:$B$18,2,false))</f>
        <v>32</v>
      </c>
      <c r="F361" s="12">
        <f>C361*'Exponential Item Growth'!$B$21</f>
        <v>96192</v>
      </c>
      <c r="G361" s="12">
        <f>'Exponential Item Growth'!$B$22*C361</f>
        <v>1442880</v>
      </c>
      <c r="H361" s="12">
        <f>'Exponential Item Growth'!$B$23*C361</f>
        <v>19238400</v>
      </c>
    </row>
    <row r="362" ht="15.75" customHeight="1">
      <c r="A362" s="2">
        <v>361.0</v>
      </c>
      <c r="B362" s="11">
        <f>'Exponential Item Growth'!$B$5*'Exponential Item Growth'!$B$6^A362</f>
        <v>151419930113</v>
      </c>
      <c r="C362" s="12">
        <f t="shared" si="1"/>
        <v>19291.84</v>
      </c>
      <c r="D362" s="2">
        <f>A362*'Exponential Item Growth'!$B$4</f>
        <v>602.87</v>
      </c>
      <c r="E362" s="12">
        <f>if(isna(VLOOKUP(A362,'Exponential Item Growth'!$A$10:$B$18,2,false)),E361, E361*VLOOKUP(A362,'Exponential Item Growth'!$A$10:$B$18,2,false))</f>
        <v>32</v>
      </c>
      <c r="F362" s="12">
        <f>C362*'Exponential Item Growth'!$B$21</f>
        <v>96459.2</v>
      </c>
      <c r="G362" s="12">
        <f>'Exponential Item Growth'!$B$22*C362</f>
        <v>1446888</v>
      </c>
      <c r="H362" s="12">
        <f>'Exponential Item Growth'!$B$23*C362</f>
        <v>19291840</v>
      </c>
    </row>
    <row r="363" ht="15.75" customHeight="1">
      <c r="A363" s="2">
        <v>362.0</v>
      </c>
      <c r="B363" s="11">
        <f>'Exponential Item Growth'!$B$5*'Exponential Item Growth'!$B$6^A363</f>
        <v>162019325221</v>
      </c>
      <c r="C363" s="12">
        <f t="shared" si="1"/>
        <v>19345.28</v>
      </c>
      <c r="D363" s="2">
        <f>A363*'Exponential Item Growth'!$B$4</f>
        <v>604.54</v>
      </c>
      <c r="E363" s="12">
        <f>if(isna(VLOOKUP(A363,'Exponential Item Growth'!$A$10:$B$18,2,false)),E362, E362*VLOOKUP(A363,'Exponential Item Growth'!$A$10:$B$18,2,false))</f>
        <v>32</v>
      </c>
      <c r="F363" s="12">
        <f>C363*'Exponential Item Growth'!$B$21</f>
        <v>96726.4</v>
      </c>
      <c r="G363" s="12">
        <f>'Exponential Item Growth'!$B$22*C363</f>
        <v>1450896</v>
      </c>
      <c r="H363" s="12">
        <f>'Exponential Item Growth'!$B$23*C363</f>
        <v>19345280</v>
      </c>
    </row>
    <row r="364" ht="15.75" customHeight="1">
      <c r="A364" s="2">
        <v>363.0</v>
      </c>
      <c r="B364" s="11">
        <f>'Exponential Item Growth'!$B$5*'Exponential Item Growth'!$B$6^A364</f>
        <v>173360677987</v>
      </c>
      <c r="C364" s="12">
        <f t="shared" si="1"/>
        <v>19398.72</v>
      </c>
      <c r="D364" s="2">
        <f>A364*'Exponential Item Growth'!$B$4</f>
        <v>606.21</v>
      </c>
      <c r="E364" s="12">
        <f>if(isna(VLOOKUP(A364,'Exponential Item Growth'!$A$10:$B$18,2,false)),E363, E363*VLOOKUP(A364,'Exponential Item Growth'!$A$10:$B$18,2,false))</f>
        <v>32</v>
      </c>
      <c r="F364" s="12">
        <f>C364*'Exponential Item Growth'!$B$21</f>
        <v>96993.6</v>
      </c>
      <c r="G364" s="12">
        <f>'Exponential Item Growth'!$B$22*C364</f>
        <v>1454904</v>
      </c>
      <c r="H364" s="12">
        <f>'Exponential Item Growth'!$B$23*C364</f>
        <v>19398720</v>
      </c>
    </row>
    <row r="365" ht="15.75" customHeight="1">
      <c r="A365" s="2">
        <v>364.0</v>
      </c>
      <c r="B365" s="11">
        <f>'Exponential Item Growth'!$B$5*'Exponential Item Growth'!$B$6^A365</f>
        <v>185495925446</v>
      </c>
      <c r="C365" s="12">
        <f t="shared" si="1"/>
        <v>19452.16</v>
      </c>
      <c r="D365" s="2">
        <f>A365*'Exponential Item Growth'!$B$4</f>
        <v>607.88</v>
      </c>
      <c r="E365" s="12">
        <f>if(isna(VLOOKUP(A365,'Exponential Item Growth'!$A$10:$B$18,2,false)),E364, E364*VLOOKUP(A365,'Exponential Item Growth'!$A$10:$B$18,2,false))</f>
        <v>32</v>
      </c>
      <c r="F365" s="12">
        <f>C365*'Exponential Item Growth'!$B$21</f>
        <v>97260.8</v>
      </c>
      <c r="G365" s="12">
        <f>'Exponential Item Growth'!$B$22*C365</f>
        <v>1458912</v>
      </c>
      <c r="H365" s="12">
        <f>'Exponential Item Growth'!$B$23*C365</f>
        <v>19452160</v>
      </c>
    </row>
    <row r="366" ht="15.75" customHeight="1">
      <c r="A366" s="2">
        <v>365.0</v>
      </c>
      <c r="B366" s="11">
        <f>'Exponential Item Growth'!$B$5*'Exponential Item Growth'!$B$6^A366</f>
        <v>198480640227</v>
      </c>
      <c r="C366" s="12">
        <f t="shared" si="1"/>
        <v>19505.6</v>
      </c>
      <c r="D366" s="2">
        <f>A366*'Exponential Item Growth'!$B$4</f>
        <v>609.55</v>
      </c>
      <c r="E366" s="12">
        <f>if(isna(VLOOKUP(A366,'Exponential Item Growth'!$A$10:$B$18,2,false)),E365, E365*VLOOKUP(A366,'Exponential Item Growth'!$A$10:$B$18,2,false))</f>
        <v>32</v>
      </c>
      <c r="F366" s="12">
        <f>C366*'Exponential Item Growth'!$B$21</f>
        <v>97528</v>
      </c>
      <c r="G366" s="12">
        <f>'Exponential Item Growth'!$B$22*C366</f>
        <v>1462920</v>
      </c>
      <c r="H366" s="12">
        <f>'Exponential Item Growth'!$B$23*C366</f>
        <v>19505600</v>
      </c>
    </row>
    <row r="367" ht="15.75" customHeight="1">
      <c r="A367" s="2">
        <v>366.0</v>
      </c>
      <c r="B367" s="11">
        <f>'Exponential Item Growth'!$B$5*'Exponential Item Growth'!$B$6^A367</f>
        <v>212374285043</v>
      </c>
      <c r="C367" s="12">
        <f t="shared" si="1"/>
        <v>19559.04</v>
      </c>
      <c r="D367" s="2">
        <f>A367*'Exponential Item Growth'!$B$4</f>
        <v>611.22</v>
      </c>
      <c r="E367" s="12">
        <f>if(isna(VLOOKUP(A367,'Exponential Item Growth'!$A$10:$B$18,2,false)),E366, E366*VLOOKUP(A367,'Exponential Item Growth'!$A$10:$B$18,2,false))</f>
        <v>32</v>
      </c>
      <c r="F367" s="12">
        <f>C367*'Exponential Item Growth'!$B$21</f>
        <v>97795.2</v>
      </c>
      <c r="G367" s="12">
        <f>'Exponential Item Growth'!$B$22*C367</f>
        <v>1466928</v>
      </c>
      <c r="H367" s="12">
        <f>'Exponential Item Growth'!$B$23*C367</f>
        <v>19559040</v>
      </c>
    </row>
    <row r="368" ht="15.75" customHeight="1">
      <c r="A368" s="2">
        <v>367.0</v>
      </c>
      <c r="B368" s="11">
        <f>'Exponential Item Growth'!$B$5*'Exponential Item Growth'!$B$6^A368</f>
        <v>227240484996</v>
      </c>
      <c r="C368" s="12">
        <f t="shared" si="1"/>
        <v>19612.48</v>
      </c>
      <c r="D368" s="2">
        <f>A368*'Exponential Item Growth'!$B$4</f>
        <v>612.89</v>
      </c>
      <c r="E368" s="12">
        <f>if(isna(VLOOKUP(A368,'Exponential Item Growth'!$A$10:$B$18,2,false)),E367, E367*VLOOKUP(A368,'Exponential Item Growth'!$A$10:$B$18,2,false))</f>
        <v>32</v>
      </c>
      <c r="F368" s="12">
        <f>C368*'Exponential Item Growth'!$B$21</f>
        <v>98062.4</v>
      </c>
      <c r="G368" s="12">
        <f>'Exponential Item Growth'!$B$22*C368</f>
        <v>1470936</v>
      </c>
      <c r="H368" s="12">
        <f>'Exponential Item Growth'!$B$23*C368</f>
        <v>19612480</v>
      </c>
    </row>
    <row r="369" ht="15.75" customHeight="1">
      <c r="A369" s="2">
        <v>368.0</v>
      </c>
      <c r="B369" s="11">
        <f>'Exponential Item Growth'!$B$5*'Exponential Item Growth'!$B$6^A369</f>
        <v>243147318946</v>
      </c>
      <c r="C369" s="12">
        <f t="shared" si="1"/>
        <v>19665.92</v>
      </c>
      <c r="D369" s="2">
        <f>A369*'Exponential Item Growth'!$B$4</f>
        <v>614.56</v>
      </c>
      <c r="E369" s="12">
        <f>if(isna(VLOOKUP(A369,'Exponential Item Growth'!$A$10:$B$18,2,false)),E368, E368*VLOOKUP(A369,'Exponential Item Growth'!$A$10:$B$18,2,false))</f>
        <v>32</v>
      </c>
      <c r="F369" s="12">
        <f>C369*'Exponential Item Growth'!$B$21</f>
        <v>98329.6</v>
      </c>
      <c r="G369" s="12">
        <f>'Exponential Item Growth'!$B$22*C369</f>
        <v>1474944</v>
      </c>
      <c r="H369" s="12">
        <f>'Exponential Item Growth'!$B$23*C369</f>
        <v>19665920</v>
      </c>
    </row>
    <row r="370" ht="15.75" customHeight="1">
      <c r="A370" s="2">
        <v>369.0</v>
      </c>
      <c r="B370" s="11">
        <f>'Exponential Item Growth'!$B$5*'Exponential Item Growth'!$B$6^A370</f>
        <v>260167631272</v>
      </c>
      <c r="C370" s="12">
        <f t="shared" si="1"/>
        <v>19719.36</v>
      </c>
      <c r="D370" s="2">
        <f>A370*'Exponential Item Growth'!$B$4</f>
        <v>616.23</v>
      </c>
      <c r="E370" s="12">
        <f>if(isna(VLOOKUP(A370,'Exponential Item Growth'!$A$10:$B$18,2,false)),E369, E369*VLOOKUP(A370,'Exponential Item Growth'!$A$10:$B$18,2,false))</f>
        <v>32</v>
      </c>
      <c r="F370" s="12">
        <f>C370*'Exponential Item Growth'!$B$21</f>
        <v>98596.8</v>
      </c>
      <c r="G370" s="12">
        <f>'Exponential Item Growth'!$B$22*C370</f>
        <v>1478952</v>
      </c>
      <c r="H370" s="12">
        <f>'Exponential Item Growth'!$B$23*C370</f>
        <v>19719360</v>
      </c>
    </row>
    <row r="371" ht="15.75" customHeight="1">
      <c r="A371" s="2">
        <v>370.0</v>
      </c>
      <c r="B371" s="11">
        <f>'Exponential Item Growth'!$B$5*'Exponential Item Growth'!$B$6^A371</f>
        <v>278379365461</v>
      </c>
      <c r="C371" s="12">
        <f t="shared" si="1"/>
        <v>19772.8</v>
      </c>
      <c r="D371" s="2">
        <f>A371*'Exponential Item Growth'!$B$4</f>
        <v>617.9</v>
      </c>
      <c r="E371" s="12">
        <f>if(isna(VLOOKUP(A371,'Exponential Item Growth'!$A$10:$B$18,2,false)),E370, E370*VLOOKUP(A371,'Exponential Item Growth'!$A$10:$B$18,2,false))</f>
        <v>32</v>
      </c>
      <c r="F371" s="12">
        <f>C371*'Exponential Item Growth'!$B$21</f>
        <v>98864</v>
      </c>
      <c r="G371" s="12">
        <f>'Exponential Item Growth'!$B$22*C371</f>
        <v>1482960</v>
      </c>
      <c r="H371" s="12">
        <f>'Exponential Item Growth'!$B$23*C371</f>
        <v>19772800</v>
      </c>
    </row>
    <row r="372" ht="15.75" customHeight="1">
      <c r="A372" s="2">
        <v>371.0</v>
      </c>
      <c r="B372" s="11">
        <f>'Exponential Item Growth'!$B$5*'Exponential Item Growth'!$B$6^A372</f>
        <v>297865921043</v>
      </c>
      <c r="C372" s="12">
        <f t="shared" si="1"/>
        <v>19826.24</v>
      </c>
      <c r="D372" s="2">
        <f>A372*'Exponential Item Growth'!$B$4</f>
        <v>619.57</v>
      </c>
      <c r="E372" s="12">
        <f>if(isna(VLOOKUP(A372,'Exponential Item Growth'!$A$10:$B$18,2,false)),E371, E371*VLOOKUP(A372,'Exponential Item Growth'!$A$10:$B$18,2,false))</f>
        <v>32</v>
      </c>
      <c r="F372" s="12">
        <f>C372*'Exponential Item Growth'!$B$21</f>
        <v>99131.2</v>
      </c>
      <c r="G372" s="12">
        <f>'Exponential Item Growth'!$B$22*C372</f>
        <v>1486968</v>
      </c>
      <c r="H372" s="12">
        <f>'Exponential Item Growth'!$B$23*C372</f>
        <v>19826240</v>
      </c>
    </row>
    <row r="373" ht="15.75" customHeight="1">
      <c r="A373" s="2">
        <v>372.0</v>
      </c>
      <c r="B373" s="11">
        <f>'Exponential Item Growth'!$B$5*'Exponential Item Growth'!$B$6^A373</f>
        <v>318716535516</v>
      </c>
      <c r="C373" s="12">
        <f t="shared" si="1"/>
        <v>19879.68</v>
      </c>
      <c r="D373" s="2">
        <f>A373*'Exponential Item Growth'!$B$4</f>
        <v>621.24</v>
      </c>
      <c r="E373" s="12">
        <f>if(isna(VLOOKUP(A373,'Exponential Item Growth'!$A$10:$B$18,2,false)),E372, E372*VLOOKUP(A373,'Exponential Item Growth'!$A$10:$B$18,2,false))</f>
        <v>32</v>
      </c>
      <c r="F373" s="12">
        <f>C373*'Exponential Item Growth'!$B$21</f>
        <v>99398.4</v>
      </c>
      <c r="G373" s="12">
        <f>'Exponential Item Growth'!$B$22*C373</f>
        <v>1490976</v>
      </c>
      <c r="H373" s="12">
        <f>'Exponential Item Growth'!$B$23*C373</f>
        <v>19879680</v>
      </c>
    </row>
    <row r="374" ht="15.75" customHeight="1">
      <c r="A374" s="2">
        <v>373.0</v>
      </c>
      <c r="B374" s="11">
        <f>'Exponential Item Growth'!$B$5*'Exponential Item Growth'!$B$6^A374</f>
        <v>341026693003</v>
      </c>
      <c r="C374" s="12">
        <f t="shared" si="1"/>
        <v>19933.12</v>
      </c>
      <c r="D374" s="2">
        <f>A374*'Exponential Item Growth'!$B$4</f>
        <v>622.91</v>
      </c>
      <c r="E374" s="12">
        <f>if(isna(VLOOKUP(A374,'Exponential Item Growth'!$A$10:$B$18,2,false)),E373, E373*VLOOKUP(A374,'Exponential Item Growth'!$A$10:$B$18,2,false))</f>
        <v>32</v>
      </c>
      <c r="F374" s="12">
        <f>C374*'Exponential Item Growth'!$B$21</f>
        <v>99665.6</v>
      </c>
      <c r="G374" s="12">
        <f>'Exponential Item Growth'!$B$22*C374</f>
        <v>1494984</v>
      </c>
      <c r="H374" s="12">
        <f>'Exponential Item Growth'!$B$23*C374</f>
        <v>19933120</v>
      </c>
    </row>
    <row r="375" ht="15.75" customHeight="1">
      <c r="A375" s="2">
        <v>374.0</v>
      </c>
      <c r="B375" s="11">
        <f>'Exponential Item Growth'!$B$5*'Exponential Item Growth'!$B$6^A375</f>
        <v>364898561513</v>
      </c>
      <c r="C375" s="12">
        <f t="shared" si="1"/>
        <v>19986.56</v>
      </c>
      <c r="D375" s="2">
        <f>A375*'Exponential Item Growth'!$B$4</f>
        <v>624.58</v>
      </c>
      <c r="E375" s="12">
        <f>if(isna(VLOOKUP(A375,'Exponential Item Growth'!$A$10:$B$18,2,false)),E374, E374*VLOOKUP(A375,'Exponential Item Growth'!$A$10:$B$18,2,false))</f>
        <v>32</v>
      </c>
      <c r="F375" s="12">
        <f>C375*'Exponential Item Growth'!$B$21</f>
        <v>99932.8</v>
      </c>
      <c r="G375" s="12">
        <f>'Exponential Item Growth'!$B$22*C375</f>
        <v>1498992</v>
      </c>
      <c r="H375" s="12">
        <f>'Exponential Item Growth'!$B$23*C375</f>
        <v>19986560</v>
      </c>
    </row>
    <row r="376" ht="15.75" customHeight="1">
      <c r="A376" s="2">
        <v>375.0</v>
      </c>
      <c r="B376" s="11">
        <f>'Exponential Item Growth'!$B$5*'Exponential Item Growth'!$B$6^A376</f>
        <v>390441460819</v>
      </c>
      <c r="C376" s="12">
        <f t="shared" si="1"/>
        <v>20040</v>
      </c>
      <c r="D376" s="2">
        <f>A376*'Exponential Item Growth'!$B$4</f>
        <v>626.25</v>
      </c>
      <c r="E376" s="12">
        <f>if(isna(VLOOKUP(A376,'Exponential Item Growth'!$A$10:$B$18,2,false)),E375, E375*VLOOKUP(A376,'Exponential Item Growth'!$A$10:$B$18,2,false))</f>
        <v>32</v>
      </c>
      <c r="F376" s="12">
        <f>C376*'Exponential Item Growth'!$B$21</f>
        <v>100200</v>
      </c>
      <c r="G376" s="12">
        <f>'Exponential Item Growth'!$B$22*C376</f>
        <v>1503000</v>
      </c>
      <c r="H376" s="12">
        <f>'Exponential Item Growth'!$B$23*C376</f>
        <v>20040000</v>
      </c>
    </row>
    <row r="377" ht="15.75" customHeight="1">
      <c r="A377" s="2">
        <v>376.0</v>
      </c>
      <c r="B377" s="11">
        <f>'Exponential Item Growth'!$B$5*'Exponential Item Growth'!$B$6^A377</f>
        <v>417772363076</v>
      </c>
      <c r="C377" s="12">
        <f t="shared" si="1"/>
        <v>20093.44</v>
      </c>
      <c r="D377" s="2">
        <f>A377*'Exponential Item Growth'!$B$4</f>
        <v>627.92</v>
      </c>
      <c r="E377" s="12">
        <f>if(isna(VLOOKUP(A377,'Exponential Item Growth'!$A$10:$B$18,2,false)),E376, E376*VLOOKUP(A377,'Exponential Item Growth'!$A$10:$B$18,2,false))</f>
        <v>32</v>
      </c>
      <c r="F377" s="12">
        <f>C377*'Exponential Item Growth'!$B$21</f>
        <v>100467.2</v>
      </c>
      <c r="G377" s="12">
        <f>'Exponential Item Growth'!$B$22*C377</f>
        <v>1507008</v>
      </c>
      <c r="H377" s="12">
        <f>'Exponential Item Growth'!$B$23*C377</f>
        <v>20093440</v>
      </c>
    </row>
    <row r="378" ht="15.75" customHeight="1">
      <c r="A378" s="2">
        <v>377.0</v>
      </c>
      <c r="B378" s="11">
        <f>'Exponential Item Growth'!$B$5*'Exponential Item Growth'!$B$6^A378</f>
        <v>447016428491</v>
      </c>
      <c r="C378" s="12">
        <f t="shared" si="1"/>
        <v>20146.88</v>
      </c>
      <c r="D378" s="2">
        <f>A378*'Exponential Item Growth'!$B$4</f>
        <v>629.59</v>
      </c>
      <c r="E378" s="12">
        <f>if(isna(VLOOKUP(A378,'Exponential Item Growth'!$A$10:$B$18,2,false)),E377, E377*VLOOKUP(A378,'Exponential Item Growth'!$A$10:$B$18,2,false))</f>
        <v>32</v>
      </c>
      <c r="F378" s="12">
        <f>C378*'Exponential Item Growth'!$B$21</f>
        <v>100734.4</v>
      </c>
      <c r="G378" s="12">
        <f>'Exponential Item Growth'!$B$22*C378</f>
        <v>1511016</v>
      </c>
      <c r="H378" s="12">
        <f>'Exponential Item Growth'!$B$23*C378</f>
        <v>20146880</v>
      </c>
    </row>
    <row r="379" ht="15.75" customHeight="1">
      <c r="A379" s="2">
        <v>378.0</v>
      </c>
      <c r="B379" s="11">
        <f>'Exponential Item Growth'!$B$5*'Exponential Item Growth'!$B$6^A379</f>
        <v>478307578486</v>
      </c>
      <c r="C379" s="12">
        <f t="shared" si="1"/>
        <v>20200.32</v>
      </c>
      <c r="D379" s="2">
        <f>A379*'Exponential Item Growth'!$B$4</f>
        <v>631.26</v>
      </c>
      <c r="E379" s="12">
        <f>if(isna(VLOOKUP(A379,'Exponential Item Growth'!$A$10:$B$18,2,false)),E378, E378*VLOOKUP(A379,'Exponential Item Growth'!$A$10:$B$18,2,false))</f>
        <v>32</v>
      </c>
      <c r="F379" s="12">
        <f>C379*'Exponential Item Growth'!$B$21</f>
        <v>101001.6</v>
      </c>
      <c r="G379" s="12">
        <f>'Exponential Item Growth'!$B$22*C379</f>
        <v>1515024</v>
      </c>
      <c r="H379" s="12">
        <f>'Exponential Item Growth'!$B$23*C379</f>
        <v>20200320</v>
      </c>
    </row>
    <row r="380" ht="15.75" customHeight="1">
      <c r="A380" s="2">
        <v>379.0</v>
      </c>
      <c r="B380" s="11">
        <f>'Exponential Item Growth'!$B$5*'Exponential Item Growth'!$B$6^A380</f>
        <v>511789108980</v>
      </c>
      <c r="C380" s="12">
        <f t="shared" si="1"/>
        <v>20253.76</v>
      </c>
      <c r="D380" s="2">
        <f>A380*'Exponential Item Growth'!$B$4</f>
        <v>632.93</v>
      </c>
      <c r="E380" s="12">
        <f>if(isna(VLOOKUP(A380,'Exponential Item Growth'!$A$10:$B$18,2,false)),E379, E379*VLOOKUP(A380,'Exponential Item Growth'!$A$10:$B$18,2,false))</f>
        <v>32</v>
      </c>
      <c r="F380" s="12">
        <f>C380*'Exponential Item Growth'!$B$21</f>
        <v>101268.8</v>
      </c>
      <c r="G380" s="12">
        <f>'Exponential Item Growth'!$B$22*C380</f>
        <v>1519032</v>
      </c>
      <c r="H380" s="12">
        <f>'Exponential Item Growth'!$B$23*C380</f>
        <v>20253760</v>
      </c>
    </row>
    <row r="381" ht="15.75" customHeight="1">
      <c r="A381" s="2">
        <v>380.0</v>
      </c>
      <c r="B381" s="11">
        <f>'Exponential Item Growth'!$B$5*'Exponential Item Growth'!$B$6^A381</f>
        <v>547614346608</v>
      </c>
      <c r="C381" s="12">
        <f t="shared" si="1"/>
        <v>20307.2</v>
      </c>
      <c r="D381" s="2">
        <f>A381*'Exponential Item Growth'!$B$4</f>
        <v>634.6</v>
      </c>
      <c r="E381" s="12">
        <f>if(isna(VLOOKUP(A381,'Exponential Item Growth'!$A$10:$B$18,2,false)),E380, E380*VLOOKUP(A381,'Exponential Item Growth'!$A$10:$B$18,2,false))</f>
        <v>32</v>
      </c>
      <c r="F381" s="12">
        <f>C381*'Exponential Item Growth'!$B$21</f>
        <v>101536</v>
      </c>
      <c r="G381" s="12">
        <f>'Exponential Item Growth'!$B$22*C381</f>
        <v>1523040</v>
      </c>
      <c r="H381" s="12">
        <f>'Exponential Item Growth'!$B$23*C381</f>
        <v>20307200</v>
      </c>
    </row>
    <row r="382" ht="15.75" customHeight="1">
      <c r="A382" s="2">
        <v>381.0</v>
      </c>
      <c r="B382" s="11">
        <f>'Exponential Item Growth'!$B$5*'Exponential Item Growth'!$B$6^A382</f>
        <v>585947350871</v>
      </c>
      <c r="C382" s="12">
        <f t="shared" si="1"/>
        <v>20360.64</v>
      </c>
      <c r="D382" s="2">
        <f>A382*'Exponential Item Growth'!$B$4</f>
        <v>636.27</v>
      </c>
      <c r="E382" s="12">
        <f>if(isna(VLOOKUP(A382,'Exponential Item Growth'!$A$10:$B$18,2,false)),E381, E381*VLOOKUP(A382,'Exponential Item Growth'!$A$10:$B$18,2,false))</f>
        <v>32</v>
      </c>
      <c r="F382" s="12">
        <f>C382*'Exponential Item Growth'!$B$21</f>
        <v>101803.2</v>
      </c>
      <c r="G382" s="12">
        <f>'Exponential Item Growth'!$B$22*C382</f>
        <v>1527048</v>
      </c>
      <c r="H382" s="12">
        <f>'Exponential Item Growth'!$B$23*C382</f>
        <v>20360640</v>
      </c>
    </row>
    <row r="383" ht="15.75" customHeight="1">
      <c r="A383" s="2">
        <v>382.0</v>
      </c>
      <c r="B383" s="11">
        <f>'Exponential Item Growth'!$B$5*'Exponential Item Growth'!$B$6^A383</f>
        <v>626963665432</v>
      </c>
      <c r="C383" s="12">
        <f t="shared" si="1"/>
        <v>20414.08</v>
      </c>
      <c r="D383" s="2">
        <f>A383*'Exponential Item Growth'!$B$4</f>
        <v>637.94</v>
      </c>
      <c r="E383" s="12">
        <f>if(isna(VLOOKUP(A383,'Exponential Item Growth'!$A$10:$B$18,2,false)),E382, E382*VLOOKUP(A383,'Exponential Item Growth'!$A$10:$B$18,2,false))</f>
        <v>32</v>
      </c>
      <c r="F383" s="12">
        <f>C383*'Exponential Item Growth'!$B$21</f>
        <v>102070.4</v>
      </c>
      <c r="G383" s="12">
        <f>'Exponential Item Growth'!$B$22*C383</f>
        <v>1531056</v>
      </c>
      <c r="H383" s="12">
        <f>'Exponential Item Growth'!$B$23*C383</f>
        <v>20414080</v>
      </c>
    </row>
    <row r="384" ht="15.75" customHeight="1">
      <c r="A384" s="2">
        <v>383.0</v>
      </c>
      <c r="B384" s="11">
        <f>'Exponential Item Growth'!$B$5*'Exponential Item Growth'!$B$6^A384</f>
        <v>670851122012</v>
      </c>
      <c r="C384" s="12">
        <f t="shared" si="1"/>
        <v>20467.52</v>
      </c>
      <c r="D384" s="2">
        <f>A384*'Exponential Item Growth'!$B$4</f>
        <v>639.61</v>
      </c>
      <c r="E384" s="12">
        <f>if(isna(VLOOKUP(A384,'Exponential Item Growth'!$A$10:$B$18,2,false)),E383, E383*VLOOKUP(A384,'Exponential Item Growth'!$A$10:$B$18,2,false))</f>
        <v>32</v>
      </c>
      <c r="F384" s="12">
        <f>C384*'Exponential Item Growth'!$B$21</f>
        <v>102337.6</v>
      </c>
      <c r="G384" s="12">
        <f>'Exponential Item Growth'!$B$22*C384</f>
        <v>1535064</v>
      </c>
      <c r="H384" s="12">
        <f>'Exponential Item Growth'!$B$23*C384</f>
        <v>20467520</v>
      </c>
    </row>
    <row r="385" ht="15.75" customHeight="1">
      <c r="A385" s="2">
        <v>384.0</v>
      </c>
      <c r="B385" s="11">
        <f>'Exponential Item Growth'!$B$5*'Exponential Item Growth'!$B$6^A385</f>
        <v>717810700553</v>
      </c>
      <c r="C385" s="12">
        <f t="shared" si="1"/>
        <v>20520.96</v>
      </c>
      <c r="D385" s="2">
        <f>A385*'Exponential Item Growth'!$B$4</f>
        <v>641.28</v>
      </c>
      <c r="E385" s="12">
        <f>if(isna(VLOOKUP(A385,'Exponential Item Growth'!$A$10:$B$18,2,false)),E384, E384*VLOOKUP(A385,'Exponential Item Growth'!$A$10:$B$18,2,false))</f>
        <v>32</v>
      </c>
      <c r="F385" s="12">
        <f>C385*'Exponential Item Growth'!$B$21</f>
        <v>102604.8</v>
      </c>
      <c r="G385" s="12">
        <f>'Exponential Item Growth'!$B$22*C385</f>
        <v>1539072</v>
      </c>
      <c r="H385" s="12">
        <f>'Exponential Item Growth'!$B$23*C385</f>
        <v>20520960</v>
      </c>
    </row>
    <row r="386" ht="15.75" customHeight="1">
      <c r="A386" s="2">
        <v>385.0</v>
      </c>
      <c r="B386" s="11">
        <f>'Exponential Item Growth'!$B$5*'Exponential Item Growth'!$B$6^A386</f>
        <v>768057449592</v>
      </c>
      <c r="C386" s="12">
        <f t="shared" si="1"/>
        <v>20574.4</v>
      </c>
      <c r="D386" s="2">
        <f>A386*'Exponential Item Growth'!$B$4</f>
        <v>642.95</v>
      </c>
      <c r="E386" s="12">
        <f>if(isna(VLOOKUP(A386,'Exponential Item Growth'!$A$10:$B$18,2,false)),E385, E385*VLOOKUP(A386,'Exponential Item Growth'!$A$10:$B$18,2,false))</f>
        <v>32</v>
      </c>
      <c r="F386" s="12">
        <f>C386*'Exponential Item Growth'!$B$21</f>
        <v>102872</v>
      </c>
      <c r="G386" s="12">
        <f>'Exponential Item Growth'!$B$22*C386</f>
        <v>1543080</v>
      </c>
      <c r="H386" s="12">
        <f>'Exponential Item Growth'!$B$23*C386</f>
        <v>20574400</v>
      </c>
    </row>
    <row r="387" ht="15.75" customHeight="1">
      <c r="A387" s="2">
        <v>386.0</v>
      </c>
      <c r="B387" s="11">
        <f>'Exponential Item Growth'!$B$5*'Exponential Item Growth'!$B$6^A387</f>
        <v>821821471063</v>
      </c>
      <c r="C387" s="12">
        <f t="shared" si="1"/>
        <v>20627.84</v>
      </c>
      <c r="D387" s="2">
        <f>A387*'Exponential Item Growth'!$B$4</f>
        <v>644.62</v>
      </c>
      <c r="E387" s="12">
        <f>if(isna(VLOOKUP(A387,'Exponential Item Growth'!$A$10:$B$18,2,false)),E386, E386*VLOOKUP(A387,'Exponential Item Growth'!$A$10:$B$18,2,false))</f>
        <v>32</v>
      </c>
      <c r="F387" s="12">
        <f>C387*'Exponential Item Growth'!$B$21</f>
        <v>103139.2</v>
      </c>
      <c r="G387" s="12">
        <f>'Exponential Item Growth'!$B$22*C387</f>
        <v>1547088</v>
      </c>
      <c r="H387" s="12">
        <f>'Exponential Item Growth'!$B$23*C387</f>
        <v>20627840</v>
      </c>
    </row>
    <row r="388" ht="15.75" customHeight="1">
      <c r="A388" s="2">
        <v>387.0</v>
      </c>
      <c r="B388" s="11">
        <f>'Exponential Item Growth'!$B$5*'Exponential Item Growth'!$B$6^A388</f>
        <v>879348974037</v>
      </c>
      <c r="C388" s="12">
        <f t="shared" si="1"/>
        <v>20681.28</v>
      </c>
      <c r="D388" s="2">
        <f>A388*'Exponential Item Growth'!$B$4</f>
        <v>646.29</v>
      </c>
      <c r="E388" s="12">
        <f>if(isna(VLOOKUP(A388,'Exponential Item Growth'!$A$10:$B$18,2,false)),E387, E387*VLOOKUP(A388,'Exponential Item Growth'!$A$10:$B$18,2,false))</f>
        <v>32</v>
      </c>
      <c r="F388" s="12">
        <f>C388*'Exponential Item Growth'!$B$21</f>
        <v>103406.4</v>
      </c>
      <c r="G388" s="12">
        <f>'Exponential Item Growth'!$B$22*C388</f>
        <v>1551096</v>
      </c>
      <c r="H388" s="12">
        <f>'Exponential Item Growth'!$B$23*C388</f>
        <v>20681280</v>
      </c>
    </row>
    <row r="389" ht="15.75" customHeight="1">
      <c r="A389" s="2">
        <v>388.0</v>
      </c>
      <c r="B389" s="11">
        <f>'Exponential Item Growth'!$B$5*'Exponential Item Growth'!$B$6^A389</f>
        <v>940903402220</v>
      </c>
      <c r="C389" s="12">
        <f t="shared" si="1"/>
        <v>20734.72</v>
      </c>
      <c r="D389" s="2">
        <f>A389*'Exponential Item Growth'!$B$4</f>
        <v>647.96</v>
      </c>
      <c r="E389" s="12">
        <f>if(isna(VLOOKUP(A389,'Exponential Item Growth'!$A$10:$B$18,2,false)),E388, E388*VLOOKUP(A389,'Exponential Item Growth'!$A$10:$B$18,2,false))</f>
        <v>32</v>
      </c>
      <c r="F389" s="12">
        <f>C389*'Exponential Item Growth'!$B$21</f>
        <v>103673.6</v>
      </c>
      <c r="G389" s="12">
        <f>'Exponential Item Growth'!$B$22*C389</f>
        <v>1555104</v>
      </c>
      <c r="H389" s="12">
        <f>'Exponential Item Growth'!$B$23*C389</f>
        <v>20734720</v>
      </c>
    </row>
    <row r="390" ht="15.75" customHeight="1">
      <c r="A390" s="2">
        <v>389.0</v>
      </c>
      <c r="B390" s="11">
        <f>'Exponential Item Growth'!$B$5*'Exponential Item Growth'!$B$6^A390</f>
        <v>1006766640375</v>
      </c>
      <c r="C390" s="12">
        <f t="shared" si="1"/>
        <v>20788.16</v>
      </c>
      <c r="D390" s="2">
        <f>A390*'Exponential Item Growth'!$B$4</f>
        <v>649.63</v>
      </c>
      <c r="E390" s="12">
        <f>if(isna(VLOOKUP(A390,'Exponential Item Growth'!$A$10:$B$18,2,false)),E389, E389*VLOOKUP(A390,'Exponential Item Growth'!$A$10:$B$18,2,false))</f>
        <v>32</v>
      </c>
      <c r="F390" s="12">
        <f>C390*'Exponential Item Growth'!$B$21</f>
        <v>103940.8</v>
      </c>
      <c r="G390" s="12">
        <f>'Exponential Item Growth'!$B$22*C390</f>
        <v>1559112</v>
      </c>
      <c r="H390" s="12">
        <f>'Exponential Item Growth'!$B$23*C390</f>
        <v>20788160</v>
      </c>
    </row>
    <row r="391" ht="15.75" customHeight="1">
      <c r="A391" s="2">
        <v>390.0</v>
      </c>
      <c r="B391" s="11">
        <f>'Exponential Item Growth'!$B$5*'Exponential Item Growth'!$B$6^A391</f>
        <v>1077240305202</v>
      </c>
      <c r="C391" s="12">
        <f t="shared" si="1"/>
        <v>20841.6</v>
      </c>
      <c r="D391" s="2">
        <f>A391*'Exponential Item Growth'!$B$4</f>
        <v>651.3</v>
      </c>
      <c r="E391" s="12">
        <f>if(isna(VLOOKUP(A391,'Exponential Item Growth'!$A$10:$B$18,2,false)),E390, E390*VLOOKUP(A391,'Exponential Item Growth'!$A$10:$B$18,2,false))</f>
        <v>32</v>
      </c>
      <c r="F391" s="12">
        <f>C391*'Exponential Item Growth'!$B$21</f>
        <v>104208</v>
      </c>
      <c r="G391" s="12">
        <f>'Exponential Item Growth'!$B$22*C391</f>
        <v>1563120</v>
      </c>
      <c r="H391" s="12">
        <f>'Exponential Item Growth'!$B$23*C391</f>
        <v>20841600</v>
      </c>
    </row>
    <row r="392" ht="15.75" customHeight="1">
      <c r="A392" s="2">
        <v>391.0</v>
      </c>
      <c r="B392" s="11">
        <f>'Exponential Item Growth'!$B$5*'Exponential Item Growth'!$B$6^A392</f>
        <v>1152647126566</v>
      </c>
      <c r="C392" s="12">
        <f t="shared" si="1"/>
        <v>20895.04</v>
      </c>
      <c r="D392" s="2">
        <f>A392*'Exponential Item Growth'!$B$4</f>
        <v>652.97</v>
      </c>
      <c r="E392" s="12">
        <f>if(isna(VLOOKUP(A392,'Exponential Item Growth'!$A$10:$B$18,2,false)),E391, E391*VLOOKUP(A392,'Exponential Item Growth'!$A$10:$B$18,2,false))</f>
        <v>32</v>
      </c>
      <c r="F392" s="12">
        <f>C392*'Exponential Item Growth'!$B$21</f>
        <v>104475.2</v>
      </c>
      <c r="G392" s="12">
        <f>'Exponential Item Growth'!$B$22*C392</f>
        <v>1567128</v>
      </c>
      <c r="H392" s="12">
        <f>'Exponential Item Growth'!$B$23*C392</f>
        <v>20895040</v>
      </c>
    </row>
    <row r="393" ht="15.75" customHeight="1">
      <c r="A393" s="2">
        <v>392.0</v>
      </c>
      <c r="B393" s="11">
        <f>'Exponential Item Growth'!$B$5*'Exponential Item Growth'!$B$6^A393</f>
        <v>1233332425425</v>
      </c>
      <c r="C393" s="12">
        <f t="shared" si="1"/>
        <v>20948.48</v>
      </c>
      <c r="D393" s="2">
        <f>A393*'Exponential Item Growth'!$B$4</f>
        <v>654.64</v>
      </c>
      <c r="E393" s="12">
        <f>if(isna(VLOOKUP(A393,'Exponential Item Growth'!$A$10:$B$18,2,false)),E392, E392*VLOOKUP(A393,'Exponential Item Growth'!$A$10:$B$18,2,false))</f>
        <v>32</v>
      </c>
      <c r="F393" s="12">
        <f>C393*'Exponential Item Growth'!$B$21</f>
        <v>104742.4</v>
      </c>
      <c r="G393" s="12">
        <f>'Exponential Item Growth'!$B$22*C393</f>
        <v>1571136</v>
      </c>
      <c r="H393" s="12">
        <f>'Exponential Item Growth'!$B$23*C393</f>
        <v>20948480</v>
      </c>
    </row>
    <row r="394" ht="15.75" customHeight="1">
      <c r="A394" s="2">
        <v>393.0</v>
      </c>
      <c r="B394" s="11">
        <f>'Exponential Item Growth'!$B$5*'Exponential Item Growth'!$B$6^A394</f>
        <v>1319665695205</v>
      </c>
      <c r="C394" s="12">
        <f t="shared" si="1"/>
        <v>21001.92</v>
      </c>
      <c r="D394" s="2">
        <f>A394*'Exponential Item Growth'!$B$4</f>
        <v>656.31</v>
      </c>
      <c r="E394" s="12">
        <f>if(isna(VLOOKUP(A394,'Exponential Item Growth'!$A$10:$B$18,2,false)),E393, E393*VLOOKUP(A394,'Exponential Item Growth'!$A$10:$B$18,2,false))</f>
        <v>32</v>
      </c>
      <c r="F394" s="12">
        <f>C394*'Exponential Item Growth'!$B$21</f>
        <v>105009.6</v>
      </c>
      <c r="G394" s="12">
        <f>'Exponential Item Growth'!$B$22*C394</f>
        <v>1575144</v>
      </c>
      <c r="H394" s="12">
        <f>'Exponential Item Growth'!$B$23*C394</f>
        <v>21001920</v>
      </c>
    </row>
    <row r="395" ht="15.75" customHeight="1">
      <c r="A395" s="2">
        <v>394.0</v>
      </c>
      <c r="B395" s="11">
        <f>'Exponential Item Growth'!$B$5*'Exponential Item Growth'!$B$6^A395</f>
        <v>1412042293870</v>
      </c>
      <c r="C395" s="12">
        <f t="shared" si="1"/>
        <v>21055.36</v>
      </c>
      <c r="D395" s="2">
        <f>A395*'Exponential Item Growth'!$B$4</f>
        <v>657.98</v>
      </c>
      <c r="E395" s="12">
        <f>if(isna(VLOOKUP(A395,'Exponential Item Growth'!$A$10:$B$18,2,false)),E394, E394*VLOOKUP(A395,'Exponential Item Growth'!$A$10:$B$18,2,false))</f>
        <v>32</v>
      </c>
      <c r="F395" s="12">
        <f>C395*'Exponential Item Growth'!$B$21</f>
        <v>105276.8</v>
      </c>
      <c r="G395" s="12">
        <f>'Exponential Item Growth'!$B$22*C395</f>
        <v>1579152</v>
      </c>
      <c r="H395" s="12">
        <f>'Exponential Item Growth'!$B$23*C395</f>
        <v>21055360</v>
      </c>
    </row>
    <row r="396" ht="15.75" customHeight="1">
      <c r="A396" s="2">
        <v>395.0</v>
      </c>
      <c r="B396" s="11">
        <f>'Exponential Item Growth'!$B$5*'Exponential Item Growth'!$B$6^A396</f>
        <v>1510885254440</v>
      </c>
      <c r="C396" s="12">
        <f t="shared" si="1"/>
        <v>21108.8</v>
      </c>
      <c r="D396" s="2">
        <f>A396*'Exponential Item Growth'!$B$4</f>
        <v>659.65</v>
      </c>
      <c r="E396" s="12">
        <f>if(isna(VLOOKUP(A396,'Exponential Item Growth'!$A$10:$B$18,2,false)),E395, E395*VLOOKUP(A396,'Exponential Item Growth'!$A$10:$B$18,2,false))</f>
        <v>32</v>
      </c>
      <c r="F396" s="12">
        <f>C396*'Exponential Item Growth'!$B$21</f>
        <v>105544</v>
      </c>
      <c r="G396" s="12">
        <f>'Exponential Item Growth'!$B$22*C396</f>
        <v>1583160</v>
      </c>
      <c r="H396" s="12">
        <f>'Exponential Item Growth'!$B$23*C396</f>
        <v>21108800</v>
      </c>
    </row>
    <row r="397" ht="15.75" customHeight="1">
      <c r="A397" s="2">
        <v>396.0</v>
      </c>
      <c r="B397" s="11">
        <f>'Exponential Item Growth'!$B$5*'Exponential Item Growth'!$B$6^A397</f>
        <v>1616647222251</v>
      </c>
      <c r="C397" s="12">
        <f t="shared" si="1"/>
        <v>21162.24</v>
      </c>
      <c r="D397" s="2">
        <f>A397*'Exponential Item Growth'!$B$4</f>
        <v>661.32</v>
      </c>
      <c r="E397" s="12">
        <f>if(isna(VLOOKUP(A397,'Exponential Item Growth'!$A$10:$B$18,2,false)),E396, E396*VLOOKUP(A397,'Exponential Item Growth'!$A$10:$B$18,2,false))</f>
        <v>32</v>
      </c>
      <c r="F397" s="12">
        <f>C397*'Exponential Item Growth'!$B$21</f>
        <v>105811.2</v>
      </c>
      <c r="G397" s="12">
        <f>'Exponential Item Growth'!$B$22*C397</f>
        <v>1587168</v>
      </c>
      <c r="H397" s="12">
        <f>'Exponential Item Growth'!$B$23*C397</f>
        <v>21162240</v>
      </c>
    </row>
    <row r="398" ht="15.75" customHeight="1">
      <c r="A398" s="2">
        <v>397.0</v>
      </c>
      <c r="B398" s="11">
        <f>'Exponential Item Growth'!$B$5*'Exponential Item Growth'!$B$6^A398</f>
        <v>1729812527809</v>
      </c>
      <c r="C398" s="12">
        <f t="shared" si="1"/>
        <v>21215.68</v>
      </c>
      <c r="D398" s="2">
        <f>A398*'Exponential Item Growth'!$B$4</f>
        <v>662.99</v>
      </c>
      <c r="E398" s="12">
        <f>if(isna(VLOOKUP(A398,'Exponential Item Growth'!$A$10:$B$18,2,false)),E397, E397*VLOOKUP(A398,'Exponential Item Growth'!$A$10:$B$18,2,false))</f>
        <v>32</v>
      </c>
      <c r="F398" s="12">
        <f>C398*'Exponential Item Growth'!$B$21</f>
        <v>106078.4</v>
      </c>
      <c r="G398" s="12">
        <f>'Exponential Item Growth'!$B$22*C398</f>
        <v>1591176</v>
      </c>
      <c r="H398" s="12">
        <f>'Exponential Item Growth'!$B$23*C398</f>
        <v>21215680</v>
      </c>
    </row>
    <row r="399" ht="15.75" customHeight="1">
      <c r="A399" s="2">
        <v>398.0</v>
      </c>
      <c r="B399" s="11">
        <f>'Exponential Item Growth'!$B$5*'Exponential Item Growth'!$B$6^A399</f>
        <v>1850899404755</v>
      </c>
      <c r="C399" s="12">
        <f t="shared" si="1"/>
        <v>21269.12</v>
      </c>
      <c r="D399" s="2">
        <f>A399*'Exponential Item Growth'!$B$4</f>
        <v>664.66</v>
      </c>
      <c r="E399" s="12">
        <f>if(isna(VLOOKUP(A399,'Exponential Item Growth'!$A$10:$B$18,2,false)),E398, E398*VLOOKUP(A399,'Exponential Item Growth'!$A$10:$B$18,2,false))</f>
        <v>32</v>
      </c>
      <c r="F399" s="12">
        <f>C399*'Exponential Item Growth'!$B$21</f>
        <v>106345.6</v>
      </c>
      <c r="G399" s="12">
        <f>'Exponential Item Growth'!$B$22*C399</f>
        <v>1595184</v>
      </c>
      <c r="H399" s="12">
        <f>'Exponential Item Growth'!$B$23*C399</f>
        <v>21269120</v>
      </c>
    </row>
    <row r="400" ht="15.75" customHeight="1">
      <c r="A400" s="2">
        <v>399.0</v>
      </c>
      <c r="B400" s="11">
        <f>'Exponential Item Growth'!$B$5*'Exponential Item Growth'!$B$6^A400</f>
        <v>1980462363088</v>
      </c>
      <c r="C400" s="12">
        <f t="shared" si="1"/>
        <v>21322.56</v>
      </c>
      <c r="D400" s="2">
        <f>A400*'Exponential Item Growth'!$B$4</f>
        <v>666.33</v>
      </c>
      <c r="E400" s="12">
        <f>if(isna(VLOOKUP(A400,'Exponential Item Growth'!$A$10:$B$18,2,false)),E399, E399*VLOOKUP(A400,'Exponential Item Growth'!$A$10:$B$18,2,false))</f>
        <v>32</v>
      </c>
      <c r="F400" s="12">
        <f>C400*'Exponential Item Growth'!$B$21</f>
        <v>106612.8</v>
      </c>
      <c r="G400" s="12">
        <f>'Exponential Item Growth'!$B$22*C400</f>
        <v>1599192</v>
      </c>
      <c r="H400" s="12">
        <f>'Exponential Item Growth'!$B$23*C400</f>
        <v>21322560</v>
      </c>
    </row>
    <row r="401" ht="15.75" customHeight="1">
      <c r="A401" s="2">
        <v>400.0</v>
      </c>
      <c r="B401" s="11">
        <f>'Exponential Item Growth'!$B$5*'Exponential Item Growth'!$B$6^A401</f>
        <v>2119094728505</v>
      </c>
      <c r="C401" s="12">
        <f t="shared" si="1"/>
        <v>42752</v>
      </c>
      <c r="D401" s="2">
        <f>A401*'Exponential Item Growth'!$B$4</f>
        <v>668</v>
      </c>
      <c r="E401" s="12">
        <f>if(isna(VLOOKUP(A401,'Exponential Item Growth'!$A$10:$B$18,2,false)),E400, E400*VLOOKUP(A401,'Exponential Item Growth'!$A$10:$B$18,2,false))</f>
        <v>64</v>
      </c>
      <c r="F401" s="12">
        <f>C401*'Exponential Item Growth'!$B$21</f>
        <v>213760</v>
      </c>
      <c r="G401" s="12">
        <f>'Exponential Item Growth'!$B$22*C401</f>
        <v>3206400</v>
      </c>
      <c r="H401" s="12">
        <f>'Exponential Item Growth'!$B$23*C401</f>
        <v>42752000</v>
      </c>
    </row>
    <row r="402" ht="15.75" customHeight="1">
      <c r="A402" s="2">
        <v>401.0</v>
      </c>
      <c r="B402" s="11">
        <f>'Exponential Item Growth'!$B$5*'Exponential Item Growth'!$B$6^A402</f>
        <v>2267431359500</v>
      </c>
      <c r="C402" s="12">
        <f t="shared" si="1"/>
        <v>42858.88</v>
      </c>
      <c r="D402" s="2">
        <f>A402*'Exponential Item Growth'!$B$4</f>
        <v>669.67</v>
      </c>
      <c r="E402" s="12">
        <f>if(isna(VLOOKUP(A402,'Exponential Item Growth'!$A$10:$B$18,2,false)),E401, E401*VLOOKUP(A402,'Exponential Item Growth'!$A$10:$B$18,2,false))</f>
        <v>64</v>
      </c>
      <c r="F402" s="12">
        <f>C402*'Exponential Item Growth'!$B$21</f>
        <v>214294.4</v>
      </c>
      <c r="G402" s="12">
        <f>'Exponential Item Growth'!$B$22*C402</f>
        <v>3214416</v>
      </c>
      <c r="H402" s="12">
        <f>'Exponential Item Growth'!$B$23*C402</f>
        <v>42858880</v>
      </c>
    </row>
    <row r="403" ht="15.75" customHeight="1">
      <c r="A403" s="2">
        <v>402.0</v>
      </c>
      <c r="B403" s="11">
        <f>'Exponential Item Growth'!$B$5*'Exponential Item Growth'!$B$6^A403</f>
        <v>2426151554665</v>
      </c>
      <c r="C403" s="12">
        <f t="shared" si="1"/>
        <v>42965.76</v>
      </c>
      <c r="D403" s="2">
        <f>A403*'Exponential Item Growth'!$B$4</f>
        <v>671.34</v>
      </c>
      <c r="E403" s="12">
        <f>if(isna(VLOOKUP(A403,'Exponential Item Growth'!$A$10:$B$18,2,false)),E402, E402*VLOOKUP(A403,'Exponential Item Growth'!$A$10:$B$18,2,false))</f>
        <v>64</v>
      </c>
      <c r="F403" s="12">
        <f>C403*'Exponential Item Growth'!$B$21</f>
        <v>214828.8</v>
      </c>
      <c r="G403" s="12">
        <f>'Exponential Item Growth'!$B$22*C403</f>
        <v>3222432</v>
      </c>
      <c r="H403" s="12">
        <f>'Exponential Item Growth'!$B$23*C403</f>
        <v>42965760</v>
      </c>
    </row>
    <row r="404" ht="15.75" customHeight="1">
      <c r="A404" s="2">
        <v>403.0</v>
      </c>
      <c r="B404" s="11">
        <f>'Exponential Item Growth'!$B$5*'Exponential Item Growth'!$B$6^A404</f>
        <v>2595982163491</v>
      </c>
      <c r="C404" s="12">
        <f t="shared" si="1"/>
        <v>43072.64</v>
      </c>
      <c r="D404" s="2">
        <f>A404*'Exponential Item Growth'!$B$4</f>
        <v>673.01</v>
      </c>
      <c r="E404" s="12">
        <f>if(isna(VLOOKUP(A404,'Exponential Item Growth'!$A$10:$B$18,2,false)),E403, E403*VLOOKUP(A404,'Exponential Item Growth'!$A$10:$B$18,2,false))</f>
        <v>64</v>
      </c>
      <c r="F404" s="12">
        <f>C404*'Exponential Item Growth'!$B$21</f>
        <v>215363.2</v>
      </c>
      <c r="G404" s="12">
        <f>'Exponential Item Growth'!$B$22*C404</f>
        <v>3230448</v>
      </c>
      <c r="H404" s="12">
        <f>'Exponential Item Growth'!$B$23*C404</f>
        <v>43072640</v>
      </c>
    </row>
    <row r="405" ht="15.75" customHeight="1">
      <c r="A405" s="2">
        <v>404.0</v>
      </c>
      <c r="B405" s="11">
        <f>'Exponential Item Growth'!$B$5*'Exponential Item Growth'!$B$6^A405</f>
        <v>2777700914936</v>
      </c>
      <c r="C405" s="12">
        <f t="shared" si="1"/>
        <v>43179.52</v>
      </c>
      <c r="D405" s="2">
        <f>A405*'Exponential Item Growth'!$B$4</f>
        <v>674.68</v>
      </c>
      <c r="E405" s="12">
        <f>if(isna(VLOOKUP(A405,'Exponential Item Growth'!$A$10:$B$18,2,false)),E404, E404*VLOOKUP(A405,'Exponential Item Growth'!$A$10:$B$18,2,false))</f>
        <v>64</v>
      </c>
      <c r="F405" s="12">
        <f>C405*'Exponential Item Growth'!$B$21</f>
        <v>215897.6</v>
      </c>
      <c r="G405" s="12">
        <f>'Exponential Item Growth'!$B$22*C405</f>
        <v>3238464</v>
      </c>
      <c r="H405" s="12">
        <f>'Exponential Item Growth'!$B$23*C405</f>
        <v>43179520</v>
      </c>
    </row>
    <row r="406" ht="15.75" customHeight="1">
      <c r="A406" s="2">
        <v>405.0</v>
      </c>
      <c r="B406" s="11">
        <f>'Exponential Item Growth'!$B$5*'Exponential Item Growth'!$B$6^A406</f>
        <v>2972139978981</v>
      </c>
      <c r="C406" s="12">
        <f t="shared" si="1"/>
        <v>43286.4</v>
      </c>
      <c r="D406" s="2">
        <f>A406*'Exponential Item Growth'!$B$4</f>
        <v>676.35</v>
      </c>
      <c r="E406" s="12">
        <f>if(isna(VLOOKUP(A406,'Exponential Item Growth'!$A$10:$B$18,2,false)),E405, E405*VLOOKUP(A406,'Exponential Item Growth'!$A$10:$B$18,2,false))</f>
        <v>64</v>
      </c>
      <c r="F406" s="12">
        <f>C406*'Exponential Item Growth'!$B$21</f>
        <v>216432</v>
      </c>
      <c r="G406" s="12">
        <f>'Exponential Item Growth'!$B$22*C406</f>
        <v>3246480</v>
      </c>
      <c r="H406" s="12">
        <f>'Exponential Item Growth'!$B$23*C406</f>
        <v>43286400</v>
      </c>
    </row>
    <row r="407" ht="15.75" customHeight="1">
      <c r="A407" s="2">
        <v>406.0</v>
      </c>
      <c r="B407" s="11">
        <f>'Exponential Item Growth'!$B$5*'Exponential Item Growth'!$B$6^A407</f>
        <v>3180189777510</v>
      </c>
      <c r="C407" s="12">
        <f t="shared" si="1"/>
        <v>43393.28</v>
      </c>
      <c r="D407" s="2">
        <f>A407*'Exponential Item Growth'!$B$4</f>
        <v>678.02</v>
      </c>
      <c r="E407" s="12">
        <f>if(isna(VLOOKUP(A407,'Exponential Item Growth'!$A$10:$B$18,2,false)),E406, E406*VLOOKUP(A407,'Exponential Item Growth'!$A$10:$B$18,2,false))</f>
        <v>64</v>
      </c>
      <c r="F407" s="12">
        <f>C407*'Exponential Item Growth'!$B$21</f>
        <v>216966.4</v>
      </c>
      <c r="G407" s="12">
        <f>'Exponential Item Growth'!$B$22*C407</f>
        <v>3254496</v>
      </c>
      <c r="H407" s="12">
        <f>'Exponential Item Growth'!$B$23*C407</f>
        <v>43393280</v>
      </c>
    </row>
    <row r="408" ht="15.75" customHeight="1">
      <c r="A408" s="2">
        <v>407.0</v>
      </c>
      <c r="B408" s="11">
        <f>'Exponential Item Growth'!$B$5*'Exponential Item Growth'!$B$6^A408</f>
        <v>3402803061936</v>
      </c>
      <c r="C408" s="12">
        <f t="shared" si="1"/>
        <v>43500.16</v>
      </c>
      <c r="D408" s="2">
        <f>A408*'Exponential Item Growth'!$B$4</f>
        <v>679.69</v>
      </c>
      <c r="E408" s="12">
        <f>if(isna(VLOOKUP(A408,'Exponential Item Growth'!$A$10:$B$18,2,false)),E407, E407*VLOOKUP(A408,'Exponential Item Growth'!$A$10:$B$18,2,false))</f>
        <v>64</v>
      </c>
      <c r="F408" s="12">
        <f>C408*'Exponential Item Growth'!$B$21</f>
        <v>217500.8</v>
      </c>
      <c r="G408" s="12">
        <f>'Exponential Item Growth'!$B$22*C408</f>
        <v>3262512</v>
      </c>
      <c r="H408" s="12">
        <f>'Exponential Item Growth'!$B$23*C408</f>
        <v>43500160</v>
      </c>
    </row>
    <row r="409" ht="15.75" customHeight="1">
      <c r="A409" s="2">
        <v>408.0</v>
      </c>
      <c r="B409" s="11">
        <f>'Exponential Item Growth'!$B$5*'Exponential Item Growth'!$B$6^A409</f>
        <v>3640999276271</v>
      </c>
      <c r="C409" s="12">
        <f t="shared" si="1"/>
        <v>43607.04</v>
      </c>
      <c r="D409" s="2">
        <f>A409*'Exponential Item Growth'!$B$4</f>
        <v>681.36</v>
      </c>
      <c r="E409" s="12">
        <f>if(isna(VLOOKUP(A409,'Exponential Item Growth'!$A$10:$B$18,2,false)),E408, E408*VLOOKUP(A409,'Exponential Item Growth'!$A$10:$B$18,2,false))</f>
        <v>64</v>
      </c>
      <c r="F409" s="12">
        <f>C409*'Exponential Item Growth'!$B$21</f>
        <v>218035.2</v>
      </c>
      <c r="G409" s="12">
        <f>'Exponential Item Growth'!$B$22*C409</f>
        <v>3270528</v>
      </c>
      <c r="H409" s="12">
        <f>'Exponential Item Growth'!$B$23*C409</f>
        <v>43607040</v>
      </c>
    </row>
    <row r="410" ht="15.75" customHeight="1">
      <c r="A410" s="2">
        <v>409.0</v>
      </c>
      <c r="B410" s="11">
        <f>'Exponential Item Growth'!$B$5*'Exponential Item Growth'!$B$6^A410</f>
        <v>3895869225610</v>
      </c>
      <c r="C410" s="12">
        <f t="shared" si="1"/>
        <v>43713.92</v>
      </c>
      <c r="D410" s="2">
        <f>A410*'Exponential Item Growth'!$B$4</f>
        <v>683.03</v>
      </c>
      <c r="E410" s="12">
        <f>if(isna(VLOOKUP(A410,'Exponential Item Growth'!$A$10:$B$18,2,false)),E409, E409*VLOOKUP(A410,'Exponential Item Growth'!$A$10:$B$18,2,false))</f>
        <v>64</v>
      </c>
      <c r="F410" s="12">
        <f>C410*'Exponential Item Growth'!$B$21</f>
        <v>218569.6</v>
      </c>
      <c r="G410" s="12">
        <f>'Exponential Item Growth'!$B$22*C410</f>
        <v>3278544</v>
      </c>
      <c r="H410" s="12">
        <f>'Exponential Item Growth'!$B$23*C410</f>
        <v>43713920</v>
      </c>
    </row>
    <row r="411" ht="15.75" customHeight="1">
      <c r="A411" s="2">
        <v>410.0</v>
      </c>
      <c r="B411" s="11">
        <f>'Exponential Item Growth'!$B$5*'Exponential Item Growth'!$B$6^A411</f>
        <v>4168580071403</v>
      </c>
      <c r="C411" s="12">
        <f t="shared" si="1"/>
        <v>43820.8</v>
      </c>
      <c r="D411" s="2">
        <f>A411*'Exponential Item Growth'!$B$4</f>
        <v>684.7</v>
      </c>
      <c r="E411" s="12">
        <f>if(isna(VLOOKUP(A411,'Exponential Item Growth'!$A$10:$B$18,2,false)),E410, E410*VLOOKUP(A411,'Exponential Item Growth'!$A$10:$B$18,2,false))</f>
        <v>64</v>
      </c>
      <c r="F411" s="12">
        <f>C411*'Exponential Item Growth'!$B$21</f>
        <v>219104</v>
      </c>
      <c r="G411" s="12">
        <f>'Exponential Item Growth'!$B$22*C411</f>
        <v>3286560</v>
      </c>
      <c r="H411" s="12">
        <f>'Exponential Item Growth'!$B$23*C411</f>
        <v>43820800</v>
      </c>
    </row>
    <row r="412" ht="15.75" customHeight="1">
      <c r="A412" s="2">
        <v>411.0</v>
      </c>
      <c r="B412" s="11">
        <f>'Exponential Item Growth'!$B$5*'Exponential Item Growth'!$B$6^A412</f>
        <v>4460380676401</v>
      </c>
      <c r="C412" s="12">
        <f t="shared" si="1"/>
        <v>43927.68</v>
      </c>
      <c r="D412" s="2">
        <f>A412*'Exponential Item Growth'!$B$4</f>
        <v>686.37</v>
      </c>
      <c r="E412" s="12">
        <f>if(isna(VLOOKUP(A412,'Exponential Item Growth'!$A$10:$B$18,2,false)),E411, E411*VLOOKUP(A412,'Exponential Item Growth'!$A$10:$B$18,2,false))</f>
        <v>64</v>
      </c>
      <c r="F412" s="12">
        <f>C412*'Exponential Item Growth'!$B$21</f>
        <v>219638.4</v>
      </c>
      <c r="G412" s="12">
        <f>'Exponential Item Growth'!$B$22*C412</f>
        <v>3294576</v>
      </c>
      <c r="H412" s="12">
        <f>'Exponential Item Growth'!$B$23*C412</f>
        <v>43927680</v>
      </c>
    </row>
    <row r="413" ht="15.75" customHeight="1">
      <c r="A413" s="2">
        <v>412.0</v>
      </c>
      <c r="B413" s="11">
        <f>'Exponential Item Growth'!$B$5*'Exponential Item Growth'!$B$6^A413</f>
        <v>4772607323749</v>
      </c>
      <c r="C413" s="12">
        <f t="shared" si="1"/>
        <v>44034.56</v>
      </c>
      <c r="D413" s="2">
        <f>A413*'Exponential Item Growth'!$B$4</f>
        <v>688.04</v>
      </c>
      <c r="E413" s="12">
        <f>if(isna(VLOOKUP(A413,'Exponential Item Growth'!$A$10:$B$18,2,false)),E412, E412*VLOOKUP(A413,'Exponential Item Growth'!$A$10:$B$18,2,false))</f>
        <v>64</v>
      </c>
      <c r="F413" s="12">
        <f>C413*'Exponential Item Growth'!$B$21</f>
        <v>220172.8</v>
      </c>
      <c r="G413" s="12">
        <f>'Exponential Item Growth'!$B$22*C413</f>
        <v>3302592</v>
      </c>
      <c r="H413" s="12">
        <f>'Exponential Item Growth'!$B$23*C413</f>
        <v>44034560</v>
      </c>
    </row>
    <row r="414" ht="15.75" customHeight="1">
      <c r="A414" s="2">
        <v>413.0</v>
      </c>
      <c r="B414" s="11">
        <f>'Exponential Item Growth'!$B$5*'Exponential Item Growth'!$B$6^A414</f>
        <v>5106689836412</v>
      </c>
      <c r="C414" s="12">
        <f t="shared" si="1"/>
        <v>44141.44</v>
      </c>
      <c r="D414" s="2">
        <f>A414*'Exponential Item Growth'!$B$4</f>
        <v>689.71</v>
      </c>
      <c r="E414" s="12">
        <f>if(isna(VLOOKUP(A414,'Exponential Item Growth'!$A$10:$B$18,2,false)),E413, E413*VLOOKUP(A414,'Exponential Item Growth'!$A$10:$B$18,2,false))</f>
        <v>64</v>
      </c>
      <c r="F414" s="12">
        <f>C414*'Exponential Item Growth'!$B$21</f>
        <v>220707.2</v>
      </c>
      <c r="G414" s="12">
        <f>'Exponential Item Growth'!$B$22*C414</f>
        <v>3310608</v>
      </c>
      <c r="H414" s="12">
        <f>'Exponential Item Growth'!$B$23*C414</f>
        <v>44141440</v>
      </c>
    </row>
    <row r="415" ht="15.75" customHeight="1">
      <c r="A415" s="2">
        <v>414.0</v>
      </c>
      <c r="B415" s="11">
        <f>'Exponential Item Growth'!$B$5*'Exponential Item Growth'!$B$6^A415</f>
        <v>5464158124960</v>
      </c>
      <c r="C415" s="12">
        <f t="shared" si="1"/>
        <v>44248.32</v>
      </c>
      <c r="D415" s="2">
        <f>A415*'Exponential Item Growth'!$B$4</f>
        <v>691.38</v>
      </c>
      <c r="E415" s="12">
        <f>if(isna(VLOOKUP(A415,'Exponential Item Growth'!$A$10:$B$18,2,false)),E414, E414*VLOOKUP(A415,'Exponential Item Growth'!$A$10:$B$18,2,false))</f>
        <v>64</v>
      </c>
      <c r="F415" s="12">
        <f>C415*'Exponential Item Growth'!$B$21</f>
        <v>221241.6</v>
      </c>
      <c r="G415" s="12">
        <f>'Exponential Item Growth'!$B$22*C415</f>
        <v>3318624</v>
      </c>
      <c r="H415" s="12">
        <f>'Exponential Item Growth'!$B$23*C415</f>
        <v>44248320</v>
      </c>
    </row>
    <row r="416" ht="15.75" customHeight="1">
      <c r="A416" s="2">
        <v>415.0</v>
      </c>
      <c r="B416" s="11">
        <f>'Exponential Item Growth'!$B$5*'Exponential Item Growth'!$B$6^A416</f>
        <v>5846649193708</v>
      </c>
      <c r="C416" s="12">
        <f t="shared" si="1"/>
        <v>44355.2</v>
      </c>
      <c r="D416" s="2">
        <f>A416*'Exponential Item Growth'!$B$4</f>
        <v>693.05</v>
      </c>
      <c r="E416" s="12">
        <f>if(isna(VLOOKUP(A416,'Exponential Item Growth'!$A$10:$B$18,2,false)),E415, E415*VLOOKUP(A416,'Exponential Item Growth'!$A$10:$B$18,2,false))</f>
        <v>64</v>
      </c>
      <c r="F416" s="12">
        <f>C416*'Exponential Item Growth'!$B$21</f>
        <v>221776</v>
      </c>
      <c r="G416" s="12">
        <f>'Exponential Item Growth'!$B$22*C416</f>
        <v>3326640</v>
      </c>
      <c r="H416" s="12">
        <f>'Exponential Item Growth'!$B$23*C416</f>
        <v>44355200</v>
      </c>
    </row>
    <row r="417" ht="15.75" customHeight="1">
      <c r="A417" s="2">
        <v>416.0</v>
      </c>
      <c r="B417" s="11">
        <f>'Exponential Item Growth'!$B$5*'Exponential Item Growth'!$B$6^A417</f>
        <v>6255914637267</v>
      </c>
      <c r="C417" s="12">
        <f t="shared" si="1"/>
        <v>44462.08</v>
      </c>
      <c r="D417" s="2">
        <f>A417*'Exponential Item Growth'!$B$4</f>
        <v>694.72</v>
      </c>
      <c r="E417" s="12">
        <f>if(isna(VLOOKUP(A417,'Exponential Item Growth'!$A$10:$B$18,2,false)),E416, E416*VLOOKUP(A417,'Exponential Item Growth'!$A$10:$B$18,2,false))</f>
        <v>64</v>
      </c>
      <c r="F417" s="12">
        <f>C417*'Exponential Item Growth'!$B$21</f>
        <v>222310.4</v>
      </c>
      <c r="G417" s="12">
        <f>'Exponential Item Growth'!$B$22*C417</f>
        <v>3334656</v>
      </c>
      <c r="H417" s="12">
        <f>'Exponential Item Growth'!$B$23*C417</f>
        <v>44462080</v>
      </c>
    </row>
    <row r="418" ht="15.75" customHeight="1">
      <c r="A418" s="2">
        <v>417.0</v>
      </c>
      <c r="B418" s="11">
        <f>'Exponential Item Growth'!$B$5*'Exponential Item Growth'!$B$6^A418</f>
        <v>6693828661876</v>
      </c>
      <c r="C418" s="12">
        <f t="shared" si="1"/>
        <v>44568.96</v>
      </c>
      <c r="D418" s="2">
        <f>A418*'Exponential Item Growth'!$B$4</f>
        <v>696.39</v>
      </c>
      <c r="E418" s="12">
        <f>if(isna(VLOOKUP(A418,'Exponential Item Growth'!$A$10:$B$18,2,false)),E417, E417*VLOOKUP(A418,'Exponential Item Growth'!$A$10:$B$18,2,false))</f>
        <v>64</v>
      </c>
      <c r="F418" s="12">
        <f>C418*'Exponential Item Growth'!$B$21</f>
        <v>222844.8</v>
      </c>
      <c r="G418" s="12">
        <f>'Exponential Item Growth'!$B$22*C418</f>
        <v>3342672</v>
      </c>
      <c r="H418" s="12">
        <f>'Exponential Item Growth'!$B$23*C418</f>
        <v>44568960</v>
      </c>
    </row>
    <row r="419" ht="15.75" customHeight="1">
      <c r="A419" s="2">
        <v>418.0</v>
      </c>
      <c r="B419" s="11">
        <f>'Exponential Item Growth'!$B$5*'Exponential Item Growth'!$B$6^A419</f>
        <v>7162396668207</v>
      </c>
      <c r="C419" s="12">
        <f t="shared" si="1"/>
        <v>44675.84</v>
      </c>
      <c r="D419" s="2">
        <f>A419*'Exponential Item Growth'!$B$4</f>
        <v>698.06</v>
      </c>
      <c r="E419" s="12">
        <f>if(isna(VLOOKUP(A419,'Exponential Item Growth'!$A$10:$B$18,2,false)),E418, E418*VLOOKUP(A419,'Exponential Item Growth'!$A$10:$B$18,2,false))</f>
        <v>64</v>
      </c>
      <c r="F419" s="12">
        <f>C419*'Exponential Item Growth'!$B$21</f>
        <v>223379.2</v>
      </c>
      <c r="G419" s="12">
        <f>'Exponential Item Growth'!$B$22*C419</f>
        <v>3350688</v>
      </c>
      <c r="H419" s="12">
        <f>'Exponential Item Growth'!$B$23*C419</f>
        <v>44675840</v>
      </c>
    </row>
    <row r="420" ht="15.75" customHeight="1">
      <c r="A420" s="2">
        <v>419.0</v>
      </c>
      <c r="B420" s="11">
        <f>'Exponential Item Growth'!$B$5*'Exponential Item Growth'!$B$6^A420</f>
        <v>7663764434982</v>
      </c>
      <c r="C420" s="12">
        <f t="shared" si="1"/>
        <v>44782.72</v>
      </c>
      <c r="D420" s="2">
        <f>A420*'Exponential Item Growth'!$B$4</f>
        <v>699.73</v>
      </c>
      <c r="E420" s="12">
        <f>if(isna(VLOOKUP(A420,'Exponential Item Growth'!$A$10:$B$18,2,false)),E419, E419*VLOOKUP(A420,'Exponential Item Growth'!$A$10:$B$18,2,false))</f>
        <v>64</v>
      </c>
      <c r="F420" s="12">
        <f>C420*'Exponential Item Growth'!$B$21</f>
        <v>223913.6</v>
      </c>
      <c r="G420" s="12">
        <f>'Exponential Item Growth'!$B$22*C420</f>
        <v>3358704</v>
      </c>
      <c r="H420" s="12">
        <f>'Exponential Item Growth'!$B$23*C420</f>
        <v>44782720</v>
      </c>
    </row>
    <row r="421" ht="15.75" customHeight="1">
      <c r="A421" s="2">
        <v>420.0</v>
      </c>
      <c r="B421" s="11">
        <f>'Exponential Item Growth'!$B$5*'Exponential Item Growth'!$B$6^A421</f>
        <v>8200227945430</v>
      </c>
      <c r="C421" s="12">
        <f t="shared" si="1"/>
        <v>44889.6</v>
      </c>
      <c r="D421" s="2">
        <f>A421*'Exponential Item Growth'!$B$4</f>
        <v>701.4</v>
      </c>
      <c r="E421" s="12">
        <f>if(isna(VLOOKUP(A421,'Exponential Item Growth'!$A$10:$B$18,2,false)),E420, E420*VLOOKUP(A421,'Exponential Item Growth'!$A$10:$B$18,2,false))</f>
        <v>64</v>
      </c>
      <c r="F421" s="12">
        <f>C421*'Exponential Item Growth'!$B$21</f>
        <v>224448</v>
      </c>
      <c r="G421" s="12">
        <f>'Exponential Item Growth'!$B$22*C421</f>
        <v>3366720</v>
      </c>
      <c r="H421" s="12">
        <f>'Exponential Item Growth'!$B$23*C421</f>
        <v>44889600</v>
      </c>
    </row>
    <row r="422" ht="15.75" customHeight="1">
      <c r="A422" s="2">
        <v>421.0</v>
      </c>
      <c r="B422" s="11">
        <f>'Exponential Item Growth'!$B$5*'Exponential Item Growth'!$B$6^A422</f>
        <v>8774243901611</v>
      </c>
      <c r="C422" s="12">
        <f t="shared" si="1"/>
        <v>44996.48</v>
      </c>
      <c r="D422" s="2">
        <f>A422*'Exponential Item Growth'!$B$4</f>
        <v>703.07</v>
      </c>
      <c r="E422" s="12">
        <f>if(isna(VLOOKUP(A422,'Exponential Item Growth'!$A$10:$B$18,2,false)),E421, E421*VLOOKUP(A422,'Exponential Item Growth'!$A$10:$B$18,2,false))</f>
        <v>64</v>
      </c>
      <c r="F422" s="12">
        <f>C422*'Exponential Item Growth'!$B$21</f>
        <v>224982.4</v>
      </c>
      <c r="G422" s="12">
        <f>'Exponential Item Growth'!$B$22*C422</f>
        <v>3374736</v>
      </c>
      <c r="H422" s="12">
        <f>'Exponential Item Growth'!$B$23*C422</f>
        <v>44996480</v>
      </c>
    </row>
    <row r="423" ht="15.75" customHeight="1">
      <c r="A423" s="2">
        <v>422.0</v>
      </c>
      <c r="B423" s="11">
        <f>'Exponential Item Growth'!$B$5*'Exponential Item Growth'!$B$6^A423</f>
        <v>9388440974723</v>
      </c>
      <c r="C423" s="12">
        <f t="shared" si="1"/>
        <v>45103.36</v>
      </c>
      <c r="D423" s="2">
        <f>A423*'Exponential Item Growth'!$B$4</f>
        <v>704.74</v>
      </c>
      <c r="E423" s="12">
        <f>if(isna(VLOOKUP(A423,'Exponential Item Growth'!$A$10:$B$18,2,false)),E422, E422*VLOOKUP(A423,'Exponential Item Growth'!$A$10:$B$18,2,false))</f>
        <v>64</v>
      </c>
      <c r="F423" s="12">
        <f>C423*'Exponential Item Growth'!$B$21</f>
        <v>225516.8</v>
      </c>
      <c r="G423" s="12">
        <f>'Exponential Item Growth'!$B$22*C423</f>
        <v>3382752</v>
      </c>
      <c r="H423" s="12">
        <f>'Exponential Item Growth'!$B$23*C423</f>
        <v>45103360</v>
      </c>
    </row>
    <row r="424" ht="15.75" customHeight="1">
      <c r="A424" s="2">
        <v>423.0</v>
      </c>
      <c r="B424" s="11">
        <f>'Exponential Item Growth'!$B$5*'Exponential Item Growth'!$B$6^A424</f>
        <v>10045631842954</v>
      </c>
      <c r="C424" s="12">
        <f t="shared" si="1"/>
        <v>45210.24</v>
      </c>
      <c r="D424" s="2">
        <f>A424*'Exponential Item Growth'!$B$4</f>
        <v>706.41</v>
      </c>
      <c r="E424" s="12">
        <f>if(isna(VLOOKUP(A424,'Exponential Item Growth'!$A$10:$B$18,2,false)),E423, E423*VLOOKUP(A424,'Exponential Item Growth'!$A$10:$B$18,2,false))</f>
        <v>64</v>
      </c>
      <c r="F424" s="12">
        <f>C424*'Exponential Item Growth'!$B$21</f>
        <v>226051.2</v>
      </c>
      <c r="G424" s="12">
        <f>'Exponential Item Growth'!$B$22*C424</f>
        <v>3390768</v>
      </c>
      <c r="H424" s="12">
        <f>'Exponential Item Growth'!$B$23*C424</f>
        <v>45210240</v>
      </c>
    </row>
    <row r="425" ht="15.75" customHeight="1">
      <c r="A425" s="2">
        <v>424.0</v>
      </c>
      <c r="B425" s="11">
        <f>'Exponential Item Growth'!$B$5*'Exponential Item Growth'!$B$6^A425</f>
        <v>10748826071961</v>
      </c>
      <c r="C425" s="12">
        <f t="shared" si="1"/>
        <v>45317.12</v>
      </c>
      <c r="D425" s="2">
        <f>A425*'Exponential Item Growth'!$B$4</f>
        <v>708.08</v>
      </c>
      <c r="E425" s="12">
        <f>if(isna(VLOOKUP(A425,'Exponential Item Growth'!$A$10:$B$18,2,false)),E424, E424*VLOOKUP(A425,'Exponential Item Growth'!$A$10:$B$18,2,false))</f>
        <v>64</v>
      </c>
      <c r="F425" s="12">
        <f>C425*'Exponential Item Growth'!$B$21</f>
        <v>226585.6</v>
      </c>
      <c r="G425" s="12">
        <f>'Exponential Item Growth'!$B$22*C425</f>
        <v>3398784</v>
      </c>
      <c r="H425" s="12">
        <f>'Exponential Item Growth'!$B$23*C425</f>
        <v>45317120</v>
      </c>
    </row>
    <row r="426" ht="15.75" customHeight="1">
      <c r="A426" s="2">
        <v>425.0</v>
      </c>
      <c r="B426" s="11">
        <f>'Exponential Item Growth'!$B$5*'Exponential Item Growth'!$B$6^A426</f>
        <v>11501243896998</v>
      </c>
      <c r="C426" s="12">
        <f t="shared" si="1"/>
        <v>45424</v>
      </c>
      <c r="D426" s="2">
        <f>A426*'Exponential Item Growth'!$B$4</f>
        <v>709.75</v>
      </c>
      <c r="E426" s="12">
        <f>if(isna(VLOOKUP(A426,'Exponential Item Growth'!$A$10:$B$18,2,false)),E425, E425*VLOOKUP(A426,'Exponential Item Growth'!$A$10:$B$18,2,false))</f>
        <v>64</v>
      </c>
      <c r="F426" s="12">
        <f>C426*'Exponential Item Growth'!$B$21</f>
        <v>227120</v>
      </c>
      <c r="G426" s="12">
        <f>'Exponential Item Growth'!$B$22*C426</f>
        <v>3406800</v>
      </c>
      <c r="H426" s="12">
        <f>'Exponential Item Growth'!$B$23*C426</f>
        <v>45424000</v>
      </c>
    </row>
    <row r="427" ht="15.75" customHeight="1">
      <c r="A427" s="2">
        <v>426.0</v>
      </c>
      <c r="B427" s="11">
        <f>'Exponential Item Growth'!$B$5*'Exponential Item Growth'!$B$6^A427</f>
        <v>12306330969788</v>
      </c>
      <c r="C427" s="12">
        <f t="shared" si="1"/>
        <v>45530.88</v>
      </c>
      <c r="D427" s="2">
        <f>A427*'Exponential Item Growth'!$B$4</f>
        <v>711.42</v>
      </c>
      <c r="E427" s="12">
        <f>if(isna(VLOOKUP(A427,'Exponential Item Growth'!$A$10:$B$18,2,false)),E426, E426*VLOOKUP(A427,'Exponential Item Growth'!$A$10:$B$18,2,false))</f>
        <v>64</v>
      </c>
      <c r="F427" s="12">
        <f>C427*'Exponential Item Growth'!$B$21</f>
        <v>227654.4</v>
      </c>
      <c r="G427" s="12">
        <f>'Exponential Item Growth'!$B$22*C427</f>
        <v>3414816</v>
      </c>
      <c r="H427" s="12">
        <f>'Exponential Item Growth'!$B$23*C427</f>
        <v>45530880</v>
      </c>
    </row>
    <row r="428" ht="15.75" customHeight="1">
      <c r="A428" s="2">
        <v>427.0</v>
      </c>
      <c r="B428" s="11">
        <f>'Exponential Item Growth'!$B$5*'Exponential Item Growth'!$B$6^A428</f>
        <v>13167774137673</v>
      </c>
      <c r="C428" s="12">
        <f t="shared" si="1"/>
        <v>45637.76</v>
      </c>
      <c r="D428" s="2">
        <f>A428*'Exponential Item Growth'!$B$4</f>
        <v>713.09</v>
      </c>
      <c r="E428" s="12">
        <f>if(isna(VLOOKUP(A428,'Exponential Item Growth'!$A$10:$B$18,2,false)),E427, E427*VLOOKUP(A428,'Exponential Item Growth'!$A$10:$B$18,2,false))</f>
        <v>64</v>
      </c>
      <c r="F428" s="12">
        <f>C428*'Exponential Item Growth'!$B$21</f>
        <v>228188.8</v>
      </c>
      <c r="G428" s="12">
        <f>'Exponential Item Growth'!$B$22*C428</f>
        <v>3422832</v>
      </c>
      <c r="H428" s="12">
        <f>'Exponential Item Growth'!$B$23*C428</f>
        <v>45637760</v>
      </c>
    </row>
    <row r="429" ht="15.75" customHeight="1">
      <c r="A429" s="2">
        <v>428.0</v>
      </c>
      <c r="B429" s="11">
        <f>'Exponential Item Growth'!$B$5*'Exponential Item Growth'!$B$6^A429</f>
        <v>14089518327310</v>
      </c>
      <c r="C429" s="12">
        <f t="shared" si="1"/>
        <v>45744.64</v>
      </c>
      <c r="D429" s="2">
        <f>A429*'Exponential Item Growth'!$B$4</f>
        <v>714.76</v>
      </c>
      <c r="E429" s="12">
        <f>if(isna(VLOOKUP(A429,'Exponential Item Growth'!$A$10:$B$18,2,false)),E428, E428*VLOOKUP(A429,'Exponential Item Growth'!$A$10:$B$18,2,false))</f>
        <v>64</v>
      </c>
      <c r="F429" s="12">
        <f>C429*'Exponential Item Growth'!$B$21</f>
        <v>228723.2</v>
      </c>
      <c r="G429" s="12">
        <f>'Exponential Item Growth'!$B$22*C429</f>
        <v>3430848</v>
      </c>
      <c r="H429" s="12">
        <f>'Exponential Item Growth'!$B$23*C429</f>
        <v>45744640</v>
      </c>
    </row>
    <row r="430" ht="15.75" customHeight="1">
      <c r="A430" s="2">
        <v>429.0</v>
      </c>
      <c r="B430" s="11">
        <f>'Exponential Item Growth'!$B$5*'Exponential Item Growth'!$B$6^A430</f>
        <v>15075784610222</v>
      </c>
      <c r="C430" s="12">
        <f t="shared" si="1"/>
        <v>45851.52</v>
      </c>
      <c r="D430" s="2">
        <f>A430*'Exponential Item Growth'!$B$4</f>
        <v>716.43</v>
      </c>
      <c r="E430" s="12">
        <f>if(isna(VLOOKUP(A430,'Exponential Item Growth'!$A$10:$B$18,2,false)),E429, E429*VLOOKUP(A430,'Exponential Item Growth'!$A$10:$B$18,2,false))</f>
        <v>64</v>
      </c>
      <c r="F430" s="12">
        <f>C430*'Exponential Item Growth'!$B$21</f>
        <v>229257.6</v>
      </c>
      <c r="G430" s="12">
        <f>'Exponential Item Growth'!$B$22*C430</f>
        <v>3438864</v>
      </c>
      <c r="H430" s="12">
        <f>'Exponential Item Growth'!$B$23*C430</f>
        <v>45851520</v>
      </c>
    </row>
    <row r="431" ht="15.75" customHeight="1">
      <c r="A431" s="2">
        <v>430.0</v>
      </c>
      <c r="B431" s="11">
        <f>'Exponential Item Growth'!$B$5*'Exponential Item Growth'!$B$6^A431</f>
        <v>16131089532937</v>
      </c>
      <c r="C431" s="12">
        <f t="shared" si="1"/>
        <v>45958.4</v>
      </c>
      <c r="D431" s="2">
        <f>A431*'Exponential Item Growth'!$B$4</f>
        <v>718.1</v>
      </c>
      <c r="E431" s="12">
        <f>if(isna(VLOOKUP(A431,'Exponential Item Growth'!$A$10:$B$18,2,false)),E430, E430*VLOOKUP(A431,'Exponential Item Growth'!$A$10:$B$18,2,false))</f>
        <v>64</v>
      </c>
      <c r="F431" s="12">
        <f>C431*'Exponential Item Growth'!$B$21</f>
        <v>229792</v>
      </c>
      <c r="G431" s="12">
        <f>'Exponential Item Growth'!$B$22*C431</f>
        <v>3446880</v>
      </c>
      <c r="H431" s="12">
        <f>'Exponential Item Growth'!$B$23*C431</f>
        <v>45958400</v>
      </c>
    </row>
    <row r="432" ht="15.75" customHeight="1">
      <c r="A432" s="2">
        <v>431.0</v>
      </c>
      <c r="B432" s="11">
        <f>'Exponential Item Growth'!$B$5*'Exponential Item Growth'!$B$6^A432</f>
        <v>17260265800243</v>
      </c>
      <c r="C432" s="12">
        <f t="shared" si="1"/>
        <v>46065.28</v>
      </c>
      <c r="D432" s="2">
        <f>A432*'Exponential Item Growth'!$B$4</f>
        <v>719.77</v>
      </c>
      <c r="E432" s="12">
        <f>if(isna(VLOOKUP(A432,'Exponential Item Growth'!$A$10:$B$18,2,false)),E431, E431*VLOOKUP(A432,'Exponential Item Growth'!$A$10:$B$18,2,false))</f>
        <v>64</v>
      </c>
      <c r="F432" s="12">
        <f>C432*'Exponential Item Growth'!$B$21</f>
        <v>230326.4</v>
      </c>
      <c r="G432" s="12">
        <f>'Exponential Item Growth'!$B$22*C432</f>
        <v>3454896</v>
      </c>
      <c r="H432" s="12">
        <f>'Exponential Item Growth'!$B$23*C432</f>
        <v>46065280</v>
      </c>
    </row>
    <row r="433" ht="15.75" customHeight="1">
      <c r="A433" s="2">
        <v>432.0</v>
      </c>
      <c r="B433" s="11">
        <f>'Exponential Item Growth'!$B$5*'Exponential Item Growth'!$B$6^A433</f>
        <v>18468484406260</v>
      </c>
      <c r="C433" s="12">
        <f t="shared" si="1"/>
        <v>46172.16</v>
      </c>
      <c r="D433" s="2">
        <f>A433*'Exponential Item Growth'!$B$4</f>
        <v>721.44</v>
      </c>
      <c r="E433" s="12">
        <f>if(isna(VLOOKUP(A433,'Exponential Item Growth'!$A$10:$B$18,2,false)),E432, E432*VLOOKUP(A433,'Exponential Item Growth'!$A$10:$B$18,2,false))</f>
        <v>64</v>
      </c>
      <c r="F433" s="12">
        <f>C433*'Exponential Item Growth'!$B$21</f>
        <v>230860.8</v>
      </c>
      <c r="G433" s="12">
        <f>'Exponential Item Growth'!$B$22*C433</f>
        <v>3462912</v>
      </c>
      <c r="H433" s="12">
        <f>'Exponential Item Growth'!$B$23*C433</f>
        <v>46172160</v>
      </c>
    </row>
    <row r="434" ht="15.75" customHeight="1">
      <c r="A434" s="2">
        <v>433.0</v>
      </c>
      <c r="B434" s="11">
        <f>'Exponential Item Growth'!$B$5*'Exponential Item Growth'!$B$6^A434</f>
        <v>19761278314698</v>
      </c>
      <c r="C434" s="12">
        <f t="shared" si="1"/>
        <v>46279.04</v>
      </c>
      <c r="D434" s="2">
        <f>A434*'Exponential Item Growth'!$B$4</f>
        <v>723.11</v>
      </c>
      <c r="E434" s="12">
        <f>if(isna(VLOOKUP(A434,'Exponential Item Growth'!$A$10:$B$18,2,false)),E433, E433*VLOOKUP(A434,'Exponential Item Growth'!$A$10:$B$18,2,false))</f>
        <v>64</v>
      </c>
      <c r="F434" s="12">
        <f>C434*'Exponential Item Growth'!$B$21</f>
        <v>231395.2</v>
      </c>
      <c r="G434" s="12">
        <f>'Exponential Item Growth'!$B$22*C434</f>
        <v>3470928</v>
      </c>
      <c r="H434" s="12">
        <f>'Exponential Item Growth'!$B$23*C434</f>
        <v>46279040</v>
      </c>
    </row>
    <row r="435" ht="15.75" customHeight="1">
      <c r="A435" s="2">
        <v>434.0</v>
      </c>
      <c r="B435" s="11">
        <f>'Exponential Item Growth'!$B$5*'Exponential Item Growth'!$B$6^A435</f>
        <v>21144567796727</v>
      </c>
      <c r="C435" s="12">
        <f t="shared" si="1"/>
        <v>46385.92</v>
      </c>
      <c r="D435" s="2">
        <f>A435*'Exponential Item Growth'!$B$4</f>
        <v>724.78</v>
      </c>
      <c r="E435" s="12">
        <f>if(isna(VLOOKUP(A435,'Exponential Item Growth'!$A$10:$B$18,2,false)),E434, E434*VLOOKUP(A435,'Exponential Item Growth'!$A$10:$B$18,2,false))</f>
        <v>64</v>
      </c>
      <c r="F435" s="12">
        <f>C435*'Exponential Item Growth'!$B$21</f>
        <v>231929.6</v>
      </c>
      <c r="G435" s="12">
        <f>'Exponential Item Growth'!$B$22*C435</f>
        <v>3478944</v>
      </c>
      <c r="H435" s="12">
        <f>'Exponential Item Growth'!$B$23*C435</f>
        <v>46385920</v>
      </c>
    </row>
    <row r="436" ht="15.75" customHeight="1">
      <c r="A436" s="2">
        <v>435.0</v>
      </c>
      <c r="B436" s="11">
        <f>'Exponential Item Growth'!$B$5*'Exponential Item Growth'!$B$6^A436</f>
        <v>22624687542498</v>
      </c>
      <c r="C436" s="12">
        <f t="shared" si="1"/>
        <v>46492.8</v>
      </c>
      <c r="D436" s="2">
        <f>A436*'Exponential Item Growth'!$B$4</f>
        <v>726.45</v>
      </c>
      <c r="E436" s="12">
        <f>if(isna(VLOOKUP(A436,'Exponential Item Growth'!$A$10:$B$18,2,false)),E435, E435*VLOOKUP(A436,'Exponential Item Growth'!$A$10:$B$18,2,false))</f>
        <v>64</v>
      </c>
      <c r="F436" s="12">
        <f>C436*'Exponential Item Growth'!$B$21</f>
        <v>232464</v>
      </c>
      <c r="G436" s="12">
        <f>'Exponential Item Growth'!$B$22*C436</f>
        <v>3486960</v>
      </c>
      <c r="H436" s="12">
        <f>'Exponential Item Growth'!$B$23*C436</f>
        <v>46492800</v>
      </c>
    </row>
    <row r="437" ht="15.75" customHeight="1">
      <c r="A437" s="2">
        <v>436.0</v>
      </c>
      <c r="B437" s="11">
        <f>'Exponential Item Growth'!$B$5*'Exponential Item Growth'!$B$6^A437</f>
        <v>24208415670473</v>
      </c>
      <c r="C437" s="12">
        <f t="shared" si="1"/>
        <v>46599.68</v>
      </c>
      <c r="D437" s="2">
        <f>A437*'Exponential Item Growth'!$B$4</f>
        <v>728.12</v>
      </c>
      <c r="E437" s="12">
        <f>if(isna(VLOOKUP(A437,'Exponential Item Growth'!$A$10:$B$18,2,false)),E436, E436*VLOOKUP(A437,'Exponential Item Growth'!$A$10:$B$18,2,false))</f>
        <v>64</v>
      </c>
      <c r="F437" s="12">
        <f>C437*'Exponential Item Growth'!$B$21</f>
        <v>232998.4</v>
      </c>
      <c r="G437" s="12">
        <f>'Exponential Item Growth'!$B$22*C437</f>
        <v>3494976</v>
      </c>
      <c r="H437" s="12">
        <f>'Exponential Item Growth'!$B$23*C437</f>
        <v>46599680</v>
      </c>
    </row>
    <row r="438" ht="15.75" customHeight="1">
      <c r="A438" s="2">
        <v>437.0</v>
      </c>
      <c r="B438" s="11">
        <f>'Exponential Item Growth'!$B$5*'Exponential Item Growth'!$B$6^A438</f>
        <v>25903004767406</v>
      </c>
      <c r="C438" s="12">
        <f t="shared" si="1"/>
        <v>46706.56</v>
      </c>
      <c r="D438" s="2">
        <f>A438*'Exponential Item Growth'!$B$4</f>
        <v>729.79</v>
      </c>
      <c r="E438" s="12">
        <f>if(isna(VLOOKUP(A438,'Exponential Item Growth'!$A$10:$B$18,2,false)),E437, E437*VLOOKUP(A438,'Exponential Item Growth'!$A$10:$B$18,2,false))</f>
        <v>64</v>
      </c>
      <c r="F438" s="12">
        <f>C438*'Exponential Item Growth'!$B$21</f>
        <v>233532.8</v>
      </c>
      <c r="G438" s="12">
        <f>'Exponential Item Growth'!$B$22*C438</f>
        <v>3502992</v>
      </c>
      <c r="H438" s="12">
        <f>'Exponential Item Growth'!$B$23*C438</f>
        <v>46706560</v>
      </c>
    </row>
    <row r="439" ht="15.75" customHeight="1">
      <c r="A439" s="2">
        <v>438.0</v>
      </c>
      <c r="B439" s="11">
        <f>'Exponential Item Growth'!$B$5*'Exponential Item Growth'!$B$6^A439</f>
        <v>27716215101124</v>
      </c>
      <c r="C439" s="12">
        <f t="shared" si="1"/>
        <v>46813.44</v>
      </c>
      <c r="D439" s="2">
        <f>A439*'Exponential Item Growth'!$B$4</f>
        <v>731.46</v>
      </c>
      <c r="E439" s="12">
        <f>if(isna(VLOOKUP(A439,'Exponential Item Growth'!$A$10:$B$18,2,false)),E438, E438*VLOOKUP(A439,'Exponential Item Growth'!$A$10:$B$18,2,false))</f>
        <v>64</v>
      </c>
      <c r="F439" s="12">
        <f>C439*'Exponential Item Growth'!$B$21</f>
        <v>234067.2</v>
      </c>
      <c r="G439" s="12">
        <f>'Exponential Item Growth'!$B$22*C439</f>
        <v>3511008</v>
      </c>
      <c r="H439" s="12">
        <f>'Exponential Item Growth'!$B$23*C439</f>
        <v>46813440</v>
      </c>
    </row>
    <row r="440" ht="15.75" customHeight="1">
      <c r="A440" s="2">
        <v>439.0</v>
      </c>
      <c r="B440" s="11">
        <f>'Exponential Item Growth'!$B$5*'Exponential Item Growth'!$B$6^A440</f>
        <v>29656350158203</v>
      </c>
      <c r="C440" s="12">
        <f t="shared" si="1"/>
        <v>46920.32</v>
      </c>
      <c r="D440" s="2">
        <f>A440*'Exponential Item Growth'!$B$4</f>
        <v>733.13</v>
      </c>
      <c r="E440" s="12">
        <f>if(isna(VLOOKUP(A440,'Exponential Item Growth'!$A$10:$B$18,2,false)),E439, E439*VLOOKUP(A440,'Exponential Item Growth'!$A$10:$B$18,2,false))</f>
        <v>64</v>
      </c>
      <c r="F440" s="12">
        <f>C440*'Exponential Item Growth'!$B$21</f>
        <v>234601.6</v>
      </c>
      <c r="G440" s="12">
        <f>'Exponential Item Growth'!$B$22*C440</f>
        <v>3519024</v>
      </c>
      <c r="H440" s="12">
        <f>'Exponential Item Growth'!$B$23*C440</f>
        <v>46920320</v>
      </c>
    </row>
    <row r="441" ht="15.75" customHeight="1">
      <c r="A441" s="2">
        <v>440.0</v>
      </c>
      <c r="B441" s="11">
        <f>'Exponential Item Growth'!$B$5*'Exponential Item Growth'!$B$6^A441</f>
        <v>31732294669277</v>
      </c>
      <c r="C441" s="12">
        <f t="shared" si="1"/>
        <v>47027.2</v>
      </c>
      <c r="D441" s="2">
        <f>A441*'Exponential Item Growth'!$B$4</f>
        <v>734.8</v>
      </c>
      <c r="E441" s="12">
        <f>if(isna(VLOOKUP(A441,'Exponential Item Growth'!$A$10:$B$18,2,false)),E440, E440*VLOOKUP(A441,'Exponential Item Growth'!$A$10:$B$18,2,false))</f>
        <v>64</v>
      </c>
      <c r="F441" s="12">
        <f>C441*'Exponential Item Growth'!$B$21</f>
        <v>235136</v>
      </c>
      <c r="G441" s="12">
        <f>'Exponential Item Growth'!$B$22*C441</f>
        <v>3527040</v>
      </c>
      <c r="H441" s="12">
        <f>'Exponential Item Growth'!$B$23*C441</f>
        <v>47027200</v>
      </c>
    </row>
    <row r="442" ht="15.75" customHeight="1">
      <c r="A442" s="2">
        <v>441.0</v>
      </c>
      <c r="B442" s="11">
        <f>'Exponential Item Growth'!$B$5*'Exponential Item Growth'!$B$6^A442</f>
        <v>33953555296127</v>
      </c>
      <c r="C442" s="12">
        <f t="shared" si="1"/>
        <v>47134.08</v>
      </c>
      <c r="D442" s="2">
        <f>A442*'Exponential Item Growth'!$B$4</f>
        <v>736.47</v>
      </c>
      <c r="E442" s="12">
        <f>if(isna(VLOOKUP(A442,'Exponential Item Growth'!$A$10:$B$18,2,false)),E441, E441*VLOOKUP(A442,'Exponential Item Growth'!$A$10:$B$18,2,false))</f>
        <v>64</v>
      </c>
      <c r="F442" s="12">
        <f>C442*'Exponential Item Growth'!$B$21</f>
        <v>235670.4</v>
      </c>
      <c r="G442" s="12">
        <f>'Exponential Item Growth'!$B$22*C442</f>
        <v>3535056</v>
      </c>
      <c r="H442" s="12">
        <f>'Exponential Item Growth'!$B$23*C442</f>
        <v>47134080</v>
      </c>
    </row>
    <row r="443" ht="15.75" customHeight="1">
      <c r="A443" s="2">
        <v>442.0</v>
      </c>
      <c r="B443" s="11">
        <f>'Exponential Item Growth'!$B$5*'Exponential Item Growth'!$B$6^A443</f>
        <v>36330304166855</v>
      </c>
      <c r="C443" s="12">
        <f t="shared" si="1"/>
        <v>47240.96</v>
      </c>
      <c r="D443" s="2">
        <f>A443*'Exponential Item Growth'!$B$4</f>
        <v>738.14</v>
      </c>
      <c r="E443" s="12">
        <f>if(isna(VLOOKUP(A443,'Exponential Item Growth'!$A$10:$B$18,2,false)),E442, E442*VLOOKUP(A443,'Exponential Item Growth'!$A$10:$B$18,2,false))</f>
        <v>64</v>
      </c>
      <c r="F443" s="12">
        <f>C443*'Exponential Item Growth'!$B$21</f>
        <v>236204.8</v>
      </c>
      <c r="G443" s="12">
        <f>'Exponential Item Growth'!$B$22*C443</f>
        <v>3543072</v>
      </c>
      <c r="H443" s="12">
        <f>'Exponential Item Growth'!$B$23*C443</f>
        <v>47240960</v>
      </c>
    </row>
    <row r="444" ht="15.75" customHeight="1">
      <c r="A444" s="2">
        <v>443.0</v>
      </c>
      <c r="B444" s="11">
        <f>'Exponential Item Growth'!$B$5*'Exponential Item Growth'!$B$6^A444</f>
        <v>38873425458535</v>
      </c>
      <c r="C444" s="12">
        <f t="shared" si="1"/>
        <v>47347.84</v>
      </c>
      <c r="D444" s="2">
        <f>A444*'Exponential Item Growth'!$B$4</f>
        <v>739.81</v>
      </c>
      <c r="E444" s="12">
        <f>if(isna(VLOOKUP(A444,'Exponential Item Growth'!$A$10:$B$18,2,false)),E443, E443*VLOOKUP(A444,'Exponential Item Growth'!$A$10:$B$18,2,false))</f>
        <v>64</v>
      </c>
      <c r="F444" s="12">
        <f>C444*'Exponential Item Growth'!$B$21</f>
        <v>236739.2</v>
      </c>
      <c r="G444" s="12">
        <f>'Exponential Item Growth'!$B$22*C444</f>
        <v>3551088</v>
      </c>
      <c r="H444" s="12">
        <f>'Exponential Item Growth'!$B$23*C444</f>
        <v>47347840</v>
      </c>
    </row>
    <row r="445" ht="15.75" customHeight="1">
      <c r="A445" s="2">
        <v>444.0</v>
      </c>
      <c r="B445" s="11">
        <f>'Exponential Item Growth'!$B$5*'Exponential Item Growth'!$B$6^A445</f>
        <v>41594565240633</v>
      </c>
      <c r="C445" s="12">
        <f t="shared" si="1"/>
        <v>47454.72</v>
      </c>
      <c r="D445" s="2">
        <f>A445*'Exponential Item Growth'!$B$4</f>
        <v>741.48</v>
      </c>
      <c r="E445" s="12">
        <f>if(isna(VLOOKUP(A445,'Exponential Item Growth'!$A$10:$B$18,2,false)),E444, E444*VLOOKUP(A445,'Exponential Item Growth'!$A$10:$B$18,2,false))</f>
        <v>64</v>
      </c>
      <c r="F445" s="12">
        <f>C445*'Exponential Item Growth'!$B$21</f>
        <v>237273.6</v>
      </c>
      <c r="G445" s="12">
        <f>'Exponential Item Growth'!$B$22*C445</f>
        <v>3559104</v>
      </c>
      <c r="H445" s="12">
        <f>'Exponential Item Growth'!$B$23*C445</f>
        <v>47454720</v>
      </c>
    </row>
    <row r="446" ht="15.75" customHeight="1">
      <c r="A446" s="2">
        <v>445.0</v>
      </c>
      <c r="B446" s="11">
        <f>'Exponential Item Growth'!$B$5*'Exponential Item Growth'!$B$6^A446</f>
        <v>44506184807477</v>
      </c>
      <c r="C446" s="12">
        <f t="shared" si="1"/>
        <v>47561.6</v>
      </c>
      <c r="D446" s="2">
        <f>A446*'Exponential Item Growth'!$B$4</f>
        <v>743.15</v>
      </c>
      <c r="E446" s="12">
        <f>if(isna(VLOOKUP(A446,'Exponential Item Growth'!$A$10:$B$18,2,false)),E445, E445*VLOOKUP(A446,'Exponential Item Growth'!$A$10:$B$18,2,false))</f>
        <v>64</v>
      </c>
      <c r="F446" s="12">
        <f>C446*'Exponential Item Growth'!$B$21</f>
        <v>237808</v>
      </c>
      <c r="G446" s="12">
        <f>'Exponential Item Growth'!$B$22*C446</f>
        <v>3567120</v>
      </c>
      <c r="H446" s="12">
        <f>'Exponential Item Growth'!$B$23*C446</f>
        <v>47561600</v>
      </c>
    </row>
    <row r="447" ht="15.75" customHeight="1">
      <c r="A447" s="2">
        <v>446.0</v>
      </c>
      <c r="B447" s="11">
        <f>'Exponential Item Growth'!$B$5*'Exponential Item Growth'!$B$6^A447</f>
        <v>47621617744000</v>
      </c>
      <c r="C447" s="12">
        <f t="shared" si="1"/>
        <v>47668.48</v>
      </c>
      <c r="D447" s="2">
        <f>A447*'Exponential Item Growth'!$B$4</f>
        <v>744.82</v>
      </c>
      <c r="E447" s="12">
        <f>if(isna(VLOOKUP(A447,'Exponential Item Growth'!$A$10:$B$18,2,false)),E446, E446*VLOOKUP(A447,'Exponential Item Growth'!$A$10:$B$18,2,false))</f>
        <v>64</v>
      </c>
      <c r="F447" s="12">
        <f>C447*'Exponential Item Growth'!$B$21</f>
        <v>238342.4</v>
      </c>
      <c r="G447" s="12">
        <f>'Exponential Item Growth'!$B$22*C447</f>
        <v>3575136</v>
      </c>
      <c r="H447" s="12">
        <f>'Exponential Item Growth'!$B$23*C447</f>
        <v>47668480</v>
      </c>
    </row>
    <row r="448" ht="15.75" customHeight="1">
      <c r="A448" s="2">
        <v>447.0</v>
      </c>
      <c r="B448" s="11">
        <f>'Exponential Item Growth'!$B$5*'Exponential Item Growth'!$B$6^A448</f>
        <v>50955130986080</v>
      </c>
      <c r="C448" s="12">
        <f t="shared" si="1"/>
        <v>47775.36</v>
      </c>
      <c r="D448" s="2">
        <f>A448*'Exponential Item Growth'!$B$4</f>
        <v>746.49</v>
      </c>
      <c r="E448" s="12">
        <f>if(isna(VLOOKUP(A448,'Exponential Item Growth'!$A$10:$B$18,2,false)),E447, E447*VLOOKUP(A448,'Exponential Item Growth'!$A$10:$B$18,2,false))</f>
        <v>64</v>
      </c>
      <c r="F448" s="12">
        <f>C448*'Exponential Item Growth'!$B$21</f>
        <v>238876.8</v>
      </c>
      <c r="G448" s="12">
        <f>'Exponential Item Growth'!$B$22*C448</f>
        <v>3583152</v>
      </c>
      <c r="H448" s="12">
        <f>'Exponential Item Growth'!$B$23*C448</f>
        <v>47775360</v>
      </c>
    </row>
    <row r="449" ht="15.75" customHeight="1">
      <c r="A449" s="2">
        <v>448.0</v>
      </c>
      <c r="B449" s="11">
        <f>'Exponential Item Growth'!$B$5*'Exponential Item Growth'!$B$6^A449</f>
        <v>54521990155106</v>
      </c>
      <c r="C449" s="12">
        <f t="shared" si="1"/>
        <v>47882.24</v>
      </c>
      <c r="D449" s="2">
        <f>A449*'Exponential Item Growth'!$B$4</f>
        <v>748.16</v>
      </c>
      <c r="E449" s="12">
        <f>if(isna(VLOOKUP(A449,'Exponential Item Growth'!$A$10:$B$18,2,false)),E448, E448*VLOOKUP(A449,'Exponential Item Growth'!$A$10:$B$18,2,false))</f>
        <v>64</v>
      </c>
      <c r="F449" s="12">
        <f>C449*'Exponential Item Growth'!$B$21</f>
        <v>239411.2</v>
      </c>
      <c r="G449" s="12">
        <f>'Exponential Item Growth'!$B$22*C449</f>
        <v>3591168</v>
      </c>
      <c r="H449" s="12">
        <f>'Exponential Item Growth'!$B$23*C449</f>
        <v>47882240</v>
      </c>
    </row>
    <row r="450" ht="15.75" customHeight="1">
      <c r="A450" s="2">
        <v>449.0</v>
      </c>
      <c r="B450" s="11">
        <f>'Exponential Item Growth'!$B$5*'Exponential Item Growth'!$B$6^A450</f>
        <v>58338529465964</v>
      </c>
      <c r="C450" s="12">
        <f t="shared" si="1"/>
        <v>47989.12</v>
      </c>
      <c r="D450" s="2">
        <f>A450*'Exponential Item Growth'!$B$4</f>
        <v>749.83</v>
      </c>
      <c r="E450" s="12">
        <f>if(isna(VLOOKUP(A450,'Exponential Item Growth'!$A$10:$B$18,2,false)),E449, E449*VLOOKUP(A450,'Exponential Item Growth'!$A$10:$B$18,2,false))</f>
        <v>64</v>
      </c>
      <c r="F450" s="12">
        <f>C450*'Exponential Item Growth'!$B$21</f>
        <v>239945.6</v>
      </c>
      <c r="G450" s="12">
        <f>'Exponential Item Growth'!$B$22*C450</f>
        <v>3599184</v>
      </c>
      <c r="H450" s="12">
        <f>'Exponential Item Growth'!$B$23*C450</f>
        <v>47989120</v>
      </c>
    </row>
    <row r="451" ht="15.75" customHeight="1">
      <c r="A451" s="2">
        <v>450.0</v>
      </c>
      <c r="B451" s="11">
        <f>'Exponential Item Growth'!$B$5*'Exponential Item Growth'!$B$6^A451</f>
        <v>62422226528581</v>
      </c>
      <c r="C451" s="12">
        <f t="shared" si="1"/>
        <v>48096</v>
      </c>
      <c r="D451" s="2">
        <f>A451*'Exponential Item Growth'!$B$4</f>
        <v>751.5</v>
      </c>
      <c r="E451" s="12">
        <f>if(isna(VLOOKUP(A451,'Exponential Item Growth'!$A$10:$B$18,2,false)),E450, E450*VLOOKUP(A451,'Exponential Item Growth'!$A$10:$B$18,2,false))</f>
        <v>64</v>
      </c>
      <c r="F451" s="12">
        <f>C451*'Exponential Item Growth'!$B$21</f>
        <v>240480</v>
      </c>
      <c r="G451" s="12">
        <f>'Exponential Item Growth'!$B$22*C451</f>
        <v>3607200</v>
      </c>
      <c r="H451" s="12">
        <f>'Exponential Item Growth'!$B$23*C451</f>
        <v>48096000</v>
      </c>
    </row>
    <row r="452" ht="15.75" customHeight="1">
      <c r="A452" s="2">
        <v>451.0</v>
      </c>
      <c r="B452" s="11">
        <f>'Exponential Item Growth'!$B$5*'Exponential Item Growth'!$B$6^A452</f>
        <v>66791782385582</v>
      </c>
      <c r="C452" s="12">
        <f t="shared" si="1"/>
        <v>48202.88</v>
      </c>
      <c r="D452" s="2">
        <f>A452*'Exponential Item Growth'!$B$4</f>
        <v>753.17</v>
      </c>
      <c r="E452" s="12">
        <f>if(isna(VLOOKUP(A452,'Exponential Item Growth'!$A$10:$B$18,2,false)),E451, E451*VLOOKUP(A452,'Exponential Item Growth'!$A$10:$B$18,2,false))</f>
        <v>64</v>
      </c>
      <c r="F452" s="12">
        <f>C452*'Exponential Item Growth'!$B$21</f>
        <v>241014.4</v>
      </c>
      <c r="G452" s="12">
        <f>'Exponential Item Growth'!$B$22*C452</f>
        <v>3615216</v>
      </c>
      <c r="H452" s="12">
        <f>'Exponential Item Growth'!$B$23*C452</f>
        <v>48202880</v>
      </c>
    </row>
    <row r="453" ht="15.75" customHeight="1">
      <c r="A453" s="2">
        <v>452.0</v>
      </c>
      <c r="B453" s="11">
        <f>'Exponential Item Growth'!$B$5*'Exponential Item Growth'!$B$6^A453</f>
        <v>71467207152572</v>
      </c>
      <c r="C453" s="12">
        <f t="shared" si="1"/>
        <v>48309.76</v>
      </c>
      <c r="D453" s="2">
        <f>A453*'Exponential Item Growth'!$B$4</f>
        <v>754.84</v>
      </c>
      <c r="E453" s="12">
        <f>if(isna(VLOOKUP(A453,'Exponential Item Growth'!$A$10:$B$18,2,false)),E452, E452*VLOOKUP(A453,'Exponential Item Growth'!$A$10:$B$18,2,false))</f>
        <v>64</v>
      </c>
      <c r="F453" s="12">
        <f>C453*'Exponential Item Growth'!$B$21</f>
        <v>241548.8</v>
      </c>
      <c r="G453" s="12">
        <f>'Exponential Item Growth'!$B$22*C453</f>
        <v>3623232</v>
      </c>
      <c r="H453" s="12">
        <f>'Exponential Item Growth'!$B$23*C453</f>
        <v>48309760</v>
      </c>
    </row>
    <row r="454" ht="15.75" customHeight="1">
      <c r="A454" s="2">
        <v>453.0</v>
      </c>
      <c r="B454" s="11">
        <f>'Exponential Item Growth'!$B$5*'Exponential Item Growth'!$B$6^A454</f>
        <v>76469911653252</v>
      </c>
      <c r="C454" s="12">
        <f t="shared" si="1"/>
        <v>48416.64</v>
      </c>
      <c r="D454" s="2">
        <f>A454*'Exponential Item Growth'!$B$4</f>
        <v>756.51</v>
      </c>
      <c r="E454" s="12">
        <f>if(isna(VLOOKUP(A454,'Exponential Item Growth'!$A$10:$B$18,2,false)),E453, E453*VLOOKUP(A454,'Exponential Item Growth'!$A$10:$B$18,2,false))</f>
        <v>64</v>
      </c>
      <c r="F454" s="12">
        <f>C454*'Exponential Item Growth'!$B$21</f>
        <v>242083.2</v>
      </c>
      <c r="G454" s="12">
        <f>'Exponential Item Growth'!$B$22*C454</f>
        <v>3631248</v>
      </c>
      <c r="H454" s="12">
        <f>'Exponential Item Growth'!$B$23*C454</f>
        <v>48416640</v>
      </c>
    </row>
    <row r="455" ht="15.75" customHeight="1">
      <c r="A455" s="2">
        <v>454.0</v>
      </c>
      <c r="B455" s="11">
        <f>'Exponential Item Growth'!$B$5*'Exponential Item Growth'!$B$6^A455</f>
        <v>81822805468980</v>
      </c>
      <c r="C455" s="12">
        <f t="shared" si="1"/>
        <v>48523.52</v>
      </c>
      <c r="D455" s="2">
        <f>A455*'Exponential Item Growth'!$B$4</f>
        <v>758.18</v>
      </c>
      <c r="E455" s="12">
        <f>if(isna(VLOOKUP(A455,'Exponential Item Growth'!$A$10:$B$18,2,false)),E454, E454*VLOOKUP(A455,'Exponential Item Growth'!$A$10:$B$18,2,false))</f>
        <v>64</v>
      </c>
      <c r="F455" s="12">
        <f>C455*'Exponential Item Growth'!$B$21</f>
        <v>242617.6</v>
      </c>
      <c r="G455" s="12">
        <f>'Exponential Item Growth'!$B$22*C455</f>
        <v>3639264</v>
      </c>
      <c r="H455" s="12">
        <f>'Exponential Item Growth'!$B$23*C455</f>
        <v>48523520</v>
      </c>
    </row>
    <row r="456" ht="15.75" customHeight="1">
      <c r="A456" s="2">
        <v>455.0</v>
      </c>
      <c r="B456" s="11">
        <f>'Exponential Item Growth'!$B$5*'Exponential Item Growth'!$B$6^A456</f>
        <v>87550401851809</v>
      </c>
      <c r="C456" s="12">
        <f t="shared" si="1"/>
        <v>48630.4</v>
      </c>
      <c r="D456" s="2">
        <f>A456*'Exponential Item Growth'!$B$4</f>
        <v>759.85</v>
      </c>
      <c r="E456" s="12">
        <f>if(isna(VLOOKUP(A456,'Exponential Item Growth'!$A$10:$B$18,2,false)),E455, E455*VLOOKUP(A456,'Exponential Item Growth'!$A$10:$B$18,2,false))</f>
        <v>64</v>
      </c>
      <c r="F456" s="12">
        <f>C456*'Exponential Item Growth'!$B$21</f>
        <v>243152</v>
      </c>
      <c r="G456" s="12">
        <f>'Exponential Item Growth'!$B$22*C456</f>
        <v>3647280</v>
      </c>
      <c r="H456" s="12">
        <f>'Exponential Item Growth'!$B$23*C456</f>
        <v>48630400</v>
      </c>
    </row>
    <row r="457" ht="15.75" customHeight="1">
      <c r="A457" s="2">
        <v>456.0</v>
      </c>
      <c r="B457" s="11">
        <f>'Exponential Item Growth'!$B$5*'Exponential Item Growth'!$B$6^A457</f>
        <v>93678929981435</v>
      </c>
      <c r="C457" s="12">
        <f t="shared" si="1"/>
        <v>48737.28</v>
      </c>
      <c r="D457" s="2">
        <f>A457*'Exponential Item Growth'!$B$4</f>
        <v>761.52</v>
      </c>
      <c r="E457" s="12">
        <f>if(isna(VLOOKUP(A457,'Exponential Item Growth'!$A$10:$B$18,2,false)),E456, E456*VLOOKUP(A457,'Exponential Item Growth'!$A$10:$B$18,2,false))</f>
        <v>64</v>
      </c>
      <c r="F457" s="12">
        <f>C457*'Exponential Item Growth'!$B$21</f>
        <v>243686.4</v>
      </c>
      <c r="G457" s="12">
        <f>'Exponential Item Growth'!$B$22*C457</f>
        <v>3655296</v>
      </c>
      <c r="H457" s="12">
        <f>'Exponential Item Growth'!$B$23*C457</f>
        <v>48737280</v>
      </c>
    </row>
    <row r="458" ht="15.75" customHeight="1">
      <c r="A458" s="2">
        <v>457.0</v>
      </c>
      <c r="B458" s="11">
        <f>'Exponential Item Growth'!$B$5*'Exponential Item Growth'!$B$6^A458</f>
        <v>100236455080136</v>
      </c>
      <c r="C458" s="12">
        <f t="shared" si="1"/>
        <v>48844.16</v>
      </c>
      <c r="D458" s="2">
        <f>A458*'Exponential Item Growth'!$B$4</f>
        <v>763.19</v>
      </c>
      <c r="E458" s="12">
        <f>if(isna(VLOOKUP(A458,'Exponential Item Growth'!$A$10:$B$18,2,false)),E457, E457*VLOOKUP(A458,'Exponential Item Growth'!$A$10:$B$18,2,false))</f>
        <v>64</v>
      </c>
      <c r="F458" s="12">
        <f>C458*'Exponential Item Growth'!$B$21</f>
        <v>244220.8</v>
      </c>
      <c r="G458" s="12">
        <f>'Exponential Item Growth'!$B$22*C458</f>
        <v>3663312</v>
      </c>
      <c r="H458" s="12">
        <f>'Exponential Item Growth'!$B$23*C458</f>
        <v>48844160</v>
      </c>
    </row>
    <row r="459" ht="15.75" customHeight="1">
      <c r="A459" s="2">
        <v>458.0</v>
      </c>
      <c r="B459" s="11">
        <f>'Exponential Item Growth'!$B$5*'Exponential Item Growth'!$B$6^A459</f>
        <v>107253006935745</v>
      </c>
      <c r="C459" s="12">
        <f t="shared" si="1"/>
        <v>48951.04</v>
      </c>
      <c r="D459" s="2">
        <f>A459*'Exponential Item Growth'!$B$4</f>
        <v>764.86</v>
      </c>
      <c r="E459" s="12">
        <f>if(isna(VLOOKUP(A459,'Exponential Item Growth'!$A$10:$B$18,2,false)),E458, E458*VLOOKUP(A459,'Exponential Item Growth'!$A$10:$B$18,2,false))</f>
        <v>64</v>
      </c>
      <c r="F459" s="12">
        <f>C459*'Exponential Item Growth'!$B$21</f>
        <v>244755.2</v>
      </c>
      <c r="G459" s="12">
        <f>'Exponential Item Growth'!$B$22*C459</f>
        <v>3671328</v>
      </c>
      <c r="H459" s="12">
        <f>'Exponential Item Growth'!$B$23*C459</f>
        <v>48951040</v>
      </c>
    </row>
    <row r="460" ht="15.75" customHeight="1">
      <c r="A460" s="2">
        <v>459.0</v>
      </c>
      <c r="B460" s="11">
        <f>'Exponential Item Growth'!$B$5*'Exponential Item Growth'!$B$6^A460</f>
        <v>114760717421247</v>
      </c>
      <c r="C460" s="12">
        <f t="shared" si="1"/>
        <v>49057.92</v>
      </c>
      <c r="D460" s="2">
        <f>A460*'Exponential Item Growth'!$B$4</f>
        <v>766.53</v>
      </c>
      <c r="E460" s="12">
        <f>if(isna(VLOOKUP(A460,'Exponential Item Growth'!$A$10:$B$18,2,false)),E459, E459*VLOOKUP(A460,'Exponential Item Growth'!$A$10:$B$18,2,false))</f>
        <v>64</v>
      </c>
      <c r="F460" s="12">
        <f>C460*'Exponential Item Growth'!$B$21</f>
        <v>245289.6</v>
      </c>
      <c r="G460" s="12">
        <f>'Exponential Item Growth'!$B$22*C460</f>
        <v>3679344</v>
      </c>
      <c r="H460" s="12">
        <f>'Exponential Item Growth'!$B$23*C460</f>
        <v>49057920</v>
      </c>
    </row>
    <row r="461" ht="15.75" customHeight="1">
      <c r="A461" s="2">
        <v>460.0</v>
      </c>
      <c r="B461" s="11">
        <f>'Exponential Item Growth'!$B$5*'Exponential Item Growth'!$B$6^A461</f>
        <v>122793967640735</v>
      </c>
      <c r="C461" s="12">
        <f t="shared" si="1"/>
        <v>49164.8</v>
      </c>
      <c r="D461" s="2">
        <f>A461*'Exponential Item Growth'!$B$4</f>
        <v>768.2</v>
      </c>
      <c r="E461" s="12">
        <f>if(isna(VLOOKUP(A461,'Exponential Item Growth'!$A$10:$B$18,2,false)),E460, E460*VLOOKUP(A461,'Exponential Item Growth'!$A$10:$B$18,2,false))</f>
        <v>64</v>
      </c>
      <c r="F461" s="12">
        <f>C461*'Exponential Item Growth'!$B$21</f>
        <v>245824</v>
      </c>
      <c r="G461" s="12">
        <f>'Exponential Item Growth'!$B$22*C461</f>
        <v>3687360</v>
      </c>
      <c r="H461" s="12">
        <f>'Exponential Item Growth'!$B$23*C461</f>
        <v>49164800</v>
      </c>
    </row>
    <row r="462" ht="15.75" customHeight="1">
      <c r="A462" s="2">
        <v>461.0</v>
      </c>
      <c r="B462" s="11">
        <f>'Exponential Item Growth'!$B$5*'Exponential Item Growth'!$B$6^A462</f>
        <v>131389545375586</v>
      </c>
      <c r="C462" s="12">
        <f t="shared" si="1"/>
        <v>49271.68</v>
      </c>
      <c r="D462" s="2">
        <f>A462*'Exponential Item Growth'!$B$4</f>
        <v>769.87</v>
      </c>
      <c r="E462" s="12">
        <f>if(isna(VLOOKUP(A462,'Exponential Item Growth'!$A$10:$B$18,2,false)),E461, E461*VLOOKUP(A462,'Exponential Item Growth'!$A$10:$B$18,2,false))</f>
        <v>64</v>
      </c>
      <c r="F462" s="12">
        <f>C462*'Exponential Item Growth'!$B$21</f>
        <v>246358.4</v>
      </c>
      <c r="G462" s="12">
        <f>'Exponential Item Growth'!$B$22*C462</f>
        <v>3695376</v>
      </c>
      <c r="H462" s="12">
        <f>'Exponential Item Growth'!$B$23*C462</f>
        <v>49271680</v>
      </c>
    </row>
    <row r="463" ht="15.75" customHeight="1">
      <c r="A463" s="2">
        <v>462.0</v>
      </c>
      <c r="B463" s="11">
        <f>'Exponential Item Growth'!$B$5*'Exponential Item Growth'!$B$6^A463</f>
        <v>140586813551877</v>
      </c>
      <c r="C463" s="12">
        <f t="shared" si="1"/>
        <v>49378.56</v>
      </c>
      <c r="D463" s="2">
        <f>A463*'Exponential Item Growth'!$B$4</f>
        <v>771.54</v>
      </c>
      <c r="E463" s="12">
        <f>if(isna(VLOOKUP(A463,'Exponential Item Growth'!$A$10:$B$18,2,false)),E462, E462*VLOOKUP(A463,'Exponential Item Growth'!$A$10:$B$18,2,false))</f>
        <v>64</v>
      </c>
      <c r="F463" s="12">
        <f>C463*'Exponential Item Growth'!$B$21</f>
        <v>246892.8</v>
      </c>
      <c r="G463" s="12">
        <f>'Exponential Item Growth'!$B$22*C463</f>
        <v>3703392</v>
      </c>
      <c r="H463" s="12">
        <f>'Exponential Item Growth'!$B$23*C463</f>
        <v>49378560</v>
      </c>
    </row>
    <row r="464" ht="15.75" customHeight="1">
      <c r="A464" s="2">
        <v>463.0</v>
      </c>
      <c r="B464" s="11">
        <f>'Exponential Item Growth'!$B$5*'Exponential Item Growth'!$B$6^A464</f>
        <v>150427890500509</v>
      </c>
      <c r="C464" s="12">
        <f t="shared" si="1"/>
        <v>49485.44</v>
      </c>
      <c r="D464" s="2">
        <f>A464*'Exponential Item Growth'!$B$4</f>
        <v>773.21</v>
      </c>
      <c r="E464" s="12">
        <f>if(isna(VLOOKUP(A464,'Exponential Item Growth'!$A$10:$B$18,2,false)),E463, E463*VLOOKUP(A464,'Exponential Item Growth'!$A$10:$B$18,2,false))</f>
        <v>64</v>
      </c>
      <c r="F464" s="12">
        <f>C464*'Exponential Item Growth'!$B$21</f>
        <v>247427.2</v>
      </c>
      <c r="G464" s="12">
        <f>'Exponential Item Growth'!$B$22*C464</f>
        <v>3711408</v>
      </c>
      <c r="H464" s="12">
        <f>'Exponential Item Growth'!$B$23*C464</f>
        <v>49485440</v>
      </c>
    </row>
    <row r="465" ht="15.75" customHeight="1">
      <c r="A465" s="2">
        <v>464.0</v>
      </c>
      <c r="B465" s="11">
        <f>'Exponential Item Growth'!$B$5*'Exponential Item Growth'!$B$6^A465</f>
        <v>160957842835544</v>
      </c>
      <c r="C465" s="12">
        <f t="shared" si="1"/>
        <v>49592.32</v>
      </c>
      <c r="D465" s="2">
        <f>A465*'Exponential Item Growth'!$B$4</f>
        <v>774.88</v>
      </c>
      <c r="E465" s="12">
        <f>if(isna(VLOOKUP(A465,'Exponential Item Growth'!$A$10:$B$18,2,false)),E464, E464*VLOOKUP(A465,'Exponential Item Growth'!$A$10:$B$18,2,false))</f>
        <v>64</v>
      </c>
      <c r="F465" s="12">
        <f>C465*'Exponential Item Growth'!$B$21</f>
        <v>247961.6</v>
      </c>
      <c r="G465" s="12">
        <f>'Exponential Item Growth'!$B$22*C465</f>
        <v>3719424</v>
      </c>
      <c r="H465" s="12">
        <f>'Exponential Item Growth'!$B$23*C465</f>
        <v>49592320</v>
      </c>
    </row>
    <row r="466" ht="15.75" customHeight="1">
      <c r="A466" s="2">
        <v>465.0</v>
      </c>
      <c r="B466" s="11">
        <f>'Exponential Item Growth'!$B$5*'Exponential Item Growth'!$B$6^A466</f>
        <v>172224891834032</v>
      </c>
      <c r="C466" s="12">
        <f t="shared" si="1"/>
        <v>49699.2</v>
      </c>
      <c r="D466" s="2">
        <f>A466*'Exponential Item Growth'!$B$4</f>
        <v>776.55</v>
      </c>
      <c r="E466" s="12">
        <f>if(isna(VLOOKUP(A466,'Exponential Item Growth'!$A$10:$B$18,2,false)),E465, E465*VLOOKUP(A466,'Exponential Item Growth'!$A$10:$B$18,2,false))</f>
        <v>64</v>
      </c>
      <c r="F466" s="12">
        <f>C466*'Exponential Item Growth'!$B$21</f>
        <v>248496</v>
      </c>
      <c r="G466" s="12">
        <f>'Exponential Item Growth'!$B$22*C466</f>
        <v>3727440</v>
      </c>
      <c r="H466" s="12">
        <f>'Exponential Item Growth'!$B$23*C466</f>
        <v>49699200</v>
      </c>
    </row>
    <row r="467" ht="15.75" customHeight="1">
      <c r="A467" s="2">
        <v>466.0</v>
      </c>
      <c r="B467" s="11">
        <f>'Exponential Item Growth'!$B$5*'Exponential Item Growth'!$B$6^A467</f>
        <v>184280634262415</v>
      </c>
      <c r="C467" s="12">
        <f t="shared" si="1"/>
        <v>49806.08</v>
      </c>
      <c r="D467" s="2">
        <f>A467*'Exponential Item Growth'!$B$4</f>
        <v>778.22</v>
      </c>
      <c r="E467" s="12">
        <f>if(isna(VLOOKUP(A467,'Exponential Item Growth'!$A$10:$B$18,2,false)),E466, E466*VLOOKUP(A467,'Exponential Item Growth'!$A$10:$B$18,2,false))</f>
        <v>64</v>
      </c>
      <c r="F467" s="12">
        <f>C467*'Exponential Item Growth'!$B$21</f>
        <v>249030.4</v>
      </c>
      <c r="G467" s="12">
        <f>'Exponential Item Growth'!$B$22*C467</f>
        <v>3735456</v>
      </c>
      <c r="H467" s="12">
        <f>'Exponential Item Growth'!$B$23*C467</f>
        <v>49806080</v>
      </c>
    </row>
    <row r="468" ht="15.75" customHeight="1">
      <c r="A468" s="2">
        <v>467.0</v>
      </c>
      <c r="B468" s="11">
        <f>'Exponential Item Growth'!$B$5*'Exponential Item Growth'!$B$6^A468</f>
        <v>197180278660784</v>
      </c>
      <c r="C468" s="12">
        <f t="shared" si="1"/>
        <v>49912.96</v>
      </c>
      <c r="D468" s="2">
        <f>A468*'Exponential Item Growth'!$B$4</f>
        <v>779.89</v>
      </c>
      <c r="E468" s="12">
        <f>if(isna(VLOOKUP(A468,'Exponential Item Growth'!$A$10:$B$18,2,false)),E467, E467*VLOOKUP(A468,'Exponential Item Growth'!$A$10:$B$18,2,false))</f>
        <v>64</v>
      </c>
      <c r="F468" s="12">
        <f>C468*'Exponential Item Growth'!$B$21</f>
        <v>249564.8</v>
      </c>
      <c r="G468" s="12">
        <f>'Exponential Item Growth'!$B$22*C468</f>
        <v>3743472</v>
      </c>
      <c r="H468" s="12">
        <f>'Exponential Item Growth'!$B$23*C468</f>
        <v>49912960</v>
      </c>
    </row>
    <row r="469" ht="15.75" customHeight="1">
      <c r="A469" s="2">
        <v>468.0</v>
      </c>
      <c r="B469" s="11">
        <f>'Exponential Item Growth'!$B$5*'Exponential Item Growth'!$B$6^A469</f>
        <v>210982898167038</v>
      </c>
      <c r="C469" s="12">
        <f t="shared" si="1"/>
        <v>50019.84</v>
      </c>
      <c r="D469" s="2">
        <f>A469*'Exponential Item Growth'!$B$4</f>
        <v>781.56</v>
      </c>
      <c r="E469" s="12">
        <f>if(isna(VLOOKUP(A469,'Exponential Item Growth'!$A$10:$B$18,2,false)),E468, E468*VLOOKUP(A469,'Exponential Item Growth'!$A$10:$B$18,2,false))</f>
        <v>64</v>
      </c>
      <c r="F469" s="12">
        <f>C469*'Exponential Item Growth'!$B$21</f>
        <v>250099.2</v>
      </c>
      <c r="G469" s="12">
        <f>'Exponential Item Growth'!$B$22*C469</f>
        <v>3751488</v>
      </c>
      <c r="H469" s="12">
        <f>'Exponential Item Growth'!$B$23*C469</f>
        <v>50019840</v>
      </c>
    </row>
    <row r="470" ht="15.75" customHeight="1">
      <c r="A470" s="2">
        <v>469.0</v>
      </c>
      <c r="B470" s="11">
        <f>'Exponential Item Growth'!$B$5*'Exponential Item Growth'!$B$6^A470</f>
        <v>225751701038731</v>
      </c>
      <c r="C470" s="12">
        <f t="shared" si="1"/>
        <v>50126.72</v>
      </c>
      <c r="D470" s="2">
        <f>A470*'Exponential Item Growth'!$B$4</f>
        <v>783.23</v>
      </c>
      <c r="E470" s="12">
        <f>if(isna(VLOOKUP(A470,'Exponential Item Growth'!$A$10:$B$18,2,false)),E469, E469*VLOOKUP(A470,'Exponential Item Growth'!$A$10:$B$18,2,false))</f>
        <v>64</v>
      </c>
      <c r="F470" s="12">
        <f>C470*'Exponential Item Growth'!$B$21</f>
        <v>250633.6</v>
      </c>
      <c r="G470" s="12">
        <f>'Exponential Item Growth'!$B$22*C470</f>
        <v>3759504</v>
      </c>
      <c r="H470" s="12">
        <f>'Exponential Item Growth'!$B$23*C470</f>
        <v>50126720</v>
      </c>
    </row>
    <row r="471" ht="15.75" customHeight="1">
      <c r="A471" s="2">
        <v>470.0</v>
      </c>
      <c r="B471" s="11">
        <f>'Exponential Item Growth'!$B$5*'Exponential Item Growth'!$B$6^A471</f>
        <v>241554320111442</v>
      </c>
      <c r="C471" s="12">
        <f t="shared" si="1"/>
        <v>50233.6</v>
      </c>
      <c r="D471" s="2">
        <f>A471*'Exponential Item Growth'!$B$4</f>
        <v>784.9</v>
      </c>
      <c r="E471" s="12">
        <f>if(isna(VLOOKUP(A471,'Exponential Item Growth'!$A$10:$B$18,2,false)),E470, E470*VLOOKUP(A471,'Exponential Item Growth'!$A$10:$B$18,2,false))</f>
        <v>64</v>
      </c>
      <c r="F471" s="12">
        <f>C471*'Exponential Item Growth'!$B$21</f>
        <v>251168</v>
      </c>
      <c r="G471" s="12">
        <f>'Exponential Item Growth'!$B$22*C471</f>
        <v>3767520</v>
      </c>
      <c r="H471" s="12">
        <f>'Exponential Item Growth'!$B$23*C471</f>
        <v>50233600</v>
      </c>
    </row>
    <row r="472" ht="15.75" customHeight="1">
      <c r="A472" s="2">
        <v>471.0</v>
      </c>
      <c r="B472" s="11">
        <f>'Exponential Item Growth'!$B$5*'Exponential Item Growth'!$B$6^A472</f>
        <v>258463122519243</v>
      </c>
      <c r="C472" s="12">
        <f t="shared" si="1"/>
        <v>50340.48</v>
      </c>
      <c r="D472" s="2">
        <f>A472*'Exponential Item Growth'!$B$4</f>
        <v>786.57</v>
      </c>
      <c r="E472" s="12">
        <f>if(isna(VLOOKUP(A472,'Exponential Item Growth'!$A$10:$B$18,2,false)),E471, E471*VLOOKUP(A472,'Exponential Item Growth'!$A$10:$B$18,2,false))</f>
        <v>64</v>
      </c>
      <c r="F472" s="12">
        <f>C472*'Exponential Item Growth'!$B$21</f>
        <v>251702.4</v>
      </c>
      <c r="G472" s="12">
        <f>'Exponential Item Growth'!$B$22*C472</f>
        <v>3775536</v>
      </c>
      <c r="H472" s="12">
        <f>'Exponential Item Growth'!$B$23*C472</f>
        <v>50340480</v>
      </c>
    </row>
    <row r="473" ht="15.75" customHeight="1">
      <c r="A473" s="2">
        <v>472.0</v>
      </c>
      <c r="B473" s="11">
        <f>'Exponential Item Growth'!$B$5*'Exponential Item Growth'!$B$6^A473</f>
        <v>276555541095590</v>
      </c>
      <c r="C473" s="12">
        <f t="shared" si="1"/>
        <v>50447.36</v>
      </c>
      <c r="D473" s="2">
        <f>A473*'Exponential Item Growth'!$B$4</f>
        <v>788.24</v>
      </c>
      <c r="E473" s="12">
        <f>if(isna(VLOOKUP(A473,'Exponential Item Growth'!$A$10:$B$18,2,false)),E472, E472*VLOOKUP(A473,'Exponential Item Growth'!$A$10:$B$18,2,false))</f>
        <v>64</v>
      </c>
      <c r="F473" s="12">
        <f>C473*'Exponential Item Growth'!$B$21</f>
        <v>252236.8</v>
      </c>
      <c r="G473" s="12">
        <f>'Exponential Item Growth'!$B$22*C473</f>
        <v>3783552</v>
      </c>
      <c r="H473" s="12">
        <f>'Exponential Item Growth'!$B$23*C473</f>
        <v>50447360</v>
      </c>
    </row>
    <row r="474" ht="15.75" customHeight="1">
      <c r="A474" s="2">
        <v>473.0</v>
      </c>
      <c r="B474" s="11">
        <f>'Exponential Item Growth'!$B$5*'Exponential Item Growth'!$B$6^A474</f>
        <v>295914428972282</v>
      </c>
      <c r="C474" s="12">
        <f t="shared" si="1"/>
        <v>50554.24</v>
      </c>
      <c r="D474" s="2">
        <f>A474*'Exponential Item Growth'!$B$4</f>
        <v>789.91</v>
      </c>
      <c r="E474" s="12">
        <f>if(isna(VLOOKUP(A474,'Exponential Item Growth'!$A$10:$B$18,2,false)),E473, E473*VLOOKUP(A474,'Exponential Item Growth'!$A$10:$B$18,2,false))</f>
        <v>64</v>
      </c>
      <c r="F474" s="12">
        <f>C474*'Exponential Item Growth'!$B$21</f>
        <v>252771.2</v>
      </c>
      <c r="G474" s="12">
        <f>'Exponential Item Growth'!$B$22*C474</f>
        <v>3791568</v>
      </c>
      <c r="H474" s="12">
        <f>'Exponential Item Growth'!$B$23*C474</f>
        <v>50554240</v>
      </c>
    </row>
    <row r="475" ht="15.75" customHeight="1">
      <c r="A475" s="2">
        <v>474.0</v>
      </c>
      <c r="B475" s="11">
        <f>'Exponential Item Growth'!$B$5*'Exponential Item Growth'!$B$6^A475</f>
        <v>316628439000341</v>
      </c>
      <c r="C475" s="12">
        <f t="shared" si="1"/>
        <v>50661.12</v>
      </c>
      <c r="D475" s="2">
        <f>A475*'Exponential Item Growth'!$B$4</f>
        <v>791.58</v>
      </c>
      <c r="E475" s="12">
        <f>if(isna(VLOOKUP(A475,'Exponential Item Growth'!$A$10:$B$18,2,false)),E474, E474*VLOOKUP(A475,'Exponential Item Growth'!$A$10:$B$18,2,false))</f>
        <v>64</v>
      </c>
      <c r="F475" s="12">
        <f>C475*'Exponential Item Growth'!$B$21</f>
        <v>253305.6</v>
      </c>
      <c r="G475" s="12">
        <f>'Exponential Item Growth'!$B$22*C475</f>
        <v>3799584</v>
      </c>
      <c r="H475" s="12">
        <f>'Exponential Item Growth'!$B$23*C475</f>
        <v>50661120</v>
      </c>
    </row>
    <row r="476" ht="15.75" customHeight="1">
      <c r="A476" s="2">
        <v>475.0</v>
      </c>
      <c r="B476" s="11">
        <f>'Exponential Item Growth'!$B$5*'Exponential Item Growth'!$B$6^A476</f>
        <v>338792429730365</v>
      </c>
      <c r="C476" s="12">
        <f t="shared" si="1"/>
        <v>50768</v>
      </c>
      <c r="D476" s="2">
        <f>A476*'Exponential Item Growth'!$B$4</f>
        <v>793.25</v>
      </c>
      <c r="E476" s="12">
        <f>if(isna(VLOOKUP(A476,'Exponential Item Growth'!$A$10:$B$18,2,false)),E475, E475*VLOOKUP(A476,'Exponential Item Growth'!$A$10:$B$18,2,false))</f>
        <v>64</v>
      </c>
      <c r="F476" s="12">
        <f>C476*'Exponential Item Growth'!$B$21</f>
        <v>253840</v>
      </c>
      <c r="G476" s="12">
        <f>'Exponential Item Growth'!$B$22*C476</f>
        <v>3807600</v>
      </c>
      <c r="H476" s="12">
        <f>'Exponential Item Growth'!$B$23*C476</f>
        <v>50768000</v>
      </c>
    </row>
    <row r="477" ht="15.75" customHeight="1">
      <c r="A477" s="2">
        <v>476.0</v>
      </c>
      <c r="B477" s="11">
        <f>'Exponential Item Growth'!$B$5*'Exponential Item Growth'!$B$6^A477</f>
        <v>362507899811491</v>
      </c>
      <c r="C477" s="12">
        <f t="shared" si="1"/>
        <v>50874.88</v>
      </c>
      <c r="D477" s="2">
        <f>A477*'Exponential Item Growth'!$B$4</f>
        <v>794.92</v>
      </c>
      <c r="E477" s="12">
        <f>if(isna(VLOOKUP(A477,'Exponential Item Growth'!$A$10:$B$18,2,false)),E476, E476*VLOOKUP(A477,'Exponential Item Growth'!$A$10:$B$18,2,false))</f>
        <v>64</v>
      </c>
      <c r="F477" s="12">
        <f>C477*'Exponential Item Growth'!$B$21</f>
        <v>254374.4</v>
      </c>
      <c r="G477" s="12">
        <f>'Exponential Item Growth'!$B$22*C477</f>
        <v>3815616</v>
      </c>
      <c r="H477" s="12">
        <f>'Exponential Item Growth'!$B$23*C477</f>
        <v>50874880</v>
      </c>
    </row>
    <row r="478" ht="15.75" customHeight="1">
      <c r="A478" s="2">
        <v>477.0</v>
      </c>
      <c r="B478" s="11">
        <f>'Exponential Item Growth'!$B$5*'Exponential Item Growth'!$B$6^A478</f>
        <v>387883452798295</v>
      </c>
      <c r="C478" s="12">
        <f t="shared" si="1"/>
        <v>50981.76</v>
      </c>
      <c r="D478" s="2">
        <f>A478*'Exponential Item Growth'!$B$4</f>
        <v>796.59</v>
      </c>
      <c r="E478" s="12">
        <f>if(isna(VLOOKUP(A478,'Exponential Item Growth'!$A$10:$B$18,2,false)),E477, E477*VLOOKUP(A478,'Exponential Item Growth'!$A$10:$B$18,2,false))</f>
        <v>64</v>
      </c>
      <c r="F478" s="12">
        <f>C478*'Exponential Item Growth'!$B$21</f>
        <v>254908.8</v>
      </c>
      <c r="G478" s="12">
        <f>'Exponential Item Growth'!$B$22*C478</f>
        <v>3823632</v>
      </c>
      <c r="H478" s="12">
        <f>'Exponential Item Growth'!$B$23*C478</f>
        <v>50981760</v>
      </c>
    </row>
    <row r="479" ht="15.75" customHeight="1">
      <c r="A479" s="2">
        <v>478.0</v>
      </c>
      <c r="B479" s="11">
        <f>'Exponential Item Growth'!$B$5*'Exponential Item Growth'!$B$6^A479</f>
        <v>415035294494176</v>
      </c>
      <c r="C479" s="12">
        <f t="shared" si="1"/>
        <v>51088.64</v>
      </c>
      <c r="D479" s="2">
        <f>A479*'Exponential Item Growth'!$B$4</f>
        <v>798.26</v>
      </c>
      <c r="E479" s="12">
        <f>if(isna(VLOOKUP(A479,'Exponential Item Growth'!$A$10:$B$18,2,false)),E478, E478*VLOOKUP(A479,'Exponential Item Growth'!$A$10:$B$18,2,false))</f>
        <v>64</v>
      </c>
      <c r="F479" s="12">
        <f>C479*'Exponential Item Growth'!$B$21</f>
        <v>255443.2</v>
      </c>
      <c r="G479" s="12">
        <f>'Exponential Item Growth'!$B$22*C479</f>
        <v>3831648</v>
      </c>
      <c r="H479" s="12">
        <f>'Exponential Item Growth'!$B$23*C479</f>
        <v>51088640</v>
      </c>
    </row>
    <row r="480" ht="15.75" customHeight="1">
      <c r="A480" s="2">
        <v>479.0</v>
      </c>
      <c r="B480" s="11">
        <f>'Exponential Item Growth'!$B$5*'Exponential Item Growth'!$B$6^A480</f>
        <v>444087765108768</v>
      </c>
      <c r="C480" s="12">
        <f t="shared" si="1"/>
        <v>51195.52</v>
      </c>
      <c r="D480" s="2">
        <f>A480*'Exponential Item Growth'!$B$4</f>
        <v>799.93</v>
      </c>
      <c r="E480" s="12">
        <f>if(isna(VLOOKUP(A480,'Exponential Item Growth'!$A$10:$B$18,2,false)),E479, E479*VLOOKUP(A480,'Exponential Item Growth'!$A$10:$B$18,2,false))</f>
        <v>64</v>
      </c>
      <c r="F480" s="12">
        <f>C480*'Exponential Item Growth'!$B$21</f>
        <v>255977.6</v>
      </c>
      <c r="G480" s="12">
        <f>'Exponential Item Growth'!$B$22*C480</f>
        <v>3839664</v>
      </c>
      <c r="H480" s="12">
        <f>'Exponential Item Growth'!$B$23*C480</f>
        <v>51195520</v>
      </c>
    </row>
    <row r="481" ht="15.75" customHeight="1">
      <c r="A481" s="2">
        <v>480.0</v>
      </c>
      <c r="B481" s="11">
        <f>'Exponential Item Growth'!$B$5*'Exponential Item Growth'!$B$6^A481</f>
        <v>475173908666382</v>
      </c>
      <c r="C481" s="12">
        <f t="shared" si="1"/>
        <v>51302.4</v>
      </c>
      <c r="D481" s="2">
        <f>A481*'Exponential Item Growth'!$B$4</f>
        <v>801.6</v>
      </c>
      <c r="E481" s="12">
        <f>if(isna(VLOOKUP(A481,'Exponential Item Growth'!$A$10:$B$18,2,false)),E480, E480*VLOOKUP(A481,'Exponential Item Growth'!$A$10:$B$18,2,false))</f>
        <v>64</v>
      </c>
      <c r="F481" s="12">
        <f>C481*'Exponential Item Growth'!$B$21</f>
        <v>256512</v>
      </c>
      <c r="G481" s="12">
        <f>'Exponential Item Growth'!$B$22*C481</f>
        <v>3847680</v>
      </c>
      <c r="H481" s="12">
        <f>'Exponential Item Growth'!$B$23*C481</f>
        <v>51302400</v>
      </c>
    </row>
    <row r="482" ht="15.75" customHeight="1">
      <c r="A482" s="2">
        <v>481.0</v>
      </c>
      <c r="B482" s="11">
        <f>'Exponential Item Growth'!$B$5*'Exponential Item Growth'!$B$6^A482</f>
        <v>508436082273029</v>
      </c>
      <c r="C482" s="12">
        <f t="shared" si="1"/>
        <v>51409.28</v>
      </c>
      <c r="D482" s="2">
        <f>A482*'Exponential Item Growth'!$B$4</f>
        <v>803.27</v>
      </c>
      <c r="E482" s="12">
        <f>if(isna(VLOOKUP(A482,'Exponential Item Growth'!$A$10:$B$18,2,false)),E481, E481*VLOOKUP(A482,'Exponential Item Growth'!$A$10:$B$18,2,false))</f>
        <v>64</v>
      </c>
      <c r="F482" s="12">
        <f>C482*'Exponential Item Growth'!$B$21</f>
        <v>257046.4</v>
      </c>
      <c r="G482" s="12">
        <f>'Exponential Item Growth'!$B$22*C482</f>
        <v>3855696</v>
      </c>
      <c r="H482" s="12">
        <f>'Exponential Item Growth'!$B$23*C482</f>
        <v>51409280</v>
      </c>
    </row>
    <row r="483" ht="15.75" customHeight="1">
      <c r="A483" s="2">
        <v>482.0</v>
      </c>
      <c r="B483" s="11">
        <f>'Exponential Item Growth'!$B$5*'Exponential Item Growth'!$B$6^A483</f>
        <v>544026608032141</v>
      </c>
      <c r="C483" s="12">
        <f t="shared" si="1"/>
        <v>51516.16</v>
      </c>
      <c r="D483" s="2">
        <f>A483*'Exponential Item Growth'!$B$4</f>
        <v>804.94</v>
      </c>
      <c r="E483" s="12">
        <f>if(isna(VLOOKUP(A483,'Exponential Item Growth'!$A$10:$B$18,2,false)),E482, E482*VLOOKUP(A483,'Exponential Item Growth'!$A$10:$B$18,2,false))</f>
        <v>64</v>
      </c>
      <c r="F483" s="12">
        <f>C483*'Exponential Item Growth'!$B$21</f>
        <v>257580.8</v>
      </c>
      <c r="G483" s="12">
        <f>'Exponential Item Growth'!$B$22*C483</f>
        <v>3863712</v>
      </c>
      <c r="H483" s="12">
        <f>'Exponential Item Growth'!$B$23*C483</f>
        <v>51516160</v>
      </c>
    </row>
    <row r="484" ht="15.75" customHeight="1">
      <c r="A484" s="2">
        <v>483.0</v>
      </c>
      <c r="B484" s="11">
        <f>'Exponential Item Growth'!$B$5*'Exponential Item Growth'!$B$6^A484</f>
        <v>582108470594391</v>
      </c>
      <c r="C484" s="12">
        <f t="shared" si="1"/>
        <v>51623.04</v>
      </c>
      <c r="D484" s="2">
        <f>A484*'Exponential Item Growth'!$B$4</f>
        <v>806.61</v>
      </c>
      <c r="E484" s="12">
        <f>if(isna(VLOOKUP(A484,'Exponential Item Growth'!$A$10:$B$18,2,false)),E483, E483*VLOOKUP(A484,'Exponential Item Growth'!$A$10:$B$18,2,false))</f>
        <v>64</v>
      </c>
      <c r="F484" s="12">
        <f>C484*'Exponential Item Growth'!$B$21</f>
        <v>258115.2</v>
      </c>
      <c r="G484" s="12">
        <f>'Exponential Item Growth'!$B$22*C484</f>
        <v>3871728</v>
      </c>
      <c r="H484" s="12">
        <f>'Exponential Item Growth'!$B$23*C484</f>
        <v>51623040</v>
      </c>
    </row>
    <row r="485" ht="15.75" customHeight="1">
      <c r="A485" s="2">
        <v>484.0</v>
      </c>
      <c r="B485" s="11">
        <f>'Exponential Item Growth'!$B$5*'Exponential Item Growth'!$B$6^A485</f>
        <v>622856063535998</v>
      </c>
      <c r="C485" s="12">
        <f t="shared" si="1"/>
        <v>51729.92</v>
      </c>
      <c r="D485" s="2">
        <f>A485*'Exponential Item Growth'!$B$4</f>
        <v>808.28</v>
      </c>
      <c r="E485" s="12">
        <f>if(isna(VLOOKUP(A485,'Exponential Item Growth'!$A$10:$B$18,2,false)),E484, E484*VLOOKUP(A485,'Exponential Item Growth'!$A$10:$B$18,2,false))</f>
        <v>64</v>
      </c>
      <c r="F485" s="12">
        <f>C485*'Exponential Item Growth'!$B$21</f>
        <v>258649.6</v>
      </c>
      <c r="G485" s="12">
        <f>'Exponential Item Growth'!$B$22*C485</f>
        <v>3879744</v>
      </c>
      <c r="H485" s="12">
        <f>'Exponential Item Growth'!$B$23*C485</f>
        <v>51729920</v>
      </c>
    </row>
    <row r="486" ht="15.75" customHeight="1">
      <c r="A486" s="2">
        <v>485.0</v>
      </c>
      <c r="B486" s="11">
        <f>'Exponential Item Growth'!$B$5*'Exponential Item Growth'!$B$6^A486</f>
        <v>666455987983518</v>
      </c>
      <c r="C486" s="12">
        <f t="shared" si="1"/>
        <v>51836.8</v>
      </c>
      <c r="D486" s="2">
        <f>A486*'Exponential Item Growth'!$B$4</f>
        <v>809.95</v>
      </c>
      <c r="E486" s="12">
        <f>if(isna(VLOOKUP(A486,'Exponential Item Growth'!$A$10:$B$18,2,false)),E485, E485*VLOOKUP(A486,'Exponential Item Growth'!$A$10:$B$18,2,false))</f>
        <v>64</v>
      </c>
      <c r="F486" s="12">
        <f>C486*'Exponential Item Growth'!$B$21</f>
        <v>259184</v>
      </c>
      <c r="G486" s="12">
        <f>'Exponential Item Growth'!$B$22*C486</f>
        <v>3887760</v>
      </c>
      <c r="H486" s="12">
        <f>'Exponential Item Growth'!$B$23*C486</f>
        <v>51836800</v>
      </c>
    </row>
    <row r="487" ht="15.75" customHeight="1">
      <c r="A487" s="2">
        <v>486.0</v>
      </c>
      <c r="B487" s="11">
        <f>'Exponential Item Growth'!$B$5*'Exponential Item Growth'!$B$6^A487</f>
        <v>713107907142365</v>
      </c>
      <c r="C487" s="12">
        <f t="shared" si="1"/>
        <v>51943.68</v>
      </c>
      <c r="D487" s="2">
        <f>A487*'Exponential Item Growth'!$B$4</f>
        <v>811.62</v>
      </c>
      <c r="E487" s="12">
        <f>if(isna(VLOOKUP(A487,'Exponential Item Growth'!$A$10:$B$18,2,false)),E486, E486*VLOOKUP(A487,'Exponential Item Growth'!$A$10:$B$18,2,false))</f>
        <v>64</v>
      </c>
      <c r="F487" s="12">
        <f>C487*'Exponential Item Growth'!$B$21</f>
        <v>259718.4</v>
      </c>
      <c r="G487" s="12">
        <f>'Exponential Item Growth'!$B$22*C487</f>
        <v>3895776</v>
      </c>
      <c r="H487" s="12">
        <f>'Exponential Item Growth'!$B$23*C487</f>
        <v>51943680</v>
      </c>
    </row>
    <row r="488" ht="15.75" customHeight="1">
      <c r="A488" s="2">
        <v>487.0</v>
      </c>
      <c r="B488" s="11">
        <f>'Exponential Item Growth'!$B$5*'Exponential Item Growth'!$B$6^A488</f>
        <v>763025460642330</v>
      </c>
      <c r="C488" s="12">
        <f t="shared" si="1"/>
        <v>52050.56</v>
      </c>
      <c r="D488" s="2">
        <f>A488*'Exponential Item Growth'!$B$4</f>
        <v>813.29</v>
      </c>
      <c r="E488" s="12">
        <f>if(isna(VLOOKUP(A488,'Exponential Item Growth'!$A$10:$B$18,2,false)),E487, E487*VLOOKUP(A488,'Exponential Item Growth'!$A$10:$B$18,2,false))</f>
        <v>64</v>
      </c>
      <c r="F488" s="12">
        <f>C488*'Exponential Item Growth'!$B$21</f>
        <v>260252.8</v>
      </c>
      <c r="G488" s="12">
        <f>'Exponential Item Growth'!$B$22*C488</f>
        <v>3903792</v>
      </c>
      <c r="H488" s="12">
        <f>'Exponential Item Growth'!$B$23*C488</f>
        <v>52050560</v>
      </c>
    </row>
    <row r="489" ht="15.75" customHeight="1">
      <c r="A489" s="2">
        <v>488.0</v>
      </c>
      <c r="B489" s="11">
        <f>'Exponential Item Growth'!$B$5*'Exponential Item Growth'!$B$6^A489</f>
        <v>816437242887293</v>
      </c>
      <c r="C489" s="12">
        <f t="shared" si="1"/>
        <v>52157.44</v>
      </c>
      <c r="D489" s="2">
        <f>A489*'Exponential Item Growth'!$B$4</f>
        <v>814.96</v>
      </c>
      <c r="E489" s="12">
        <f>if(isna(VLOOKUP(A489,'Exponential Item Growth'!$A$10:$B$18,2,false)),E488, E488*VLOOKUP(A489,'Exponential Item Growth'!$A$10:$B$18,2,false))</f>
        <v>64</v>
      </c>
      <c r="F489" s="12">
        <f>C489*'Exponential Item Growth'!$B$21</f>
        <v>260787.2</v>
      </c>
      <c r="G489" s="12">
        <f>'Exponential Item Growth'!$B$22*C489</f>
        <v>3911808</v>
      </c>
      <c r="H489" s="12">
        <f>'Exponential Item Growth'!$B$23*C489</f>
        <v>52157440</v>
      </c>
    </row>
    <row r="490" ht="15.75" customHeight="1">
      <c r="A490" s="2">
        <v>489.0</v>
      </c>
      <c r="B490" s="11">
        <f>'Exponential Item Growth'!$B$5*'Exponential Item Growth'!$B$6^A490</f>
        <v>873587849889404</v>
      </c>
      <c r="C490" s="12">
        <f t="shared" si="1"/>
        <v>52264.32</v>
      </c>
      <c r="D490" s="2">
        <f>A490*'Exponential Item Growth'!$B$4</f>
        <v>816.63</v>
      </c>
      <c r="E490" s="12">
        <f>if(isna(VLOOKUP(A490,'Exponential Item Growth'!$A$10:$B$18,2,false)),E489, E489*VLOOKUP(A490,'Exponential Item Growth'!$A$10:$B$18,2,false))</f>
        <v>64</v>
      </c>
      <c r="F490" s="12">
        <f>C490*'Exponential Item Growth'!$B$21</f>
        <v>261321.6</v>
      </c>
      <c r="G490" s="12">
        <f>'Exponential Item Growth'!$B$22*C490</f>
        <v>3919824</v>
      </c>
      <c r="H490" s="12">
        <f>'Exponential Item Growth'!$B$23*C490</f>
        <v>52264320</v>
      </c>
    </row>
    <row r="491" ht="15.75" customHeight="1">
      <c r="A491" s="2">
        <v>490.0</v>
      </c>
      <c r="B491" s="11">
        <f>'Exponential Item Growth'!$B$5*'Exponential Item Growth'!$B$6^A491</f>
        <v>934738999381662</v>
      </c>
      <c r="C491" s="12">
        <f t="shared" si="1"/>
        <v>52371.2</v>
      </c>
      <c r="D491" s="2">
        <f>A491*'Exponential Item Growth'!$B$4</f>
        <v>818.3</v>
      </c>
      <c r="E491" s="12">
        <f>if(isna(VLOOKUP(A491,'Exponential Item Growth'!$A$10:$B$18,2,false)),E490, E490*VLOOKUP(A491,'Exponential Item Growth'!$A$10:$B$18,2,false))</f>
        <v>64</v>
      </c>
      <c r="F491" s="12">
        <f>C491*'Exponential Item Growth'!$B$21</f>
        <v>261856</v>
      </c>
      <c r="G491" s="12">
        <f>'Exponential Item Growth'!$B$22*C491</f>
        <v>3927840</v>
      </c>
      <c r="H491" s="12">
        <f>'Exponential Item Growth'!$B$23*C491</f>
        <v>52371200</v>
      </c>
    </row>
    <row r="492" ht="15.75" customHeight="1">
      <c r="A492" s="2">
        <v>491.0</v>
      </c>
      <c r="B492" s="11">
        <f>'Exponential Item Growth'!$B$5*'Exponential Item Growth'!$B$6^A492</f>
        <v>1.00017E+15</v>
      </c>
      <c r="C492" s="12">
        <f t="shared" si="1"/>
        <v>52478.08</v>
      </c>
      <c r="D492" s="2">
        <f>A492*'Exponential Item Growth'!$B$4</f>
        <v>819.97</v>
      </c>
      <c r="E492" s="12">
        <f>if(isna(VLOOKUP(A492,'Exponential Item Growth'!$A$10:$B$18,2,false)),E491, E491*VLOOKUP(A492,'Exponential Item Growth'!$A$10:$B$18,2,false))</f>
        <v>64</v>
      </c>
      <c r="F492" s="12">
        <f>C492*'Exponential Item Growth'!$B$21</f>
        <v>262390.4</v>
      </c>
      <c r="G492" s="12">
        <f>'Exponential Item Growth'!$B$22*C492</f>
        <v>3935856</v>
      </c>
      <c r="H492" s="12">
        <f>'Exponential Item Growth'!$B$23*C492</f>
        <v>52478080</v>
      </c>
    </row>
    <row r="493" ht="15.75" customHeight="1">
      <c r="A493" s="2">
        <v>492.0</v>
      </c>
      <c r="B493" s="11">
        <f>'Exponential Item Growth'!$B$5*'Exponential Item Growth'!$B$6^A493</f>
        <v>1.07018E+15</v>
      </c>
      <c r="C493" s="12">
        <f t="shared" si="1"/>
        <v>52584.96</v>
      </c>
      <c r="D493" s="2">
        <f>A493*'Exponential Item Growth'!$B$4</f>
        <v>821.64</v>
      </c>
      <c r="E493" s="12">
        <f>if(isna(VLOOKUP(A493,'Exponential Item Growth'!$A$10:$B$18,2,false)),E492, E492*VLOOKUP(A493,'Exponential Item Growth'!$A$10:$B$18,2,false))</f>
        <v>64</v>
      </c>
      <c r="F493" s="12">
        <f>C493*'Exponential Item Growth'!$B$21</f>
        <v>262924.8</v>
      </c>
      <c r="G493" s="12">
        <f>'Exponential Item Growth'!$B$22*C493</f>
        <v>3943872</v>
      </c>
      <c r="H493" s="12">
        <f>'Exponential Item Growth'!$B$23*C493</f>
        <v>52584960</v>
      </c>
    </row>
    <row r="494" ht="15.75" customHeight="1">
      <c r="A494" s="2">
        <v>493.0</v>
      </c>
      <c r="B494" s="11">
        <f>'Exponential Item Growth'!$B$5*'Exponential Item Growth'!$B$6^A494</f>
        <v>1.1451E+15</v>
      </c>
      <c r="C494" s="12">
        <f t="shared" si="1"/>
        <v>52691.84</v>
      </c>
      <c r="D494" s="2">
        <f>A494*'Exponential Item Growth'!$B$4</f>
        <v>823.31</v>
      </c>
      <c r="E494" s="12">
        <f>if(isna(VLOOKUP(A494,'Exponential Item Growth'!$A$10:$B$18,2,false)),E493, E493*VLOOKUP(A494,'Exponential Item Growth'!$A$10:$B$18,2,false))</f>
        <v>64</v>
      </c>
      <c r="F494" s="12">
        <f>C494*'Exponential Item Growth'!$B$21</f>
        <v>263459.2</v>
      </c>
      <c r="G494" s="12">
        <f>'Exponential Item Growth'!$B$22*C494</f>
        <v>3951888</v>
      </c>
      <c r="H494" s="12">
        <f>'Exponential Item Growth'!$B$23*C494</f>
        <v>52691840</v>
      </c>
    </row>
    <row r="495" ht="15.75" customHeight="1">
      <c r="A495" s="2">
        <v>494.0</v>
      </c>
      <c r="B495" s="11">
        <f>'Exponential Item Growth'!$B$5*'Exponential Item Growth'!$B$6^A495</f>
        <v>1.22525E+15</v>
      </c>
      <c r="C495" s="12">
        <f t="shared" si="1"/>
        <v>52798.72</v>
      </c>
      <c r="D495" s="2">
        <f>A495*'Exponential Item Growth'!$B$4</f>
        <v>824.98</v>
      </c>
      <c r="E495" s="12">
        <f>if(isna(VLOOKUP(A495,'Exponential Item Growth'!$A$10:$B$18,2,false)),E494, E494*VLOOKUP(A495,'Exponential Item Growth'!$A$10:$B$18,2,false))</f>
        <v>64</v>
      </c>
      <c r="F495" s="12">
        <f>C495*'Exponential Item Growth'!$B$21</f>
        <v>263993.6</v>
      </c>
      <c r="G495" s="12">
        <f>'Exponential Item Growth'!$B$22*C495</f>
        <v>3959904</v>
      </c>
      <c r="H495" s="12">
        <f>'Exponential Item Growth'!$B$23*C495</f>
        <v>52798720</v>
      </c>
    </row>
    <row r="496" ht="15.75" customHeight="1">
      <c r="A496" s="2">
        <v>495.0</v>
      </c>
      <c r="B496" s="11">
        <f>'Exponential Item Growth'!$B$5*'Exponential Item Growth'!$B$6^A496</f>
        <v>1.31102E+15</v>
      </c>
      <c r="C496" s="12">
        <f t="shared" si="1"/>
        <v>52905.6</v>
      </c>
      <c r="D496" s="2">
        <f>A496*'Exponential Item Growth'!$B$4</f>
        <v>826.65</v>
      </c>
      <c r="E496" s="12">
        <f>if(isna(VLOOKUP(A496,'Exponential Item Growth'!$A$10:$B$18,2,false)),E495, E495*VLOOKUP(A496,'Exponential Item Growth'!$A$10:$B$18,2,false))</f>
        <v>64</v>
      </c>
      <c r="F496" s="12">
        <f>C496*'Exponential Item Growth'!$B$21</f>
        <v>264528</v>
      </c>
      <c r="G496" s="12">
        <f>'Exponential Item Growth'!$B$22*C496</f>
        <v>3967920</v>
      </c>
      <c r="H496" s="12">
        <f>'Exponential Item Growth'!$B$23*C496</f>
        <v>52905600</v>
      </c>
    </row>
    <row r="497" ht="15.75" customHeight="1">
      <c r="A497" s="2">
        <v>496.0</v>
      </c>
      <c r="B497" s="11">
        <f>'Exponential Item Growth'!$B$5*'Exponential Item Growth'!$B$6^A497</f>
        <v>1.40279E+15</v>
      </c>
      <c r="C497" s="12">
        <f t="shared" si="1"/>
        <v>53012.48</v>
      </c>
      <c r="D497" s="2">
        <f>A497*'Exponential Item Growth'!$B$4</f>
        <v>828.32</v>
      </c>
      <c r="E497" s="12">
        <f>if(isna(VLOOKUP(A497,'Exponential Item Growth'!$A$10:$B$18,2,false)),E496, E496*VLOOKUP(A497,'Exponential Item Growth'!$A$10:$B$18,2,false))</f>
        <v>64</v>
      </c>
      <c r="F497" s="12">
        <f>C497*'Exponential Item Growth'!$B$21</f>
        <v>265062.4</v>
      </c>
      <c r="G497" s="12">
        <f>'Exponential Item Growth'!$B$22*C497</f>
        <v>3975936</v>
      </c>
      <c r="H497" s="12">
        <f>'Exponential Item Growth'!$B$23*C497</f>
        <v>53012480</v>
      </c>
    </row>
    <row r="498" ht="15.75" customHeight="1">
      <c r="A498" s="2">
        <v>497.0</v>
      </c>
      <c r="B498" s="11">
        <f>'Exponential Item Growth'!$B$5*'Exponential Item Growth'!$B$6^A498</f>
        <v>1.50099E+15</v>
      </c>
      <c r="C498" s="12">
        <f t="shared" si="1"/>
        <v>53119.36</v>
      </c>
      <c r="D498" s="2">
        <f>A498*'Exponential Item Growth'!$B$4</f>
        <v>829.99</v>
      </c>
      <c r="E498" s="12">
        <f>if(isna(VLOOKUP(A498,'Exponential Item Growth'!$A$10:$B$18,2,false)),E497, E497*VLOOKUP(A498,'Exponential Item Growth'!$A$10:$B$18,2,false))</f>
        <v>64</v>
      </c>
      <c r="F498" s="12">
        <f>C498*'Exponential Item Growth'!$B$21</f>
        <v>265596.8</v>
      </c>
      <c r="G498" s="12">
        <f>'Exponential Item Growth'!$B$22*C498</f>
        <v>3983952</v>
      </c>
      <c r="H498" s="12">
        <f>'Exponential Item Growth'!$B$23*C498</f>
        <v>53119360</v>
      </c>
    </row>
    <row r="499" ht="15.75" customHeight="1">
      <c r="A499" s="2">
        <v>498.0</v>
      </c>
      <c r="B499" s="11">
        <f>'Exponential Item Growth'!$B$5*'Exponential Item Growth'!$B$6^A499</f>
        <v>1.60606E+15</v>
      </c>
      <c r="C499" s="12">
        <f t="shared" si="1"/>
        <v>53226.24</v>
      </c>
      <c r="D499" s="2">
        <f>A499*'Exponential Item Growth'!$B$4</f>
        <v>831.66</v>
      </c>
      <c r="E499" s="12">
        <f>if(isna(VLOOKUP(A499,'Exponential Item Growth'!$A$10:$B$18,2,false)),E498, E498*VLOOKUP(A499,'Exponential Item Growth'!$A$10:$B$18,2,false))</f>
        <v>64</v>
      </c>
      <c r="F499" s="12">
        <f>C499*'Exponential Item Growth'!$B$21</f>
        <v>266131.2</v>
      </c>
      <c r="G499" s="12">
        <f>'Exponential Item Growth'!$B$22*C499</f>
        <v>3991968</v>
      </c>
      <c r="H499" s="12">
        <f>'Exponential Item Growth'!$B$23*C499</f>
        <v>53226240</v>
      </c>
    </row>
    <row r="500" ht="15.75" customHeight="1">
      <c r="A500" s="2">
        <v>499.0</v>
      </c>
      <c r="B500" s="11">
        <f>'Exponential Item Growth'!$B$5*'Exponential Item Growth'!$B$6^A500</f>
        <v>1.71848E+15</v>
      </c>
      <c r="C500" s="12">
        <f t="shared" si="1"/>
        <v>53333.12</v>
      </c>
      <c r="D500" s="2">
        <f>A500*'Exponential Item Growth'!$B$4</f>
        <v>833.33</v>
      </c>
      <c r="E500" s="12">
        <f>if(isna(VLOOKUP(A500,'Exponential Item Growth'!$A$10:$B$18,2,false)),E499, E499*VLOOKUP(A500,'Exponential Item Growth'!$A$10:$B$18,2,false))</f>
        <v>64</v>
      </c>
      <c r="F500" s="12">
        <f>C500*'Exponential Item Growth'!$B$21</f>
        <v>266665.6</v>
      </c>
      <c r="G500" s="12">
        <f>'Exponential Item Growth'!$B$22*C500</f>
        <v>3999984</v>
      </c>
      <c r="H500" s="12">
        <f>'Exponential Item Growth'!$B$23*C500</f>
        <v>53333120</v>
      </c>
    </row>
    <row r="501" ht="15.75" customHeight="1">
      <c r="A501" s="2">
        <v>500.0</v>
      </c>
      <c r="B501" s="11">
        <f>'Exponential Item Growth'!$B$5*'Exponential Item Growth'!$B$6^A501</f>
        <v>1.83877E+15</v>
      </c>
      <c r="C501" s="12">
        <f t="shared" si="1"/>
        <v>106880</v>
      </c>
      <c r="D501" s="2">
        <f>A501*'Exponential Item Growth'!$B$4</f>
        <v>835</v>
      </c>
      <c r="E501" s="12">
        <f>if(isna(VLOOKUP(A501,'Exponential Item Growth'!$A$10:$B$18,2,false)),E500, E500*VLOOKUP(A501,'Exponential Item Growth'!$A$10:$B$18,2,false))</f>
        <v>128</v>
      </c>
      <c r="F501" s="12">
        <f>C501*'Exponential Item Growth'!$B$21</f>
        <v>534400</v>
      </c>
      <c r="G501" s="12">
        <f>'Exponential Item Growth'!$B$22*C501</f>
        <v>8016000</v>
      </c>
      <c r="H501" s="12">
        <f>'Exponential Item Growth'!$B$23*C501</f>
        <v>106880000</v>
      </c>
    </row>
    <row r="502" ht="15.75" customHeight="1">
      <c r="A502" s="2">
        <v>501.0</v>
      </c>
      <c r="B502" s="11">
        <f>'Exponential Item Growth'!$B$5*'Exponential Item Growth'!$B$6^A502</f>
        <v>1.96749E+15</v>
      </c>
      <c r="C502" s="12">
        <f t="shared" si="1"/>
        <v>107093.76</v>
      </c>
      <c r="D502" s="2">
        <f>A502*'Exponential Item Growth'!$B$4</f>
        <v>836.67</v>
      </c>
      <c r="E502" s="12">
        <f>if(isna(VLOOKUP(A502,'Exponential Item Growth'!$A$10:$B$18,2,false)),E501, E501*VLOOKUP(A502,'Exponential Item Growth'!$A$10:$B$18,2,false))</f>
        <v>128</v>
      </c>
      <c r="F502" s="12">
        <f>C502*'Exponential Item Growth'!$B$21</f>
        <v>535468.8</v>
      </c>
      <c r="G502" s="12">
        <f>'Exponential Item Growth'!$B$22*C502</f>
        <v>8032032</v>
      </c>
      <c r="H502" s="12">
        <f>'Exponential Item Growth'!$B$23*C502</f>
        <v>107093760</v>
      </c>
    </row>
    <row r="503" ht="15.75" customHeight="1">
      <c r="A503" s="2">
        <v>502.0</v>
      </c>
      <c r="B503" s="11">
        <f>'Exponential Item Growth'!$B$5*'Exponential Item Growth'!$B$6^A503</f>
        <v>2.10521E+15</v>
      </c>
      <c r="C503" s="12">
        <f t="shared" si="1"/>
        <v>107307.52</v>
      </c>
      <c r="D503" s="2">
        <f>A503*'Exponential Item Growth'!$B$4</f>
        <v>838.34</v>
      </c>
      <c r="E503" s="12">
        <f>if(isna(VLOOKUP(A503,'Exponential Item Growth'!$A$10:$B$18,2,false)),E502, E502*VLOOKUP(A503,'Exponential Item Growth'!$A$10:$B$18,2,false))</f>
        <v>128</v>
      </c>
      <c r="F503" s="12">
        <f>C503*'Exponential Item Growth'!$B$21</f>
        <v>536537.6</v>
      </c>
      <c r="G503" s="12">
        <f>'Exponential Item Growth'!$B$22*C503</f>
        <v>8048064</v>
      </c>
      <c r="H503" s="12">
        <f>'Exponential Item Growth'!$B$23*C503</f>
        <v>107307520</v>
      </c>
    </row>
    <row r="504" ht="15.75" customHeight="1">
      <c r="A504" s="2">
        <v>503.0</v>
      </c>
      <c r="B504" s="11">
        <f>'Exponential Item Growth'!$B$5*'Exponential Item Growth'!$B$6^A504</f>
        <v>2.25258E+15</v>
      </c>
      <c r="C504" s="12">
        <f t="shared" si="1"/>
        <v>107521.28</v>
      </c>
      <c r="D504" s="2">
        <f>A504*'Exponential Item Growth'!$B$4</f>
        <v>840.01</v>
      </c>
      <c r="E504" s="12">
        <f>if(isna(VLOOKUP(A504,'Exponential Item Growth'!$A$10:$B$18,2,false)),E503, E503*VLOOKUP(A504,'Exponential Item Growth'!$A$10:$B$18,2,false))</f>
        <v>128</v>
      </c>
      <c r="F504" s="12">
        <f>C504*'Exponential Item Growth'!$B$21</f>
        <v>537606.4</v>
      </c>
      <c r="G504" s="12">
        <f>'Exponential Item Growth'!$B$22*C504</f>
        <v>8064096</v>
      </c>
      <c r="H504" s="12">
        <f>'Exponential Item Growth'!$B$23*C504</f>
        <v>107521280</v>
      </c>
    </row>
    <row r="505" ht="15.75" customHeight="1">
      <c r="A505" s="2">
        <v>504.0</v>
      </c>
      <c r="B505" s="11">
        <f>'Exponential Item Growth'!$B$5*'Exponential Item Growth'!$B$6^A505</f>
        <v>2.41026E+15</v>
      </c>
      <c r="C505" s="12">
        <f t="shared" si="1"/>
        <v>107735.04</v>
      </c>
      <c r="D505" s="2">
        <f>A505*'Exponential Item Growth'!$B$4</f>
        <v>841.68</v>
      </c>
      <c r="E505" s="12">
        <f>if(isna(VLOOKUP(A505,'Exponential Item Growth'!$A$10:$B$18,2,false)),E504, E504*VLOOKUP(A505,'Exponential Item Growth'!$A$10:$B$18,2,false))</f>
        <v>128</v>
      </c>
      <c r="F505" s="12">
        <f>C505*'Exponential Item Growth'!$B$21</f>
        <v>538675.2</v>
      </c>
      <c r="G505" s="12">
        <f>'Exponential Item Growth'!$B$22*C505</f>
        <v>8080128</v>
      </c>
      <c r="H505" s="12">
        <f>'Exponential Item Growth'!$B$23*C505</f>
        <v>107735040</v>
      </c>
    </row>
    <row r="506" ht="15.75" customHeight="1">
      <c r="A506" s="2">
        <v>505.0</v>
      </c>
      <c r="B506" s="11">
        <f>'Exponential Item Growth'!$B$5*'Exponential Item Growth'!$B$6^A506</f>
        <v>2.57897E+15</v>
      </c>
      <c r="C506" s="12">
        <f t="shared" si="1"/>
        <v>107948.8</v>
      </c>
      <c r="D506" s="2">
        <f>A506*'Exponential Item Growth'!$B$4</f>
        <v>843.35</v>
      </c>
      <c r="E506" s="12">
        <f>if(isna(VLOOKUP(A506,'Exponential Item Growth'!$A$10:$B$18,2,false)),E505, E505*VLOOKUP(A506,'Exponential Item Growth'!$A$10:$B$18,2,false))</f>
        <v>128</v>
      </c>
      <c r="F506" s="12">
        <f>C506*'Exponential Item Growth'!$B$21</f>
        <v>539744</v>
      </c>
      <c r="G506" s="12">
        <f>'Exponential Item Growth'!$B$22*C506</f>
        <v>8096160</v>
      </c>
      <c r="H506" s="12">
        <f>'Exponential Item Growth'!$B$23*C506</f>
        <v>107948800</v>
      </c>
    </row>
    <row r="507" ht="15.75" customHeight="1">
      <c r="A507" s="2">
        <v>506.0</v>
      </c>
      <c r="B507" s="11">
        <f>'Exponential Item Growth'!$B$5*'Exponential Item Growth'!$B$6^A507</f>
        <v>2.7595E+15</v>
      </c>
      <c r="C507" s="12">
        <f t="shared" si="1"/>
        <v>108162.56</v>
      </c>
      <c r="D507" s="2">
        <f>A507*'Exponential Item Growth'!$B$4</f>
        <v>845.02</v>
      </c>
      <c r="E507" s="12">
        <f>if(isna(VLOOKUP(A507,'Exponential Item Growth'!$A$10:$B$18,2,false)),E506, E506*VLOOKUP(A507,'Exponential Item Growth'!$A$10:$B$18,2,false))</f>
        <v>128</v>
      </c>
      <c r="F507" s="12">
        <f>C507*'Exponential Item Growth'!$B$21</f>
        <v>540812.8</v>
      </c>
      <c r="G507" s="12">
        <f>'Exponential Item Growth'!$B$22*C507</f>
        <v>8112192</v>
      </c>
      <c r="H507" s="12">
        <f>'Exponential Item Growth'!$B$23*C507</f>
        <v>108162560</v>
      </c>
    </row>
    <row r="508" ht="15.75" customHeight="1">
      <c r="A508" s="2">
        <v>507.0</v>
      </c>
      <c r="B508" s="11">
        <f>'Exponential Item Growth'!$B$5*'Exponential Item Growth'!$B$6^A508</f>
        <v>2.95267E+15</v>
      </c>
      <c r="C508" s="12">
        <f t="shared" si="1"/>
        <v>108376.32</v>
      </c>
      <c r="D508" s="2">
        <f>A508*'Exponential Item Growth'!$B$4</f>
        <v>846.69</v>
      </c>
      <c r="E508" s="12">
        <f>if(isna(VLOOKUP(A508,'Exponential Item Growth'!$A$10:$B$18,2,false)),E507, E507*VLOOKUP(A508,'Exponential Item Growth'!$A$10:$B$18,2,false))</f>
        <v>128</v>
      </c>
      <c r="F508" s="12">
        <f>C508*'Exponential Item Growth'!$B$21</f>
        <v>541881.6</v>
      </c>
      <c r="G508" s="12">
        <f>'Exponential Item Growth'!$B$22*C508</f>
        <v>8128224</v>
      </c>
      <c r="H508" s="12">
        <f>'Exponential Item Growth'!$B$23*C508</f>
        <v>108376320</v>
      </c>
    </row>
    <row r="509" ht="15.75" customHeight="1">
      <c r="A509" s="2">
        <v>508.0</v>
      </c>
      <c r="B509" s="11">
        <f>'Exponential Item Growth'!$B$5*'Exponential Item Growth'!$B$6^A509</f>
        <v>3.15935E+15</v>
      </c>
      <c r="C509" s="12">
        <f t="shared" si="1"/>
        <v>108590.08</v>
      </c>
      <c r="D509" s="2">
        <f>A509*'Exponential Item Growth'!$B$4</f>
        <v>848.36</v>
      </c>
      <c r="E509" s="12">
        <f>if(isna(VLOOKUP(A509,'Exponential Item Growth'!$A$10:$B$18,2,false)),E508, E508*VLOOKUP(A509,'Exponential Item Growth'!$A$10:$B$18,2,false))</f>
        <v>128</v>
      </c>
      <c r="F509" s="12">
        <f>C509*'Exponential Item Growth'!$B$21</f>
        <v>542950.4</v>
      </c>
      <c r="G509" s="12">
        <f>'Exponential Item Growth'!$B$22*C509</f>
        <v>8144256</v>
      </c>
      <c r="H509" s="12">
        <f>'Exponential Item Growth'!$B$23*C509</f>
        <v>108590080</v>
      </c>
    </row>
    <row r="510" ht="15.75" customHeight="1">
      <c r="A510" s="2">
        <v>509.0</v>
      </c>
      <c r="B510" s="11">
        <f>'Exponential Item Growth'!$B$5*'Exponential Item Growth'!$B$6^A510</f>
        <v>3.38051E+15</v>
      </c>
      <c r="C510" s="12">
        <f t="shared" si="1"/>
        <v>108803.84</v>
      </c>
      <c r="D510" s="2">
        <f>A510*'Exponential Item Growth'!$B$4</f>
        <v>850.03</v>
      </c>
      <c r="E510" s="12">
        <f>if(isna(VLOOKUP(A510,'Exponential Item Growth'!$A$10:$B$18,2,false)),E509, E509*VLOOKUP(A510,'Exponential Item Growth'!$A$10:$B$18,2,false))</f>
        <v>128</v>
      </c>
      <c r="F510" s="12">
        <f>C510*'Exponential Item Growth'!$B$21</f>
        <v>544019.2</v>
      </c>
      <c r="G510" s="12">
        <f>'Exponential Item Growth'!$B$22*C510</f>
        <v>8160288</v>
      </c>
      <c r="H510" s="12">
        <f>'Exponential Item Growth'!$B$23*C510</f>
        <v>108803840</v>
      </c>
    </row>
    <row r="511" ht="15.75" customHeight="1">
      <c r="A511" s="2">
        <v>510.0</v>
      </c>
      <c r="B511" s="11">
        <f>'Exponential Item Growth'!$B$5*'Exponential Item Growth'!$B$6^A511</f>
        <v>3.61714E+15</v>
      </c>
      <c r="C511" s="12">
        <f t="shared" si="1"/>
        <v>109017.6</v>
      </c>
      <c r="D511" s="2">
        <f>A511*'Exponential Item Growth'!$B$4</f>
        <v>851.7</v>
      </c>
      <c r="E511" s="12">
        <f>if(isna(VLOOKUP(A511,'Exponential Item Growth'!$A$10:$B$18,2,false)),E510, E510*VLOOKUP(A511,'Exponential Item Growth'!$A$10:$B$18,2,false))</f>
        <v>128</v>
      </c>
      <c r="F511" s="12">
        <f>C511*'Exponential Item Growth'!$B$21</f>
        <v>545088</v>
      </c>
      <c r="G511" s="12">
        <f>'Exponential Item Growth'!$B$22*C511</f>
        <v>8176320</v>
      </c>
      <c r="H511" s="12">
        <f>'Exponential Item Growth'!$B$23*C511</f>
        <v>109017600</v>
      </c>
    </row>
    <row r="512" ht="15.75" customHeight="1">
      <c r="A512" s="2">
        <v>511.0</v>
      </c>
      <c r="B512" s="11">
        <f>'Exponential Item Growth'!$B$5*'Exponential Item Growth'!$B$6^A512</f>
        <v>3.87035E+15</v>
      </c>
      <c r="C512" s="12">
        <f t="shared" si="1"/>
        <v>109231.36</v>
      </c>
      <c r="D512" s="2">
        <f>A512*'Exponential Item Growth'!$B$4</f>
        <v>853.37</v>
      </c>
      <c r="E512" s="12">
        <f>if(isna(VLOOKUP(A512,'Exponential Item Growth'!$A$10:$B$18,2,false)),E511, E511*VLOOKUP(A512,'Exponential Item Growth'!$A$10:$B$18,2,false))</f>
        <v>128</v>
      </c>
      <c r="F512" s="12">
        <f>C512*'Exponential Item Growth'!$B$21</f>
        <v>546156.8</v>
      </c>
      <c r="G512" s="12">
        <f>'Exponential Item Growth'!$B$22*C512</f>
        <v>8192352</v>
      </c>
      <c r="H512" s="12">
        <f>'Exponential Item Growth'!$B$23*C512</f>
        <v>109231360</v>
      </c>
    </row>
    <row r="513" ht="15.75" customHeight="1">
      <c r="A513" s="2">
        <v>512.0</v>
      </c>
      <c r="B513" s="11">
        <f>'Exponential Item Growth'!$B$5*'Exponential Item Growth'!$B$6^A513</f>
        <v>4.14127E+15</v>
      </c>
      <c r="C513" s="12">
        <f t="shared" si="1"/>
        <v>109445.12</v>
      </c>
      <c r="D513" s="2">
        <f>A513*'Exponential Item Growth'!$B$4</f>
        <v>855.04</v>
      </c>
      <c r="E513" s="12">
        <f>if(isna(VLOOKUP(A513,'Exponential Item Growth'!$A$10:$B$18,2,false)),E512, E512*VLOOKUP(A513,'Exponential Item Growth'!$A$10:$B$18,2,false))</f>
        <v>128</v>
      </c>
      <c r="F513" s="12">
        <f>C513*'Exponential Item Growth'!$B$21</f>
        <v>547225.6</v>
      </c>
      <c r="G513" s="12">
        <f>'Exponential Item Growth'!$B$22*C513</f>
        <v>8208384</v>
      </c>
      <c r="H513" s="12">
        <f>'Exponential Item Growth'!$B$23*C513</f>
        <v>109445120</v>
      </c>
    </row>
    <row r="514" ht="15.75" customHeight="1">
      <c r="A514" s="2">
        <v>513.0</v>
      </c>
      <c r="B514" s="11">
        <f>'Exponential Item Growth'!$B$5*'Exponential Item Growth'!$B$6^A514</f>
        <v>4.43116E+15</v>
      </c>
      <c r="C514" s="12">
        <f t="shared" si="1"/>
        <v>109658.88</v>
      </c>
      <c r="D514" s="2">
        <f>A514*'Exponential Item Growth'!$B$4</f>
        <v>856.71</v>
      </c>
      <c r="E514" s="12">
        <f>if(isna(VLOOKUP(A514,'Exponential Item Growth'!$A$10:$B$18,2,false)),E513, E513*VLOOKUP(A514,'Exponential Item Growth'!$A$10:$B$18,2,false))</f>
        <v>128</v>
      </c>
      <c r="F514" s="12">
        <f>C514*'Exponential Item Growth'!$B$21</f>
        <v>548294.4</v>
      </c>
      <c r="G514" s="12">
        <f>'Exponential Item Growth'!$B$22*C514</f>
        <v>8224416</v>
      </c>
      <c r="H514" s="12">
        <f>'Exponential Item Growth'!$B$23*C514</f>
        <v>109658880</v>
      </c>
    </row>
    <row r="515" ht="15.75" customHeight="1">
      <c r="A515" s="2">
        <v>514.0</v>
      </c>
      <c r="B515" s="11">
        <f>'Exponential Item Growth'!$B$5*'Exponential Item Growth'!$B$6^A515</f>
        <v>4.74134E+15</v>
      </c>
      <c r="C515" s="12">
        <f t="shared" si="1"/>
        <v>109872.64</v>
      </c>
      <c r="D515" s="2">
        <f>A515*'Exponential Item Growth'!$B$4</f>
        <v>858.38</v>
      </c>
      <c r="E515" s="12">
        <f>if(isna(VLOOKUP(A515,'Exponential Item Growth'!$A$10:$B$18,2,false)),E514, E514*VLOOKUP(A515,'Exponential Item Growth'!$A$10:$B$18,2,false))</f>
        <v>128</v>
      </c>
      <c r="F515" s="12">
        <f>C515*'Exponential Item Growth'!$B$21</f>
        <v>549363.2</v>
      </c>
      <c r="G515" s="12">
        <f>'Exponential Item Growth'!$B$22*C515</f>
        <v>8240448</v>
      </c>
      <c r="H515" s="12">
        <f>'Exponential Item Growth'!$B$23*C515</f>
        <v>109872640</v>
      </c>
    </row>
    <row r="516" ht="15.75" customHeight="1">
      <c r="A516" s="2">
        <v>515.0</v>
      </c>
      <c r="B516" s="11">
        <f>'Exponential Item Growth'!$B$5*'Exponential Item Growth'!$B$6^A516</f>
        <v>5.07323E+15</v>
      </c>
      <c r="C516" s="12">
        <f t="shared" si="1"/>
        <v>110086.4</v>
      </c>
      <c r="D516" s="2">
        <f>A516*'Exponential Item Growth'!$B$4</f>
        <v>860.05</v>
      </c>
      <c r="E516" s="12">
        <f>if(isna(VLOOKUP(A516,'Exponential Item Growth'!$A$10:$B$18,2,false)),E515, E515*VLOOKUP(A516,'Exponential Item Growth'!$A$10:$B$18,2,false))</f>
        <v>128</v>
      </c>
      <c r="F516" s="12">
        <f>C516*'Exponential Item Growth'!$B$21</f>
        <v>550432</v>
      </c>
      <c r="G516" s="12">
        <f>'Exponential Item Growth'!$B$22*C516</f>
        <v>8256480</v>
      </c>
      <c r="H516" s="12">
        <f>'Exponential Item Growth'!$B$23*C516</f>
        <v>110086400</v>
      </c>
    </row>
    <row r="517" ht="15.75" customHeight="1">
      <c r="A517" s="2">
        <v>516.0</v>
      </c>
      <c r="B517" s="11">
        <f>'Exponential Item Growth'!$B$5*'Exponential Item Growth'!$B$6^A517</f>
        <v>5.42836E+15</v>
      </c>
      <c r="C517" s="12">
        <f t="shared" si="1"/>
        <v>110300.16</v>
      </c>
      <c r="D517" s="2">
        <f>A517*'Exponential Item Growth'!$B$4</f>
        <v>861.72</v>
      </c>
      <c r="E517" s="12">
        <f>if(isna(VLOOKUP(A517,'Exponential Item Growth'!$A$10:$B$18,2,false)),E516, E516*VLOOKUP(A517,'Exponential Item Growth'!$A$10:$B$18,2,false))</f>
        <v>128</v>
      </c>
      <c r="F517" s="12">
        <f>C517*'Exponential Item Growth'!$B$21</f>
        <v>551500.8</v>
      </c>
      <c r="G517" s="12">
        <f>'Exponential Item Growth'!$B$22*C517</f>
        <v>8272512</v>
      </c>
      <c r="H517" s="12">
        <f>'Exponential Item Growth'!$B$23*C517</f>
        <v>110300160</v>
      </c>
    </row>
    <row r="518" ht="15.75" customHeight="1">
      <c r="A518" s="2">
        <v>517.0</v>
      </c>
      <c r="B518" s="11">
        <f>'Exponential Item Growth'!$B$5*'Exponential Item Growth'!$B$6^A518</f>
        <v>5.80834E+15</v>
      </c>
      <c r="C518" s="12">
        <f t="shared" si="1"/>
        <v>110513.92</v>
      </c>
      <c r="D518" s="2">
        <f>A518*'Exponential Item Growth'!$B$4</f>
        <v>863.39</v>
      </c>
      <c r="E518" s="12">
        <f>if(isna(VLOOKUP(A518,'Exponential Item Growth'!$A$10:$B$18,2,false)),E517, E517*VLOOKUP(A518,'Exponential Item Growth'!$A$10:$B$18,2,false))</f>
        <v>128</v>
      </c>
      <c r="F518" s="12">
        <f>C518*'Exponential Item Growth'!$B$21</f>
        <v>552569.6</v>
      </c>
      <c r="G518" s="12">
        <f>'Exponential Item Growth'!$B$22*C518</f>
        <v>8288544</v>
      </c>
      <c r="H518" s="12">
        <f>'Exponential Item Growth'!$B$23*C518</f>
        <v>110513920</v>
      </c>
    </row>
    <row r="519" ht="15.75" customHeight="1">
      <c r="A519" s="2">
        <v>518.0</v>
      </c>
      <c r="B519" s="11">
        <f>'Exponential Item Growth'!$B$5*'Exponential Item Growth'!$B$6^A519</f>
        <v>6.21493E+15</v>
      </c>
      <c r="C519" s="12">
        <f t="shared" si="1"/>
        <v>110727.68</v>
      </c>
      <c r="D519" s="2">
        <f>A519*'Exponential Item Growth'!$B$4</f>
        <v>865.06</v>
      </c>
      <c r="E519" s="12">
        <f>if(isna(VLOOKUP(A519,'Exponential Item Growth'!$A$10:$B$18,2,false)),E518, E518*VLOOKUP(A519,'Exponential Item Growth'!$A$10:$B$18,2,false))</f>
        <v>128</v>
      </c>
      <c r="F519" s="12">
        <f>C519*'Exponential Item Growth'!$B$21</f>
        <v>553638.4</v>
      </c>
      <c r="G519" s="12">
        <f>'Exponential Item Growth'!$B$22*C519</f>
        <v>8304576</v>
      </c>
      <c r="H519" s="12">
        <f>'Exponential Item Growth'!$B$23*C519</f>
        <v>110727680</v>
      </c>
    </row>
    <row r="520" ht="15.75" customHeight="1">
      <c r="A520" s="2">
        <v>519.0</v>
      </c>
      <c r="B520" s="11">
        <f>'Exponential Item Growth'!$B$5*'Exponential Item Growth'!$B$6^A520</f>
        <v>6.64997E+15</v>
      </c>
      <c r="C520" s="12">
        <f t="shared" si="1"/>
        <v>110941.44</v>
      </c>
      <c r="D520" s="2">
        <f>A520*'Exponential Item Growth'!$B$4</f>
        <v>866.73</v>
      </c>
      <c r="E520" s="12">
        <f>if(isna(VLOOKUP(A520,'Exponential Item Growth'!$A$10:$B$18,2,false)),E519, E519*VLOOKUP(A520,'Exponential Item Growth'!$A$10:$B$18,2,false))</f>
        <v>128</v>
      </c>
      <c r="F520" s="12">
        <f>C520*'Exponential Item Growth'!$B$21</f>
        <v>554707.2</v>
      </c>
      <c r="G520" s="12">
        <f>'Exponential Item Growth'!$B$22*C520</f>
        <v>8320608</v>
      </c>
      <c r="H520" s="12">
        <f>'Exponential Item Growth'!$B$23*C520</f>
        <v>110941440</v>
      </c>
    </row>
    <row r="521" ht="15.75" customHeight="1">
      <c r="A521" s="2">
        <v>520.0</v>
      </c>
      <c r="B521" s="11">
        <f>'Exponential Item Growth'!$B$5*'Exponential Item Growth'!$B$6^A521</f>
        <v>7.11547E+15</v>
      </c>
      <c r="C521" s="12">
        <f t="shared" si="1"/>
        <v>111155.2</v>
      </c>
      <c r="D521" s="2">
        <f>A521*'Exponential Item Growth'!$B$4</f>
        <v>868.4</v>
      </c>
      <c r="E521" s="12">
        <f>if(isna(VLOOKUP(A521,'Exponential Item Growth'!$A$10:$B$18,2,false)),E520, E520*VLOOKUP(A521,'Exponential Item Growth'!$A$10:$B$18,2,false))</f>
        <v>128</v>
      </c>
      <c r="F521" s="12">
        <f>C521*'Exponential Item Growth'!$B$21</f>
        <v>555776</v>
      </c>
      <c r="G521" s="12">
        <f>'Exponential Item Growth'!$B$22*C521</f>
        <v>8336640</v>
      </c>
      <c r="H521" s="12">
        <f>'Exponential Item Growth'!$B$23*C521</f>
        <v>111155200</v>
      </c>
    </row>
    <row r="522" ht="15.75" customHeight="1">
      <c r="A522" s="2">
        <v>521.0</v>
      </c>
      <c r="B522" s="11">
        <f>'Exponential Item Growth'!$B$5*'Exponential Item Growth'!$B$6^A522</f>
        <v>7.61355E+15</v>
      </c>
      <c r="C522" s="12">
        <f t="shared" si="1"/>
        <v>111368.96</v>
      </c>
      <c r="D522" s="2">
        <f>A522*'Exponential Item Growth'!$B$4</f>
        <v>870.07</v>
      </c>
      <c r="E522" s="12">
        <f>if(isna(VLOOKUP(A522,'Exponential Item Growth'!$A$10:$B$18,2,false)),E521, E521*VLOOKUP(A522,'Exponential Item Growth'!$A$10:$B$18,2,false))</f>
        <v>128</v>
      </c>
      <c r="F522" s="12">
        <f>C522*'Exponential Item Growth'!$B$21</f>
        <v>556844.8</v>
      </c>
      <c r="G522" s="12">
        <f>'Exponential Item Growth'!$B$22*C522</f>
        <v>8352672</v>
      </c>
      <c r="H522" s="12">
        <f>'Exponential Item Growth'!$B$23*C522</f>
        <v>111368960</v>
      </c>
    </row>
    <row r="523" ht="15.75" customHeight="1">
      <c r="A523" s="2">
        <v>522.0</v>
      </c>
      <c r="B523" s="11">
        <f>'Exponential Item Growth'!$B$5*'Exponential Item Growth'!$B$6^A523</f>
        <v>8.1465E+15</v>
      </c>
      <c r="C523" s="12">
        <f t="shared" si="1"/>
        <v>111582.72</v>
      </c>
      <c r="D523" s="2">
        <f>A523*'Exponential Item Growth'!$B$4</f>
        <v>871.74</v>
      </c>
      <c r="E523" s="12">
        <f>if(isna(VLOOKUP(A523,'Exponential Item Growth'!$A$10:$B$18,2,false)),E522, E522*VLOOKUP(A523,'Exponential Item Growth'!$A$10:$B$18,2,false))</f>
        <v>128</v>
      </c>
      <c r="F523" s="12">
        <f>C523*'Exponential Item Growth'!$B$21</f>
        <v>557913.6</v>
      </c>
      <c r="G523" s="12">
        <f>'Exponential Item Growth'!$B$22*C523</f>
        <v>8368704</v>
      </c>
      <c r="H523" s="12">
        <f>'Exponential Item Growth'!$B$23*C523</f>
        <v>111582720</v>
      </c>
    </row>
    <row r="524" ht="15.75" customHeight="1">
      <c r="A524" s="2">
        <v>523.0</v>
      </c>
      <c r="B524" s="11">
        <f>'Exponential Item Growth'!$B$5*'Exponential Item Growth'!$B$6^A524</f>
        <v>8.71676E+15</v>
      </c>
      <c r="C524" s="12">
        <f t="shared" si="1"/>
        <v>111796.48</v>
      </c>
      <c r="D524" s="2">
        <f>A524*'Exponential Item Growth'!$B$4</f>
        <v>873.41</v>
      </c>
      <c r="E524" s="12">
        <f>if(isna(VLOOKUP(A524,'Exponential Item Growth'!$A$10:$B$18,2,false)),E523, E523*VLOOKUP(A524,'Exponential Item Growth'!$A$10:$B$18,2,false))</f>
        <v>128</v>
      </c>
      <c r="F524" s="12">
        <f>C524*'Exponential Item Growth'!$B$21</f>
        <v>558982.4</v>
      </c>
      <c r="G524" s="12">
        <f>'Exponential Item Growth'!$B$22*C524</f>
        <v>8384736</v>
      </c>
      <c r="H524" s="12">
        <f>'Exponential Item Growth'!$B$23*C524</f>
        <v>111796480</v>
      </c>
    </row>
    <row r="525" ht="15.75" customHeight="1">
      <c r="A525" s="2">
        <v>524.0</v>
      </c>
      <c r="B525" s="11">
        <f>'Exponential Item Growth'!$B$5*'Exponential Item Growth'!$B$6^A525</f>
        <v>9.32693E+15</v>
      </c>
      <c r="C525" s="12">
        <f t="shared" si="1"/>
        <v>112010.24</v>
      </c>
      <c r="D525" s="2">
        <f>A525*'Exponential Item Growth'!$B$4</f>
        <v>875.08</v>
      </c>
      <c r="E525" s="12">
        <f>if(isna(VLOOKUP(A525,'Exponential Item Growth'!$A$10:$B$18,2,false)),E524, E524*VLOOKUP(A525,'Exponential Item Growth'!$A$10:$B$18,2,false))</f>
        <v>128</v>
      </c>
      <c r="F525" s="12">
        <f>C525*'Exponential Item Growth'!$B$21</f>
        <v>560051.2</v>
      </c>
      <c r="G525" s="12">
        <f>'Exponential Item Growth'!$B$22*C525</f>
        <v>8400768</v>
      </c>
      <c r="H525" s="12">
        <f>'Exponential Item Growth'!$B$23*C525</f>
        <v>112010240</v>
      </c>
    </row>
    <row r="526" ht="15.75" customHeight="1">
      <c r="A526" s="2">
        <v>525.0</v>
      </c>
      <c r="B526" s="11">
        <f>'Exponential Item Growth'!$B$5*'Exponential Item Growth'!$B$6^A526</f>
        <v>9.97982E+15</v>
      </c>
      <c r="C526" s="12">
        <f t="shared" si="1"/>
        <v>112224</v>
      </c>
      <c r="D526" s="2">
        <f>A526*'Exponential Item Growth'!$B$4</f>
        <v>876.75</v>
      </c>
      <c r="E526" s="12">
        <f>if(isna(VLOOKUP(A526,'Exponential Item Growth'!$A$10:$B$18,2,false)),E525, E525*VLOOKUP(A526,'Exponential Item Growth'!$A$10:$B$18,2,false))</f>
        <v>128</v>
      </c>
      <c r="F526" s="12">
        <f>C526*'Exponential Item Growth'!$B$21</f>
        <v>561120</v>
      </c>
      <c r="G526" s="12">
        <f>'Exponential Item Growth'!$B$22*C526</f>
        <v>8416800</v>
      </c>
      <c r="H526" s="12">
        <f>'Exponential Item Growth'!$B$23*C526</f>
        <v>112224000</v>
      </c>
    </row>
    <row r="527" ht="15.75" customHeight="1">
      <c r="A527" s="2">
        <v>526.0</v>
      </c>
      <c r="B527" s="11">
        <f>'Exponential Item Growth'!$B$5*'Exponential Item Growth'!$B$6^A527</f>
        <v>1.06784E+16</v>
      </c>
      <c r="C527" s="12">
        <f t="shared" si="1"/>
        <v>112437.76</v>
      </c>
      <c r="D527" s="2">
        <f>A527*'Exponential Item Growth'!$B$4</f>
        <v>878.42</v>
      </c>
      <c r="E527" s="12">
        <f>if(isna(VLOOKUP(A527,'Exponential Item Growth'!$A$10:$B$18,2,false)),E526, E526*VLOOKUP(A527,'Exponential Item Growth'!$A$10:$B$18,2,false))</f>
        <v>128</v>
      </c>
      <c r="F527" s="12">
        <f>C527*'Exponential Item Growth'!$B$21</f>
        <v>562188.8</v>
      </c>
      <c r="G527" s="12">
        <f>'Exponential Item Growth'!$B$22*C527</f>
        <v>8432832</v>
      </c>
      <c r="H527" s="12">
        <f>'Exponential Item Growth'!$B$23*C527</f>
        <v>112437760</v>
      </c>
    </row>
    <row r="528" ht="15.75" customHeight="1">
      <c r="A528" s="2">
        <v>527.0</v>
      </c>
      <c r="B528" s="11">
        <f>'Exponential Item Growth'!$B$5*'Exponential Item Growth'!$B$6^A528</f>
        <v>1.14259E+16</v>
      </c>
      <c r="C528" s="12">
        <f t="shared" si="1"/>
        <v>112651.52</v>
      </c>
      <c r="D528" s="2">
        <f>A528*'Exponential Item Growth'!$B$4</f>
        <v>880.09</v>
      </c>
      <c r="E528" s="12">
        <f>if(isna(VLOOKUP(A528,'Exponential Item Growth'!$A$10:$B$18,2,false)),E527, E527*VLOOKUP(A528,'Exponential Item Growth'!$A$10:$B$18,2,false))</f>
        <v>128</v>
      </c>
      <c r="F528" s="12">
        <f>C528*'Exponential Item Growth'!$B$21</f>
        <v>563257.6</v>
      </c>
      <c r="G528" s="12">
        <f>'Exponential Item Growth'!$B$22*C528</f>
        <v>8448864</v>
      </c>
      <c r="H528" s="12">
        <f>'Exponential Item Growth'!$B$23*C528</f>
        <v>112651520</v>
      </c>
    </row>
    <row r="529" ht="15.75" customHeight="1">
      <c r="A529" s="2">
        <v>528.0</v>
      </c>
      <c r="B529" s="11">
        <f>'Exponential Item Growth'!$B$5*'Exponential Item Growth'!$B$6^A529</f>
        <v>1.22257E+16</v>
      </c>
      <c r="C529" s="12">
        <f t="shared" si="1"/>
        <v>112865.28</v>
      </c>
      <c r="D529" s="2">
        <f>A529*'Exponential Item Growth'!$B$4</f>
        <v>881.76</v>
      </c>
      <c r="E529" s="12">
        <f>if(isna(VLOOKUP(A529,'Exponential Item Growth'!$A$10:$B$18,2,false)),E528, E528*VLOOKUP(A529,'Exponential Item Growth'!$A$10:$B$18,2,false))</f>
        <v>128</v>
      </c>
      <c r="F529" s="12">
        <f>C529*'Exponential Item Growth'!$B$21</f>
        <v>564326.4</v>
      </c>
      <c r="G529" s="12">
        <f>'Exponential Item Growth'!$B$22*C529</f>
        <v>8464896</v>
      </c>
      <c r="H529" s="12">
        <f>'Exponential Item Growth'!$B$23*C529</f>
        <v>112865280</v>
      </c>
    </row>
    <row r="530" ht="15.75" customHeight="1">
      <c r="A530" s="2">
        <v>529.0</v>
      </c>
      <c r="B530" s="11">
        <f>'Exponential Item Growth'!$B$5*'Exponential Item Growth'!$B$6^A530</f>
        <v>1.30815E+16</v>
      </c>
      <c r="C530" s="12">
        <f t="shared" si="1"/>
        <v>113079.04</v>
      </c>
      <c r="D530" s="2">
        <f>A530*'Exponential Item Growth'!$B$4</f>
        <v>883.43</v>
      </c>
      <c r="E530" s="12">
        <f>if(isna(VLOOKUP(A530,'Exponential Item Growth'!$A$10:$B$18,2,false)),E529, E529*VLOOKUP(A530,'Exponential Item Growth'!$A$10:$B$18,2,false))</f>
        <v>128</v>
      </c>
      <c r="F530" s="12">
        <f>C530*'Exponential Item Growth'!$B$21</f>
        <v>565395.2</v>
      </c>
      <c r="G530" s="12">
        <f>'Exponential Item Growth'!$B$22*C530</f>
        <v>8480928</v>
      </c>
      <c r="H530" s="12">
        <f>'Exponential Item Growth'!$B$23*C530</f>
        <v>113079040</v>
      </c>
    </row>
    <row r="531" ht="15.75" customHeight="1">
      <c r="A531" s="2">
        <v>530.0</v>
      </c>
      <c r="B531" s="11">
        <f>'Exponential Item Growth'!$B$5*'Exponential Item Growth'!$B$6^A531</f>
        <v>1.39972E+16</v>
      </c>
      <c r="C531" s="12">
        <f t="shared" si="1"/>
        <v>113292.8</v>
      </c>
      <c r="D531" s="2">
        <f>A531*'Exponential Item Growth'!$B$4</f>
        <v>885.1</v>
      </c>
      <c r="E531" s="12">
        <f>if(isna(VLOOKUP(A531,'Exponential Item Growth'!$A$10:$B$18,2,false)),E530, E530*VLOOKUP(A531,'Exponential Item Growth'!$A$10:$B$18,2,false))</f>
        <v>128</v>
      </c>
      <c r="F531" s="12">
        <f>C531*'Exponential Item Growth'!$B$21</f>
        <v>566464</v>
      </c>
      <c r="G531" s="12">
        <f>'Exponential Item Growth'!$B$22*C531</f>
        <v>8496960</v>
      </c>
      <c r="H531" s="12">
        <f>'Exponential Item Growth'!$B$23*C531</f>
        <v>113292800</v>
      </c>
    </row>
    <row r="532" ht="15.75" customHeight="1">
      <c r="A532" s="2">
        <v>531.0</v>
      </c>
      <c r="B532" s="11">
        <f>'Exponential Item Growth'!$B$5*'Exponential Item Growth'!$B$6^A532</f>
        <v>1.4977E+16</v>
      </c>
      <c r="C532" s="12">
        <f t="shared" si="1"/>
        <v>113506.56</v>
      </c>
      <c r="D532" s="2">
        <f>A532*'Exponential Item Growth'!$B$4</f>
        <v>886.77</v>
      </c>
      <c r="E532" s="12">
        <f>if(isna(VLOOKUP(A532,'Exponential Item Growth'!$A$10:$B$18,2,false)),E531, E531*VLOOKUP(A532,'Exponential Item Growth'!$A$10:$B$18,2,false))</f>
        <v>128</v>
      </c>
      <c r="F532" s="12">
        <f>C532*'Exponential Item Growth'!$B$21</f>
        <v>567532.8</v>
      </c>
      <c r="G532" s="12">
        <f>'Exponential Item Growth'!$B$22*C532</f>
        <v>8512992</v>
      </c>
      <c r="H532" s="12">
        <f>'Exponential Item Growth'!$B$23*C532</f>
        <v>113506560</v>
      </c>
    </row>
    <row r="533" ht="15.75" customHeight="1">
      <c r="A533" s="2">
        <v>532.0</v>
      </c>
      <c r="B533" s="11">
        <f>'Exponential Item Growth'!$B$5*'Exponential Item Growth'!$B$6^A533</f>
        <v>1.60254E+16</v>
      </c>
      <c r="C533" s="12">
        <f t="shared" si="1"/>
        <v>113720.32</v>
      </c>
      <c r="D533" s="2">
        <f>A533*'Exponential Item Growth'!$B$4</f>
        <v>888.44</v>
      </c>
      <c r="E533" s="12">
        <f>if(isna(VLOOKUP(A533,'Exponential Item Growth'!$A$10:$B$18,2,false)),E532, E532*VLOOKUP(A533,'Exponential Item Growth'!$A$10:$B$18,2,false))</f>
        <v>128</v>
      </c>
      <c r="F533" s="12">
        <f>C533*'Exponential Item Growth'!$B$21</f>
        <v>568601.6</v>
      </c>
      <c r="G533" s="12">
        <f>'Exponential Item Growth'!$B$22*C533</f>
        <v>8529024</v>
      </c>
      <c r="H533" s="12">
        <f>'Exponential Item Growth'!$B$23*C533</f>
        <v>113720320</v>
      </c>
    </row>
    <row r="534" ht="15.75" customHeight="1">
      <c r="A534" s="2">
        <v>533.0</v>
      </c>
      <c r="B534" s="11">
        <f>'Exponential Item Growth'!$B$5*'Exponential Item Growth'!$B$6^A534</f>
        <v>1.71472E+16</v>
      </c>
      <c r="C534" s="12">
        <f t="shared" si="1"/>
        <v>113934.08</v>
      </c>
      <c r="D534" s="2">
        <f>A534*'Exponential Item Growth'!$B$4</f>
        <v>890.11</v>
      </c>
      <c r="E534" s="12">
        <f>if(isna(VLOOKUP(A534,'Exponential Item Growth'!$A$10:$B$18,2,false)),E533, E533*VLOOKUP(A534,'Exponential Item Growth'!$A$10:$B$18,2,false))</f>
        <v>128</v>
      </c>
      <c r="F534" s="12">
        <f>C534*'Exponential Item Growth'!$B$21</f>
        <v>569670.4</v>
      </c>
      <c r="G534" s="12">
        <f>'Exponential Item Growth'!$B$22*C534</f>
        <v>8545056</v>
      </c>
      <c r="H534" s="12">
        <f>'Exponential Item Growth'!$B$23*C534</f>
        <v>113934080</v>
      </c>
    </row>
    <row r="535" ht="15.75" customHeight="1">
      <c r="A535" s="2">
        <v>534.0</v>
      </c>
      <c r="B535" s="11">
        <f>'Exponential Item Growth'!$B$5*'Exponential Item Growth'!$B$6^A535</f>
        <v>1.83475E+16</v>
      </c>
      <c r="C535" s="12">
        <f t="shared" si="1"/>
        <v>114147.84</v>
      </c>
      <c r="D535" s="2">
        <f>A535*'Exponential Item Growth'!$B$4</f>
        <v>891.78</v>
      </c>
      <c r="E535" s="12">
        <f>if(isna(VLOOKUP(A535,'Exponential Item Growth'!$A$10:$B$18,2,false)),E534, E534*VLOOKUP(A535,'Exponential Item Growth'!$A$10:$B$18,2,false))</f>
        <v>128</v>
      </c>
      <c r="F535" s="12">
        <f>C535*'Exponential Item Growth'!$B$21</f>
        <v>570739.2</v>
      </c>
      <c r="G535" s="12">
        <f>'Exponential Item Growth'!$B$22*C535</f>
        <v>8561088</v>
      </c>
      <c r="H535" s="12">
        <f>'Exponential Item Growth'!$B$23*C535</f>
        <v>114147840</v>
      </c>
    </row>
    <row r="536" ht="15.75" customHeight="1">
      <c r="A536" s="2">
        <v>535.0</v>
      </c>
      <c r="B536" s="11">
        <f>'Exponential Item Growth'!$B$5*'Exponential Item Growth'!$B$6^A536</f>
        <v>1.96318E+16</v>
      </c>
      <c r="C536" s="12">
        <f t="shared" si="1"/>
        <v>114361.6</v>
      </c>
      <c r="D536" s="2">
        <f>A536*'Exponential Item Growth'!$B$4</f>
        <v>893.45</v>
      </c>
      <c r="E536" s="12">
        <f>if(isna(VLOOKUP(A536,'Exponential Item Growth'!$A$10:$B$18,2,false)),E535, E535*VLOOKUP(A536,'Exponential Item Growth'!$A$10:$B$18,2,false))</f>
        <v>128</v>
      </c>
      <c r="F536" s="12">
        <f>C536*'Exponential Item Growth'!$B$21</f>
        <v>571808</v>
      </c>
      <c r="G536" s="12">
        <f>'Exponential Item Growth'!$B$22*C536</f>
        <v>8577120</v>
      </c>
      <c r="H536" s="12">
        <f>'Exponential Item Growth'!$B$23*C536</f>
        <v>114361600</v>
      </c>
    </row>
    <row r="537" ht="15.75" customHeight="1">
      <c r="A537" s="2">
        <v>536.0</v>
      </c>
      <c r="B537" s="11">
        <f>'Exponential Item Growth'!$B$5*'Exponential Item Growth'!$B$6^A537</f>
        <v>2.1006E+16</v>
      </c>
      <c r="C537" s="12">
        <f t="shared" si="1"/>
        <v>114575.36</v>
      </c>
      <c r="D537" s="2">
        <f>A537*'Exponential Item Growth'!$B$4</f>
        <v>895.12</v>
      </c>
      <c r="E537" s="12">
        <f>if(isna(VLOOKUP(A537,'Exponential Item Growth'!$A$10:$B$18,2,false)),E536, E536*VLOOKUP(A537,'Exponential Item Growth'!$A$10:$B$18,2,false))</f>
        <v>128</v>
      </c>
      <c r="F537" s="12">
        <f>C537*'Exponential Item Growth'!$B$21</f>
        <v>572876.8</v>
      </c>
      <c r="G537" s="12">
        <f>'Exponential Item Growth'!$B$22*C537</f>
        <v>8593152</v>
      </c>
      <c r="H537" s="12">
        <f>'Exponential Item Growth'!$B$23*C537</f>
        <v>114575360</v>
      </c>
    </row>
    <row r="538" ht="15.75" customHeight="1">
      <c r="A538" s="2">
        <v>537.0</v>
      </c>
      <c r="B538" s="11">
        <f>'Exponential Item Growth'!$B$5*'Exponential Item Growth'!$B$6^A538</f>
        <v>2.24765E+16</v>
      </c>
      <c r="C538" s="12">
        <f t="shared" si="1"/>
        <v>114789.12</v>
      </c>
      <c r="D538" s="2">
        <f>A538*'Exponential Item Growth'!$B$4</f>
        <v>896.79</v>
      </c>
      <c r="E538" s="12">
        <f>if(isna(VLOOKUP(A538,'Exponential Item Growth'!$A$10:$B$18,2,false)),E537, E537*VLOOKUP(A538,'Exponential Item Growth'!$A$10:$B$18,2,false))</f>
        <v>128</v>
      </c>
      <c r="F538" s="12">
        <f>C538*'Exponential Item Growth'!$B$21</f>
        <v>573945.6</v>
      </c>
      <c r="G538" s="12">
        <f>'Exponential Item Growth'!$B$22*C538</f>
        <v>8609184</v>
      </c>
      <c r="H538" s="12">
        <f>'Exponential Item Growth'!$B$23*C538</f>
        <v>114789120</v>
      </c>
    </row>
    <row r="539" ht="15.75" customHeight="1">
      <c r="A539" s="2">
        <v>538.0</v>
      </c>
      <c r="B539" s="11">
        <f>'Exponential Item Growth'!$B$5*'Exponential Item Growth'!$B$6^A539</f>
        <v>2.40498E+16</v>
      </c>
      <c r="C539" s="12">
        <f t="shared" si="1"/>
        <v>115002.88</v>
      </c>
      <c r="D539" s="2">
        <f>A539*'Exponential Item Growth'!$B$4</f>
        <v>898.46</v>
      </c>
      <c r="E539" s="12">
        <f>if(isna(VLOOKUP(A539,'Exponential Item Growth'!$A$10:$B$18,2,false)),E538, E538*VLOOKUP(A539,'Exponential Item Growth'!$A$10:$B$18,2,false))</f>
        <v>128</v>
      </c>
      <c r="F539" s="12">
        <f>C539*'Exponential Item Growth'!$B$21</f>
        <v>575014.4</v>
      </c>
      <c r="G539" s="12">
        <f>'Exponential Item Growth'!$B$22*C539</f>
        <v>8625216</v>
      </c>
      <c r="H539" s="12">
        <f>'Exponential Item Growth'!$B$23*C539</f>
        <v>115002880</v>
      </c>
    </row>
    <row r="540" ht="15.75" customHeight="1">
      <c r="A540" s="2">
        <v>539.0</v>
      </c>
      <c r="B540" s="11">
        <f>'Exponential Item Growth'!$B$5*'Exponential Item Growth'!$B$6^A540</f>
        <v>2.57333E+16</v>
      </c>
      <c r="C540" s="12">
        <f t="shared" si="1"/>
        <v>115216.64</v>
      </c>
      <c r="D540" s="2">
        <f>A540*'Exponential Item Growth'!$B$4</f>
        <v>900.13</v>
      </c>
      <c r="E540" s="12">
        <f>if(isna(VLOOKUP(A540,'Exponential Item Growth'!$A$10:$B$18,2,false)),E539, E539*VLOOKUP(A540,'Exponential Item Growth'!$A$10:$B$18,2,false))</f>
        <v>128</v>
      </c>
      <c r="F540" s="12">
        <f>C540*'Exponential Item Growth'!$B$21</f>
        <v>576083.2</v>
      </c>
      <c r="G540" s="12">
        <f>'Exponential Item Growth'!$B$22*C540</f>
        <v>8641248</v>
      </c>
      <c r="H540" s="12">
        <f>'Exponential Item Growth'!$B$23*C540</f>
        <v>115216640</v>
      </c>
    </row>
    <row r="541" ht="15.75" customHeight="1">
      <c r="A541" s="2">
        <v>540.0</v>
      </c>
      <c r="B541" s="11">
        <f>'Exponential Item Growth'!$B$5*'Exponential Item Growth'!$B$6^A541</f>
        <v>2.75346E+16</v>
      </c>
      <c r="C541" s="12">
        <f t="shared" si="1"/>
        <v>115430.4</v>
      </c>
      <c r="D541" s="2">
        <f>A541*'Exponential Item Growth'!$B$4</f>
        <v>901.8</v>
      </c>
      <c r="E541" s="12">
        <f>if(isna(VLOOKUP(A541,'Exponential Item Growth'!$A$10:$B$18,2,false)),E540, E540*VLOOKUP(A541,'Exponential Item Growth'!$A$10:$B$18,2,false))</f>
        <v>128</v>
      </c>
      <c r="F541" s="12">
        <f>C541*'Exponential Item Growth'!$B$21</f>
        <v>577152</v>
      </c>
      <c r="G541" s="12">
        <f>'Exponential Item Growth'!$B$22*C541</f>
        <v>8657280</v>
      </c>
      <c r="H541" s="12">
        <f>'Exponential Item Growth'!$B$23*C541</f>
        <v>115430400</v>
      </c>
    </row>
    <row r="542" ht="15.75" customHeight="1">
      <c r="A542" s="2">
        <v>541.0</v>
      </c>
      <c r="B542" s="11">
        <f>'Exponential Item Growth'!$B$5*'Exponential Item Growth'!$B$6^A542</f>
        <v>2.94621E+16</v>
      </c>
      <c r="C542" s="12">
        <f t="shared" si="1"/>
        <v>115644.16</v>
      </c>
      <c r="D542" s="2">
        <f>A542*'Exponential Item Growth'!$B$4</f>
        <v>903.47</v>
      </c>
      <c r="E542" s="12">
        <f>if(isna(VLOOKUP(A542,'Exponential Item Growth'!$A$10:$B$18,2,false)),E541, E541*VLOOKUP(A542,'Exponential Item Growth'!$A$10:$B$18,2,false))</f>
        <v>128</v>
      </c>
      <c r="F542" s="12">
        <f>C542*'Exponential Item Growth'!$B$21</f>
        <v>578220.8</v>
      </c>
      <c r="G542" s="12">
        <f>'Exponential Item Growth'!$B$22*C542</f>
        <v>8673312</v>
      </c>
      <c r="H542" s="12">
        <f>'Exponential Item Growth'!$B$23*C542</f>
        <v>115644160</v>
      </c>
    </row>
    <row r="543" ht="15.75" customHeight="1">
      <c r="A543" s="2">
        <v>542.0</v>
      </c>
      <c r="B543" s="11">
        <f>'Exponential Item Growth'!$B$5*'Exponential Item Growth'!$B$6^A543</f>
        <v>3.15244E+16</v>
      </c>
      <c r="C543" s="12">
        <f t="shared" si="1"/>
        <v>115857.92</v>
      </c>
      <c r="D543" s="2">
        <f>A543*'Exponential Item Growth'!$B$4</f>
        <v>905.14</v>
      </c>
      <c r="E543" s="12">
        <f>if(isna(VLOOKUP(A543,'Exponential Item Growth'!$A$10:$B$18,2,false)),E542, E542*VLOOKUP(A543,'Exponential Item Growth'!$A$10:$B$18,2,false))</f>
        <v>128</v>
      </c>
      <c r="F543" s="12">
        <f>C543*'Exponential Item Growth'!$B$21</f>
        <v>579289.6</v>
      </c>
      <c r="G543" s="12">
        <f>'Exponential Item Growth'!$B$22*C543</f>
        <v>8689344</v>
      </c>
      <c r="H543" s="12">
        <f>'Exponential Item Growth'!$B$23*C543</f>
        <v>115857920</v>
      </c>
    </row>
    <row r="544" ht="15.75" customHeight="1">
      <c r="A544" s="2">
        <v>543.0</v>
      </c>
      <c r="B544" s="11">
        <f>'Exponential Item Growth'!$B$5*'Exponential Item Growth'!$B$6^A544</f>
        <v>3.37311E+16</v>
      </c>
      <c r="C544" s="12">
        <f t="shared" si="1"/>
        <v>116071.68</v>
      </c>
      <c r="D544" s="2">
        <f>A544*'Exponential Item Growth'!$B$4</f>
        <v>906.81</v>
      </c>
      <c r="E544" s="12">
        <f>if(isna(VLOOKUP(A544,'Exponential Item Growth'!$A$10:$B$18,2,false)),E543, E543*VLOOKUP(A544,'Exponential Item Growth'!$A$10:$B$18,2,false))</f>
        <v>128</v>
      </c>
      <c r="F544" s="12">
        <f>C544*'Exponential Item Growth'!$B$21</f>
        <v>580358.4</v>
      </c>
      <c r="G544" s="12">
        <f>'Exponential Item Growth'!$B$22*C544</f>
        <v>8705376</v>
      </c>
      <c r="H544" s="12">
        <f>'Exponential Item Growth'!$B$23*C544</f>
        <v>116071680</v>
      </c>
    </row>
    <row r="545" ht="15.75" customHeight="1">
      <c r="A545" s="2">
        <v>544.0</v>
      </c>
      <c r="B545" s="11">
        <f>'Exponential Item Growth'!$B$5*'Exponential Item Growth'!$B$6^A545</f>
        <v>3.60923E+16</v>
      </c>
      <c r="C545" s="12">
        <f t="shared" si="1"/>
        <v>116285.44</v>
      </c>
      <c r="D545" s="2">
        <f>A545*'Exponential Item Growth'!$B$4</f>
        <v>908.48</v>
      </c>
      <c r="E545" s="12">
        <f>if(isna(VLOOKUP(A545,'Exponential Item Growth'!$A$10:$B$18,2,false)),E544, E544*VLOOKUP(A545,'Exponential Item Growth'!$A$10:$B$18,2,false))</f>
        <v>128</v>
      </c>
      <c r="F545" s="12">
        <f>C545*'Exponential Item Growth'!$B$21</f>
        <v>581427.2</v>
      </c>
      <c r="G545" s="12">
        <f>'Exponential Item Growth'!$B$22*C545</f>
        <v>8721408</v>
      </c>
      <c r="H545" s="12">
        <f>'Exponential Item Growth'!$B$23*C545</f>
        <v>116285440</v>
      </c>
    </row>
    <row r="546" ht="15.75" customHeight="1">
      <c r="A546" s="2">
        <v>545.0</v>
      </c>
      <c r="B546" s="11">
        <f>'Exponential Item Growth'!$B$5*'Exponential Item Growth'!$B$6^A546</f>
        <v>3.86187E+16</v>
      </c>
      <c r="C546" s="12">
        <f t="shared" si="1"/>
        <v>116499.2</v>
      </c>
      <c r="D546" s="2">
        <f>A546*'Exponential Item Growth'!$B$4</f>
        <v>910.15</v>
      </c>
      <c r="E546" s="12">
        <f>if(isna(VLOOKUP(A546,'Exponential Item Growth'!$A$10:$B$18,2,false)),E545, E545*VLOOKUP(A546,'Exponential Item Growth'!$A$10:$B$18,2,false))</f>
        <v>128</v>
      </c>
      <c r="F546" s="12">
        <f>C546*'Exponential Item Growth'!$B$21</f>
        <v>582496</v>
      </c>
      <c r="G546" s="12">
        <f>'Exponential Item Growth'!$B$22*C546</f>
        <v>8737440</v>
      </c>
      <c r="H546" s="12">
        <f>'Exponential Item Growth'!$B$23*C546</f>
        <v>116499200</v>
      </c>
    </row>
    <row r="547" ht="15.75" customHeight="1">
      <c r="A547" s="2">
        <v>546.0</v>
      </c>
      <c r="B547" s="11">
        <f>'Exponential Item Growth'!$B$5*'Exponential Item Growth'!$B$6^A547</f>
        <v>4.13221E+16</v>
      </c>
      <c r="C547" s="12">
        <f t="shared" si="1"/>
        <v>116712.96</v>
      </c>
      <c r="D547" s="2">
        <f>A547*'Exponential Item Growth'!$B$4</f>
        <v>911.82</v>
      </c>
      <c r="E547" s="12">
        <f>if(isna(VLOOKUP(A547,'Exponential Item Growth'!$A$10:$B$18,2,false)),E546, E546*VLOOKUP(A547,'Exponential Item Growth'!$A$10:$B$18,2,false))</f>
        <v>128</v>
      </c>
      <c r="F547" s="12">
        <f>C547*'Exponential Item Growth'!$B$21</f>
        <v>583564.8</v>
      </c>
      <c r="G547" s="12">
        <f>'Exponential Item Growth'!$B$22*C547</f>
        <v>8753472</v>
      </c>
      <c r="H547" s="12">
        <f>'Exponential Item Growth'!$B$23*C547</f>
        <v>116712960</v>
      </c>
    </row>
    <row r="548" ht="15.75" customHeight="1">
      <c r="A548" s="2">
        <v>547.0</v>
      </c>
      <c r="B548" s="11">
        <f>'Exponential Item Growth'!$B$5*'Exponential Item Growth'!$B$6^A548</f>
        <v>4.42146E+16</v>
      </c>
      <c r="C548" s="12">
        <f t="shared" si="1"/>
        <v>116926.72</v>
      </c>
      <c r="D548" s="2">
        <f>A548*'Exponential Item Growth'!$B$4</f>
        <v>913.49</v>
      </c>
      <c r="E548" s="12">
        <f>if(isna(VLOOKUP(A548,'Exponential Item Growth'!$A$10:$B$18,2,false)),E547, E547*VLOOKUP(A548,'Exponential Item Growth'!$A$10:$B$18,2,false))</f>
        <v>128</v>
      </c>
      <c r="F548" s="12">
        <f>C548*'Exponential Item Growth'!$B$21</f>
        <v>584633.6</v>
      </c>
      <c r="G548" s="12">
        <f>'Exponential Item Growth'!$B$22*C548</f>
        <v>8769504</v>
      </c>
      <c r="H548" s="12">
        <f>'Exponential Item Growth'!$B$23*C548</f>
        <v>116926720</v>
      </c>
    </row>
    <row r="549" ht="15.75" customHeight="1">
      <c r="A549" s="2">
        <v>548.0</v>
      </c>
      <c r="B549" s="11">
        <f>'Exponential Item Growth'!$B$5*'Exponential Item Growth'!$B$6^A549</f>
        <v>4.73096E+16</v>
      </c>
      <c r="C549" s="12">
        <f t="shared" si="1"/>
        <v>117140.48</v>
      </c>
      <c r="D549" s="2">
        <f>A549*'Exponential Item Growth'!$B$4</f>
        <v>915.16</v>
      </c>
      <c r="E549" s="12">
        <f>if(isna(VLOOKUP(A549,'Exponential Item Growth'!$A$10:$B$18,2,false)),E548, E548*VLOOKUP(A549,'Exponential Item Growth'!$A$10:$B$18,2,false))</f>
        <v>128</v>
      </c>
      <c r="F549" s="12">
        <f>C549*'Exponential Item Growth'!$B$21</f>
        <v>585702.4</v>
      </c>
      <c r="G549" s="12">
        <f>'Exponential Item Growth'!$B$22*C549</f>
        <v>8785536</v>
      </c>
      <c r="H549" s="12">
        <f>'Exponential Item Growth'!$B$23*C549</f>
        <v>117140480</v>
      </c>
    </row>
    <row r="550" ht="15.75" customHeight="1">
      <c r="A550" s="2">
        <v>549.0</v>
      </c>
      <c r="B550" s="11">
        <f>'Exponential Item Growth'!$B$5*'Exponential Item Growth'!$B$6^A550</f>
        <v>5.06213E+16</v>
      </c>
      <c r="C550" s="12">
        <f t="shared" si="1"/>
        <v>117354.24</v>
      </c>
      <c r="D550" s="2">
        <f>A550*'Exponential Item Growth'!$B$4</f>
        <v>916.83</v>
      </c>
      <c r="E550" s="12">
        <f>if(isna(VLOOKUP(A550,'Exponential Item Growth'!$A$10:$B$18,2,false)),E549, E549*VLOOKUP(A550,'Exponential Item Growth'!$A$10:$B$18,2,false))</f>
        <v>128</v>
      </c>
      <c r="F550" s="12">
        <f>C550*'Exponential Item Growth'!$B$21</f>
        <v>586771.2</v>
      </c>
      <c r="G550" s="12">
        <f>'Exponential Item Growth'!$B$22*C550</f>
        <v>8801568</v>
      </c>
      <c r="H550" s="12">
        <f>'Exponential Item Growth'!$B$23*C550</f>
        <v>117354240</v>
      </c>
    </row>
    <row r="551" ht="15.75" customHeight="1">
      <c r="A551" s="2">
        <v>550.0</v>
      </c>
      <c r="B551" s="11">
        <f>'Exponential Item Growth'!$B$5*'Exponential Item Growth'!$B$6^A551</f>
        <v>5.41648E+16</v>
      </c>
      <c r="C551" s="12">
        <f t="shared" si="1"/>
        <v>117568</v>
      </c>
      <c r="D551" s="2">
        <f>A551*'Exponential Item Growth'!$B$4</f>
        <v>918.5</v>
      </c>
      <c r="E551" s="12">
        <f>if(isna(VLOOKUP(A551,'Exponential Item Growth'!$A$10:$B$18,2,false)),E550, E550*VLOOKUP(A551,'Exponential Item Growth'!$A$10:$B$18,2,false))</f>
        <v>128</v>
      </c>
      <c r="F551" s="12">
        <f>C551*'Exponential Item Growth'!$B$21</f>
        <v>587840</v>
      </c>
      <c r="G551" s="12">
        <f>'Exponential Item Growth'!$B$22*C551</f>
        <v>8817600</v>
      </c>
      <c r="H551" s="12">
        <f>'Exponential Item Growth'!$B$23*C551</f>
        <v>117568000</v>
      </c>
    </row>
    <row r="552" ht="15.75" customHeight="1">
      <c r="A552" s="2">
        <v>551.0</v>
      </c>
      <c r="B552" s="11">
        <f>'Exponential Item Growth'!$B$5*'Exponential Item Growth'!$B$6^A552</f>
        <v>5.79563E+16</v>
      </c>
      <c r="C552" s="12">
        <f t="shared" si="1"/>
        <v>117781.76</v>
      </c>
      <c r="D552" s="2">
        <f>A552*'Exponential Item Growth'!$B$4</f>
        <v>920.17</v>
      </c>
      <c r="E552" s="12">
        <f>if(isna(VLOOKUP(A552,'Exponential Item Growth'!$A$10:$B$18,2,false)),E551, E551*VLOOKUP(A552,'Exponential Item Growth'!$A$10:$B$18,2,false))</f>
        <v>128</v>
      </c>
      <c r="F552" s="12">
        <f>C552*'Exponential Item Growth'!$B$21</f>
        <v>588908.8</v>
      </c>
      <c r="G552" s="12">
        <f>'Exponential Item Growth'!$B$22*C552</f>
        <v>8833632</v>
      </c>
      <c r="H552" s="12">
        <f>'Exponential Item Growth'!$B$23*C552</f>
        <v>117781760</v>
      </c>
    </row>
    <row r="553" ht="15.75" customHeight="1">
      <c r="A553" s="2">
        <v>552.0</v>
      </c>
      <c r="B553" s="11">
        <f>'Exponential Item Growth'!$B$5*'Exponential Item Growth'!$B$6^A553</f>
        <v>6.20133E+16</v>
      </c>
      <c r="C553" s="12">
        <f t="shared" si="1"/>
        <v>117995.52</v>
      </c>
      <c r="D553" s="2">
        <f>A553*'Exponential Item Growth'!$B$4</f>
        <v>921.84</v>
      </c>
      <c r="E553" s="12">
        <f>if(isna(VLOOKUP(A553,'Exponential Item Growth'!$A$10:$B$18,2,false)),E552, E552*VLOOKUP(A553,'Exponential Item Growth'!$A$10:$B$18,2,false))</f>
        <v>128</v>
      </c>
      <c r="F553" s="12">
        <f>C553*'Exponential Item Growth'!$B$21</f>
        <v>589977.6</v>
      </c>
      <c r="G553" s="12">
        <f>'Exponential Item Growth'!$B$22*C553</f>
        <v>8849664</v>
      </c>
      <c r="H553" s="12">
        <f>'Exponential Item Growth'!$B$23*C553</f>
        <v>117995520</v>
      </c>
    </row>
    <row r="554" ht="15.75" customHeight="1">
      <c r="A554" s="2">
        <v>553.0</v>
      </c>
      <c r="B554" s="11">
        <f>'Exponential Item Growth'!$B$5*'Exponential Item Growth'!$B$6^A554</f>
        <v>6.63542E+16</v>
      </c>
      <c r="C554" s="12">
        <f t="shared" si="1"/>
        <v>118209.28</v>
      </c>
      <c r="D554" s="2">
        <f>A554*'Exponential Item Growth'!$B$4</f>
        <v>923.51</v>
      </c>
      <c r="E554" s="12">
        <f>if(isna(VLOOKUP(A554,'Exponential Item Growth'!$A$10:$B$18,2,false)),E553, E553*VLOOKUP(A554,'Exponential Item Growth'!$A$10:$B$18,2,false))</f>
        <v>128</v>
      </c>
      <c r="F554" s="12">
        <f>C554*'Exponential Item Growth'!$B$21</f>
        <v>591046.4</v>
      </c>
      <c r="G554" s="12">
        <f>'Exponential Item Growth'!$B$22*C554</f>
        <v>8865696</v>
      </c>
      <c r="H554" s="12">
        <f>'Exponential Item Growth'!$B$23*C554</f>
        <v>118209280</v>
      </c>
    </row>
    <row r="555" ht="15.75" customHeight="1">
      <c r="A555" s="2">
        <v>554.0</v>
      </c>
      <c r="B555" s="11">
        <f>'Exponential Item Growth'!$B$5*'Exponential Item Growth'!$B$6^A555</f>
        <v>7.0999E+16</v>
      </c>
      <c r="C555" s="12">
        <f t="shared" si="1"/>
        <v>118423.04</v>
      </c>
      <c r="D555" s="2">
        <f>A555*'Exponential Item Growth'!$B$4</f>
        <v>925.18</v>
      </c>
      <c r="E555" s="12">
        <f>if(isna(VLOOKUP(A555,'Exponential Item Growth'!$A$10:$B$18,2,false)),E554, E554*VLOOKUP(A555,'Exponential Item Growth'!$A$10:$B$18,2,false))</f>
        <v>128</v>
      </c>
      <c r="F555" s="12">
        <f>C555*'Exponential Item Growth'!$B$21</f>
        <v>592115.2</v>
      </c>
      <c r="G555" s="12">
        <f>'Exponential Item Growth'!$B$22*C555</f>
        <v>8881728</v>
      </c>
      <c r="H555" s="12">
        <f>'Exponential Item Growth'!$B$23*C555</f>
        <v>118423040</v>
      </c>
    </row>
    <row r="556" ht="15.75" customHeight="1">
      <c r="A556" s="2">
        <v>555.0</v>
      </c>
      <c r="B556" s="11">
        <f>'Exponential Item Growth'!$B$5*'Exponential Item Growth'!$B$6^A556</f>
        <v>7.59689E+16</v>
      </c>
      <c r="C556" s="12">
        <f t="shared" si="1"/>
        <v>118636.8</v>
      </c>
      <c r="D556" s="2">
        <f>A556*'Exponential Item Growth'!$B$4</f>
        <v>926.85</v>
      </c>
      <c r="E556" s="12">
        <f>if(isna(VLOOKUP(A556,'Exponential Item Growth'!$A$10:$B$18,2,false)),E555, E555*VLOOKUP(A556,'Exponential Item Growth'!$A$10:$B$18,2,false))</f>
        <v>128</v>
      </c>
      <c r="F556" s="12">
        <f>C556*'Exponential Item Growth'!$B$21</f>
        <v>593184</v>
      </c>
      <c r="G556" s="12">
        <f>'Exponential Item Growth'!$B$22*C556</f>
        <v>8897760</v>
      </c>
      <c r="H556" s="12">
        <f>'Exponential Item Growth'!$B$23*C556</f>
        <v>118636800</v>
      </c>
    </row>
    <row r="557" ht="15.75" customHeight="1">
      <c r="A557" s="2">
        <v>556.0</v>
      </c>
      <c r="B557" s="11">
        <f>'Exponential Item Growth'!$B$5*'Exponential Item Growth'!$B$6^A557</f>
        <v>8.12867E+16</v>
      </c>
      <c r="C557" s="12">
        <f t="shared" si="1"/>
        <v>118850.56</v>
      </c>
      <c r="D557" s="2">
        <f>A557*'Exponential Item Growth'!$B$4</f>
        <v>928.52</v>
      </c>
      <c r="E557" s="12">
        <f>if(isna(VLOOKUP(A557,'Exponential Item Growth'!$A$10:$B$18,2,false)),E556, E556*VLOOKUP(A557,'Exponential Item Growth'!$A$10:$B$18,2,false))</f>
        <v>128</v>
      </c>
      <c r="F557" s="12">
        <f>C557*'Exponential Item Growth'!$B$21</f>
        <v>594252.8</v>
      </c>
      <c r="G557" s="12">
        <f>'Exponential Item Growth'!$B$22*C557</f>
        <v>8913792</v>
      </c>
      <c r="H557" s="12">
        <f>'Exponential Item Growth'!$B$23*C557</f>
        <v>118850560</v>
      </c>
    </row>
    <row r="558" ht="15.75" customHeight="1">
      <c r="A558" s="2">
        <v>557.0</v>
      </c>
      <c r="B558" s="11">
        <f>'Exponential Item Growth'!$B$5*'Exponential Item Growth'!$B$6^A558</f>
        <v>8.69768E+16</v>
      </c>
      <c r="C558" s="12">
        <f t="shared" si="1"/>
        <v>119064.32</v>
      </c>
      <c r="D558" s="2">
        <f>A558*'Exponential Item Growth'!$B$4</f>
        <v>930.19</v>
      </c>
      <c r="E558" s="12">
        <f>if(isna(VLOOKUP(A558,'Exponential Item Growth'!$A$10:$B$18,2,false)),E557, E557*VLOOKUP(A558,'Exponential Item Growth'!$A$10:$B$18,2,false))</f>
        <v>128</v>
      </c>
      <c r="F558" s="12">
        <f>C558*'Exponential Item Growth'!$B$21</f>
        <v>595321.6</v>
      </c>
      <c r="G558" s="12">
        <f>'Exponential Item Growth'!$B$22*C558</f>
        <v>8929824</v>
      </c>
      <c r="H558" s="12">
        <f>'Exponential Item Growth'!$B$23*C558</f>
        <v>119064320</v>
      </c>
    </row>
    <row r="559" ht="15.75" customHeight="1">
      <c r="A559" s="2">
        <v>558.0</v>
      </c>
      <c r="B559" s="11">
        <f>'Exponential Item Growth'!$B$5*'Exponential Item Growth'!$B$6^A559</f>
        <v>9.30652E+16</v>
      </c>
      <c r="C559" s="12">
        <f t="shared" si="1"/>
        <v>119278.08</v>
      </c>
      <c r="D559" s="2">
        <f>A559*'Exponential Item Growth'!$B$4</f>
        <v>931.86</v>
      </c>
      <c r="E559" s="12">
        <f>if(isna(VLOOKUP(A559,'Exponential Item Growth'!$A$10:$B$18,2,false)),E558, E558*VLOOKUP(A559,'Exponential Item Growth'!$A$10:$B$18,2,false))</f>
        <v>128</v>
      </c>
      <c r="F559" s="12">
        <f>C559*'Exponential Item Growth'!$B$21</f>
        <v>596390.4</v>
      </c>
      <c r="G559" s="12">
        <f>'Exponential Item Growth'!$B$22*C559</f>
        <v>8945856</v>
      </c>
      <c r="H559" s="12">
        <f>'Exponential Item Growth'!$B$23*C559</f>
        <v>119278080</v>
      </c>
    </row>
    <row r="560" ht="15.75" customHeight="1">
      <c r="A560" s="2">
        <v>559.0</v>
      </c>
      <c r="B560" s="11">
        <f>'Exponential Item Growth'!$B$5*'Exponential Item Growth'!$B$6^A560</f>
        <v>9.95797E+16</v>
      </c>
      <c r="C560" s="12">
        <f t="shared" si="1"/>
        <v>119491.84</v>
      </c>
      <c r="D560" s="2">
        <f>A560*'Exponential Item Growth'!$B$4</f>
        <v>933.53</v>
      </c>
      <c r="E560" s="12">
        <f>if(isna(VLOOKUP(A560,'Exponential Item Growth'!$A$10:$B$18,2,false)),E559, E559*VLOOKUP(A560,'Exponential Item Growth'!$A$10:$B$18,2,false))</f>
        <v>128</v>
      </c>
      <c r="F560" s="12">
        <f>C560*'Exponential Item Growth'!$B$21</f>
        <v>597459.2</v>
      </c>
      <c r="G560" s="12">
        <f>'Exponential Item Growth'!$B$22*C560</f>
        <v>8961888</v>
      </c>
      <c r="H560" s="12">
        <f>'Exponential Item Growth'!$B$23*C560</f>
        <v>119491840</v>
      </c>
    </row>
    <row r="561" ht="15.75" customHeight="1">
      <c r="A561" s="2">
        <v>560.0</v>
      </c>
      <c r="B561" s="11">
        <f>'Exponential Item Growth'!$B$5*'Exponential Item Growth'!$B$6^A561</f>
        <v>1.0655E+17</v>
      </c>
      <c r="C561" s="12">
        <f t="shared" si="1"/>
        <v>119705.6</v>
      </c>
      <c r="D561" s="2">
        <f>A561*'Exponential Item Growth'!$B$4</f>
        <v>935.2</v>
      </c>
      <c r="E561" s="12">
        <f>if(isna(VLOOKUP(A561,'Exponential Item Growth'!$A$10:$B$18,2,false)),E560, E560*VLOOKUP(A561,'Exponential Item Growth'!$A$10:$B$18,2,false))</f>
        <v>128</v>
      </c>
      <c r="F561" s="12">
        <f>C561*'Exponential Item Growth'!$B$21</f>
        <v>598528</v>
      </c>
      <c r="G561" s="12">
        <f>'Exponential Item Growth'!$B$22*C561</f>
        <v>8977920</v>
      </c>
      <c r="H561" s="12">
        <f>'Exponential Item Growth'!$B$23*C561</f>
        <v>119705600</v>
      </c>
    </row>
    <row r="562" ht="15.75" customHeight="1">
      <c r="A562" s="2">
        <v>561.0</v>
      </c>
      <c r="B562" s="11">
        <f>'Exponential Item Growth'!$B$5*'Exponential Item Growth'!$B$6^A562</f>
        <v>1.14009E+17</v>
      </c>
      <c r="C562" s="12">
        <f t="shared" si="1"/>
        <v>119919.36</v>
      </c>
      <c r="D562" s="2">
        <f>A562*'Exponential Item Growth'!$B$4</f>
        <v>936.87</v>
      </c>
      <c r="E562" s="12">
        <f>if(isna(VLOOKUP(A562,'Exponential Item Growth'!$A$10:$B$18,2,false)),E561, E561*VLOOKUP(A562,'Exponential Item Growth'!$A$10:$B$18,2,false))</f>
        <v>128</v>
      </c>
      <c r="F562" s="12">
        <f>C562*'Exponential Item Growth'!$B$21</f>
        <v>599596.8</v>
      </c>
      <c r="G562" s="12">
        <f>'Exponential Item Growth'!$B$22*C562</f>
        <v>8993952</v>
      </c>
      <c r="H562" s="12">
        <f>'Exponential Item Growth'!$B$23*C562</f>
        <v>119919360</v>
      </c>
    </row>
    <row r="563" ht="15.75" customHeight="1">
      <c r="A563" s="2">
        <v>562.0</v>
      </c>
      <c r="B563" s="11">
        <f>'Exponential Item Growth'!$B$5*'Exponential Item Growth'!$B$6^A563</f>
        <v>1.21989E+17</v>
      </c>
      <c r="C563" s="12">
        <f t="shared" si="1"/>
        <v>120133.12</v>
      </c>
      <c r="D563" s="2">
        <f>A563*'Exponential Item Growth'!$B$4</f>
        <v>938.54</v>
      </c>
      <c r="E563" s="12">
        <f>if(isna(VLOOKUP(A563,'Exponential Item Growth'!$A$10:$B$18,2,false)),E562, E562*VLOOKUP(A563,'Exponential Item Growth'!$A$10:$B$18,2,false))</f>
        <v>128</v>
      </c>
      <c r="F563" s="12">
        <f>C563*'Exponential Item Growth'!$B$21</f>
        <v>600665.6</v>
      </c>
      <c r="G563" s="12">
        <f>'Exponential Item Growth'!$B$22*C563</f>
        <v>9009984</v>
      </c>
      <c r="H563" s="12">
        <f>'Exponential Item Growth'!$B$23*C563</f>
        <v>120133120</v>
      </c>
    </row>
    <row r="564" ht="15.75" customHeight="1">
      <c r="A564" s="2">
        <v>563.0</v>
      </c>
      <c r="B564" s="11">
        <f>'Exponential Item Growth'!$B$5*'Exponential Item Growth'!$B$6^A564</f>
        <v>1.30529E+17</v>
      </c>
      <c r="C564" s="12">
        <f t="shared" si="1"/>
        <v>120346.88</v>
      </c>
      <c r="D564" s="2">
        <f>A564*'Exponential Item Growth'!$B$4</f>
        <v>940.21</v>
      </c>
      <c r="E564" s="12">
        <f>if(isna(VLOOKUP(A564,'Exponential Item Growth'!$A$10:$B$18,2,false)),E563, E563*VLOOKUP(A564,'Exponential Item Growth'!$A$10:$B$18,2,false))</f>
        <v>128</v>
      </c>
      <c r="F564" s="12">
        <f>C564*'Exponential Item Growth'!$B$21</f>
        <v>601734.4</v>
      </c>
      <c r="G564" s="12">
        <f>'Exponential Item Growth'!$B$22*C564</f>
        <v>9026016</v>
      </c>
      <c r="H564" s="12">
        <f>'Exponential Item Growth'!$B$23*C564</f>
        <v>120346880</v>
      </c>
    </row>
    <row r="565" ht="15.75" customHeight="1">
      <c r="A565" s="2">
        <v>564.0</v>
      </c>
      <c r="B565" s="11">
        <f>'Exponential Item Growth'!$B$5*'Exponential Item Growth'!$B$6^A565</f>
        <v>1.39666E+17</v>
      </c>
      <c r="C565" s="12">
        <f t="shared" si="1"/>
        <v>120560.64</v>
      </c>
      <c r="D565" s="2">
        <f>A565*'Exponential Item Growth'!$B$4</f>
        <v>941.88</v>
      </c>
      <c r="E565" s="12">
        <f>if(isna(VLOOKUP(A565,'Exponential Item Growth'!$A$10:$B$18,2,false)),E564, E564*VLOOKUP(A565,'Exponential Item Growth'!$A$10:$B$18,2,false))</f>
        <v>128</v>
      </c>
      <c r="F565" s="12">
        <f>C565*'Exponential Item Growth'!$B$21</f>
        <v>602803.2</v>
      </c>
      <c r="G565" s="12">
        <f>'Exponential Item Growth'!$B$22*C565</f>
        <v>9042048</v>
      </c>
      <c r="H565" s="12">
        <f>'Exponential Item Growth'!$B$23*C565</f>
        <v>120560640</v>
      </c>
    </row>
    <row r="566" ht="15.75" customHeight="1">
      <c r="A566" s="2">
        <v>565.0</v>
      </c>
      <c r="B566" s="11">
        <f>'Exponential Item Growth'!$B$5*'Exponential Item Growth'!$B$6^A566</f>
        <v>1.49442E+17</v>
      </c>
      <c r="C566" s="12">
        <f t="shared" si="1"/>
        <v>120774.4</v>
      </c>
      <c r="D566" s="2">
        <f>A566*'Exponential Item Growth'!$B$4</f>
        <v>943.55</v>
      </c>
      <c r="E566" s="12">
        <f>if(isna(VLOOKUP(A566,'Exponential Item Growth'!$A$10:$B$18,2,false)),E565, E565*VLOOKUP(A566,'Exponential Item Growth'!$A$10:$B$18,2,false))</f>
        <v>128</v>
      </c>
      <c r="F566" s="12">
        <f>C566*'Exponential Item Growth'!$B$21</f>
        <v>603872</v>
      </c>
      <c r="G566" s="12">
        <f>'Exponential Item Growth'!$B$22*C566</f>
        <v>9058080</v>
      </c>
      <c r="H566" s="12">
        <f>'Exponential Item Growth'!$B$23*C566</f>
        <v>120774400</v>
      </c>
    </row>
    <row r="567" ht="15.75" customHeight="1">
      <c r="A567" s="2">
        <v>566.0</v>
      </c>
      <c r="B567" s="11">
        <f>'Exponential Item Growth'!$B$5*'Exponential Item Growth'!$B$6^A567</f>
        <v>1.59903E+17</v>
      </c>
      <c r="C567" s="12">
        <f t="shared" si="1"/>
        <v>120988.16</v>
      </c>
      <c r="D567" s="2">
        <f>A567*'Exponential Item Growth'!$B$4</f>
        <v>945.22</v>
      </c>
      <c r="E567" s="12">
        <f>if(isna(VLOOKUP(A567,'Exponential Item Growth'!$A$10:$B$18,2,false)),E566, E566*VLOOKUP(A567,'Exponential Item Growth'!$A$10:$B$18,2,false))</f>
        <v>128</v>
      </c>
      <c r="F567" s="12">
        <f>C567*'Exponential Item Growth'!$B$21</f>
        <v>604940.8</v>
      </c>
      <c r="G567" s="12">
        <f>'Exponential Item Growth'!$B$22*C567</f>
        <v>9074112</v>
      </c>
      <c r="H567" s="12">
        <f>'Exponential Item Growth'!$B$23*C567</f>
        <v>120988160</v>
      </c>
    </row>
    <row r="568" ht="15.75" customHeight="1">
      <c r="A568" s="2">
        <v>567.0</v>
      </c>
      <c r="B568" s="11">
        <f>'Exponential Item Growth'!$B$5*'Exponential Item Growth'!$B$6^A568</f>
        <v>1.71097E+17</v>
      </c>
      <c r="C568" s="12">
        <f t="shared" si="1"/>
        <v>121201.92</v>
      </c>
      <c r="D568" s="2">
        <f>A568*'Exponential Item Growth'!$B$4</f>
        <v>946.89</v>
      </c>
      <c r="E568" s="12">
        <f>if(isna(VLOOKUP(A568,'Exponential Item Growth'!$A$10:$B$18,2,false)),E567, E567*VLOOKUP(A568,'Exponential Item Growth'!$A$10:$B$18,2,false))</f>
        <v>128</v>
      </c>
      <c r="F568" s="12">
        <f>C568*'Exponential Item Growth'!$B$21</f>
        <v>606009.6</v>
      </c>
      <c r="G568" s="12">
        <f>'Exponential Item Growth'!$B$22*C568</f>
        <v>9090144</v>
      </c>
      <c r="H568" s="12">
        <f>'Exponential Item Growth'!$B$23*C568</f>
        <v>121201920</v>
      </c>
    </row>
    <row r="569" ht="15.75" customHeight="1">
      <c r="A569" s="2">
        <v>568.0</v>
      </c>
      <c r="B569" s="11">
        <f>'Exponential Item Growth'!$B$5*'Exponential Item Growth'!$B$6^A569</f>
        <v>1.83073E+17</v>
      </c>
      <c r="C569" s="12">
        <f t="shared" si="1"/>
        <v>121415.68</v>
      </c>
      <c r="D569" s="2">
        <f>A569*'Exponential Item Growth'!$B$4</f>
        <v>948.56</v>
      </c>
      <c r="E569" s="12">
        <f>if(isna(VLOOKUP(A569,'Exponential Item Growth'!$A$10:$B$18,2,false)),E568, E568*VLOOKUP(A569,'Exponential Item Growth'!$A$10:$B$18,2,false))</f>
        <v>128</v>
      </c>
      <c r="F569" s="12">
        <f>C569*'Exponential Item Growth'!$B$21</f>
        <v>607078.4</v>
      </c>
      <c r="G569" s="12">
        <f>'Exponential Item Growth'!$B$22*C569</f>
        <v>9106176</v>
      </c>
      <c r="H569" s="12">
        <f>'Exponential Item Growth'!$B$23*C569</f>
        <v>121415680</v>
      </c>
    </row>
    <row r="570" ht="15.75" customHeight="1">
      <c r="A570" s="2">
        <v>569.0</v>
      </c>
      <c r="B570" s="11">
        <f>'Exponential Item Growth'!$B$5*'Exponential Item Growth'!$B$6^A570</f>
        <v>1.95888E+17</v>
      </c>
      <c r="C570" s="12">
        <f t="shared" si="1"/>
        <v>121629.44</v>
      </c>
      <c r="D570" s="2">
        <f>A570*'Exponential Item Growth'!$B$4</f>
        <v>950.23</v>
      </c>
      <c r="E570" s="12">
        <f>if(isna(VLOOKUP(A570,'Exponential Item Growth'!$A$10:$B$18,2,false)),E569, E569*VLOOKUP(A570,'Exponential Item Growth'!$A$10:$B$18,2,false))</f>
        <v>128</v>
      </c>
      <c r="F570" s="12">
        <f>C570*'Exponential Item Growth'!$B$21</f>
        <v>608147.2</v>
      </c>
      <c r="G570" s="12">
        <f>'Exponential Item Growth'!$B$22*C570</f>
        <v>9122208</v>
      </c>
      <c r="H570" s="12">
        <f>'Exponential Item Growth'!$B$23*C570</f>
        <v>121629440</v>
      </c>
    </row>
    <row r="571" ht="15.75" customHeight="1">
      <c r="A571" s="2">
        <v>570.0</v>
      </c>
      <c r="B571" s="11">
        <f>'Exponential Item Growth'!$B$5*'Exponential Item Growth'!$B$6^A571</f>
        <v>2.09601E+17</v>
      </c>
      <c r="C571" s="12">
        <f t="shared" si="1"/>
        <v>121843.2</v>
      </c>
      <c r="D571" s="2">
        <f>A571*'Exponential Item Growth'!$B$4</f>
        <v>951.9</v>
      </c>
      <c r="E571" s="12">
        <f>if(isna(VLOOKUP(A571,'Exponential Item Growth'!$A$10:$B$18,2,false)),E570, E570*VLOOKUP(A571,'Exponential Item Growth'!$A$10:$B$18,2,false))</f>
        <v>128</v>
      </c>
      <c r="F571" s="12">
        <f>C571*'Exponential Item Growth'!$B$21</f>
        <v>609216</v>
      </c>
      <c r="G571" s="12">
        <f>'Exponential Item Growth'!$B$22*C571</f>
        <v>9138240</v>
      </c>
      <c r="H571" s="12">
        <f>'Exponential Item Growth'!$B$23*C571</f>
        <v>121843200</v>
      </c>
    </row>
    <row r="572" ht="15.75" customHeight="1">
      <c r="A572" s="2">
        <v>571.0</v>
      </c>
      <c r="B572" s="11">
        <f>'Exponential Item Growth'!$B$5*'Exponential Item Growth'!$B$6^A572</f>
        <v>2.24273E+17</v>
      </c>
      <c r="C572" s="12">
        <f t="shared" si="1"/>
        <v>122056.96</v>
      </c>
      <c r="D572" s="2">
        <f>A572*'Exponential Item Growth'!$B$4</f>
        <v>953.57</v>
      </c>
      <c r="E572" s="12">
        <f>if(isna(VLOOKUP(A572,'Exponential Item Growth'!$A$10:$B$18,2,false)),E571, E571*VLOOKUP(A572,'Exponential Item Growth'!$A$10:$B$18,2,false))</f>
        <v>128</v>
      </c>
      <c r="F572" s="12">
        <f>C572*'Exponential Item Growth'!$B$21</f>
        <v>610284.8</v>
      </c>
      <c r="G572" s="12">
        <f>'Exponential Item Growth'!$B$22*C572</f>
        <v>9154272</v>
      </c>
      <c r="H572" s="12">
        <f>'Exponential Item Growth'!$B$23*C572</f>
        <v>122056960</v>
      </c>
    </row>
    <row r="573" ht="15.75" customHeight="1">
      <c r="A573" s="2">
        <v>572.0</v>
      </c>
      <c r="B573" s="11">
        <f>'Exponential Item Growth'!$B$5*'Exponential Item Growth'!$B$6^A573</f>
        <v>2.39972E+17</v>
      </c>
      <c r="C573" s="12">
        <f t="shared" si="1"/>
        <v>122270.72</v>
      </c>
      <c r="D573" s="2">
        <f>A573*'Exponential Item Growth'!$B$4</f>
        <v>955.24</v>
      </c>
      <c r="E573" s="12">
        <f>if(isna(VLOOKUP(A573,'Exponential Item Growth'!$A$10:$B$18,2,false)),E572, E572*VLOOKUP(A573,'Exponential Item Growth'!$A$10:$B$18,2,false))</f>
        <v>128</v>
      </c>
      <c r="F573" s="12">
        <f>C573*'Exponential Item Growth'!$B$21</f>
        <v>611353.6</v>
      </c>
      <c r="G573" s="12">
        <f>'Exponential Item Growth'!$B$22*C573</f>
        <v>9170304</v>
      </c>
      <c r="H573" s="12">
        <f>'Exponential Item Growth'!$B$23*C573</f>
        <v>122270720</v>
      </c>
    </row>
    <row r="574" ht="15.75" customHeight="1">
      <c r="A574" s="2">
        <v>573.0</v>
      </c>
      <c r="B574" s="11">
        <f>'Exponential Item Growth'!$B$5*'Exponential Item Growth'!$B$6^A574</f>
        <v>2.5677E+17</v>
      </c>
      <c r="C574" s="12">
        <f t="shared" si="1"/>
        <v>122484.48</v>
      </c>
      <c r="D574" s="2">
        <f>A574*'Exponential Item Growth'!$B$4</f>
        <v>956.91</v>
      </c>
      <c r="E574" s="12">
        <f>if(isna(VLOOKUP(A574,'Exponential Item Growth'!$A$10:$B$18,2,false)),E573, E573*VLOOKUP(A574,'Exponential Item Growth'!$A$10:$B$18,2,false))</f>
        <v>128</v>
      </c>
      <c r="F574" s="12">
        <f>C574*'Exponential Item Growth'!$B$21</f>
        <v>612422.4</v>
      </c>
      <c r="G574" s="12">
        <f>'Exponential Item Growth'!$B$22*C574</f>
        <v>9186336</v>
      </c>
      <c r="H574" s="12">
        <f>'Exponential Item Growth'!$B$23*C574</f>
        <v>122484480</v>
      </c>
    </row>
    <row r="575" ht="15.75" customHeight="1">
      <c r="A575" s="2">
        <v>574.0</v>
      </c>
      <c r="B575" s="11">
        <f>'Exponential Item Growth'!$B$5*'Exponential Item Growth'!$B$6^A575</f>
        <v>2.74744E+17</v>
      </c>
      <c r="C575" s="12">
        <f t="shared" si="1"/>
        <v>122698.24</v>
      </c>
      <c r="D575" s="2">
        <f>A575*'Exponential Item Growth'!$B$4</f>
        <v>958.58</v>
      </c>
      <c r="E575" s="12">
        <f>if(isna(VLOOKUP(A575,'Exponential Item Growth'!$A$10:$B$18,2,false)),E574, E574*VLOOKUP(A575,'Exponential Item Growth'!$A$10:$B$18,2,false))</f>
        <v>128</v>
      </c>
      <c r="F575" s="12">
        <f>C575*'Exponential Item Growth'!$B$21</f>
        <v>613491.2</v>
      </c>
      <c r="G575" s="12">
        <f>'Exponential Item Growth'!$B$22*C575</f>
        <v>9202368</v>
      </c>
      <c r="H575" s="12">
        <f>'Exponential Item Growth'!$B$23*C575</f>
        <v>122698240</v>
      </c>
    </row>
    <row r="576" ht="15.75" customHeight="1">
      <c r="A576" s="2">
        <v>575.0</v>
      </c>
      <c r="B576" s="11">
        <f>'Exponential Item Growth'!$B$5*'Exponential Item Growth'!$B$6^A576</f>
        <v>2.93976E+17</v>
      </c>
      <c r="C576" s="12">
        <f t="shared" si="1"/>
        <v>122912</v>
      </c>
      <c r="D576" s="2">
        <f>A576*'Exponential Item Growth'!$B$4</f>
        <v>960.25</v>
      </c>
      <c r="E576" s="12">
        <f>if(isna(VLOOKUP(A576,'Exponential Item Growth'!$A$10:$B$18,2,false)),E575, E575*VLOOKUP(A576,'Exponential Item Growth'!$A$10:$B$18,2,false))</f>
        <v>128</v>
      </c>
      <c r="F576" s="12">
        <f>C576*'Exponential Item Growth'!$B$21</f>
        <v>614560</v>
      </c>
      <c r="G576" s="12">
        <f>'Exponential Item Growth'!$B$22*C576</f>
        <v>9218400</v>
      </c>
      <c r="H576" s="12">
        <f>'Exponential Item Growth'!$B$23*C576</f>
        <v>122912000</v>
      </c>
    </row>
    <row r="577" ht="15.75" customHeight="1">
      <c r="A577" s="2">
        <v>576.0</v>
      </c>
      <c r="B577" s="11">
        <f>'Exponential Item Growth'!$B$5*'Exponential Item Growth'!$B$6^A577</f>
        <v>3.14554E+17</v>
      </c>
      <c r="C577" s="12">
        <f t="shared" si="1"/>
        <v>123125.76</v>
      </c>
      <c r="D577" s="2">
        <f>A577*'Exponential Item Growth'!$B$4</f>
        <v>961.92</v>
      </c>
      <c r="E577" s="12">
        <f>if(isna(VLOOKUP(A577,'Exponential Item Growth'!$A$10:$B$18,2,false)),E576, E576*VLOOKUP(A577,'Exponential Item Growth'!$A$10:$B$18,2,false))</f>
        <v>128</v>
      </c>
      <c r="F577" s="12">
        <f>C577*'Exponential Item Growth'!$B$21</f>
        <v>615628.8</v>
      </c>
      <c r="G577" s="12">
        <f>'Exponential Item Growth'!$B$22*C577</f>
        <v>9234432</v>
      </c>
      <c r="H577" s="12">
        <f>'Exponential Item Growth'!$B$23*C577</f>
        <v>123125760</v>
      </c>
    </row>
    <row r="578" ht="15.75" customHeight="1">
      <c r="A578" s="2">
        <v>577.0</v>
      </c>
      <c r="B578" s="11">
        <f>'Exponential Item Growth'!$B$5*'Exponential Item Growth'!$B$6^A578</f>
        <v>3.36573E+17</v>
      </c>
      <c r="C578" s="12">
        <f t="shared" si="1"/>
        <v>123339.52</v>
      </c>
      <c r="D578" s="2">
        <f>A578*'Exponential Item Growth'!$B$4</f>
        <v>963.59</v>
      </c>
      <c r="E578" s="12">
        <f>if(isna(VLOOKUP(A578,'Exponential Item Growth'!$A$10:$B$18,2,false)),E577, E577*VLOOKUP(A578,'Exponential Item Growth'!$A$10:$B$18,2,false))</f>
        <v>128</v>
      </c>
      <c r="F578" s="12">
        <f>C578*'Exponential Item Growth'!$B$21</f>
        <v>616697.6</v>
      </c>
      <c r="G578" s="12">
        <f>'Exponential Item Growth'!$B$22*C578</f>
        <v>9250464</v>
      </c>
      <c r="H578" s="12">
        <f>'Exponential Item Growth'!$B$23*C578</f>
        <v>123339520</v>
      </c>
    </row>
    <row r="579" ht="15.75" customHeight="1">
      <c r="A579" s="2">
        <v>578.0</v>
      </c>
      <c r="B579" s="11">
        <f>'Exponential Item Growth'!$B$5*'Exponential Item Growth'!$B$6^A579</f>
        <v>3.60133E+17</v>
      </c>
      <c r="C579" s="12">
        <f t="shared" si="1"/>
        <v>123553.28</v>
      </c>
      <c r="D579" s="2">
        <f>A579*'Exponential Item Growth'!$B$4</f>
        <v>965.26</v>
      </c>
      <c r="E579" s="12">
        <f>if(isna(VLOOKUP(A579,'Exponential Item Growth'!$A$10:$B$18,2,false)),E578, E578*VLOOKUP(A579,'Exponential Item Growth'!$A$10:$B$18,2,false))</f>
        <v>128</v>
      </c>
      <c r="F579" s="12">
        <f>C579*'Exponential Item Growth'!$B$21</f>
        <v>617766.4</v>
      </c>
      <c r="G579" s="12">
        <f>'Exponential Item Growth'!$B$22*C579</f>
        <v>9266496</v>
      </c>
      <c r="H579" s="12">
        <f>'Exponential Item Growth'!$B$23*C579</f>
        <v>123553280</v>
      </c>
    </row>
    <row r="580" ht="15.75" customHeight="1">
      <c r="A580" s="2">
        <v>579.0</v>
      </c>
      <c r="B580" s="11">
        <f>'Exponential Item Growth'!$B$5*'Exponential Item Growth'!$B$6^A580</f>
        <v>3.85342E+17</v>
      </c>
      <c r="C580" s="12">
        <f t="shared" si="1"/>
        <v>123767.04</v>
      </c>
      <c r="D580" s="2">
        <f>A580*'Exponential Item Growth'!$B$4</f>
        <v>966.93</v>
      </c>
      <c r="E580" s="12">
        <f>if(isna(VLOOKUP(A580,'Exponential Item Growth'!$A$10:$B$18,2,false)),E579, E579*VLOOKUP(A580,'Exponential Item Growth'!$A$10:$B$18,2,false))</f>
        <v>128</v>
      </c>
      <c r="F580" s="12">
        <f>C580*'Exponential Item Growth'!$B$21</f>
        <v>618835.2</v>
      </c>
      <c r="G580" s="12">
        <f>'Exponential Item Growth'!$B$22*C580</f>
        <v>9282528</v>
      </c>
      <c r="H580" s="12">
        <f>'Exponential Item Growth'!$B$23*C580</f>
        <v>123767040</v>
      </c>
    </row>
    <row r="581" ht="15.75" customHeight="1">
      <c r="A581" s="2">
        <v>580.0</v>
      </c>
      <c r="B581" s="11">
        <f>'Exponential Item Growth'!$B$5*'Exponential Item Growth'!$B$6^A581</f>
        <v>4.12316E+17</v>
      </c>
      <c r="C581" s="12">
        <f t="shared" si="1"/>
        <v>123980.8</v>
      </c>
      <c r="D581" s="2">
        <f>A581*'Exponential Item Growth'!$B$4</f>
        <v>968.6</v>
      </c>
      <c r="E581" s="12">
        <f>if(isna(VLOOKUP(A581,'Exponential Item Growth'!$A$10:$B$18,2,false)),E580, E580*VLOOKUP(A581,'Exponential Item Growth'!$A$10:$B$18,2,false))</f>
        <v>128</v>
      </c>
      <c r="F581" s="12">
        <f>C581*'Exponential Item Growth'!$B$21</f>
        <v>619904</v>
      </c>
      <c r="G581" s="12">
        <f>'Exponential Item Growth'!$B$22*C581</f>
        <v>9298560</v>
      </c>
      <c r="H581" s="12">
        <f>'Exponential Item Growth'!$B$23*C581</f>
        <v>123980800</v>
      </c>
    </row>
    <row r="582" ht="15.75" customHeight="1">
      <c r="A582" s="2">
        <v>581.0</v>
      </c>
      <c r="B582" s="11">
        <f>'Exponential Item Growth'!$B$5*'Exponential Item Growth'!$B$6^A582</f>
        <v>4.41178E+17</v>
      </c>
      <c r="C582" s="12">
        <f t="shared" si="1"/>
        <v>124194.56</v>
      </c>
      <c r="D582" s="2">
        <f>A582*'Exponential Item Growth'!$B$4</f>
        <v>970.27</v>
      </c>
      <c r="E582" s="12">
        <f>if(isna(VLOOKUP(A582,'Exponential Item Growth'!$A$10:$B$18,2,false)),E581, E581*VLOOKUP(A582,'Exponential Item Growth'!$A$10:$B$18,2,false))</f>
        <v>128</v>
      </c>
      <c r="F582" s="12">
        <f>C582*'Exponential Item Growth'!$B$21</f>
        <v>620972.8</v>
      </c>
      <c r="G582" s="12">
        <f>'Exponential Item Growth'!$B$22*C582</f>
        <v>9314592</v>
      </c>
      <c r="H582" s="12">
        <f>'Exponential Item Growth'!$B$23*C582</f>
        <v>124194560</v>
      </c>
    </row>
    <row r="583" ht="15.75" customHeight="1">
      <c r="A583" s="2">
        <v>582.0</v>
      </c>
      <c r="B583" s="11">
        <f>'Exponential Item Growth'!$B$5*'Exponential Item Growth'!$B$6^A583</f>
        <v>4.72061E+17</v>
      </c>
      <c r="C583" s="12">
        <f t="shared" si="1"/>
        <v>124408.32</v>
      </c>
      <c r="D583" s="2">
        <f>A583*'Exponential Item Growth'!$B$4</f>
        <v>971.94</v>
      </c>
      <c r="E583" s="12">
        <f>if(isna(VLOOKUP(A583,'Exponential Item Growth'!$A$10:$B$18,2,false)),E582, E582*VLOOKUP(A583,'Exponential Item Growth'!$A$10:$B$18,2,false))</f>
        <v>128</v>
      </c>
      <c r="F583" s="12">
        <f>C583*'Exponential Item Growth'!$B$21</f>
        <v>622041.6</v>
      </c>
      <c r="G583" s="12">
        <f>'Exponential Item Growth'!$B$22*C583</f>
        <v>9330624</v>
      </c>
      <c r="H583" s="12">
        <f>'Exponential Item Growth'!$B$23*C583</f>
        <v>124408320</v>
      </c>
    </row>
    <row r="584" ht="15.75" customHeight="1">
      <c r="A584" s="2">
        <v>583.0</v>
      </c>
      <c r="B584" s="11">
        <f>'Exponential Item Growth'!$B$5*'Exponential Item Growth'!$B$6^A584</f>
        <v>5.05105E+17</v>
      </c>
      <c r="C584" s="12">
        <f t="shared" si="1"/>
        <v>124622.08</v>
      </c>
      <c r="D584" s="2">
        <f>A584*'Exponential Item Growth'!$B$4</f>
        <v>973.61</v>
      </c>
      <c r="E584" s="12">
        <f>if(isna(VLOOKUP(A584,'Exponential Item Growth'!$A$10:$B$18,2,false)),E583, E583*VLOOKUP(A584,'Exponential Item Growth'!$A$10:$B$18,2,false))</f>
        <v>128</v>
      </c>
      <c r="F584" s="12">
        <f>C584*'Exponential Item Growth'!$B$21</f>
        <v>623110.4</v>
      </c>
      <c r="G584" s="12">
        <f>'Exponential Item Growth'!$B$22*C584</f>
        <v>9346656</v>
      </c>
      <c r="H584" s="12">
        <f>'Exponential Item Growth'!$B$23*C584</f>
        <v>124622080</v>
      </c>
    </row>
    <row r="585" ht="15.75" customHeight="1">
      <c r="A585" s="2">
        <v>584.0</v>
      </c>
      <c r="B585" s="11">
        <f>'Exponential Item Growth'!$B$5*'Exponential Item Growth'!$B$6^A585</f>
        <v>5.40462E+17</v>
      </c>
      <c r="C585" s="12">
        <f t="shared" si="1"/>
        <v>124835.84</v>
      </c>
      <c r="D585" s="2">
        <f>A585*'Exponential Item Growth'!$B$4</f>
        <v>975.28</v>
      </c>
      <c r="E585" s="12">
        <f>if(isna(VLOOKUP(A585,'Exponential Item Growth'!$A$10:$B$18,2,false)),E584, E584*VLOOKUP(A585,'Exponential Item Growth'!$A$10:$B$18,2,false))</f>
        <v>128</v>
      </c>
      <c r="F585" s="12">
        <f>C585*'Exponential Item Growth'!$B$21</f>
        <v>624179.2</v>
      </c>
      <c r="G585" s="12">
        <f>'Exponential Item Growth'!$B$22*C585</f>
        <v>9362688</v>
      </c>
      <c r="H585" s="12">
        <f>'Exponential Item Growth'!$B$23*C585</f>
        <v>124835840</v>
      </c>
    </row>
    <row r="586" ht="15.75" customHeight="1">
      <c r="A586" s="2">
        <v>585.0</v>
      </c>
      <c r="B586" s="11">
        <f>'Exponential Item Growth'!$B$5*'Exponential Item Growth'!$B$6^A586</f>
        <v>5.78295E+17</v>
      </c>
      <c r="C586" s="12">
        <f t="shared" si="1"/>
        <v>125049.6</v>
      </c>
      <c r="D586" s="2">
        <f>A586*'Exponential Item Growth'!$B$4</f>
        <v>976.95</v>
      </c>
      <c r="E586" s="12">
        <f>if(isna(VLOOKUP(A586,'Exponential Item Growth'!$A$10:$B$18,2,false)),E585, E585*VLOOKUP(A586,'Exponential Item Growth'!$A$10:$B$18,2,false))</f>
        <v>128</v>
      </c>
      <c r="F586" s="12">
        <f>C586*'Exponential Item Growth'!$B$21</f>
        <v>625248</v>
      </c>
      <c r="G586" s="12">
        <f>'Exponential Item Growth'!$B$22*C586</f>
        <v>9378720</v>
      </c>
      <c r="H586" s="12">
        <f>'Exponential Item Growth'!$B$23*C586</f>
        <v>125049600</v>
      </c>
    </row>
    <row r="587" ht="15.75" customHeight="1">
      <c r="A587" s="2">
        <v>586.0</v>
      </c>
      <c r="B587" s="11">
        <f>'Exponential Item Growth'!$B$5*'Exponential Item Growth'!$B$6^A587</f>
        <v>6.18775E+17</v>
      </c>
      <c r="C587" s="12">
        <f t="shared" si="1"/>
        <v>125263.36</v>
      </c>
      <c r="D587" s="2">
        <f>A587*'Exponential Item Growth'!$B$4</f>
        <v>978.62</v>
      </c>
      <c r="E587" s="12">
        <f>if(isna(VLOOKUP(A587,'Exponential Item Growth'!$A$10:$B$18,2,false)),E586, E586*VLOOKUP(A587,'Exponential Item Growth'!$A$10:$B$18,2,false))</f>
        <v>128</v>
      </c>
      <c r="F587" s="12">
        <f>C587*'Exponential Item Growth'!$B$21</f>
        <v>626316.8</v>
      </c>
      <c r="G587" s="12">
        <f>'Exponential Item Growth'!$B$22*C587</f>
        <v>9394752</v>
      </c>
      <c r="H587" s="12">
        <f>'Exponential Item Growth'!$B$23*C587</f>
        <v>125263360</v>
      </c>
    </row>
    <row r="588" ht="15.75" customHeight="1">
      <c r="A588" s="2">
        <v>587.0</v>
      </c>
      <c r="B588" s="11">
        <f>'Exponential Item Growth'!$B$5*'Exponential Item Growth'!$B$6^A588</f>
        <v>6.6209E+17</v>
      </c>
      <c r="C588" s="12">
        <f t="shared" si="1"/>
        <v>125477.12</v>
      </c>
      <c r="D588" s="2">
        <f>A588*'Exponential Item Growth'!$B$4</f>
        <v>980.29</v>
      </c>
      <c r="E588" s="12">
        <f>if(isna(VLOOKUP(A588,'Exponential Item Growth'!$A$10:$B$18,2,false)),E587, E587*VLOOKUP(A588,'Exponential Item Growth'!$A$10:$B$18,2,false))</f>
        <v>128</v>
      </c>
      <c r="F588" s="12">
        <f>C588*'Exponential Item Growth'!$B$21</f>
        <v>627385.6</v>
      </c>
      <c r="G588" s="12">
        <f>'Exponential Item Growth'!$B$22*C588</f>
        <v>9410784</v>
      </c>
      <c r="H588" s="12">
        <f>'Exponential Item Growth'!$B$23*C588</f>
        <v>125477120</v>
      </c>
    </row>
    <row r="589" ht="15.75" customHeight="1">
      <c r="A589" s="2">
        <v>588.0</v>
      </c>
      <c r="B589" s="11">
        <f>'Exponential Item Growth'!$B$5*'Exponential Item Growth'!$B$6^A589</f>
        <v>7.08436E+17</v>
      </c>
      <c r="C589" s="12">
        <f t="shared" si="1"/>
        <v>125690.88</v>
      </c>
      <c r="D589" s="2">
        <f>A589*'Exponential Item Growth'!$B$4</f>
        <v>981.96</v>
      </c>
      <c r="E589" s="12">
        <f>if(isna(VLOOKUP(A589,'Exponential Item Growth'!$A$10:$B$18,2,false)),E588, E588*VLOOKUP(A589,'Exponential Item Growth'!$A$10:$B$18,2,false))</f>
        <v>128</v>
      </c>
      <c r="F589" s="12">
        <f>C589*'Exponential Item Growth'!$B$21</f>
        <v>628454.4</v>
      </c>
      <c r="G589" s="12">
        <f>'Exponential Item Growth'!$B$22*C589</f>
        <v>9426816</v>
      </c>
      <c r="H589" s="12">
        <f>'Exponential Item Growth'!$B$23*C589</f>
        <v>125690880</v>
      </c>
    </row>
    <row r="590" ht="15.75" customHeight="1">
      <c r="A590" s="2">
        <v>589.0</v>
      </c>
      <c r="B590" s="11">
        <f>'Exponential Item Growth'!$B$5*'Exponential Item Growth'!$B$6^A590</f>
        <v>7.58026E+17</v>
      </c>
      <c r="C590" s="12">
        <f t="shared" si="1"/>
        <v>125904.64</v>
      </c>
      <c r="D590" s="2">
        <f>A590*'Exponential Item Growth'!$B$4</f>
        <v>983.63</v>
      </c>
      <c r="E590" s="12">
        <f>if(isna(VLOOKUP(A590,'Exponential Item Growth'!$A$10:$B$18,2,false)),E589, E589*VLOOKUP(A590,'Exponential Item Growth'!$A$10:$B$18,2,false))</f>
        <v>128</v>
      </c>
      <c r="F590" s="12">
        <f>C590*'Exponential Item Growth'!$B$21</f>
        <v>629523.2</v>
      </c>
      <c r="G590" s="12">
        <f>'Exponential Item Growth'!$B$22*C590</f>
        <v>9442848</v>
      </c>
      <c r="H590" s="12">
        <f>'Exponential Item Growth'!$B$23*C590</f>
        <v>125904640</v>
      </c>
    </row>
    <row r="591" ht="15.75" customHeight="1">
      <c r="A591" s="2">
        <v>590.0</v>
      </c>
      <c r="B591" s="11">
        <f>'Exponential Item Growth'!$B$5*'Exponential Item Growth'!$B$6^A591</f>
        <v>8.11088E+17</v>
      </c>
      <c r="C591" s="12">
        <f t="shared" si="1"/>
        <v>126118.4</v>
      </c>
      <c r="D591" s="2">
        <f>A591*'Exponential Item Growth'!$B$4</f>
        <v>985.3</v>
      </c>
      <c r="E591" s="12">
        <f>if(isna(VLOOKUP(A591,'Exponential Item Growth'!$A$10:$B$18,2,false)),E590, E590*VLOOKUP(A591,'Exponential Item Growth'!$A$10:$B$18,2,false))</f>
        <v>128</v>
      </c>
      <c r="F591" s="12">
        <f>C591*'Exponential Item Growth'!$B$21</f>
        <v>630592</v>
      </c>
      <c r="G591" s="12">
        <f>'Exponential Item Growth'!$B$22*C591</f>
        <v>9458880</v>
      </c>
      <c r="H591" s="12">
        <f>'Exponential Item Growth'!$B$23*C591</f>
        <v>126118400</v>
      </c>
    </row>
    <row r="592" ht="15.75" customHeight="1">
      <c r="A592" s="2">
        <v>591.0</v>
      </c>
      <c r="B592" s="11">
        <f>'Exponential Item Growth'!$B$5*'Exponential Item Growth'!$B$6^A592</f>
        <v>8.67864E+17</v>
      </c>
      <c r="C592" s="12">
        <f t="shared" si="1"/>
        <v>126332.16</v>
      </c>
      <c r="D592" s="2">
        <f>A592*'Exponential Item Growth'!$B$4</f>
        <v>986.97</v>
      </c>
      <c r="E592" s="12">
        <f>if(isna(VLOOKUP(A592,'Exponential Item Growth'!$A$10:$B$18,2,false)),E591, E591*VLOOKUP(A592,'Exponential Item Growth'!$A$10:$B$18,2,false))</f>
        <v>128</v>
      </c>
      <c r="F592" s="12">
        <f>C592*'Exponential Item Growth'!$B$21</f>
        <v>631660.8</v>
      </c>
      <c r="G592" s="12">
        <f>'Exponential Item Growth'!$B$22*C592</f>
        <v>9474912</v>
      </c>
      <c r="H592" s="12">
        <f>'Exponential Item Growth'!$B$23*C592</f>
        <v>126332160</v>
      </c>
    </row>
    <row r="593" ht="15.75" customHeight="1">
      <c r="A593" s="2">
        <v>592.0</v>
      </c>
      <c r="B593" s="11">
        <f>'Exponential Item Growth'!$B$5*'Exponential Item Growth'!$B$6^A593</f>
        <v>9.28615E+17</v>
      </c>
      <c r="C593" s="12">
        <f t="shared" si="1"/>
        <v>126545.92</v>
      </c>
      <c r="D593" s="2">
        <f>A593*'Exponential Item Growth'!$B$4</f>
        <v>988.64</v>
      </c>
      <c r="E593" s="12">
        <f>if(isna(VLOOKUP(A593,'Exponential Item Growth'!$A$10:$B$18,2,false)),E592, E592*VLOOKUP(A593,'Exponential Item Growth'!$A$10:$B$18,2,false))</f>
        <v>128</v>
      </c>
      <c r="F593" s="12">
        <f>C593*'Exponential Item Growth'!$B$21</f>
        <v>632729.6</v>
      </c>
      <c r="G593" s="12">
        <f>'Exponential Item Growth'!$B$22*C593</f>
        <v>9490944</v>
      </c>
      <c r="H593" s="12">
        <f>'Exponential Item Growth'!$B$23*C593</f>
        <v>126545920</v>
      </c>
    </row>
    <row r="594" ht="15.75" customHeight="1">
      <c r="A594" s="2">
        <v>593.0</v>
      </c>
      <c r="B594" s="11">
        <f>'Exponential Item Growth'!$B$5*'Exponential Item Growth'!$B$6^A594</f>
        <v>9.93618E+17</v>
      </c>
      <c r="C594" s="12">
        <f t="shared" si="1"/>
        <v>126759.68</v>
      </c>
      <c r="D594" s="2">
        <f>A594*'Exponential Item Growth'!$B$4</f>
        <v>990.31</v>
      </c>
      <c r="E594" s="12">
        <f>if(isna(VLOOKUP(A594,'Exponential Item Growth'!$A$10:$B$18,2,false)),E593, E593*VLOOKUP(A594,'Exponential Item Growth'!$A$10:$B$18,2,false))</f>
        <v>128</v>
      </c>
      <c r="F594" s="12">
        <f>C594*'Exponential Item Growth'!$B$21</f>
        <v>633798.4</v>
      </c>
      <c r="G594" s="12">
        <f>'Exponential Item Growth'!$B$22*C594</f>
        <v>9506976</v>
      </c>
      <c r="H594" s="12">
        <f>'Exponential Item Growth'!$B$23*C594</f>
        <v>126759680</v>
      </c>
    </row>
    <row r="595" ht="15.75" customHeight="1">
      <c r="A595" s="2">
        <v>594.0</v>
      </c>
      <c r="B595" s="11">
        <f>'Exponential Item Growth'!$B$5*'Exponential Item Growth'!$B$6^A595</f>
        <v>1.06317E+18</v>
      </c>
      <c r="C595" s="12">
        <f t="shared" si="1"/>
        <v>126973.44</v>
      </c>
      <c r="D595" s="2">
        <f>A595*'Exponential Item Growth'!$B$4</f>
        <v>991.98</v>
      </c>
      <c r="E595" s="12">
        <f>if(isna(VLOOKUP(A595,'Exponential Item Growth'!$A$10:$B$18,2,false)),E594, E594*VLOOKUP(A595,'Exponential Item Growth'!$A$10:$B$18,2,false))</f>
        <v>128</v>
      </c>
      <c r="F595" s="12">
        <f>C595*'Exponential Item Growth'!$B$21</f>
        <v>634867.2</v>
      </c>
      <c r="G595" s="12">
        <f>'Exponential Item Growth'!$B$22*C595</f>
        <v>9523008</v>
      </c>
      <c r="H595" s="12">
        <f>'Exponential Item Growth'!$B$23*C595</f>
        <v>126973440</v>
      </c>
    </row>
    <row r="596" ht="15.75" customHeight="1">
      <c r="A596" s="2">
        <v>595.0</v>
      </c>
      <c r="B596" s="11">
        <f>'Exponential Item Growth'!$B$5*'Exponential Item Growth'!$B$6^A596</f>
        <v>1.13759E+18</v>
      </c>
      <c r="C596" s="12">
        <f t="shared" si="1"/>
        <v>127187.2</v>
      </c>
      <c r="D596" s="2">
        <f>A596*'Exponential Item Growth'!$B$4</f>
        <v>993.65</v>
      </c>
      <c r="E596" s="12">
        <f>if(isna(VLOOKUP(A596,'Exponential Item Growth'!$A$10:$B$18,2,false)),E595, E595*VLOOKUP(A596,'Exponential Item Growth'!$A$10:$B$18,2,false))</f>
        <v>128</v>
      </c>
      <c r="F596" s="12">
        <f>C596*'Exponential Item Growth'!$B$21</f>
        <v>635936</v>
      </c>
      <c r="G596" s="12">
        <f>'Exponential Item Growth'!$B$22*C596</f>
        <v>9539040</v>
      </c>
      <c r="H596" s="12">
        <f>'Exponential Item Growth'!$B$23*C596</f>
        <v>127187200</v>
      </c>
    </row>
    <row r="597" ht="15.75" customHeight="1">
      <c r="A597" s="2">
        <v>596.0</v>
      </c>
      <c r="B597" s="11">
        <f>'Exponential Item Growth'!$B$5*'Exponential Item Growth'!$B$6^A597</f>
        <v>1.21722E+18</v>
      </c>
      <c r="C597" s="12">
        <f t="shared" si="1"/>
        <v>127400.96</v>
      </c>
      <c r="D597" s="2">
        <f>A597*'Exponential Item Growth'!$B$4</f>
        <v>995.32</v>
      </c>
      <c r="E597" s="12">
        <f>if(isna(VLOOKUP(A597,'Exponential Item Growth'!$A$10:$B$18,2,false)),E596, E596*VLOOKUP(A597,'Exponential Item Growth'!$A$10:$B$18,2,false))</f>
        <v>128</v>
      </c>
      <c r="F597" s="12">
        <f>C597*'Exponential Item Growth'!$B$21</f>
        <v>637004.8</v>
      </c>
      <c r="G597" s="12">
        <f>'Exponential Item Growth'!$B$22*C597</f>
        <v>9555072</v>
      </c>
      <c r="H597" s="12">
        <f>'Exponential Item Growth'!$B$23*C597</f>
        <v>127400960</v>
      </c>
    </row>
    <row r="598" ht="15.75" customHeight="1">
      <c r="A598" s="2">
        <v>597.0</v>
      </c>
      <c r="B598" s="11">
        <f>'Exponential Item Growth'!$B$5*'Exponential Item Growth'!$B$6^A598</f>
        <v>1.30243E+18</v>
      </c>
      <c r="C598" s="12">
        <f t="shared" si="1"/>
        <v>127614.72</v>
      </c>
      <c r="D598" s="2">
        <f>A598*'Exponential Item Growth'!$B$4</f>
        <v>996.99</v>
      </c>
      <c r="E598" s="12">
        <f>if(isna(VLOOKUP(A598,'Exponential Item Growth'!$A$10:$B$18,2,false)),E597, E597*VLOOKUP(A598,'Exponential Item Growth'!$A$10:$B$18,2,false))</f>
        <v>128</v>
      </c>
      <c r="F598" s="12">
        <f>C598*'Exponential Item Growth'!$B$21</f>
        <v>638073.6</v>
      </c>
      <c r="G598" s="12">
        <f>'Exponential Item Growth'!$B$22*C598</f>
        <v>9571104</v>
      </c>
      <c r="H598" s="12">
        <f>'Exponential Item Growth'!$B$23*C598</f>
        <v>127614720</v>
      </c>
    </row>
    <row r="599" ht="15.75" customHeight="1">
      <c r="A599" s="2">
        <v>598.0</v>
      </c>
      <c r="B599" s="11">
        <f>'Exponential Item Growth'!$B$5*'Exponential Item Growth'!$B$6^A599</f>
        <v>1.3936E+18</v>
      </c>
      <c r="C599" s="12">
        <f t="shared" si="1"/>
        <v>127828.48</v>
      </c>
      <c r="D599" s="2">
        <f>A599*'Exponential Item Growth'!$B$4</f>
        <v>998.66</v>
      </c>
      <c r="E599" s="12">
        <f>if(isna(VLOOKUP(A599,'Exponential Item Growth'!$A$10:$B$18,2,false)),E598, E598*VLOOKUP(A599,'Exponential Item Growth'!$A$10:$B$18,2,false))</f>
        <v>128</v>
      </c>
      <c r="F599" s="12">
        <f>C599*'Exponential Item Growth'!$B$21</f>
        <v>639142.4</v>
      </c>
      <c r="G599" s="12">
        <f>'Exponential Item Growth'!$B$22*C599</f>
        <v>9587136</v>
      </c>
      <c r="H599" s="12">
        <f>'Exponential Item Growth'!$B$23*C599</f>
        <v>127828480</v>
      </c>
    </row>
    <row r="600" ht="15.75" customHeight="1">
      <c r="A600" s="2">
        <v>599.0</v>
      </c>
      <c r="B600" s="11">
        <f>'Exponential Item Growth'!$B$5*'Exponential Item Growth'!$B$6^A600</f>
        <v>1.49115E+18</v>
      </c>
      <c r="C600" s="12">
        <f t="shared" si="1"/>
        <v>128042.24</v>
      </c>
      <c r="D600" s="2">
        <f>A600*'Exponential Item Growth'!$B$4</f>
        <v>1000.33</v>
      </c>
      <c r="E600" s="12">
        <f>if(isna(VLOOKUP(A600,'Exponential Item Growth'!$A$10:$B$18,2,false)),E599, E599*VLOOKUP(A600,'Exponential Item Growth'!$A$10:$B$18,2,false))</f>
        <v>128</v>
      </c>
      <c r="F600" s="12">
        <f>C600*'Exponential Item Growth'!$B$21</f>
        <v>640211.2</v>
      </c>
      <c r="G600" s="12">
        <f>'Exponential Item Growth'!$B$22*C600</f>
        <v>9603168</v>
      </c>
      <c r="H600" s="12">
        <f>'Exponential Item Growth'!$B$23*C600</f>
        <v>128042240</v>
      </c>
    </row>
    <row r="601" ht="15.75" customHeight="1">
      <c r="A601" s="2">
        <v>600.0</v>
      </c>
      <c r="B601" s="11">
        <f>'Exponential Item Growth'!$B$5*'Exponential Item Growth'!$B$6^A601</f>
        <v>1.59553E+18</v>
      </c>
      <c r="C601" s="12">
        <f t="shared" si="1"/>
        <v>256512</v>
      </c>
      <c r="D601" s="2">
        <f>A601*'Exponential Item Growth'!$B$4</f>
        <v>1002</v>
      </c>
      <c r="E601" s="12">
        <f>if(isna(VLOOKUP(A601,'Exponential Item Growth'!$A$10:$B$18,2,false)),E600, E600*VLOOKUP(A601,'Exponential Item Growth'!$A$10:$B$18,2,false))</f>
        <v>256</v>
      </c>
      <c r="F601" s="12">
        <f>C601*'Exponential Item Growth'!$B$21</f>
        <v>1282560</v>
      </c>
      <c r="G601" s="12">
        <f>'Exponential Item Growth'!$B$22*C601</f>
        <v>19238400</v>
      </c>
      <c r="H601" s="12">
        <f>'Exponential Item Growth'!$B$23*C601</f>
        <v>256512000</v>
      </c>
    </row>
    <row r="602" ht="15.75" customHeight="1">
      <c r="A602" s="2">
        <v>601.0</v>
      </c>
      <c r="B602" s="11">
        <f>'Exponential Item Growth'!$B$5*'Exponential Item Growth'!$B$6^A602</f>
        <v>1.70722E+18</v>
      </c>
      <c r="C602" s="12">
        <f t="shared" si="1"/>
        <v>256939.52</v>
      </c>
      <c r="D602" s="2">
        <f>A602*'Exponential Item Growth'!$B$4</f>
        <v>1003.67</v>
      </c>
      <c r="E602" s="12">
        <f>if(isna(VLOOKUP(A602,'Exponential Item Growth'!$A$10:$B$18,2,false)),E601, E601*VLOOKUP(A602,'Exponential Item Growth'!$A$10:$B$18,2,false))</f>
        <v>256</v>
      </c>
      <c r="F602" s="12">
        <f>C602*'Exponential Item Growth'!$B$21</f>
        <v>1284697.6</v>
      </c>
      <c r="G602" s="12">
        <f>'Exponential Item Growth'!$B$22*C602</f>
        <v>19270464</v>
      </c>
      <c r="H602" s="12">
        <f>'Exponential Item Growth'!$B$23*C602</f>
        <v>256939520</v>
      </c>
    </row>
    <row r="603" ht="15.75" customHeight="1">
      <c r="A603" s="2">
        <v>602.0</v>
      </c>
      <c r="B603" s="11">
        <f>'Exponential Item Growth'!$B$5*'Exponential Item Growth'!$B$6^A603</f>
        <v>1.82673E+18</v>
      </c>
      <c r="C603" s="12">
        <f t="shared" si="1"/>
        <v>257367.04</v>
      </c>
      <c r="D603" s="2">
        <f>A603*'Exponential Item Growth'!$B$4</f>
        <v>1005.34</v>
      </c>
      <c r="E603" s="12">
        <f>if(isna(VLOOKUP(A603,'Exponential Item Growth'!$A$10:$B$18,2,false)),E602, E602*VLOOKUP(A603,'Exponential Item Growth'!$A$10:$B$18,2,false))</f>
        <v>256</v>
      </c>
      <c r="F603" s="12">
        <f>C603*'Exponential Item Growth'!$B$21</f>
        <v>1286835.2</v>
      </c>
      <c r="G603" s="12">
        <f>'Exponential Item Growth'!$B$22*C603</f>
        <v>19302528</v>
      </c>
      <c r="H603" s="12">
        <f>'Exponential Item Growth'!$B$23*C603</f>
        <v>257367040</v>
      </c>
    </row>
    <row r="604" ht="15.75" customHeight="1">
      <c r="A604" s="2">
        <v>603.0</v>
      </c>
      <c r="B604" s="11">
        <f>'Exponential Item Growth'!$B$5*'Exponential Item Growth'!$B$6^A604</f>
        <v>1.9546E+18</v>
      </c>
      <c r="C604" s="12">
        <f t="shared" si="1"/>
        <v>257794.56</v>
      </c>
      <c r="D604" s="2">
        <f>A604*'Exponential Item Growth'!$B$4</f>
        <v>1007.01</v>
      </c>
      <c r="E604" s="12">
        <f>if(isna(VLOOKUP(A604,'Exponential Item Growth'!$A$10:$B$18,2,false)),E603, E603*VLOOKUP(A604,'Exponential Item Growth'!$A$10:$B$18,2,false))</f>
        <v>256</v>
      </c>
      <c r="F604" s="12">
        <f>C604*'Exponential Item Growth'!$B$21</f>
        <v>1288972.8</v>
      </c>
      <c r="G604" s="12">
        <f>'Exponential Item Growth'!$B$22*C604</f>
        <v>19334592</v>
      </c>
      <c r="H604" s="12">
        <f>'Exponential Item Growth'!$B$23*C604</f>
        <v>257794560</v>
      </c>
    </row>
    <row r="605" ht="15.75" customHeight="1">
      <c r="A605" s="2">
        <v>604.0</v>
      </c>
      <c r="B605" s="11">
        <f>'Exponential Item Growth'!$B$5*'Exponential Item Growth'!$B$6^A605</f>
        <v>2.09142E+18</v>
      </c>
      <c r="C605" s="12">
        <f t="shared" si="1"/>
        <v>258222.08</v>
      </c>
      <c r="D605" s="2">
        <f>A605*'Exponential Item Growth'!$B$4</f>
        <v>1008.68</v>
      </c>
      <c r="E605" s="12">
        <f>if(isna(VLOOKUP(A605,'Exponential Item Growth'!$A$10:$B$18,2,false)),E604, E604*VLOOKUP(A605,'Exponential Item Growth'!$A$10:$B$18,2,false))</f>
        <v>256</v>
      </c>
      <c r="F605" s="12">
        <f>C605*'Exponential Item Growth'!$B$21</f>
        <v>1291110.4</v>
      </c>
      <c r="G605" s="12">
        <f>'Exponential Item Growth'!$B$22*C605</f>
        <v>19366656</v>
      </c>
      <c r="H605" s="12">
        <f>'Exponential Item Growth'!$B$23*C605</f>
        <v>258222080</v>
      </c>
    </row>
    <row r="606" ht="15.75" customHeight="1">
      <c r="A606" s="2">
        <v>605.0</v>
      </c>
      <c r="B606" s="11">
        <f>'Exponential Item Growth'!$B$5*'Exponential Item Growth'!$B$6^A606</f>
        <v>2.23782E+18</v>
      </c>
      <c r="C606" s="12">
        <f t="shared" si="1"/>
        <v>258649.6</v>
      </c>
      <c r="D606" s="2">
        <f>A606*'Exponential Item Growth'!$B$4</f>
        <v>1010.35</v>
      </c>
      <c r="E606" s="12">
        <f>if(isna(VLOOKUP(A606,'Exponential Item Growth'!$A$10:$B$18,2,false)),E605, E605*VLOOKUP(A606,'Exponential Item Growth'!$A$10:$B$18,2,false))</f>
        <v>256</v>
      </c>
      <c r="F606" s="12">
        <f>C606*'Exponential Item Growth'!$B$21</f>
        <v>1293248</v>
      </c>
      <c r="G606" s="12">
        <f>'Exponential Item Growth'!$B$22*C606</f>
        <v>19398720</v>
      </c>
      <c r="H606" s="12">
        <f>'Exponential Item Growth'!$B$23*C606</f>
        <v>258649600</v>
      </c>
    </row>
    <row r="607" ht="15.75" customHeight="1">
      <c r="A607" s="2">
        <v>606.0</v>
      </c>
      <c r="B607" s="11">
        <f>'Exponential Item Growth'!$B$5*'Exponential Item Growth'!$B$6^A607</f>
        <v>2.39447E+18</v>
      </c>
      <c r="C607" s="12">
        <f t="shared" si="1"/>
        <v>259077.12</v>
      </c>
      <c r="D607" s="2">
        <f>A607*'Exponential Item Growth'!$B$4</f>
        <v>1012.02</v>
      </c>
      <c r="E607" s="12">
        <f>if(isna(VLOOKUP(A607,'Exponential Item Growth'!$A$10:$B$18,2,false)),E606, E606*VLOOKUP(A607,'Exponential Item Growth'!$A$10:$B$18,2,false))</f>
        <v>256</v>
      </c>
      <c r="F607" s="12">
        <f>C607*'Exponential Item Growth'!$B$21</f>
        <v>1295385.6</v>
      </c>
      <c r="G607" s="12">
        <f>'Exponential Item Growth'!$B$22*C607</f>
        <v>19430784</v>
      </c>
      <c r="H607" s="12">
        <f>'Exponential Item Growth'!$B$23*C607</f>
        <v>259077120</v>
      </c>
    </row>
    <row r="608" ht="15.75" customHeight="1">
      <c r="A608" s="2">
        <v>607.0</v>
      </c>
      <c r="B608" s="11">
        <f>'Exponential Item Growth'!$B$5*'Exponential Item Growth'!$B$6^A608</f>
        <v>2.56208E+18</v>
      </c>
      <c r="C608" s="12">
        <f t="shared" si="1"/>
        <v>259504.64</v>
      </c>
      <c r="D608" s="2">
        <f>A608*'Exponential Item Growth'!$B$4</f>
        <v>1013.69</v>
      </c>
      <c r="E608" s="12">
        <f>if(isna(VLOOKUP(A608,'Exponential Item Growth'!$A$10:$B$18,2,false)),E607, E607*VLOOKUP(A608,'Exponential Item Growth'!$A$10:$B$18,2,false))</f>
        <v>256</v>
      </c>
      <c r="F608" s="12">
        <f>C608*'Exponential Item Growth'!$B$21</f>
        <v>1297523.2</v>
      </c>
      <c r="G608" s="12">
        <f>'Exponential Item Growth'!$B$22*C608</f>
        <v>19462848</v>
      </c>
      <c r="H608" s="12">
        <f>'Exponential Item Growth'!$B$23*C608</f>
        <v>259504640</v>
      </c>
    </row>
    <row r="609" ht="15.75" customHeight="1">
      <c r="A609" s="2">
        <v>608.0</v>
      </c>
      <c r="B609" s="11">
        <f>'Exponential Item Growth'!$B$5*'Exponential Item Growth'!$B$6^A609</f>
        <v>2.74142E+18</v>
      </c>
      <c r="C609" s="12">
        <f t="shared" si="1"/>
        <v>259932.16</v>
      </c>
      <c r="D609" s="2">
        <f>A609*'Exponential Item Growth'!$B$4</f>
        <v>1015.36</v>
      </c>
      <c r="E609" s="12">
        <f>if(isna(VLOOKUP(A609,'Exponential Item Growth'!$A$10:$B$18,2,false)),E608, E608*VLOOKUP(A609,'Exponential Item Growth'!$A$10:$B$18,2,false))</f>
        <v>256</v>
      </c>
      <c r="F609" s="12">
        <f>C609*'Exponential Item Growth'!$B$21</f>
        <v>1299660.8</v>
      </c>
      <c r="G609" s="12">
        <f>'Exponential Item Growth'!$B$22*C609</f>
        <v>19494912</v>
      </c>
      <c r="H609" s="12">
        <f>'Exponential Item Growth'!$B$23*C609</f>
        <v>259932160</v>
      </c>
    </row>
    <row r="610" ht="15.75" customHeight="1">
      <c r="A610" s="2">
        <v>609.0</v>
      </c>
      <c r="B610" s="11">
        <f>'Exponential Item Growth'!$B$5*'Exponential Item Growth'!$B$6^A610</f>
        <v>2.93332E+18</v>
      </c>
      <c r="C610" s="12">
        <f t="shared" si="1"/>
        <v>260359.68</v>
      </c>
      <c r="D610" s="2">
        <f>A610*'Exponential Item Growth'!$B$4</f>
        <v>1017.03</v>
      </c>
      <c r="E610" s="12">
        <f>if(isna(VLOOKUP(A610,'Exponential Item Growth'!$A$10:$B$18,2,false)),E609, E609*VLOOKUP(A610,'Exponential Item Growth'!$A$10:$B$18,2,false))</f>
        <v>256</v>
      </c>
      <c r="F610" s="12">
        <f>C610*'Exponential Item Growth'!$B$21</f>
        <v>1301798.4</v>
      </c>
      <c r="G610" s="12">
        <f>'Exponential Item Growth'!$B$22*C610</f>
        <v>19526976</v>
      </c>
      <c r="H610" s="12">
        <f>'Exponential Item Growth'!$B$23*C610</f>
        <v>260359680</v>
      </c>
    </row>
    <row r="611" ht="15.75" customHeight="1">
      <c r="A611" s="2">
        <v>610.0</v>
      </c>
      <c r="B611" s="11">
        <f>'Exponential Item Growth'!$B$5*'Exponential Item Growth'!$B$6^A611</f>
        <v>3.13866E+18</v>
      </c>
      <c r="C611" s="12">
        <f t="shared" si="1"/>
        <v>260787.2</v>
      </c>
      <c r="D611" s="2">
        <f>A611*'Exponential Item Growth'!$B$4</f>
        <v>1018.7</v>
      </c>
      <c r="E611" s="12">
        <f>if(isna(VLOOKUP(A611,'Exponential Item Growth'!$A$10:$B$18,2,false)),E610, E610*VLOOKUP(A611,'Exponential Item Growth'!$A$10:$B$18,2,false))</f>
        <v>256</v>
      </c>
      <c r="F611" s="12">
        <f>C611*'Exponential Item Growth'!$B$21</f>
        <v>1303936</v>
      </c>
      <c r="G611" s="12">
        <f>'Exponential Item Growth'!$B$22*C611</f>
        <v>19559040</v>
      </c>
      <c r="H611" s="12">
        <f>'Exponential Item Growth'!$B$23*C611</f>
        <v>260787200</v>
      </c>
    </row>
    <row r="612" ht="15.75" customHeight="1">
      <c r="A612" s="2">
        <v>611.0</v>
      </c>
      <c r="B612" s="11">
        <f>'Exponential Item Growth'!$B$5*'Exponential Item Growth'!$B$6^A612</f>
        <v>3.35836E+18</v>
      </c>
      <c r="C612" s="12">
        <f t="shared" si="1"/>
        <v>261214.72</v>
      </c>
      <c r="D612" s="2">
        <f>A612*'Exponential Item Growth'!$B$4</f>
        <v>1020.37</v>
      </c>
      <c r="E612" s="12">
        <f>if(isna(VLOOKUP(A612,'Exponential Item Growth'!$A$10:$B$18,2,false)),E611, E611*VLOOKUP(A612,'Exponential Item Growth'!$A$10:$B$18,2,false))</f>
        <v>256</v>
      </c>
      <c r="F612" s="12">
        <f>C612*'Exponential Item Growth'!$B$21</f>
        <v>1306073.6</v>
      </c>
      <c r="G612" s="12">
        <f>'Exponential Item Growth'!$B$22*C612</f>
        <v>19591104</v>
      </c>
      <c r="H612" s="12">
        <f>'Exponential Item Growth'!$B$23*C612</f>
        <v>261214720</v>
      </c>
    </row>
    <row r="613" ht="15.75" customHeight="1">
      <c r="A613" s="2">
        <v>612.0</v>
      </c>
      <c r="B613" s="11">
        <f>'Exponential Item Growth'!$B$5*'Exponential Item Growth'!$B$6^A613</f>
        <v>3.59345E+18</v>
      </c>
      <c r="C613" s="12">
        <f t="shared" si="1"/>
        <v>261642.24</v>
      </c>
      <c r="D613" s="2">
        <f>A613*'Exponential Item Growth'!$B$4</f>
        <v>1022.04</v>
      </c>
      <c r="E613" s="12">
        <f>if(isna(VLOOKUP(A613,'Exponential Item Growth'!$A$10:$B$18,2,false)),E612, E612*VLOOKUP(A613,'Exponential Item Growth'!$A$10:$B$18,2,false))</f>
        <v>256</v>
      </c>
      <c r="F613" s="12">
        <f>C613*'Exponential Item Growth'!$B$21</f>
        <v>1308211.2</v>
      </c>
      <c r="G613" s="12">
        <f>'Exponential Item Growth'!$B$22*C613</f>
        <v>19623168</v>
      </c>
      <c r="H613" s="12">
        <f>'Exponential Item Growth'!$B$23*C613</f>
        <v>261642240</v>
      </c>
    </row>
    <row r="614" ht="15.75" customHeight="1">
      <c r="A614" s="2">
        <v>613.0</v>
      </c>
      <c r="B614" s="11">
        <f>'Exponential Item Growth'!$B$5*'Exponential Item Growth'!$B$6^A614</f>
        <v>3.84499E+18</v>
      </c>
      <c r="C614" s="12">
        <f t="shared" si="1"/>
        <v>262069.76</v>
      </c>
      <c r="D614" s="2">
        <f>A614*'Exponential Item Growth'!$B$4</f>
        <v>1023.71</v>
      </c>
      <c r="E614" s="12">
        <f>if(isna(VLOOKUP(A614,'Exponential Item Growth'!$A$10:$B$18,2,false)),E613, E613*VLOOKUP(A614,'Exponential Item Growth'!$A$10:$B$18,2,false))</f>
        <v>256</v>
      </c>
      <c r="F614" s="12">
        <f>C614*'Exponential Item Growth'!$B$21</f>
        <v>1310348.8</v>
      </c>
      <c r="G614" s="12">
        <f>'Exponential Item Growth'!$B$22*C614</f>
        <v>19655232</v>
      </c>
      <c r="H614" s="12">
        <f>'Exponential Item Growth'!$B$23*C614</f>
        <v>262069760</v>
      </c>
    </row>
    <row r="615" ht="15.75" customHeight="1">
      <c r="A615" s="2">
        <v>614.0</v>
      </c>
      <c r="B615" s="11">
        <f>'Exponential Item Growth'!$B$5*'Exponential Item Growth'!$B$6^A615</f>
        <v>4.11414E+18</v>
      </c>
      <c r="C615" s="12">
        <f t="shared" si="1"/>
        <v>262497.28</v>
      </c>
      <c r="D615" s="2">
        <f>A615*'Exponential Item Growth'!$B$4</f>
        <v>1025.38</v>
      </c>
      <c r="E615" s="12">
        <f>if(isna(VLOOKUP(A615,'Exponential Item Growth'!$A$10:$B$18,2,false)),E614, E614*VLOOKUP(A615,'Exponential Item Growth'!$A$10:$B$18,2,false))</f>
        <v>256</v>
      </c>
      <c r="F615" s="12">
        <f>C615*'Exponential Item Growth'!$B$21</f>
        <v>1312486.4</v>
      </c>
      <c r="G615" s="12">
        <f>'Exponential Item Growth'!$B$22*C615</f>
        <v>19687296</v>
      </c>
      <c r="H615" s="12">
        <f>'Exponential Item Growth'!$B$23*C615</f>
        <v>262497280</v>
      </c>
    </row>
    <row r="616" ht="15.75" customHeight="1">
      <c r="A616" s="2">
        <v>615.0</v>
      </c>
      <c r="B616" s="11">
        <f>'Exponential Item Growth'!$B$5*'Exponential Item Growth'!$B$6^A616</f>
        <v>4.40213E+18</v>
      </c>
      <c r="C616" s="12">
        <f t="shared" si="1"/>
        <v>262924.8</v>
      </c>
      <c r="D616" s="2">
        <f>A616*'Exponential Item Growth'!$B$4</f>
        <v>1027.05</v>
      </c>
      <c r="E616" s="12">
        <f>if(isna(VLOOKUP(A616,'Exponential Item Growth'!$A$10:$B$18,2,false)),E615, E615*VLOOKUP(A616,'Exponential Item Growth'!$A$10:$B$18,2,false))</f>
        <v>256</v>
      </c>
      <c r="F616" s="12">
        <f>C616*'Exponential Item Growth'!$B$21</f>
        <v>1314624</v>
      </c>
      <c r="G616" s="12">
        <f>'Exponential Item Growth'!$B$22*C616</f>
        <v>19719360</v>
      </c>
      <c r="H616" s="12">
        <f>'Exponential Item Growth'!$B$23*C616</f>
        <v>262924800</v>
      </c>
    </row>
    <row r="617" ht="15.75" customHeight="1">
      <c r="A617" s="2">
        <v>616.0</v>
      </c>
      <c r="B617" s="11">
        <f>'Exponential Item Growth'!$B$5*'Exponential Item Growth'!$B$6^A617</f>
        <v>4.71028E+18</v>
      </c>
      <c r="C617" s="12">
        <f t="shared" si="1"/>
        <v>263352.32</v>
      </c>
      <c r="D617" s="2">
        <f>A617*'Exponential Item Growth'!$B$4</f>
        <v>1028.72</v>
      </c>
      <c r="E617" s="12">
        <f>if(isna(VLOOKUP(A617,'Exponential Item Growth'!$A$10:$B$18,2,false)),E616, E616*VLOOKUP(A617,'Exponential Item Growth'!$A$10:$B$18,2,false))</f>
        <v>256</v>
      </c>
      <c r="F617" s="12">
        <f>C617*'Exponential Item Growth'!$B$21</f>
        <v>1316761.6</v>
      </c>
      <c r="G617" s="12">
        <f>'Exponential Item Growth'!$B$22*C617</f>
        <v>19751424</v>
      </c>
      <c r="H617" s="12">
        <f>'Exponential Item Growth'!$B$23*C617</f>
        <v>263352320</v>
      </c>
    </row>
    <row r="618" ht="15.75" customHeight="1">
      <c r="A618" s="2">
        <v>617.0</v>
      </c>
      <c r="B618" s="11">
        <f>'Exponential Item Growth'!$B$5*'Exponential Item Growth'!$B$6^A618</f>
        <v>5.04E+18</v>
      </c>
      <c r="C618" s="12">
        <f t="shared" si="1"/>
        <v>263779.84</v>
      </c>
      <c r="D618" s="2">
        <f>A618*'Exponential Item Growth'!$B$4</f>
        <v>1030.39</v>
      </c>
      <c r="E618" s="12">
        <f>if(isna(VLOOKUP(A618,'Exponential Item Growth'!$A$10:$B$18,2,false)),E617, E617*VLOOKUP(A618,'Exponential Item Growth'!$A$10:$B$18,2,false))</f>
        <v>256</v>
      </c>
      <c r="F618" s="12">
        <f>C618*'Exponential Item Growth'!$B$21</f>
        <v>1318899.2</v>
      </c>
      <c r="G618" s="12">
        <f>'Exponential Item Growth'!$B$22*C618</f>
        <v>19783488</v>
      </c>
      <c r="H618" s="12">
        <f>'Exponential Item Growth'!$B$23*C618</f>
        <v>263779840</v>
      </c>
    </row>
    <row r="619" ht="15.75" customHeight="1">
      <c r="A619" s="2">
        <v>618.0</v>
      </c>
      <c r="B619" s="11">
        <f>'Exponential Item Growth'!$B$5*'Exponential Item Growth'!$B$6^A619</f>
        <v>5.39279E+18</v>
      </c>
      <c r="C619" s="12">
        <f t="shared" si="1"/>
        <v>264207.36</v>
      </c>
      <c r="D619" s="2">
        <f>A619*'Exponential Item Growth'!$B$4</f>
        <v>1032.06</v>
      </c>
      <c r="E619" s="12">
        <f>if(isna(VLOOKUP(A619,'Exponential Item Growth'!$A$10:$B$18,2,false)),E618, E618*VLOOKUP(A619,'Exponential Item Growth'!$A$10:$B$18,2,false))</f>
        <v>256</v>
      </c>
      <c r="F619" s="12">
        <f>C619*'Exponential Item Growth'!$B$21</f>
        <v>1321036.8</v>
      </c>
      <c r="G619" s="12">
        <f>'Exponential Item Growth'!$B$22*C619</f>
        <v>19815552</v>
      </c>
      <c r="H619" s="12">
        <f>'Exponential Item Growth'!$B$23*C619</f>
        <v>264207360</v>
      </c>
    </row>
    <row r="620" ht="15.75" customHeight="1">
      <c r="A620" s="2">
        <v>619.0</v>
      </c>
      <c r="B620" s="11">
        <f>'Exponential Item Growth'!$B$5*'Exponential Item Growth'!$B$6^A620</f>
        <v>5.77029E+18</v>
      </c>
      <c r="C620" s="12">
        <f t="shared" si="1"/>
        <v>264634.88</v>
      </c>
      <c r="D620" s="2">
        <f>A620*'Exponential Item Growth'!$B$4</f>
        <v>1033.73</v>
      </c>
      <c r="E620" s="12">
        <f>if(isna(VLOOKUP(A620,'Exponential Item Growth'!$A$10:$B$18,2,false)),E619, E619*VLOOKUP(A620,'Exponential Item Growth'!$A$10:$B$18,2,false))</f>
        <v>256</v>
      </c>
      <c r="F620" s="12">
        <f>C620*'Exponential Item Growth'!$B$21</f>
        <v>1323174.4</v>
      </c>
      <c r="G620" s="12">
        <f>'Exponential Item Growth'!$B$22*C620</f>
        <v>19847616</v>
      </c>
      <c r="H620" s="12">
        <f>'Exponential Item Growth'!$B$23*C620</f>
        <v>264634880</v>
      </c>
    </row>
    <row r="621" ht="15.75" customHeight="1">
      <c r="A621" s="2">
        <v>620.0</v>
      </c>
      <c r="B621" s="11">
        <f>'Exponential Item Growth'!$B$5*'Exponential Item Growth'!$B$6^A621</f>
        <v>6.17421E+18</v>
      </c>
      <c r="C621" s="12">
        <f t="shared" si="1"/>
        <v>265062.4</v>
      </c>
      <c r="D621" s="2">
        <f>A621*'Exponential Item Growth'!$B$4</f>
        <v>1035.4</v>
      </c>
      <c r="E621" s="12">
        <f>if(isna(VLOOKUP(A621,'Exponential Item Growth'!$A$10:$B$18,2,false)),E620, E620*VLOOKUP(A621,'Exponential Item Growth'!$A$10:$B$18,2,false))</f>
        <v>256</v>
      </c>
      <c r="F621" s="12">
        <f>C621*'Exponential Item Growth'!$B$21</f>
        <v>1325312</v>
      </c>
      <c r="G621" s="12">
        <f>'Exponential Item Growth'!$B$22*C621</f>
        <v>19879680</v>
      </c>
      <c r="H621" s="12">
        <f>'Exponential Item Growth'!$B$23*C621</f>
        <v>265062400</v>
      </c>
    </row>
    <row r="622" ht="15.75" customHeight="1">
      <c r="A622" s="2">
        <v>621.0</v>
      </c>
      <c r="B622" s="11">
        <f>'Exponential Item Growth'!$B$5*'Exponential Item Growth'!$B$6^A622</f>
        <v>6.60641E+18</v>
      </c>
      <c r="C622" s="12">
        <f t="shared" si="1"/>
        <v>265489.92</v>
      </c>
      <c r="D622" s="2">
        <f>A622*'Exponential Item Growth'!$B$4</f>
        <v>1037.07</v>
      </c>
      <c r="E622" s="12">
        <f>if(isna(VLOOKUP(A622,'Exponential Item Growth'!$A$10:$B$18,2,false)),E621, E621*VLOOKUP(A622,'Exponential Item Growth'!$A$10:$B$18,2,false))</f>
        <v>256</v>
      </c>
      <c r="F622" s="12">
        <f>C622*'Exponential Item Growth'!$B$21</f>
        <v>1327449.6</v>
      </c>
      <c r="G622" s="12">
        <f>'Exponential Item Growth'!$B$22*C622</f>
        <v>19911744</v>
      </c>
      <c r="H622" s="12">
        <f>'Exponential Item Growth'!$B$23*C622</f>
        <v>265489920</v>
      </c>
    </row>
    <row r="623" ht="15.75" customHeight="1">
      <c r="A623" s="2">
        <v>622.0</v>
      </c>
      <c r="B623" s="11">
        <f>'Exponential Item Growth'!$B$5*'Exponential Item Growth'!$B$6^A623</f>
        <v>7.06885E+18</v>
      </c>
      <c r="C623" s="12">
        <f t="shared" si="1"/>
        <v>265917.44</v>
      </c>
      <c r="D623" s="2">
        <f>A623*'Exponential Item Growth'!$B$4</f>
        <v>1038.74</v>
      </c>
      <c r="E623" s="12">
        <f>if(isna(VLOOKUP(A623,'Exponential Item Growth'!$A$10:$B$18,2,false)),E622, E622*VLOOKUP(A623,'Exponential Item Growth'!$A$10:$B$18,2,false))</f>
        <v>256</v>
      </c>
      <c r="F623" s="12">
        <f>C623*'Exponential Item Growth'!$B$21</f>
        <v>1329587.2</v>
      </c>
      <c r="G623" s="12">
        <f>'Exponential Item Growth'!$B$22*C623</f>
        <v>19943808</v>
      </c>
      <c r="H623" s="12">
        <f>'Exponential Item Growth'!$B$23*C623</f>
        <v>265917440</v>
      </c>
    </row>
    <row r="624" ht="15.75" customHeight="1">
      <c r="A624" s="2">
        <v>623.0</v>
      </c>
      <c r="B624" s="11">
        <f>'Exponential Item Growth'!$B$5*'Exponential Item Growth'!$B$6^A624</f>
        <v>7.56367E+18</v>
      </c>
      <c r="C624" s="12">
        <f t="shared" si="1"/>
        <v>266344.96</v>
      </c>
      <c r="D624" s="2">
        <f>A624*'Exponential Item Growth'!$B$4</f>
        <v>1040.41</v>
      </c>
      <c r="E624" s="12">
        <f>if(isna(VLOOKUP(A624,'Exponential Item Growth'!$A$10:$B$18,2,false)),E623, E623*VLOOKUP(A624,'Exponential Item Growth'!$A$10:$B$18,2,false))</f>
        <v>256</v>
      </c>
      <c r="F624" s="12">
        <f>C624*'Exponential Item Growth'!$B$21</f>
        <v>1331724.8</v>
      </c>
      <c r="G624" s="12">
        <f>'Exponential Item Growth'!$B$22*C624</f>
        <v>19975872</v>
      </c>
      <c r="H624" s="12">
        <f>'Exponential Item Growth'!$B$23*C624</f>
        <v>266344960</v>
      </c>
    </row>
    <row r="625" ht="15.75" customHeight="1">
      <c r="A625" s="2">
        <v>624.0</v>
      </c>
      <c r="B625" s="11">
        <f>'Exponential Item Growth'!$B$5*'Exponential Item Growth'!$B$6^A625</f>
        <v>8.09313E+18</v>
      </c>
      <c r="C625" s="12">
        <f t="shared" si="1"/>
        <v>266772.48</v>
      </c>
      <c r="D625" s="2">
        <f>A625*'Exponential Item Growth'!$B$4</f>
        <v>1042.08</v>
      </c>
      <c r="E625" s="12">
        <f>if(isna(VLOOKUP(A625,'Exponential Item Growth'!$A$10:$B$18,2,false)),E624, E624*VLOOKUP(A625,'Exponential Item Growth'!$A$10:$B$18,2,false))</f>
        <v>256</v>
      </c>
      <c r="F625" s="12">
        <f>C625*'Exponential Item Growth'!$B$21</f>
        <v>1333862.4</v>
      </c>
      <c r="G625" s="12">
        <f>'Exponential Item Growth'!$B$22*C625</f>
        <v>20007936</v>
      </c>
      <c r="H625" s="12">
        <f>'Exponential Item Growth'!$B$23*C625</f>
        <v>266772480</v>
      </c>
    </row>
    <row r="626" ht="15.75" customHeight="1">
      <c r="A626" s="2">
        <v>625.0</v>
      </c>
      <c r="B626" s="11">
        <f>'Exponential Item Growth'!$B$5*'Exponential Item Growth'!$B$6^A626</f>
        <v>8.65965E+18</v>
      </c>
      <c r="C626" s="12">
        <f t="shared" si="1"/>
        <v>267200</v>
      </c>
      <c r="D626" s="2">
        <f>A626*'Exponential Item Growth'!$B$4</f>
        <v>1043.75</v>
      </c>
      <c r="E626" s="12">
        <f>if(isna(VLOOKUP(A626,'Exponential Item Growth'!$A$10:$B$18,2,false)),E625, E625*VLOOKUP(A626,'Exponential Item Growth'!$A$10:$B$18,2,false))</f>
        <v>256</v>
      </c>
      <c r="F626" s="12">
        <f>C626*'Exponential Item Growth'!$B$21</f>
        <v>1336000</v>
      </c>
      <c r="G626" s="12">
        <f>'Exponential Item Growth'!$B$22*C626</f>
        <v>20040000</v>
      </c>
      <c r="H626" s="12">
        <f>'Exponential Item Growth'!$B$23*C626</f>
        <v>267200000</v>
      </c>
    </row>
    <row r="627" ht="15.75" customHeight="1">
      <c r="A627" s="2">
        <v>626.0</v>
      </c>
      <c r="B627" s="11">
        <f>'Exponential Item Growth'!$B$5*'Exponential Item Growth'!$B$6^A627</f>
        <v>9.26583E+18</v>
      </c>
      <c r="C627" s="12">
        <f t="shared" si="1"/>
        <v>267627.52</v>
      </c>
      <c r="D627" s="2">
        <f>A627*'Exponential Item Growth'!$B$4</f>
        <v>1045.42</v>
      </c>
      <c r="E627" s="12">
        <f>if(isna(VLOOKUP(A627,'Exponential Item Growth'!$A$10:$B$18,2,false)),E626, E626*VLOOKUP(A627,'Exponential Item Growth'!$A$10:$B$18,2,false))</f>
        <v>256</v>
      </c>
      <c r="F627" s="12">
        <f>C627*'Exponential Item Growth'!$B$21</f>
        <v>1338137.6</v>
      </c>
      <c r="G627" s="12">
        <f>'Exponential Item Growth'!$B$22*C627</f>
        <v>20072064</v>
      </c>
      <c r="H627" s="12">
        <f>'Exponential Item Growth'!$B$23*C627</f>
        <v>267627520</v>
      </c>
    </row>
    <row r="628" ht="15.75" customHeight="1">
      <c r="A628" s="2">
        <v>627.0</v>
      </c>
      <c r="B628" s="11">
        <f>'Exponential Item Growth'!$B$5*'Exponential Item Growth'!$B$6^A628</f>
        <v>9.91443E+18</v>
      </c>
      <c r="C628" s="12">
        <f t="shared" si="1"/>
        <v>268055.04</v>
      </c>
      <c r="D628" s="2">
        <f>A628*'Exponential Item Growth'!$B$4</f>
        <v>1047.09</v>
      </c>
      <c r="E628" s="12">
        <f>if(isna(VLOOKUP(A628,'Exponential Item Growth'!$A$10:$B$18,2,false)),E627, E627*VLOOKUP(A628,'Exponential Item Growth'!$A$10:$B$18,2,false))</f>
        <v>256</v>
      </c>
      <c r="F628" s="12">
        <f>C628*'Exponential Item Growth'!$B$21</f>
        <v>1340275.2</v>
      </c>
      <c r="G628" s="12">
        <f>'Exponential Item Growth'!$B$22*C628</f>
        <v>20104128</v>
      </c>
      <c r="H628" s="12">
        <f>'Exponential Item Growth'!$B$23*C628</f>
        <v>268055040</v>
      </c>
    </row>
    <row r="629" ht="15.75" customHeight="1">
      <c r="A629" s="2">
        <v>628.0</v>
      </c>
      <c r="B629" s="11">
        <f>'Exponential Item Growth'!$B$5*'Exponential Item Growth'!$B$6^A629</f>
        <v>1.06084E+19</v>
      </c>
      <c r="C629" s="12">
        <f t="shared" si="1"/>
        <v>268482.56</v>
      </c>
      <c r="D629" s="2">
        <f>A629*'Exponential Item Growth'!$B$4</f>
        <v>1048.76</v>
      </c>
      <c r="E629" s="12">
        <f>if(isna(VLOOKUP(A629,'Exponential Item Growth'!$A$10:$B$18,2,false)),E628, E628*VLOOKUP(A629,'Exponential Item Growth'!$A$10:$B$18,2,false))</f>
        <v>256</v>
      </c>
      <c r="F629" s="12">
        <f>C629*'Exponential Item Growth'!$B$21</f>
        <v>1342412.8</v>
      </c>
      <c r="G629" s="12">
        <f>'Exponential Item Growth'!$B$22*C629</f>
        <v>20136192</v>
      </c>
      <c r="H629" s="12">
        <f>'Exponential Item Growth'!$B$23*C629</f>
        <v>268482560</v>
      </c>
    </row>
    <row r="630" ht="15.75" customHeight="1">
      <c r="A630" s="2">
        <v>629.0</v>
      </c>
      <c r="B630" s="11">
        <f>'Exponential Item Growth'!$B$5*'Exponential Item Growth'!$B$6^A630</f>
        <v>1.1351E+19</v>
      </c>
      <c r="C630" s="12">
        <f t="shared" si="1"/>
        <v>268910.08</v>
      </c>
      <c r="D630" s="2">
        <f>A630*'Exponential Item Growth'!$B$4</f>
        <v>1050.43</v>
      </c>
      <c r="E630" s="12">
        <f>if(isna(VLOOKUP(A630,'Exponential Item Growth'!$A$10:$B$18,2,false)),E629, E629*VLOOKUP(A630,'Exponential Item Growth'!$A$10:$B$18,2,false))</f>
        <v>256</v>
      </c>
      <c r="F630" s="12">
        <f>C630*'Exponential Item Growth'!$B$21</f>
        <v>1344550.4</v>
      </c>
      <c r="G630" s="12">
        <f>'Exponential Item Growth'!$B$22*C630</f>
        <v>20168256</v>
      </c>
      <c r="H630" s="12">
        <f>'Exponential Item Growth'!$B$23*C630</f>
        <v>268910080</v>
      </c>
    </row>
    <row r="631" ht="15.75" customHeight="1">
      <c r="A631" s="2">
        <v>630.0</v>
      </c>
      <c r="B631" s="11">
        <f>'Exponential Item Growth'!$B$5*'Exponential Item Growth'!$B$6^A631</f>
        <v>1.21456E+19</v>
      </c>
      <c r="C631" s="12">
        <f t="shared" si="1"/>
        <v>269337.6</v>
      </c>
      <c r="D631" s="2">
        <f>A631*'Exponential Item Growth'!$B$4</f>
        <v>1052.1</v>
      </c>
      <c r="E631" s="12">
        <f>if(isna(VLOOKUP(A631,'Exponential Item Growth'!$A$10:$B$18,2,false)),E630, E630*VLOOKUP(A631,'Exponential Item Growth'!$A$10:$B$18,2,false))</f>
        <v>256</v>
      </c>
      <c r="F631" s="12">
        <f>C631*'Exponential Item Growth'!$B$21</f>
        <v>1346688</v>
      </c>
      <c r="G631" s="12">
        <f>'Exponential Item Growth'!$B$22*C631</f>
        <v>20200320</v>
      </c>
      <c r="H631" s="12">
        <f>'Exponential Item Growth'!$B$23*C631</f>
        <v>269337600</v>
      </c>
    </row>
    <row r="632" ht="15.75" customHeight="1">
      <c r="A632" s="2">
        <v>631.0</v>
      </c>
      <c r="B632" s="11">
        <f>'Exponential Item Growth'!$B$5*'Exponential Item Growth'!$B$6^A632</f>
        <v>1.29958E+19</v>
      </c>
      <c r="C632" s="12">
        <f t="shared" si="1"/>
        <v>269765.12</v>
      </c>
      <c r="D632" s="2">
        <f>A632*'Exponential Item Growth'!$B$4</f>
        <v>1053.77</v>
      </c>
      <c r="E632" s="12">
        <f>if(isna(VLOOKUP(A632,'Exponential Item Growth'!$A$10:$B$18,2,false)),E631, E631*VLOOKUP(A632,'Exponential Item Growth'!$A$10:$B$18,2,false))</f>
        <v>256</v>
      </c>
      <c r="F632" s="12">
        <f>C632*'Exponential Item Growth'!$B$21</f>
        <v>1348825.6</v>
      </c>
      <c r="G632" s="12">
        <f>'Exponential Item Growth'!$B$22*C632</f>
        <v>20232384</v>
      </c>
      <c r="H632" s="12">
        <f>'Exponential Item Growth'!$B$23*C632</f>
        <v>269765120</v>
      </c>
    </row>
    <row r="633" ht="15.75" customHeight="1">
      <c r="A633" s="2">
        <v>632.0</v>
      </c>
      <c r="B633" s="11">
        <f>'Exponential Item Growth'!$B$5*'Exponential Item Growth'!$B$6^A633</f>
        <v>1.39055E+19</v>
      </c>
      <c r="C633" s="12">
        <f t="shared" si="1"/>
        <v>270192.64</v>
      </c>
      <c r="D633" s="2">
        <f>A633*'Exponential Item Growth'!$B$4</f>
        <v>1055.44</v>
      </c>
      <c r="E633" s="12">
        <f>if(isna(VLOOKUP(A633,'Exponential Item Growth'!$A$10:$B$18,2,false)),E632, E632*VLOOKUP(A633,'Exponential Item Growth'!$A$10:$B$18,2,false))</f>
        <v>256</v>
      </c>
      <c r="F633" s="12">
        <f>C633*'Exponential Item Growth'!$B$21</f>
        <v>1350963.2</v>
      </c>
      <c r="G633" s="12">
        <f>'Exponential Item Growth'!$B$22*C633</f>
        <v>20264448</v>
      </c>
      <c r="H633" s="12">
        <f>'Exponential Item Growth'!$B$23*C633</f>
        <v>270192640</v>
      </c>
    </row>
    <row r="634" ht="15.75" customHeight="1">
      <c r="A634" s="2">
        <v>633.0</v>
      </c>
      <c r="B634" s="11">
        <f>'Exponential Item Growth'!$B$5*'Exponential Item Growth'!$B$6^A634</f>
        <v>1.48789E+19</v>
      </c>
      <c r="C634" s="12">
        <f t="shared" si="1"/>
        <v>270620.16</v>
      </c>
      <c r="D634" s="2">
        <f>A634*'Exponential Item Growth'!$B$4</f>
        <v>1057.11</v>
      </c>
      <c r="E634" s="12">
        <f>if(isna(VLOOKUP(A634,'Exponential Item Growth'!$A$10:$B$18,2,false)),E633, E633*VLOOKUP(A634,'Exponential Item Growth'!$A$10:$B$18,2,false))</f>
        <v>256</v>
      </c>
      <c r="F634" s="12">
        <f>C634*'Exponential Item Growth'!$B$21</f>
        <v>1353100.8</v>
      </c>
      <c r="G634" s="12">
        <f>'Exponential Item Growth'!$B$22*C634</f>
        <v>20296512</v>
      </c>
      <c r="H634" s="12">
        <f>'Exponential Item Growth'!$B$23*C634</f>
        <v>270620160</v>
      </c>
    </row>
    <row r="635" ht="15.75" customHeight="1">
      <c r="A635" s="2">
        <v>634.0</v>
      </c>
      <c r="B635" s="11">
        <f>'Exponential Item Growth'!$B$5*'Exponential Item Growth'!$B$6^A635</f>
        <v>1.59204E+19</v>
      </c>
      <c r="C635" s="12">
        <f t="shared" si="1"/>
        <v>271047.68</v>
      </c>
      <c r="D635" s="2">
        <f>A635*'Exponential Item Growth'!$B$4</f>
        <v>1058.78</v>
      </c>
      <c r="E635" s="12">
        <f>if(isna(VLOOKUP(A635,'Exponential Item Growth'!$A$10:$B$18,2,false)),E634, E634*VLOOKUP(A635,'Exponential Item Growth'!$A$10:$B$18,2,false))</f>
        <v>256</v>
      </c>
      <c r="F635" s="12">
        <f>C635*'Exponential Item Growth'!$B$21</f>
        <v>1355238.4</v>
      </c>
      <c r="G635" s="12">
        <f>'Exponential Item Growth'!$B$22*C635</f>
        <v>20328576</v>
      </c>
      <c r="H635" s="12">
        <f>'Exponential Item Growth'!$B$23*C635</f>
        <v>271047680</v>
      </c>
    </row>
    <row r="636" ht="15.75" customHeight="1">
      <c r="A636" s="2">
        <v>635.0</v>
      </c>
      <c r="B636" s="11">
        <f>'Exponential Item Growth'!$B$5*'Exponential Item Growth'!$B$6^A636</f>
        <v>1.70348E+19</v>
      </c>
      <c r="C636" s="12">
        <f t="shared" si="1"/>
        <v>271475.2</v>
      </c>
      <c r="D636" s="2">
        <f>A636*'Exponential Item Growth'!$B$4</f>
        <v>1060.45</v>
      </c>
      <c r="E636" s="12">
        <f>if(isna(VLOOKUP(A636,'Exponential Item Growth'!$A$10:$B$18,2,false)),E635, E635*VLOOKUP(A636,'Exponential Item Growth'!$A$10:$B$18,2,false))</f>
        <v>256</v>
      </c>
      <c r="F636" s="12">
        <f>C636*'Exponential Item Growth'!$B$21</f>
        <v>1357376</v>
      </c>
      <c r="G636" s="12">
        <f>'Exponential Item Growth'!$B$22*C636</f>
        <v>20360640</v>
      </c>
      <c r="H636" s="12">
        <f>'Exponential Item Growth'!$B$23*C636</f>
        <v>271475200</v>
      </c>
    </row>
    <row r="637" ht="15.75" customHeight="1">
      <c r="A637" s="2">
        <v>636.0</v>
      </c>
      <c r="B637" s="11">
        <f>'Exponential Item Growth'!$B$5*'Exponential Item Growth'!$B$6^A637</f>
        <v>1.82273E+19</v>
      </c>
      <c r="C637" s="12">
        <f t="shared" si="1"/>
        <v>271902.72</v>
      </c>
      <c r="D637" s="2">
        <f>A637*'Exponential Item Growth'!$B$4</f>
        <v>1062.12</v>
      </c>
      <c r="E637" s="12">
        <f>if(isna(VLOOKUP(A637,'Exponential Item Growth'!$A$10:$B$18,2,false)),E636, E636*VLOOKUP(A637,'Exponential Item Growth'!$A$10:$B$18,2,false))</f>
        <v>256</v>
      </c>
      <c r="F637" s="12">
        <f>C637*'Exponential Item Growth'!$B$21</f>
        <v>1359513.6</v>
      </c>
      <c r="G637" s="12">
        <f>'Exponential Item Growth'!$B$22*C637</f>
        <v>20392704</v>
      </c>
      <c r="H637" s="12">
        <f>'Exponential Item Growth'!$B$23*C637</f>
        <v>271902720</v>
      </c>
    </row>
    <row r="638" ht="15.75" customHeight="1">
      <c r="A638" s="2">
        <v>637.0</v>
      </c>
      <c r="B638" s="11">
        <f>'Exponential Item Growth'!$B$5*'Exponential Item Growth'!$B$6^A638</f>
        <v>1.95032E+19</v>
      </c>
      <c r="C638" s="12">
        <f t="shared" si="1"/>
        <v>272330.24</v>
      </c>
      <c r="D638" s="2">
        <f>A638*'Exponential Item Growth'!$B$4</f>
        <v>1063.79</v>
      </c>
      <c r="E638" s="12">
        <f>if(isna(VLOOKUP(A638,'Exponential Item Growth'!$A$10:$B$18,2,false)),E637, E637*VLOOKUP(A638,'Exponential Item Growth'!$A$10:$B$18,2,false))</f>
        <v>256</v>
      </c>
      <c r="F638" s="12">
        <f>C638*'Exponential Item Growth'!$B$21</f>
        <v>1361651.2</v>
      </c>
      <c r="G638" s="12">
        <f>'Exponential Item Growth'!$B$22*C638</f>
        <v>20424768</v>
      </c>
      <c r="H638" s="12">
        <f>'Exponential Item Growth'!$B$23*C638</f>
        <v>272330240</v>
      </c>
    </row>
    <row r="639" ht="15.75" customHeight="1">
      <c r="A639" s="2">
        <v>638.0</v>
      </c>
      <c r="B639" s="11">
        <f>'Exponential Item Growth'!$B$5*'Exponential Item Growth'!$B$6^A639</f>
        <v>2.08684E+19</v>
      </c>
      <c r="C639" s="12">
        <f t="shared" si="1"/>
        <v>272757.76</v>
      </c>
      <c r="D639" s="2">
        <f>A639*'Exponential Item Growth'!$B$4</f>
        <v>1065.46</v>
      </c>
      <c r="E639" s="12">
        <f>if(isna(VLOOKUP(A639,'Exponential Item Growth'!$A$10:$B$18,2,false)),E638, E638*VLOOKUP(A639,'Exponential Item Growth'!$A$10:$B$18,2,false))</f>
        <v>256</v>
      </c>
      <c r="F639" s="12">
        <f>C639*'Exponential Item Growth'!$B$21</f>
        <v>1363788.8</v>
      </c>
      <c r="G639" s="12">
        <f>'Exponential Item Growth'!$B$22*C639</f>
        <v>20456832</v>
      </c>
      <c r="H639" s="12">
        <f>'Exponential Item Growth'!$B$23*C639</f>
        <v>272757760</v>
      </c>
    </row>
    <row r="640" ht="15.75" customHeight="1">
      <c r="A640" s="2">
        <v>639.0</v>
      </c>
      <c r="B640" s="11">
        <f>'Exponential Item Growth'!$B$5*'Exponential Item Growth'!$B$6^A640</f>
        <v>2.23292E+19</v>
      </c>
      <c r="C640" s="12">
        <f t="shared" si="1"/>
        <v>273185.28</v>
      </c>
      <c r="D640" s="2">
        <f>A640*'Exponential Item Growth'!$B$4</f>
        <v>1067.13</v>
      </c>
      <c r="E640" s="12">
        <f>if(isna(VLOOKUP(A640,'Exponential Item Growth'!$A$10:$B$18,2,false)),E639, E639*VLOOKUP(A640,'Exponential Item Growth'!$A$10:$B$18,2,false))</f>
        <v>256</v>
      </c>
      <c r="F640" s="12">
        <f>C640*'Exponential Item Growth'!$B$21</f>
        <v>1365926.4</v>
      </c>
      <c r="G640" s="12">
        <f>'Exponential Item Growth'!$B$22*C640</f>
        <v>20488896</v>
      </c>
      <c r="H640" s="12">
        <f>'Exponential Item Growth'!$B$23*C640</f>
        <v>273185280</v>
      </c>
    </row>
    <row r="641" ht="15.75" customHeight="1">
      <c r="A641" s="2">
        <v>640.0</v>
      </c>
      <c r="B641" s="11">
        <f>'Exponential Item Growth'!$B$5*'Exponential Item Growth'!$B$6^A641</f>
        <v>2.38922E+19</v>
      </c>
      <c r="C641" s="12">
        <f t="shared" si="1"/>
        <v>273612.8</v>
      </c>
      <c r="D641" s="2">
        <f>A641*'Exponential Item Growth'!$B$4</f>
        <v>1068.8</v>
      </c>
      <c r="E641" s="12">
        <f>if(isna(VLOOKUP(A641,'Exponential Item Growth'!$A$10:$B$18,2,false)),E640, E640*VLOOKUP(A641,'Exponential Item Growth'!$A$10:$B$18,2,false))</f>
        <v>256</v>
      </c>
      <c r="F641" s="12">
        <f>C641*'Exponential Item Growth'!$B$21</f>
        <v>1368064</v>
      </c>
      <c r="G641" s="12">
        <f>'Exponential Item Growth'!$B$22*C641</f>
        <v>20520960</v>
      </c>
      <c r="H641" s="12">
        <f>'Exponential Item Growth'!$B$23*C641</f>
        <v>273612800</v>
      </c>
    </row>
    <row r="642" ht="15.75" customHeight="1">
      <c r="A642" s="2">
        <v>641.0</v>
      </c>
      <c r="B642" s="11">
        <f>'Exponential Item Growth'!$B$5*'Exponential Item Growth'!$B$6^A642</f>
        <v>2.55647E+19</v>
      </c>
      <c r="C642" s="12">
        <f t="shared" si="1"/>
        <v>274040.32</v>
      </c>
      <c r="D642" s="2">
        <f>A642*'Exponential Item Growth'!$B$4</f>
        <v>1070.47</v>
      </c>
      <c r="E642" s="12">
        <f>if(isna(VLOOKUP(A642,'Exponential Item Growth'!$A$10:$B$18,2,false)),E641, E641*VLOOKUP(A642,'Exponential Item Growth'!$A$10:$B$18,2,false))</f>
        <v>256</v>
      </c>
      <c r="F642" s="12">
        <f>C642*'Exponential Item Growth'!$B$21</f>
        <v>1370201.6</v>
      </c>
      <c r="G642" s="12">
        <f>'Exponential Item Growth'!$B$22*C642</f>
        <v>20553024</v>
      </c>
      <c r="H642" s="12">
        <f>'Exponential Item Growth'!$B$23*C642</f>
        <v>274040320</v>
      </c>
    </row>
    <row r="643" ht="15.75" customHeight="1">
      <c r="A643" s="2">
        <v>642.0</v>
      </c>
      <c r="B643" s="11">
        <f>'Exponential Item Growth'!$B$5*'Exponential Item Growth'!$B$6^A643</f>
        <v>2.73542E+19</v>
      </c>
      <c r="C643" s="12">
        <f t="shared" si="1"/>
        <v>274467.84</v>
      </c>
      <c r="D643" s="2">
        <f>A643*'Exponential Item Growth'!$B$4</f>
        <v>1072.14</v>
      </c>
      <c r="E643" s="12">
        <f>if(isna(VLOOKUP(A643,'Exponential Item Growth'!$A$10:$B$18,2,false)),E642, E642*VLOOKUP(A643,'Exponential Item Growth'!$A$10:$B$18,2,false))</f>
        <v>256</v>
      </c>
      <c r="F643" s="12">
        <f>C643*'Exponential Item Growth'!$B$21</f>
        <v>1372339.2</v>
      </c>
      <c r="G643" s="12">
        <f>'Exponential Item Growth'!$B$22*C643</f>
        <v>20585088</v>
      </c>
      <c r="H643" s="12">
        <f>'Exponential Item Growth'!$B$23*C643</f>
        <v>274467840</v>
      </c>
    </row>
    <row r="644" ht="15.75" customHeight="1">
      <c r="A644" s="2">
        <v>643.0</v>
      </c>
      <c r="B644" s="11">
        <f>'Exponential Item Growth'!$B$5*'Exponential Item Growth'!$B$6^A644</f>
        <v>2.9269E+19</v>
      </c>
      <c r="C644" s="12">
        <f t="shared" si="1"/>
        <v>274895.36</v>
      </c>
      <c r="D644" s="2">
        <f>A644*'Exponential Item Growth'!$B$4</f>
        <v>1073.81</v>
      </c>
      <c r="E644" s="12">
        <f>if(isna(VLOOKUP(A644,'Exponential Item Growth'!$A$10:$B$18,2,false)),E643, E643*VLOOKUP(A644,'Exponential Item Growth'!$A$10:$B$18,2,false))</f>
        <v>256</v>
      </c>
      <c r="F644" s="12">
        <f>C644*'Exponential Item Growth'!$B$21</f>
        <v>1374476.8</v>
      </c>
      <c r="G644" s="12">
        <f>'Exponential Item Growth'!$B$22*C644</f>
        <v>20617152</v>
      </c>
      <c r="H644" s="12">
        <f>'Exponential Item Growth'!$B$23*C644</f>
        <v>274895360</v>
      </c>
    </row>
    <row r="645" ht="15.75" customHeight="1">
      <c r="A645" s="2">
        <v>644.0</v>
      </c>
      <c r="B645" s="11">
        <f>'Exponential Item Growth'!$B$5*'Exponential Item Growth'!$B$6^A645</f>
        <v>3.13179E+19</v>
      </c>
      <c r="C645" s="12">
        <f t="shared" si="1"/>
        <v>275322.88</v>
      </c>
      <c r="D645" s="2">
        <f>A645*'Exponential Item Growth'!$B$4</f>
        <v>1075.48</v>
      </c>
      <c r="E645" s="12">
        <f>if(isna(VLOOKUP(A645,'Exponential Item Growth'!$A$10:$B$18,2,false)),E644, E644*VLOOKUP(A645,'Exponential Item Growth'!$A$10:$B$18,2,false))</f>
        <v>256</v>
      </c>
      <c r="F645" s="12">
        <f>C645*'Exponential Item Growth'!$B$21</f>
        <v>1376614.4</v>
      </c>
      <c r="G645" s="12">
        <f>'Exponential Item Growth'!$B$22*C645</f>
        <v>20649216</v>
      </c>
      <c r="H645" s="12">
        <f>'Exponential Item Growth'!$B$23*C645</f>
        <v>275322880</v>
      </c>
    </row>
    <row r="646" ht="15.75" customHeight="1">
      <c r="A646" s="2">
        <v>645.0</v>
      </c>
      <c r="B646" s="11">
        <f>'Exponential Item Growth'!$B$5*'Exponential Item Growth'!$B$6^A646</f>
        <v>3.35101E+19</v>
      </c>
      <c r="C646" s="12">
        <f t="shared" si="1"/>
        <v>275750.4</v>
      </c>
      <c r="D646" s="2">
        <f>A646*'Exponential Item Growth'!$B$4</f>
        <v>1077.15</v>
      </c>
      <c r="E646" s="12">
        <f>if(isna(VLOOKUP(A646,'Exponential Item Growth'!$A$10:$B$18,2,false)),E645, E645*VLOOKUP(A646,'Exponential Item Growth'!$A$10:$B$18,2,false))</f>
        <v>256</v>
      </c>
      <c r="F646" s="12">
        <f>C646*'Exponential Item Growth'!$B$21</f>
        <v>1378752</v>
      </c>
      <c r="G646" s="12">
        <f>'Exponential Item Growth'!$B$22*C646</f>
        <v>20681280</v>
      </c>
      <c r="H646" s="12">
        <f>'Exponential Item Growth'!$B$23*C646</f>
        <v>275750400</v>
      </c>
    </row>
    <row r="647" ht="15.75" customHeight="1">
      <c r="A647" s="2">
        <v>646.0</v>
      </c>
      <c r="B647" s="11">
        <f>'Exponential Item Growth'!$B$5*'Exponential Item Growth'!$B$6^A647</f>
        <v>3.58558E+19</v>
      </c>
      <c r="C647" s="12">
        <f t="shared" si="1"/>
        <v>276177.92</v>
      </c>
      <c r="D647" s="2">
        <f>A647*'Exponential Item Growth'!$B$4</f>
        <v>1078.82</v>
      </c>
      <c r="E647" s="12">
        <f>if(isna(VLOOKUP(A647,'Exponential Item Growth'!$A$10:$B$18,2,false)),E646, E646*VLOOKUP(A647,'Exponential Item Growth'!$A$10:$B$18,2,false))</f>
        <v>256</v>
      </c>
      <c r="F647" s="12">
        <f>C647*'Exponential Item Growth'!$B$21</f>
        <v>1380889.6</v>
      </c>
      <c r="G647" s="12">
        <f>'Exponential Item Growth'!$B$22*C647</f>
        <v>20713344</v>
      </c>
      <c r="H647" s="12">
        <f>'Exponential Item Growth'!$B$23*C647</f>
        <v>276177920</v>
      </c>
    </row>
    <row r="648" ht="15.75" customHeight="1">
      <c r="A648" s="2">
        <v>647.0</v>
      </c>
      <c r="B648" s="11">
        <f>'Exponential Item Growth'!$B$5*'Exponential Item Growth'!$B$6^A648</f>
        <v>3.83657E+19</v>
      </c>
      <c r="C648" s="12">
        <f t="shared" si="1"/>
        <v>276605.44</v>
      </c>
      <c r="D648" s="2">
        <f>A648*'Exponential Item Growth'!$B$4</f>
        <v>1080.49</v>
      </c>
      <c r="E648" s="12">
        <f>if(isna(VLOOKUP(A648,'Exponential Item Growth'!$A$10:$B$18,2,false)),E647, E647*VLOOKUP(A648,'Exponential Item Growth'!$A$10:$B$18,2,false))</f>
        <v>256</v>
      </c>
      <c r="F648" s="12">
        <f>C648*'Exponential Item Growth'!$B$21</f>
        <v>1383027.2</v>
      </c>
      <c r="G648" s="12">
        <f>'Exponential Item Growth'!$B$22*C648</f>
        <v>20745408</v>
      </c>
      <c r="H648" s="12">
        <f>'Exponential Item Growth'!$B$23*C648</f>
        <v>276605440</v>
      </c>
    </row>
    <row r="649" ht="15.75" customHeight="1">
      <c r="A649" s="2">
        <v>648.0</v>
      </c>
      <c r="B649" s="11">
        <f>'Exponential Item Growth'!$B$5*'Exponential Item Growth'!$B$6^A649</f>
        <v>4.10513E+19</v>
      </c>
      <c r="C649" s="12">
        <f t="shared" si="1"/>
        <v>277032.96</v>
      </c>
      <c r="D649" s="2">
        <f>A649*'Exponential Item Growth'!$B$4</f>
        <v>1082.16</v>
      </c>
      <c r="E649" s="12">
        <f>if(isna(VLOOKUP(A649,'Exponential Item Growth'!$A$10:$B$18,2,false)),E648, E648*VLOOKUP(A649,'Exponential Item Growth'!$A$10:$B$18,2,false))</f>
        <v>256</v>
      </c>
      <c r="F649" s="12">
        <f>C649*'Exponential Item Growth'!$B$21</f>
        <v>1385164.8</v>
      </c>
      <c r="G649" s="12">
        <f>'Exponential Item Growth'!$B$22*C649</f>
        <v>20777472</v>
      </c>
      <c r="H649" s="12">
        <f>'Exponential Item Growth'!$B$23*C649</f>
        <v>277032960</v>
      </c>
    </row>
    <row r="650" ht="15.75" customHeight="1">
      <c r="A650" s="2">
        <v>649.0</v>
      </c>
      <c r="B650" s="11">
        <f>'Exponential Item Growth'!$B$5*'Exponential Item Growth'!$B$6^A650</f>
        <v>4.39249E+19</v>
      </c>
      <c r="C650" s="12">
        <f t="shared" si="1"/>
        <v>277460.48</v>
      </c>
      <c r="D650" s="2">
        <f>A650*'Exponential Item Growth'!$B$4</f>
        <v>1083.83</v>
      </c>
      <c r="E650" s="12">
        <f>if(isna(VLOOKUP(A650,'Exponential Item Growth'!$A$10:$B$18,2,false)),E649, E649*VLOOKUP(A650,'Exponential Item Growth'!$A$10:$B$18,2,false))</f>
        <v>256</v>
      </c>
      <c r="F650" s="12">
        <f>C650*'Exponential Item Growth'!$B$21</f>
        <v>1387302.4</v>
      </c>
      <c r="G650" s="12">
        <f>'Exponential Item Growth'!$B$22*C650</f>
        <v>20809536</v>
      </c>
      <c r="H650" s="12">
        <f>'Exponential Item Growth'!$B$23*C650</f>
        <v>277460480</v>
      </c>
    </row>
    <row r="651" ht="15.75" customHeight="1">
      <c r="A651" s="2">
        <v>650.0</v>
      </c>
      <c r="B651" s="11">
        <f>'Exponential Item Growth'!$B$5*'Exponential Item Growth'!$B$6^A651</f>
        <v>4.69997E+19</v>
      </c>
      <c r="C651" s="12">
        <f t="shared" si="1"/>
        <v>277888</v>
      </c>
      <c r="D651" s="2">
        <f>A651*'Exponential Item Growth'!$B$4</f>
        <v>1085.5</v>
      </c>
      <c r="E651" s="12">
        <f>if(isna(VLOOKUP(A651,'Exponential Item Growth'!$A$10:$B$18,2,false)),E650, E650*VLOOKUP(A651,'Exponential Item Growth'!$A$10:$B$18,2,false))</f>
        <v>256</v>
      </c>
      <c r="F651" s="12">
        <f>C651*'Exponential Item Growth'!$B$21</f>
        <v>1389440</v>
      </c>
      <c r="G651" s="12">
        <f>'Exponential Item Growth'!$B$22*C651</f>
        <v>20841600</v>
      </c>
      <c r="H651" s="12">
        <f>'Exponential Item Growth'!$B$23*C651</f>
        <v>277888000</v>
      </c>
    </row>
    <row r="652" ht="15.75" customHeight="1">
      <c r="A652" s="2">
        <v>651.0</v>
      </c>
      <c r="B652" s="11">
        <f>'Exponential Item Growth'!$B$5*'Exponential Item Growth'!$B$6^A652</f>
        <v>5.02896E+19</v>
      </c>
      <c r="C652" s="12">
        <f t="shared" si="1"/>
        <v>278315.52</v>
      </c>
      <c r="D652" s="2">
        <f>A652*'Exponential Item Growth'!$B$4</f>
        <v>1087.17</v>
      </c>
      <c r="E652" s="12">
        <f>if(isna(VLOOKUP(A652,'Exponential Item Growth'!$A$10:$B$18,2,false)),E651, E651*VLOOKUP(A652,'Exponential Item Growth'!$A$10:$B$18,2,false))</f>
        <v>256</v>
      </c>
      <c r="F652" s="12">
        <f>C652*'Exponential Item Growth'!$B$21</f>
        <v>1391577.6</v>
      </c>
      <c r="G652" s="12">
        <f>'Exponential Item Growth'!$B$22*C652</f>
        <v>20873664</v>
      </c>
      <c r="H652" s="12">
        <f>'Exponential Item Growth'!$B$23*C652</f>
        <v>278315520</v>
      </c>
    </row>
    <row r="653" ht="15.75" customHeight="1">
      <c r="A653" s="2">
        <v>652.0</v>
      </c>
      <c r="B653" s="11">
        <f>'Exponential Item Growth'!$B$5*'Exponential Item Growth'!$B$6^A653</f>
        <v>5.38099E+19</v>
      </c>
      <c r="C653" s="12">
        <f t="shared" si="1"/>
        <v>278743.04</v>
      </c>
      <c r="D653" s="2">
        <f>A653*'Exponential Item Growth'!$B$4</f>
        <v>1088.84</v>
      </c>
      <c r="E653" s="12">
        <f>if(isna(VLOOKUP(A653,'Exponential Item Growth'!$A$10:$B$18,2,false)),E652, E652*VLOOKUP(A653,'Exponential Item Growth'!$A$10:$B$18,2,false))</f>
        <v>256</v>
      </c>
      <c r="F653" s="12">
        <f>C653*'Exponential Item Growth'!$B$21</f>
        <v>1393715.2</v>
      </c>
      <c r="G653" s="12">
        <f>'Exponential Item Growth'!$B$22*C653</f>
        <v>20905728</v>
      </c>
      <c r="H653" s="12">
        <f>'Exponential Item Growth'!$B$23*C653</f>
        <v>278743040</v>
      </c>
    </row>
    <row r="654" ht="15.75" customHeight="1">
      <c r="A654" s="2">
        <v>653.0</v>
      </c>
      <c r="B654" s="11">
        <f>'Exponential Item Growth'!$B$5*'Exponential Item Growth'!$B$6^A654</f>
        <v>5.75766E+19</v>
      </c>
      <c r="C654" s="12">
        <f t="shared" si="1"/>
        <v>279170.56</v>
      </c>
      <c r="D654" s="2">
        <f>A654*'Exponential Item Growth'!$B$4</f>
        <v>1090.51</v>
      </c>
      <c r="E654" s="12">
        <f>if(isna(VLOOKUP(A654,'Exponential Item Growth'!$A$10:$B$18,2,false)),E653, E653*VLOOKUP(A654,'Exponential Item Growth'!$A$10:$B$18,2,false))</f>
        <v>256</v>
      </c>
      <c r="F654" s="12">
        <f>C654*'Exponential Item Growth'!$B$21</f>
        <v>1395852.8</v>
      </c>
      <c r="G654" s="12">
        <f>'Exponential Item Growth'!$B$22*C654</f>
        <v>20937792</v>
      </c>
      <c r="H654" s="12">
        <f>'Exponential Item Growth'!$B$23*C654</f>
        <v>279170560</v>
      </c>
    </row>
    <row r="655" ht="15.75" customHeight="1">
      <c r="A655" s="2">
        <v>654.0</v>
      </c>
      <c r="B655" s="11">
        <f>'Exponential Item Growth'!$B$5*'Exponential Item Growth'!$B$6^A655</f>
        <v>6.1607E+19</v>
      </c>
      <c r="C655" s="12">
        <f t="shared" si="1"/>
        <v>279598.08</v>
      </c>
      <c r="D655" s="2">
        <f>A655*'Exponential Item Growth'!$B$4</f>
        <v>1092.18</v>
      </c>
      <c r="E655" s="12">
        <f>if(isna(VLOOKUP(A655,'Exponential Item Growth'!$A$10:$B$18,2,false)),E654, E654*VLOOKUP(A655,'Exponential Item Growth'!$A$10:$B$18,2,false))</f>
        <v>256</v>
      </c>
      <c r="F655" s="12">
        <f>C655*'Exponential Item Growth'!$B$21</f>
        <v>1397990.4</v>
      </c>
      <c r="G655" s="12">
        <f>'Exponential Item Growth'!$B$22*C655</f>
        <v>20969856</v>
      </c>
      <c r="H655" s="12">
        <f>'Exponential Item Growth'!$B$23*C655</f>
        <v>279598080</v>
      </c>
    </row>
    <row r="656" ht="15.75" customHeight="1">
      <c r="A656" s="2">
        <v>655.0</v>
      </c>
      <c r="B656" s="11">
        <f>'Exponential Item Growth'!$B$5*'Exponential Item Growth'!$B$6^A656</f>
        <v>6.59195E+19</v>
      </c>
      <c r="C656" s="12">
        <f t="shared" si="1"/>
        <v>280025.6</v>
      </c>
      <c r="D656" s="2">
        <f>A656*'Exponential Item Growth'!$B$4</f>
        <v>1093.85</v>
      </c>
      <c r="E656" s="12">
        <f>if(isna(VLOOKUP(A656,'Exponential Item Growth'!$A$10:$B$18,2,false)),E655, E655*VLOOKUP(A656,'Exponential Item Growth'!$A$10:$B$18,2,false))</f>
        <v>256</v>
      </c>
      <c r="F656" s="12">
        <f>C656*'Exponential Item Growth'!$B$21</f>
        <v>1400128</v>
      </c>
      <c r="G656" s="12">
        <f>'Exponential Item Growth'!$B$22*C656</f>
        <v>21001920</v>
      </c>
      <c r="H656" s="12">
        <f>'Exponential Item Growth'!$B$23*C656</f>
        <v>280025600</v>
      </c>
    </row>
    <row r="657" ht="15.75" customHeight="1">
      <c r="A657" s="2">
        <v>656.0</v>
      </c>
      <c r="B657" s="11">
        <f>'Exponential Item Growth'!$B$5*'Exponential Item Growth'!$B$6^A657</f>
        <v>7.05338E+19</v>
      </c>
      <c r="C657" s="12">
        <f t="shared" si="1"/>
        <v>280453.12</v>
      </c>
      <c r="D657" s="2">
        <f>A657*'Exponential Item Growth'!$B$4</f>
        <v>1095.52</v>
      </c>
      <c r="E657" s="12">
        <f>if(isna(VLOOKUP(A657,'Exponential Item Growth'!$A$10:$B$18,2,false)),E656, E656*VLOOKUP(A657,'Exponential Item Growth'!$A$10:$B$18,2,false))</f>
        <v>256</v>
      </c>
      <c r="F657" s="12">
        <f>C657*'Exponential Item Growth'!$B$21</f>
        <v>1402265.6</v>
      </c>
      <c r="G657" s="12">
        <f>'Exponential Item Growth'!$B$22*C657</f>
        <v>21033984</v>
      </c>
      <c r="H657" s="12">
        <f>'Exponential Item Growth'!$B$23*C657</f>
        <v>280453120</v>
      </c>
    </row>
    <row r="658" ht="15.75" customHeight="1">
      <c r="A658" s="2">
        <v>657.0</v>
      </c>
      <c r="B658" s="11">
        <f>'Exponential Item Growth'!$B$5*'Exponential Item Growth'!$B$6^A658</f>
        <v>7.54712E+19</v>
      </c>
      <c r="C658" s="12">
        <f t="shared" si="1"/>
        <v>280880.64</v>
      </c>
      <c r="D658" s="2">
        <f>A658*'Exponential Item Growth'!$B$4</f>
        <v>1097.19</v>
      </c>
      <c r="E658" s="12">
        <f>if(isna(VLOOKUP(A658,'Exponential Item Growth'!$A$10:$B$18,2,false)),E657, E657*VLOOKUP(A658,'Exponential Item Growth'!$A$10:$B$18,2,false))</f>
        <v>256</v>
      </c>
      <c r="F658" s="12">
        <f>C658*'Exponential Item Growth'!$B$21</f>
        <v>1404403.2</v>
      </c>
      <c r="G658" s="12">
        <f>'Exponential Item Growth'!$B$22*C658</f>
        <v>21066048</v>
      </c>
      <c r="H658" s="12">
        <f>'Exponential Item Growth'!$B$23*C658</f>
        <v>280880640</v>
      </c>
    </row>
    <row r="659" ht="15.75" customHeight="1">
      <c r="A659" s="2">
        <v>658.0</v>
      </c>
      <c r="B659" s="11">
        <f>'Exponential Item Growth'!$B$5*'Exponential Item Growth'!$B$6^A659</f>
        <v>8.07542E+19</v>
      </c>
      <c r="C659" s="12">
        <f t="shared" si="1"/>
        <v>281308.16</v>
      </c>
      <c r="D659" s="2">
        <f>A659*'Exponential Item Growth'!$B$4</f>
        <v>1098.86</v>
      </c>
      <c r="E659" s="12">
        <f>if(isna(VLOOKUP(A659,'Exponential Item Growth'!$A$10:$B$18,2,false)),E658, E658*VLOOKUP(A659,'Exponential Item Growth'!$A$10:$B$18,2,false))</f>
        <v>256</v>
      </c>
      <c r="F659" s="12">
        <f>C659*'Exponential Item Growth'!$B$21</f>
        <v>1406540.8</v>
      </c>
      <c r="G659" s="12">
        <f>'Exponential Item Growth'!$B$22*C659</f>
        <v>21098112</v>
      </c>
      <c r="H659" s="12">
        <f>'Exponential Item Growth'!$B$23*C659</f>
        <v>281308160</v>
      </c>
    </row>
    <row r="660" ht="15.75" customHeight="1">
      <c r="A660" s="2">
        <v>659.0</v>
      </c>
      <c r="B660" s="11">
        <f>'Exponential Item Growth'!$B$5*'Exponential Item Growth'!$B$6^A660</f>
        <v>8.6407E+19</v>
      </c>
      <c r="C660" s="12">
        <f t="shared" si="1"/>
        <v>281735.68</v>
      </c>
      <c r="D660" s="2">
        <f>A660*'Exponential Item Growth'!$B$4</f>
        <v>1100.53</v>
      </c>
      <c r="E660" s="12">
        <f>if(isna(VLOOKUP(A660,'Exponential Item Growth'!$A$10:$B$18,2,false)),E659, E659*VLOOKUP(A660,'Exponential Item Growth'!$A$10:$B$18,2,false))</f>
        <v>256</v>
      </c>
      <c r="F660" s="12">
        <f>C660*'Exponential Item Growth'!$B$21</f>
        <v>1408678.4</v>
      </c>
      <c r="G660" s="12">
        <f>'Exponential Item Growth'!$B$22*C660</f>
        <v>21130176</v>
      </c>
      <c r="H660" s="12">
        <f>'Exponential Item Growth'!$B$23*C660</f>
        <v>281735680</v>
      </c>
    </row>
    <row r="661" ht="15.75" customHeight="1">
      <c r="A661" s="2">
        <v>660.0</v>
      </c>
      <c r="B661" s="11">
        <f>'Exponential Item Growth'!$B$5*'Exponential Item Growth'!$B$6^A661</f>
        <v>9.24555E+19</v>
      </c>
      <c r="C661" s="12">
        <f t="shared" si="1"/>
        <v>282163.2</v>
      </c>
      <c r="D661" s="2">
        <f>A661*'Exponential Item Growth'!$B$4</f>
        <v>1102.2</v>
      </c>
      <c r="E661" s="12">
        <f>if(isna(VLOOKUP(A661,'Exponential Item Growth'!$A$10:$B$18,2,false)),E660, E660*VLOOKUP(A661,'Exponential Item Growth'!$A$10:$B$18,2,false))</f>
        <v>256</v>
      </c>
      <c r="F661" s="12">
        <f>C661*'Exponential Item Growth'!$B$21</f>
        <v>1410816</v>
      </c>
      <c r="G661" s="12">
        <f>'Exponential Item Growth'!$B$22*C661</f>
        <v>21162240</v>
      </c>
      <c r="H661" s="12">
        <f>'Exponential Item Growth'!$B$23*C661</f>
        <v>282163200</v>
      </c>
    </row>
    <row r="662" ht="15.75" customHeight="1">
      <c r="A662" s="2">
        <v>661.0</v>
      </c>
      <c r="B662" s="11">
        <f>'Exponential Item Growth'!$B$5*'Exponential Item Growth'!$B$6^A662</f>
        <v>9.89273E+19</v>
      </c>
      <c r="C662" s="12">
        <f t="shared" si="1"/>
        <v>282590.72</v>
      </c>
      <c r="D662" s="2">
        <f>A662*'Exponential Item Growth'!$B$4</f>
        <v>1103.87</v>
      </c>
      <c r="E662" s="12">
        <f>if(isna(VLOOKUP(A662,'Exponential Item Growth'!$A$10:$B$18,2,false)),E661, E661*VLOOKUP(A662,'Exponential Item Growth'!$A$10:$B$18,2,false))</f>
        <v>256</v>
      </c>
      <c r="F662" s="12">
        <f>C662*'Exponential Item Growth'!$B$21</f>
        <v>1412953.6</v>
      </c>
      <c r="G662" s="12">
        <f>'Exponential Item Growth'!$B$22*C662</f>
        <v>21194304</v>
      </c>
      <c r="H662" s="12">
        <f>'Exponential Item Growth'!$B$23*C662</f>
        <v>282590720</v>
      </c>
    </row>
    <row r="663" ht="15.75" customHeight="1">
      <c r="A663" s="2">
        <v>662.0</v>
      </c>
      <c r="B663" s="11">
        <f>'Exponential Item Growth'!$B$5*'Exponential Item Growth'!$B$6^A663</f>
        <v>1.05852E+20</v>
      </c>
      <c r="C663" s="12">
        <f t="shared" si="1"/>
        <v>283018.24</v>
      </c>
      <c r="D663" s="2">
        <f>A663*'Exponential Item Growth'!$B$4</f>
        <v>1105.54</v>
      </c>
      <c r="E663" s="12">
        <f>if(isna(VLOOKUP(A663,'Exponential Item Growth'!$A$10:$B$18,2,false)),E662, E662*VLOOKUP(A663,'Exponential Item Growth'!$A$10:$B$18,2,false))</f>
        <v>256</v>
      </c>
      <c r="F663" s="12">
        <f>C663*'Exponential Item Growth'!$B$21</f>
        <v>1415091.2</v>
      </c>
      <c r="G663" s="12">
        <f>'Exponential Item Growth'!$B$22*C663</f>
        <v>21226368</v>
      </c>
      <c r="H663" s="12">
        <f>'Exponential Item Growth'!$B$23*C663</f>
        <v>283018240</v>
      </c>
    </row>
    <row r="664" ht="15.75" customHeight="1">
      <c r="A664" s="2">
        <v>663.0</v>
      </c>
      <c r="B664" s="11">
        <f>'Exponential Item Growth'!$B$5*'Exponential Item Growth'!$B$6^A664</f>
        <v>1.13262E+20</v>
      </c>
      <c r="C664" s="12">
        <f t="shared" si="1"/>
        <v>283445.76</v>
      </c>
      <c r="D664" s="2">
        <f>A664*'Exponential Item Growth'!$B$4</f>
        <v>1107.21</v>
      </c>
      <c r="E664" s="12">
        <f>if(isna(VLOOKUP(A664,'Exponential Item Growth'!$A$10:$B$18,2,false)),E663, E663*VLOOKUP(A664,'Exponential Item Growth'!$A$10:$B$18,2,false))</f>
        <v>256</v>
      </c>
      <c r="F664" s="12">
        <f>C664*'Exponential Item Growth'!$B$21</f>
        <v>1417228.8</v>
      </c>
      <c r="G664" s="12">
        <f>'Exponential Item Growth'!$B$22*C664</f>
        <v>21258432</v>
      </c>
      <c r="H664" s="12">
        <f>'Exponential Item Growth'!$B$23*C664</f>
        <v>283445760</v>
      </c>
    </row>
    <row r="665" ht="15.75" customHeight="1">
      <c r="A665" s="2">
        <v>664.0</v>
      </c>
      <c r="B665" s="11">
        <f>'Exponential Item Growth'!$B$5*'Exponential Item Growth'!$B$6^A665</f>
        <v>1.2119E+20</v>
      </c>
      <c r="C665" s="12">
        <f t="shared" si="1"/>
        <v>283873.28</v>
      </c>
      <c r="D665" s="2">
        <f>A665*'Exponential Item Growth'!$B$4</f>
        <v>1108.88</v>
      </c>
      <c r="E665" s="12">
        <f>if(isna(VLOOKUP(A665,'Exponential Item Growth'!$A$10:$B$18,2,false)),E664, E664*VLOOKUP(A665,'Exponential Item Growth'!$A$10:$B$18,2,false))</f>
        <v>256</v>
      </c>
      <c r="F665" s="12">
        <f>C665*'Exponential Item Growth'!$B$21</f>
        <v>1419366.4</v>
      </c>
      <c r="G665" s="12">
        <f>'Exponential Item Growth'!$B$22*C665</f>
        <v>21290496</v>
      </c>
      <c r="H665" s="12">
        <f>'Exponential Item Growth'!$B$23*C665</f>
        <v>283873280</v>
      </c>
    </row>
    <row r="666" ht="15.75" customHeight="1">
      <c r="A666" s="2">
        <v>665.0</v>
      </c>
      <c r="B666" s="11">
        <f>'Exponential Item Growth'!$B$5*'Exponential Item Growth'!$B$6^A666</f>
        <v>1.29674E+20</v>
      </c>
      <c r="C666" s="12">
        <f t="shared" si="1"/>
        <v>284300.8</v>
      </c>
      <c r="D666" s="2">
        <f>A666*'Exponential Item Growth'!$B$4</f>
        <v>1110.55</v>
      </c>
      <c r="E666" s="12">
        <f>if(isna(VLOOKUP(A666,'Exponential Item Growth'!$A$10:$B$18,2,false)),E665, E665*VLOOKUP(A666,'Exponential Item Growth'!$A$10:$B$18,2,false))</f>
        <v>256</v>
      </c>
      <c r="F666" s="12">
        <f>C666*'Exponential Item Growth'!$B$21</f>
        <v>1421504</v>
      </c>
      <c r="G666" s="12">
        <f>'Exponential Item Growth'!$B$22*C666</f>
        <v>21322560</v>
      </c>
      <c r="H666" s="12">
        <f>'Exponential Item Growth'!$B$23*C666</f>
        <v>284300800</v>
      </c>
    </row>
    <row r="667" ht="15.75" customHeight="1">
      <c r="A667" s="2">
        <v>666.0</v>
      </c>
      <c r="B667" s="11">
        <f>'Exponential Item Growth'!$B$5*'Exponential Item Growth'!$B$6^A667</f>
        <v>1.38751E+20</v>
      </c>
      <c r="C667" s="12">
        <f t="shared" si="1"/>
        <v>284728.32</v>
      </c>
      <c r="D667" s="2">
        <f>A667*'Exponential Item Growth'!$B$4</f>
        <v>1112.22</v>
      </c>
      <c r="E667" s="12">
        <f>if(isna(VLOOKUP(A667,'Exponential Item Growth'!$A$10:$B$18,2,false)),E666, E666*VLOOKUP(A667,'Exponential Item Growth'!$A$10:$B$18,2,false))</f>
        <v>256</v>
      </c>
      <c r="F667" s="12">
        <f>C667*'Exponential Item Growth'!$B$21</f>
        <v>1423641.6</v>
      </c>
      <c r="G667" s="12">
        <f>'Exponential Item Growth'!$B$22*C667</f>
        <v>21354624</v>
      </c>
      <c r="H667" s="12">
        <f>'Exponential Item Growth'!$B$23*C667</f>
        <v>284728320</v>
      </c>
    </row>
    <row r="668" ht="15.75" customHeight="1">
      <c r="A668" s="2">
        <v>667.0</v>
      </c>
      <c r="B668" s="11">
        <f>'Exponential Item Growth'!$B$5*'Exponential Item Growth'!$B$6^A668</f>
        <v>1.48463E+20</v>
      </c>
      <c r="C668" s="12">
        <f t="shared" si="1"/>
        <v>285155.84</v>
      </c>
      <c r="D668" s="2">
        <f>A668*'Exponential Item Growth'!$B$4</f>
        <v>1113.89</v>
      </c>
      <c r="E668" s="12">
        <f>if(isna(VLOOKUP(A668,'Exponential Item Growth'!$A$10:$B$18,2,false)),E667, E667*VLOOKUP(A668,'Exponential Item Growth'!$A$10:$B$18,2,false))</f>
        <v>256</v>
      </c>
      <c r="F668" s="12">
        <f>C668*'Exponential Item Growth'!$B$21</f>
        <v>1425779.2</v>
      </c>
      <c r="G668" s="12">
        <f>'Exponential Item Growth'!$B$22*C668</f>
        <v>21386688</v>
      </c>
      <c r="H668" s="12">
        <f>'Exponential Item Growth'!$B$23*C668</f>
        <v>285155840</v>
      </c>
    </row>
    <row r="669" ht="15.75" customHeight="1">
      <c r="A669" s="2">
        <v>668.0</v>
      </c>
      <c r="B669" s="11">
        <f>'Exponential Item Growth'!$B$5*'Exponential Item Growth'!$B$6^A669</f>
        <v>1.58856E+20</v>
      </c>
      <c r="C669" s="12">
        <f t="shared" si="1"/>
        <v>285583.36</v>
      </c>
      <c r="D669" s="2">
        <f>A669*'Exponential Item Growth'!$B$4</f>
        <v>1115.56</v>
      </c>
      <c r="E669" s="12">
        <f>if(isna(VLOOKUP(A669,'Exponential Item Growth'!$A$10:$B$18,2,false)),E668, E668*VLOOKUP(A669,'Exponential Item Growth'!$A$10:$B$18,2,false))</f>
        <v>256</v>
      </c>
      <c r="F669" s="12">
        <f>C669*'Exponential Item Growth'!$B$21</f>
        <v>1427916.8</v>
      </c>
      <c r="G669" s="12">
        <f>'Exponential Item Growth'!$B$22*C669</f>
        <v>21418752</v>
      </c>
      <c r="H669" s="12">
        <f>'Exponential Item Growth'!$B$23*C669</f>
        <v>285583360</v>
      </c>
    </row>
    <row r="670" ht="15.75" customHeight="1">
      <c r="A670" s="2">
        <v>669.0</v>
      </c>
      <c r="B670" s="11">
        <f>'Exponential Item Growth'!$B$5*'Exponential Item Growth'!$B$6^A670</f>
        <v>1.69976E+20</v>
      </c>
      <c r="C670" s="12">
        <f t="shared" si="1"/>
        <v>286010.88</v>
      </c>
      <c r="D670" s="2">
        <f>A670*'Exponential Item Growth'!$B$4</f>
        <v>1117.23</v>
      </c>
      <c r="E670" s="12">
        <f>if(isna(VLOOKUP(A670,'Exponential Item Growth'!$A$10:$B$18,2,false)),E669, E669*VLOOKUP(A670,'Exponential Item Growth'!$A$10:$B$18,2,false))</f>
        <v>256</v>
      </c>
      <c r="F670" s="12">
        <f>C670*'Exponential Item Growth'!$B$21</f>
        <v>1430054.4</v>
      </c>
      <c r="G670" s="12">
        <f>'Exponential Item Growth'!$B$22*C670</f>
        <v>21450816</v>
      </c>
      <c r="H670" s="12">
        <f>'Exponential Item Growth'!$B$23*C670</f>
        <v>286010880</v>
      </c>
    </row>
    <row r="671" ht="15.75" customHeight="1">
      <c r="A671" s="2">
        <v>670.0</v>
      </c>
      <c r="B671" s="11">
        <f>'Exponential Item Growth'!$B$5*'Exponential Item Growth'!$B$6^A671</f>
        <v>1.81874E+20</v>
      </c>
      <c r="C671" s="12">
        <f t="shared" si="1"/>
        <v>286438.4</v>
      </c>
      <c r="D671" s="2">
        <f>A671*'Exponential Item Growth'!$B$4</f>
        <v>1118.9</v>
      </c>
      <c r="E671" s="12">
        <f>if(isna(VLOOKUP(A671,'Exponential Item Growth'!$A$10:$B$18,2,false)),E670, E670*VLOOKUP(A671,'Exponential Item Growth'!$A$10:$B$18,2,false))</f>
        <v>256</v>
      </c>
      <c r="F671" s="12">
        <f>C671*'Exponential Item Growth'!$B$21</f>
        <v>1432192</v>
      </c>
      <c r="G671" s="12">
        <f>'Exponential Item Growth'!$B$22*C671</f>
        <v>21482880</v>
      </c>
      <c r="H671" s="12">
        <f>'Exponential Item Growth'!$B$23*C671</f>
        <v>286438400</v>
      </c>
    </row>
    <row r="672" ht="15.75" customHeight="1">
      <c r="A672" s="2">
        <v>671.0</v>
      </c>
      <c r="B672" s="11">
        <f>'Exponential Item Growth'!$B$5*'Exponential Item Growth'!$B$6^A672</f>
        <v>1.94605E+20</v>
      </c>
      <c r="C672" s="12">
        <f t="shared" si="1"/>
        <v>286865.92</v>
      </c>
      <c r="D672" s="2">
        <f>A672*'Exponential Item Growth'!$B$4</f>
        <v>1120.57</v>
      </c>
      <c r="E672" s="12">
        <f>if(isna(VLOOKUP(A672,'Exponential Item Growth'!$A$10:$B$18,2,false)),E671, E671*VLOOKUP(A672,'Exponential Item Growth'!$A$10:$B$18,2,false))</f>
        <v>256</v>
      </c>
      <c r="F672" s="12">
        <f>C672*'Exponential Item Growth'!$B$21</f>
        <v>1434329.6</v>
      </c>
      <c r="G672" s="12">
        <f>'Exponential Item Growth'!$B$22*C672</f>
        <v>21514944</v>
      </c>
      <c r="H672" s="12">
        <f>'Exponential Item Growth'!$B$23*C672</f>
        <v>286865920</v>
      </c>
    </row>
    <row r="673" ht="15.75" customHeight="1">
      <c r="A673" s="2">
        <v>672.0</v>
      </c>
      <c r="B673" s="11">
        <f>'Exponential Item Growth'!$B$5*'Exponential Item Growth'!$B$6^A673</f>
        <v>2.08227E+20</v>
      </c>
      <c r="C673" s="12">
        <f t="shared" si="1"/>
        <v>287293.44</v>
      </c>
      <c r="D673" s="2">
        <f>A673*'Exponential Item Growth'!$B$4</f>
        <v>1122.24</v>
      </c>
      <c r="E673" s="12">
        <f>if(isna(VLOOKUP(A673,'Exponential Item Growth'!$A$10:$B$18,2,false)),E672, E672*VLOOKUP(A673,'Exponential Item Growth'!$A$10:$B$18,2,false))</f>
        <v>256</v>
      </c>
      <c r="F673" s="12">
        <f>C673*'Exponential Item Growth'!$B$21</f>
        <v>1436467.2</v>
      </c>
      <c r="G673" s="12">
        <f>'Exponential Item Growth'!$B$22*C673</f>
        <v>21547008</v>
      </c>
      <c r="H673" s="12">
        <f>'Exponential Item Growth'!$B$23*C673</f>
        <v>287293440</v>
      </c>
    </row>
    <row r="674" ht="15.75" customHeight="1">
      <c r="A674" s="2">
        <v>673.0</v>
      </c>
      <c r="B674" s="11">
        <f>'Exponential Item Growth'!$B$5*'Exponential Item Growth'!$B$6^A674</f>
        <v>2.22803E+20</v>
      </c>
      <c r="C674" s="12">
        <f t="shared" si="1"/>
        <v>287720.96</v>
      </c>
      <c r="D674" s="2">
        <f>A674*'Exponential Item Growth'!$B$4</f>
        <v>1123.91</v>
      </c>
      <c r="E674" s="12">
        <f>if(isna(VLOOKUP(A674,'Exponential Item Growth'!$A$10:$B$18,2,false)),E673, E673*VLOOKUP(A674,'Exponential Item Growth'!$A$10:$B$18,2,false))</f>
        <v>256</v>
      </c>
      <c r="F674" s="12">
        <f>C674*'Exponential Item Growth'!$B$21</f>
        <v>1438604.8</v>
      </c>
      <c r="G674" s="12">
        <f>'Exponential Item Growth'!$B$22*C674</f>
        <v>21579072</v>
      </c>
      <c r="H674" s="12">
        <f>'Exponential Item Growth'!$B$23*C674</f>
        <v>287720960</v>
      </c>
    </row>
    <row r="675" ht="15.75" customHeight="1">
      <c r="A675" s="2">
        <v>674.0</v>
      </c>
      <c r="B675" s="11">
        <f>'Exponential Item Growth'!$B$5*'Exponential Item Growth'!$B$6^A675</f>
        <v>2.384E+20</v>
      </c>
      <c r="C675" s="12">
        <f t="shared" si="1"/>
        <v>288148.48</v>
      </c>
      <c r="D675" s="2">
        <f>A675*'Exponential Item Growth'!$B$4</f>
        <v>1125.58</v>
      </c>
      <c r="E675" s="12">
        <f>if(isna(VLOOKUP(A675,'Exponential Item Growth'!$A$10:$B$18,2,false)),E674, E674*VLOOKUP(A675,'Exponential Item Growth'!$A$10:$B$18,2,false))</f>
        <v>256</v>
      </c>
      <c r="F675" s="12">
        <f>C675*'Exponential Item Growth'!$B$21</f>
        <v>1440742.4</v>
      </c>
      <c r="G675" s="12">
        <f>'Exponential Item Growth'!$B$22*C675</f>
        <v>21611136</v>
      </c>
      <c r="H675" s="12">
        <f>'Exponential Item Growth'!$B$23*C675</f>
        <v>288148480</v>
      </c>
    </row>
    <row r="676" ht="15.75" customHeight="1">
      <c r="A676" s="2">
        <v>675.0</v>
      </c>
      <c r="B676" s="11">
        <f>'Exponential Item Growth'!$B$5*'Exponential Item Growth'!$B$6^A676</f>
        <v>2.55088E+20</v>
      </c>
      <c r="C676" s="12">
        <f t="shared" si="1"/>
        <v>288576</v>
      </c>
      <c r="D676" s="2">
        <f>A676*'Exponential Item Growth'!$B$4</f>
        <v>1127.25</v>
      </c>
      <c r="E676" s="12">
        <f>if(isna(VLOOKUP(A676,'Exponential Item Growth'!$A$10:$B$18,2,false)),E675, E675*VLOOKUP(A676,'Exponential Item Growth'!$A$10:$B$18,2,false))</f>
        <v>256</v>
      </c>
      <c r="F676" s="12">
        <f>C676*'Exponential Item Growth'!$B$21</f>
        <v>1442880</v>
      </c>
      <c r="G676" s="12">
        <f>'Exponential Item Growth'!$B$22*C676</f>
        <v>21643200</v>
      </c>
      <c r="H676" s="12">
        <f>'Exponential Item Growth'!$B$23*C676</f>
        <v>288576000</v>
      </c>
    </row>
    <row r="677" ht="15.75" customHeight="1">
      <c r="A677" s="2">
        <v>676.0</v>
      </c>
      <c r="B677" s="11">
        <f>'Exponential Item Growth'!$B$5*'Exponential Item Growth'!$B$6^A677</f>
        <v>2.72944E+20</v>
      </c>
      <c r="C677" s="12">
        <f t="shared" si="1"/>
        <v>289003.52</v>
      </c>
      <c r="D677" s="2">
        <f>A677*'Exponential Item Growth'!$B$4</f>
        <v>1128.92</v>
      </c>
      <c r="E677" s="12">
        <f>if(isna(VLOOKUP(A677,'Exponential Item Growth'!$A$10:$B$18,2,false)),E676, E676*VLOOKUP(A677,'Exponential Item Growth'!$A$10:$B$18,2,false))</f>
        <v>256</v>
      </c>
      <c r="F677" s="12">
        <f>C677*'Exponential Item Growth'!$B$21</f>
        <v>1445017.6</v>
      </c>
      <c r="G677" s="12">
        <f>'Exponential Item Growth'!$B$22*C677</f>
        <v>21675264</v>
      </c>
      <c r="H677" s="12">
        <f>'Exponential Item Growth'!$B$23*C677</f>
        <v>289003520</v>
      </c>
    </row>
    <row r="678" ht="15.75" customHeight="1">
      <c r="A678" s="2">
        <v>677.0</v>
      </c>
      <c r="B678" s="11">
        <f>'Exponential Item Growth'!$B$5*'Exponential Item Growth'!$B$6^A678</f>
        <v>2.9205E+20</v>
      </c>
      <c r="C678" s="12">
        <f t="shared" si="1"/>
        <v>289431.04</v>
      </c>
      <c r="D678" s="2">
        <f>A678*'Exponential Item Growth'!$B$4</f>
        <v>1130.59</v>
      </c>
      <c r="E678" s="12">
        <f>if(isna(VLOOKUP(A678,'Exponential Item Growth'!$A$10:$B$18,2,false)),E677, E677*VLOOKUP(A678,'Exponential Item Growth'!$A$10:$B$18,2,false))</f>
        <v>256</v>
      </c>
      <c r="F678" s="12">
        <f>C678*'Exponential Item Growth'!$B$21</f>
        <v>1447155.2</v>
      </c>
      <c r="G678" s="12">
        <f>'Exponential Item Growth'!$B$22*C678</f>
        <v>21707328</v>
      </c>
      <c r="H678" s="12">
        <f>'Exponential Item Growth'!$B$23*C678</f>
        <v>289431040</v>
      </c>
    </row>
    <row r="679" ht="15.75" customHeight="1">
      <c r="A679" s="2">
        <v>678.0</v>
      </c>
      <c r="B679" s="11">
        <f>'Exponential Item Growth'!$B$5*'Exponential Item Growth'!$B$6^A679</f>
        <v>3.12493E+20</v>
      </c>
      <c r="C679" s="12">
        <f t="shared" si="1"/>
        <v>289858.56</v>
      </c>
      <c r="D679" s="2">
        <f>A679*'Exponential Item Growth'!$B$4</f>
        <v>1132.26</v>
      </c>
      <c r="E679" s="12">
        <f>if(isna(VLOOKUP(A679,'Exponential Item Growth'!$A$10:$B$18,2,false)),E678, E678*VLOOKUP(A679,'Exponential Item Growth'!$A$10:$B$18,2,false))</f>
        <v>256</v>
      </c>
      <c r="F679" s="12">
        <f>C679*'Exponential Item Growth'!$B$21</f>
        <v>1449292.8</v>
      </c>
      <c r="G679" s="12">
        <f>'Exponential Item Growth'!$B$22*C679</f>
        <v>21739392</v>
      </c>
      <c r="H679" s="12">
        <f>'Exponential Item Growth'!$B$23*C679</f>
        <v>289858560</v>
      </c>
    </row>
    <row r="680" ht="15.75" customHeight="1">
      <c r="A680" s="2">
        <v>679.0</v>
      </c>
      <c r="B680" s="11">
        <f>'Exponential Item Growth'!$B$5*'Exponential Item Growth'!$B$6^A680</f>
        <v>3.34368E+20</v>
      </c>
      <c r="C680" s="12">
        <f t="shared" si="1"/>
        <v>290286.08</v>
      </c>
      <c r="D680" s="2">
        <f>A680*'Exponential Item Growth'!$B$4</f>
        <v>1133.93</v>
      </c>
      <c r="E680" s="12">
        <f>if(isna(VLOOKUP(A680,'Exponential Item Growth'!$A$10:$B$18,2,false)),E679, E679*VLOOKUP(A680,'Exponential Item Growth'!$A$10:$B$18,2,false))</f>
        <v>256</v>
      </c>
      <c r="F680" s="12">
        <f>C680*'Exponential Item Growth'!$B$21</f>
        <v>1451430.4</v>
      </c>
      <c r="G680" s="12">
        <f>'Exponential Item Growth'!$B$22*C680</f>
        <v>21771456</v>
      </c>
      <c r="H680" s="12">
        <f>'Exponential Item Growth'!$B$23*C680</f>
        <v>290286080</v>
      </c>
    </row>
    <row r="681" ht="15.75" customHeight="1">
      <c r="A681" s="2">
        <v>680.0</v>
      </c>
      <c r="B681" s="11">
        <f>'Exponential Item Growth'!$B$5*'Exponential Item Growth'!$B$6^A681</f>
        <v>3.57773E+20</v>
      </c>
      <c r="C681" s="12">
        <f t="shared" si="1"/>
        <v>290713.6</v>
      </c>
      <c r="D681" s="2">
        <f>A681*'Exponential Item Growth'!$B$4</f>
        <v>1135.6</v>
      </c>
      <c r="E681" s="12">
        <f>if(isna(VLOOKUP(A681,'Exponential Item Growth'!$A$10:$B$18,2,false)),E680, E680*VLOOKUP(A681,'Exponential Item Growth'!$A$10:$B$18,2,false))</f>
        <v>256</v>
      </c>
      <c r="F681" s="12">
        <f>C681*'Exponential Item Growth'!$B$21</f>
        <v>1453568</v>
      </c>
      <c r="G681" s="12">
        <f>'Exponential Item Growth'!$B$22*C681</f>
        <v>21803520</v>
      </c>
      <c r="H681" s="12">
        <f>'Exponential Item Growth'!$B$23*C681</f>
        <v>290713600</v>
      </c>
    </row>
    <row r="682" ht="15.75" customHeight="1">
      <c r="A682" s="2">
        <v>681.0</v>
      </c>
      <c r="B682" s="11">
        <f>'Exponential Item Growth'!$B$5*'Exponential Item Growth'!$B$6^A682</f>
        <v>3.82818E+20</v>
      </c>
      <c r="C682" s="12">
        <f t="shared" si="1"/>
        <v>291141.12</v>
      </c>
      <c r="D682" s="2">
        <f>A682*'Exponential Item Growth'!$B$4</f>
        <v>1137.27</v>
      </c>
      <c r="E682" s="12">
        <f>if(isna(VLOOKUP(A682,'Exponential Item Growth'!$A$10:$B$18,2,false)),E681, E681*VLOOKUP(A682,'Exponential Item Growth'!$A$10:$B$18,2,false))</f>
        <v>256</v>
      </c>
      <c r="F682" s="12">
        <f>C682*'Exponential Item Growth'!$B$21</f>
        <v>1455705.6</v>
      </c>
      <c r="G682" s="12">
        <f>'Exponential Item Growth'!$B$22*C682</f>
        <v>21835584</v>
      </c>
      <c r="H682" s="12">
        <f>'Exponential Item Growth'!$B$23*C682</f>
        <v>291141120</v>
      </c>
    </row>
    <row r="683" ht="15.75" customHeight="1">
      <c r="A683" s="2">
        <v>682.0</v>
      </c>
      <c r="B683" s="11">
        <f>'Exponential Item Growth'!$B$5*'Exponential Item Growth'!$B$6^A683</f>
        <v>4.09615E+20</v>
      </c>
      <c r="C683" s="12">
        <f t="shared" si="1"/>
        <v>291568.64</v>
      </c>
      <c r="D683" s="2">
        <f>A683*'Exponential Item Growth'!$B$4</f>
        <v>1138.94</v>
      </c>
      <c r="E683" s="12">
        <f>if(isna(VLOOKUP(A683,'Exponential Item Growth'!$A$10:$B$18,2,false)),E682, E682*VLOOKUP(A683,'Exponential Item Growth'!$A$10:$B$18,2,false))</f>
        <v>256</v>
      </c>
      <c r="F683" s="12">
        <f>C683*'Exponential Item Growth'!$B$21</f>
        <v>1457843.2</v>
      </c>
      <c r="G683" s="12">
        <f>'Exponential Item Growth'!$B$22*C683</f>
        <v>21867648</v>
      </c>
      <c r="H683" s="12">
        <f>'Exponential Item Growth'!$B$23*C683</f>
        <v>291568640</v>
      </c>
    </row>
    <row r="684" ht="15.75" customHeight="1">
      <c r="A684" s="2">
        <v>683.0</v>
      </c>
      <c r="B684" s="11">
        <f>'Exponential Item Growth'!$B$5*'Exponential Item Growth'!$B$6^A684</f>
        <v>4.38288E+20</v>
      </c>
      <c r="C684" s="12">
        <f t="shared" si="1"/>
        <v>291996.16</v>
      </c>
      <c r="D684" s="2">
        <f>A684*'Exponential Item Growth'!$B$4</f>
        <v>1140.61</v>
      </c>
      <c r="E684" s="12">
        <f>if(isna(VLOOKUP(A684,'Exponential Item Growth'!$A$10:$B$18,2,false)),E683, E683*VLOOKUP(A684,'Exponential Item Growth'!$A$10:$B$18,2,false))</f>
        <v>256</v>
      </c>
      <c r="F684" s="12">
        <f>C684*'Exponential Item Growth'!$B$21</f>
        <v>1459980.8</v>
      </c>
      <c r="G684" s="12">
        <f>'Exponential Item Growth'!$B$22*C684</f>
        <v>21899712</v>
      </c>
      <c r="H684" s="12">
        <f>'Exponential Item Growth'!$B$23*C684</f>
        <v>291996160</v>
      </c>
    </row>
    <row r="685" ht="15.75" customHeight="1">
      <c r="A685" s="2">
        <v>684.0</v>
      </c>
      <c r="B685" s="11">
        <f>'Exponential Item Growth'!$B$5*'Exponential Item Growth'!$B$6^A685</f>
        <v>4.68968E+20</v>
      </c>
      <c r="C685" s="12">
        <f t="shared" si="1"/>
        <v>292423.68</v>
      </c>
      <c r="D685" s="2">
        <f>A685*'Exponential Item Growth'!$B$4</f>
        <v>1142.28</v>
      </c>
      <c r="E685" s="12">
        <f>if(isna(VLOOKUP(A685,'Exponential Item Growth'!$A$10:$B$18,2,false)),E684, E684*VLOOKUP(A685,'Exponential Item Growth'!$A$10:$B$18,2,false))</f>
        <v>256</v>
      </c>
      <c r="F685" s="12">
        <f>C685*'Exponential Item Growth'!$B$21</f>
        <v>1462118.4</v>
      </c>
      <c r="G685" s="12">
        <f>'Exponential Item Growth'!$B$22*C685</f>
        <v>21931776</v>
      </c>
      <c r="H685" s="12">
        <f>'Exponential Item Growth'!$B$23*C685</f>
        <v>292423680</v>
      </c>
    </row>
    <row r="686" ht="15.75" customHeight="1">
      <c r="A686" s="2">
        <v>685.0</v>
      </c>
      <c r="B686" s="11">
        <f>'Exponential Item Growth'!$B$5*'Exponential Item Growth'!$B$6^A686</f>
        <v>5.01796E+20</v>
      </c>
      <c r="C686" s="12">
        <f t="shared" si="1"/>
        <v>292851.2</v>
      </c>
      <c r="D686" s="2">
        <f>A686*'Exponential Item Growth'!$B$4</f>
        <v>1143.95</v>
      </c>
      <c r="E686" s="12">
        <f>if(isna(VLOOKUP(A686,'Exponential Item Growth'!$A$10:$B$18,2,false)),E685, E685*VLOOKUP(A686,'Exponential Item Growth'!$A$10:$B$18,2,false))</f>
        <v>256</v>
      </c>
      <c r="F686" s="12">
        <f>C686*'Exponential Item Growth'!$B$21</f>
        <v>1464256</v>
      </c>
      <c r="G686" s="12">
        <f>'Exponential Item Growth'!$B$22*C686</f>
        <v>21963840</v>
      </c>
      <c r="H686" s="12">
        <f>'Exponential Item Growth'!$B$23*C686</f>
        <v>292851200</v>
      </c>
    </row>
    <row r="687" ht="15.75" customHeight="1">
      <c r="A687" s="2">
        <v>686.0</v>
      </c>
      <c r="B687" s="11">
        <f>'Exponential Item Growth'!$B$5*'Exponential Item Growth'!$B$6^A687</f>
        <v>5.36921E+20</v>
      </c>
      <c r="C687" s="12">
        <f t="shared" si="1"/>
        <v>293278.72</v>
      </c>
      <c r="D687" s="2">
        <f>A687*'Exponential Item Growth'!$B$4</f>
        <v>1145.62</v>
      </c>
      <c r="E687" s="12">
        <f>if(isna(VLOOKUP(A687,'Exponential Item Growth'!$A$10:$B$18,2,false)),E686, E686*VLOOKUP(A687,'Exponential Item Growth'!$A$10:$B$18,2,false))</f>
        <v>256</v>
      </c>
      <c r="F687" s="12">
        <f>C687*'Exponential Item Growth'!$B$21</f>
        <v>1466393.6</v>
      </c>
      <c r="G687" s="12">
        <f>'Exponential Item Growth'!$B$22*C687</f>
        <v>21995904</v>
      </c>
      <c r="H687" s="12">
        <f>'Exponential Item Growth'!$B$23*C687</f>
        <v>293278720</v>
      </c>
    </row>
    <row r="688" ht="15.75" customHeight="1">
      <c r="A688" s="2">
        <v>687.0</v>
      </c>
      <c r="B688" s="11">
        <f>'Exponential Item Growth'!$B$5*'Exponential Item Growth'!$B$6^A688</f>
        <v>5.74506E+20</v>
      </c>
      <c r="C688" s="12">
        <f t="shared" si="1"/>
        <v>293706.24</v>
      </c>
      <c r="D688" s="2">
        <f>A688*'Exponential Item Growth'!$B$4</f>
        <v>1147.29</v>
      </c>
      <c r="E688" s="12">
        <f>if(isna(VLOOKUP(A688,'Exponential Item Growth'!$A$10:$B$18,2,false)),E687, E687*VLOOKUP(A688,'Exponential Item Growth'!$A$10:$B$18,2,false))</f>
        <v>256</v>
      </c>
      <c r="F688" s="12">
        <f>C688*'Exponential Item Growth'!$B$21</f>
        <v>1468531.2</v>
      </c>
      <c r="G688" s="12">
        <f>'Exponential Item Growth'!$B$22*C688</f>
        <v>22027968</v>
      </c>
      <c r="H688" s="12">
        <f>'Exponential Item Growth'!$B$23*C688</f>
        <v>293706240</v>
      </c>
    </row>
    <row r="689" ht="15.75" customHeight="1">
      <c r="A689" s="2">
        <v>688.0</v>
      </c>
      <c r="B689" s="11">
        <f>'Exponential Item Growth'!$B$5*'Exponential Item Growth'!$B$6^A689</f>
        <v>6.14721E+20</v>
      </c>
      <c r="C689" s="12">
        <f t="shared" si="1"/>
        <v>294133.76</v>
      </c>
      <c r="D689" s="2">
        <f>A689*'Exponential Item Growth'!$B$4</f>
        <v>1148.96</v>
      </c>
      <c r="E689" s="12">
        <f>if(isna(VLOOKUP(A689,'Exponential Item Growth'!$A$10:$B$18,2,false)),E688, E688*VLOOKUP(A689,'Exponential Item Growth'!$A$10:$B$18,2,false))</f>
        <v>256</v>
      </c>
      <c r="F689" s="12">
        <f>C689*'Exponential Item Growth'!$B$21</f>
        <v>1470668.8</v>
      </c>
      <c r="G689" s="12">
        <f>'Exponential Item Growth'!$B$22*C689</f>
        <v>22060032</v>
      </c>
      <c r="H689" s="12">
        <f>'Exponential Item Growth'!$B$23*C689</f>
        <v>294133760</v>
      </c>
    </row>
    <row r="690" ht="15.75" customHeight="1">
      <c r="A690" s="2">
        <v>689.0</v>
      </c>
      <c r="B690" s="11">
        <f>'Exponential Item Growth'!$B$5*'Exponential Item Growth'!$B$6^A690</f>
        <v>6.57752E+20</v>
      </c>
      <c r="C690" s="12">
        <f t="shared" si="1"/>
        <v>294561.28</v>
      </c>
      <c r="D690" s="2">
        <f>A690*'Exponential Item Growth'!$B$4</f>
        <v>1150.63</v>
      </c>
      <c r="E690" s="12">
        <f>if(isna(VLOOKUP(A690,'Exponential Item Growth'!$A$10:$B$18,2,false)),E689, E689*VLOOKUP(A690,'Exponential Item Growth'!$A$10:$B$18,2,false))</f>
        <v>256</v>
      </c>
      <c r="F690" s="12">
        <f>C690*'Exponential Item Growth'!$B$21</f>
        <v>1472806.4</v>
      </c>
      <c r="G690" s="12">
        <f>'Exponential Item Growth'!$B$22*C690</f>
        <v>22092096</v>
      </c>
      <c r="H690" s="12">
        <f>'Exponential Item Growth'!$B$23*C690</f>
        <v>294561280</v>
      </c>
    </row>
    <row r="691" ht="15.75" customHeight="1">
      <c r="A691" s="2">
        <v>690.0</v>
      </c>
      <c r="B691" s="11">
        <f>'Exponential Item Growth'!$B$5*'Exponential Item Growth'!$B$6^A691</f>
        <v>7.03795E+20</v>
      </c>
      <c r="C691" s="12">
        <f t="shared" si="1"/>
        <v>294988.8</v>
      </c>
      <c r="D691" s="2">
        <f>A691*'Exponential Item Growth'!$B$4</f>
        <v>1152.3</v>
      </c>
      <c r="E691" s="12">
        <f>if(isna(VLOOKUP(A691,'Exponential Item Growth'!$A$10:$B$18,2,false)),E690, E690*VLOOKUP(A691,'Exponential Item Growth'!$A$10:$B$18,2,false))</f>
        <v>256</v>
      </c>
      <c r="F691" s="12">
        <f>C691*'Exponential Item Growth'!$B$21</f>
        <v>1474944</v>
      </c>
      <c r="G691" s="12">
        <f>'Exponential Item Growth'!$B$22*C691</f>
        <v>22124160</v>
      </c>
      <c r="H691" s="12">
        <f>'Exponential Item Growth'!$B$23*C691</f>
        <v>294988800</v>
      </c>
    </row>
    <row r="692" ht="15.75" customHeight="1">
      <c r="A692" s="2">
        <v>691.0</v>
      </c>
      <c r="B692" s="11">
        <f>'Exponential Item Growth'!$B$5*'Exponential Item Growth'!$B$6^A692</f>
        <v>7.5306E+20</v>
      </c>
      <c r="C692" s="12">
        <f t="shared" si="1"/>
        <v>295416.32</v>
      </c>
      <c r="D692" s="2">
        <f>A692*'Exponential Item Growth'!$B$4</f>
        <v>1153.97</v>
      </c>
      <c r="E692" s="12">
        <f>if(isna(VLOOKUP(A692,'Exponential Item Growth'!$A$10:$B$18,2,false)),E691, E691*VLOOKUP(A692,'Exponential Item Growth'!$A$10:$B$18,2,false))</f>
        <v>256</v>
      </c>
      <c r="F692" s="12">
        <f>C692*'Exponential Item Growth'!$B$21</f>
        <v>1477081.6</v>
      </c>
      <c r="G692" s="12">
        <f>'Exponential Item Growth'!$B$22*C692</f>
        <v>22156224</v>
      </c>
      <c r="H692" s="12">
        <f>'Exponential Item Growth'!$B$23*C692</f>
        <v>295416320</v>
      </c>
    </row>
    <row r="693" ht="15.75" customHeight="1">
      <c r="A693" s="2">
        <v>692.0</v>
      </c>
      <c r="B693" s="11">
        <f>'Exponential Item Growth'!$B$5*'Exponential Item Growth'!$B$6^A693</f>
        <v>8.05774E+20</v>
      </c>
      <c r="C693" s="12">
        <f t="shared" si="1"/>
        <v>295843.84</v>
      </c>
      <c r="D693" s="2">
        <f>A693*'Exponential Item Growth'!$B$4</f>
        <v>1155.64</v>
      </c>
      <c r="E693" s="12">
        <f>if(isna(VLOOKUP(A693,'Exponential Item Growth'!$A$10:$B$18,2,false)),E692, E692*VLOOKUP(A693,'Exponential Item Growth'!$A$10:$B$18,2,false))</f>
        <v>256</v>
      </c>
      <c r="F693" s="12">
        <f>C693*'Exponential Item Growth'!$B$21</f>
        <v>1479219.2</v>
      </c>
      <c r="G693" s="12">
        <f>'Exponential Item Growth'!$B$22*C693</f>
        <v>22188288</v>
      </c>
      <c r="H693" s="12">
        <f>'Exponential Item Growth'!$B$23*C693</f>
        <v>295843840</v>
      </c>
    </row>
    <row r="694" ht="15.75" customHeight="1">
      <c r="A694" s="2">
        <v>693.0</v>
      </c>
      <c r="B694" s="11">
        <f>'Exponential Item Growth'!$B$5*'Exponential Item Growth'!$B$6^A694</f>
        <v>8.62179E+20</v>
      </c>
      <c r="C694" s="12">
        <f t="shared" si="1"/>
        <v>296271.36</v>
      </c>
      <c r="D694" s="2">
        <f>A694*'Exponential Item Growth'!$B$4</f>
        <v>1157.31</v>
      </c>
      <c r="E694" s="12">
        <f>if(isna(VLOOKUP(A694,'Exponential Item Growth'!$A$10:$B$18,2,false)),E693, E693*VLOOKUP(A694,'Exponential Item Growth'!$A$10:$B$18,2,false))</f>
        <v>256</v>
      </c>
      <c r="F694" s="12">
        <f>C694*'Exponential Item Growth'!$B$21</f>
        <v>1481356.8</v>
      </c>
      <c r="G694" s="12">
        <f>'Exponential Item Growth'!$B$22*C694</f>
        <v>22220352</v>
      </c>
      <c r="H694" s="12">
        <f>'Exponential Item Growth'!$B$23*C694</f>
        <v>296271360</v>
      </c>
    </row>
    <row r="695" ht="15.75" customHeight="1">
      <c r="A695" s="2">
        <v>694.0</v>
      </c>
      <c r="B695" s="11">
        <f>'Exponential Item Growth'!$B$5*'Exponential Item Growth'!$B$6^A695</f>
        <v>9.22531E+20</v>
      </c>
      <c r="C695" s="12">
        <f t="shared" si="1"/>
        <v>296698.88</v>
      </c>
      <c r="D695" s="2">
        <f>A695*'Exponential Item Growth'!$B$4</f>
        <v>1158.98</v>
      </c>
      <c r="E695" s="12">
        <f>if(isna(VLOOKUP(A695,'Exponential Item Growth'!$A$10:$B$18,2,false)),E694, E694*VLOOKUP(A695,'Exponential Item Growth'!$A$10:$B$18,2,false))</f>
        <v>256</v>
      </c>
      <c r="F695" s="12">
        <f>C695*'Exponential Item Growth'!$B$21</f>
        <v>1483494.4</v>
      </c>
      <c r="G695" s="12">
        <f>'Exponential Item Growth'!$B$22*C695</f>
        <v>22252416</v>
      </c>
      <c r="H695" s="12">
        <f>'Exponential Item Growth'!$B$23*C695</f>
        <v>296698880</v>
      </c>
    </row>
    <row r="696" ht="15.75" customHeight="1">
      <c r="A696" s="2">
        <v>695.0</v>
      </c>
      <c r="B696" s="11">
        <f>'Exponential Item Growth'!$B$5*'Exponential Item Growth'!$B$6^A696</f>
        <v>9.87108E+20</v>
      </c>
      <c r="C696" s="12">
        <f t="shared" si="1"/>
        <v>297126.4</v>
      </c>
      <c r="D696" s="2">
        <f>A696*'Exponential Item Growth'!$B$4</f>
        <v>1160.65</v>
      </c>
      <c r="E696" s="12">
        <f>if(isna(VLOOKUP(A696,'Exponential Item Growth'!$A$10:$B$18,2,false)),E695, E695*VLOOKUP(A696,'Exponential Item Growth'!$A$10:$B$18,2,false))</f>
        <v>256</v>
      </c>
      <c r="F696" s="12">
        <f>C696*'Exponential Item Growth'!$B$21</f>
        <v>1485632</v>
      </c>
      <c r="G696" s="12">
        <f>'Exponential Item Growth'!$B$22*C696</f>
        <v>22284480</v>
      </c>
      <c r="H696" s="12">
        <f>'Exponential Item Growth'!$B$23*C696</f>
        <v>297126400</v>
      </c>
    </row>
    <row r="697" ht="15.75" customHeight="1">
      <c r="A697" s="2">
        <v>696.0</v>
      </c>
      <c r="B697" s="11">
        <f>'Exponential Item Growth'!$B$5*'Exponential Item Growth'!$B$6^A697</f>
        <v>1.05621E+21</v>
      </c>
      <c r="C697" s="12">
        <f t="shared" si="1"/>
        <v>297553.92</v>
      </c>
      <c r="D697" s="2">
        <f>A697*'Exponential Item Growth'!$B$4</f>
        <v>1162.32</v>
      </c>
      <c r="E697" s="12">
        <f>if(isna(VLOOKUP(A697,'Exponential Item Growth'!$A$10:$B$18,2,false)),E696, E696*VLOOKUP(A697,'Exponential Item Growth'!$A$10:$B$18,2,false))</f>
        <v>256</v>
      </c>
      <c r="F697" s="12">
        <f>C697*'Exponential Item Growth'!$B$21</f>
        <v>1487769.6</v>
      </c>
      <c r="G697" s="12">
        <f>'Exponential Item Growth'!$B$22*C697</f>
        <v>22316544</v>
      </c>
      <c r="H697" s="12">
        <f>'Exponential Item Growth'!$B$23*C697</f>
        <v>297553920</v>
      </c>
    </row>
    <row r="698" ht="15.75" customHeight="1">
      <c r="A698" s="2">
        <v>697.0</v>
      </c>
      <c r="B698" s="11">
        <f>'Exponential Item Growth'!$B$5*'Exponential Item Growth'!$B$6^A698</f>
        <v>1.13014E+21</v>
      </c>
      <c r="C698" s="12">
        <f t="shared" si="1"/>
        <v>297981.44</v>
      </c>
      <c r="D698" s="2">
        <f>A698*'Exponential Item Growth'!$B$4</f>
        <v>1163.99</v>
      </c>
      <c r="E698" s="12">
        <f>if(isna(VLOOKUP(A698,'Exponential Item Growth'!$A$10:$B$18,2,false)),E697, E697*VLOOKUP(A698,'Exponential Item Growth'!$A$10:$B$18,2,false))</f>
        <v>256</v>
      </c>
      <c r="F698" s="12">
        <f>C698*'Exponential Item Growth'!$B$21</f>
        <v>1489907.2</v>
      </c>
      <c r="G698" s="12">
        <f>'Exponential Item Growth'!$B$22*C698</f>
        <v>22348608</v>
      </c>
      <c r="H698" s="12">
        <f>'Exponential Item Growth'!$B$23*C698</f>
        <v>297981440</v>
      </c>
    </row>
    <row r="699" ht="15.75" customHeight="1">
      <c r="A699" s="2">
        <v>698.0</v>
      </c>
      <c r="B699" s="11">
        <f>'Exponential Item Growth'!$B$5*'Exponential Item Growth'!$B$6^A699</f>
        <v>1.20925E+21</v>
      </c>
      <c r="C699" s="12">
        <f t="shared" si="1"/>
        <v>298408.96</v>
      </c>
      <c r="D699" s="2">
        <f>A699*'Exponential Item Growth'!$B$4</f>
        <v>1165.66</v>
      </c>
      <c r="E699" s="12">
        <f>if(isna(VLOOKUP(A699,'Exponential Item Growth'!$A$10:$B$18,2,false)),E698, E698*VLOOKUP(A699,'Exponential Item Growth'!$A$10:$B$18,2,false))</f>
        <v>256</v>
      </c>
      <c r="F699" s="12">
        <f>C699*'Exponential Item Growth'!$B$21</f>
        <v>1492044.8</v>
      </c>
      <c r="G699" s="12">
        <f>'Exponential Item Growth'!$B$22*C699</f>
        <v>22380672</v>
      </c>
      <c r="H699" s="12">
        <f>'Exponential Item Growth'!$B$23*C699</f>
        <v>298408960</v>
      </c>
    </row>
    <row r="700" ht="15.75" customHeight="1">
      <c r="A700" s="2">
        <v>699.0</v>
      </c>
      <c r="B700" s="11">
        <f>'Exponential Item Growth'!$B$5*'Exponential Item Growth'!$B$6^A700</f>
        <v>1.2939E+21</v>
      </c>
      <c r="C700" s="12">
        <f t="shared" si="1"/>
        <v>298836.48</v>
      </c>
      <c r="D700" s="2">
        <f>A700*'Exponential Item Growth'!$B$4</f>
        <v>1167.33</v>
      </c>
      <c r="E700" s="12">
        <f>if(isna(VLOOKUP(A700,'Exponential Item Growth'!$A$10:$B$18,2,false)),E699, E699*VLOOKUP(A700,'Exponential Item Growth'!$A$10:$B$18,2,false))</f>
        <v>256</v>
      </c>
      <c r="F700" s="12">
        <f>C700*'Exponential Item Growth'!$B$21</f>
        <v>1494182.4</v>
      </c>
      <c r="G700" s="12">
        <f>'Exponential Item Growth'!$B$22*C700</f>
        <v>22412736</v>
      </c>
      <c r="H700" s="12">
        <f>'Exponential Item Growth'!$B$23*C700</f>
        <v>298836480</v>
      </c>
    </row>
    <row r="701" ht="15.75" customHeight="1">
      <c r="A701" s="2">
        <v>700.0</v>
      </c>
      <c r="B701" s="11">
        <f>'Exponential Item Growth'!$B$5*'Exponential Item Growth'!$B$6^A701</f>
        <v>1.38447E+21</v>
      </c>
      <c r="C701" s="12">
        <f t="shared" si="1"/>
        <v>299264</v>
      </c>
      <c r="D701" s="2">
        <f>A701*'Exponential Item Growth'!$B$4</f>
        <v>1169</v>
      </c>
      <c r="E701" s="12">
        <f>if(isna(VLOOKUP(A701,'Exponential Item Growth'!$A$10:$B$18,2,false)),E700, E700*VLOOKUP(A701,'Exponential Item Growth'!$A$10:$B$18,2,false))</f>
        <v>256</v>
      </c>
      <c r="F701" s="12">
        <f>C701*'Exponential Item Growth'!$B$21</f>
        <v>1496320</v>
      </c>
      <c r="G701" s="12">
        <f>'Exponential Item Growth'!$B$22*C701</f>
        <v>22444800</v>
      </c>
      <c r="H701" s="12">
        <f>'Exponential Item Growth'!$B$23*C701</f>
        <v>299264000</v>
      </c>
    </row>
    <row r="702" ht="15.75" customHeight="1">
      <c r="A702" s="2">
        <v>701.0</v>
      </c>
      <c r="B702" s="11">
        <f>'Exponential Item Growth'!$B$5*'Exponential Item Growth'!$B$6^A702</f>
        <v>1.48138E+21</v>
      </c>
      <c r="C702" s="12">
        <f t="shared" si="1"/>
        <v>299691.52</v>
      </c>
      <c r="D702" s="2">
        <f>A702*'Exponential Item Growth'!$B$4</f>
        <v>1170.67</v>
      </c>
      <c r="E702" s="12">
        <f>if(isna(VLOOKUP(A702,'Exponential Item Growth'!$A$10:$B$18,2,false)),E701, E701*VLOOKUP(A702,'Exponential Item Growth'!$A$10:$B$18,2,false))</f>
        <v>256</v>
      </c>
      <c r="F702" s="12">
        <f>C702*'Exponential Item Growth'!$B$21</f>
        <v>1498457.6</v>
      </c>
      <c r="G702" s="12">
        <f>'Exponential Item Growth'!$B$22*C702</f>
        <v>22476864</v>
      </c>
      <c r="H702" s="12">
        <f>'Exponential Item Growth'!$B$23*C702</f>
        <v>299691520</v>
      </c>
    </row>
    <row r="703" ht="15.75" customHeight="1">
      <c r="A703" s="2">
        <v>702.0</v>
      </c>
      <c r="B703" s="11">
        <f>'Exponential Item Growth'!$B$5*'Exponential Item Growth'!$B$6^A703</f>
        <v>1.58508E+21</v>
      </c>
      <c r="C703" s="12">
        <f t="shared" si="1"/>
        <v>300119.04</v>
      </c>
      <c r="D703" s="2">
        <f>A703*'Exponential Item Growth'!$B$4</f>
        <v>1172.34</v>
      </c>
      <c r="E703" s="12">
        <f>if(isna(VLOOKUP(A703,'Exponential Item Growth'!$A$10:$B$18,2,false)),E702, E702*VLOOKUP(A703,'Exponential Item Growth'!$A$10:$B$18,2,false))</f>
        <v>256</v>
      </c>
      <c r="F703" s="12">
        <f>C703*'Exponential Item Growth'!$B$21</f>
        <v>1500595.2</v>
      </c>
      <c r="G703" s="12">
        <f>'Exponential Item Growth'!$B$22*C703</f>
        <v>22508928</v>
      </c>
      <c r="H703" s="12">
        <f>'Exponential Item Growth'!$B$23*C703</f>
        <v>300119040</v>
      </c>
    </row>
    <row r="704" ht="15.75" customHeight="1">
      <c r="A704" s="2">
        <v>703.0</v>
      </c>
      <c r="B704" s="11">
        <f>'Exponential Item Growth'!$B$5*'Exponential Item Growth'!$B$6^A704</f>
        <v>1.69604E+21</v>
      </c>
      <c r="C704" s="12">
        <f t="shared" si="1"/>
        <v>300546.56</v>
      </c>
      <c r="D704" s="2">
        <f>A704*'Exponential Item Growth'!$B$4</f>
        <v>1174.01</v>
      </c>
      <c r="E704" s="12">
        <f>if(isna(VLOOKUP(A704,'Exponential Item Growth'!$A$10:$B$18,2,false)),E703, E703*VLOOKUP(A704,'Exponential Item Growth'!$A$10:$B$18,2,false))</f>
        <v>256</v>
      </c>
      <c r="F704" s="12">
        <f>C704*'Exponential Item Growth'!$B$21</f>
        <v>1502732.8</v>
      </c>
      <c r="G704" s="12">
        <f>'Exponential Item Growth'!$B$22*C704</f>
        <v>22540992</v>
      </c>
      <c r="H704" s="12">
        <f>'Exponential Item Growth'!$B$23*C704</f>
        <v>300546560</v>
      </c>
    </row>
    <row r="705" ht="15.75" customHeight="1">
      <c r="A705" s="2">
        <v>704.0</v>
      </c>
      <c r="B705" s="11">
        <f>'Exponential Item Growth'!$B$5*'Exponential Item Growth'!$B$6^A705</f>
        <v>1.81476E+21</v>
      </c>
      <c r="C705" s="12">
        <f t="shared" si="1"/>
        <v>300974.08</v>
      </c>
      <c r="D705" s="2">
        <f>A705*'Exponential Item Growth'!$B$4</f>
        <v>1175.68</v>
      </c>
      <c r="E705" s="12">
        <f>if(isna(VLOOKUP(A705,'Exponential Item Growth'!$A$10:$B$18,2,false)),E704, E704*VLOOKUP(A705,'Exponential Item Growth'!$A$10:$B$18,2,false))</f>
        <v>256</v>
      </c>
      <c r="F705" s="12">
        <f>C705*'Exponential Item Growth'!$B$21</f>
        <v>1504870.4</v>
      </c>
      <c r="G705" s="12">
        <f>'Exponential Item Growth'!$B$22*C705</f>
        <v>22573056</v>
      </c>
      <c r="H705" s="12">
        <f>'Exponential Item Growth'!$B$23*C705</f>
        <v>300974080</v>
      </c>
    </row>
    <row r="706" ht="15.75" customHeight="1">
      <c r="A706" s="2">
        <v>705.0</v>
      </c>
      <c r="B706" s="11">
        <f>'Exponential Item Growth'!$B$5*'Exponential Item Growth'!$B$6^A706</f>
        <v>1.94179E+21</v>
      </c>
      <c r="C706" s="12">
        <f t="shared" si="1"/>
        <v>301401.6</v>
      </c>
      <c r="D706" s="2">
        <f>A706*'Exponential Item Growth'!$B$4</f>
        <v>1177.35</v>
      </c>
      <c r="E706" s="12">
        <f>if(isna(VLOOKUP(A706,'Exponential Item Growth'!$A$10:$B$18,2,false)),E705, E705*VLOOKUP(A706,'Exponential Item Growth'!$A$10:$B$18,2,false))</f>
        <v>256</v>
      </c>
      <c r="F706" s="12">
        <f>C706*'Exponential Item Growth'!$B$21</f>
        <v>1507008</v>
      </c>
      <c r="G706" s="12">
        <f>'Exponential Item Growth'!$B$22*C706</f>
        <v>22605120</v>
      </c>
      <c r="H706" s="12">
        <f>'Exponential Item Growth'!$B$23*C706</f>
        <v>301401600</v>
      </c>
    </row>
    <row r="707" ht="15.75" customHeight="1">
      <c r="A707" s="2">
        <v>706.0</v>
      </c>
      <c r="B707" s="11">
        <f>'Exponential Item Growth'!$B$5*'Exponential Item Growth'!$B$6^A707</f>
        <v>2.07772E+21</v>
      </c>
      <c r="C707" s="12">
        <f t="shared" si="1"/>
        <v>301829.12</v>
      </c>
      <c r="D707" s="2">
        <f>A707*'Exponential Item Growth'!$B$4</f>
        <v>1179.02</v>
      </c>
      <c r="E707" s="12">
        <f>if(isna(VLOOKUP(A707,'Exponential Item Growth'!$A$10:$B$18,2,false)),E706, E706*VLOOKUP(A707,'Exponential Item Growth'!$A$10:$B$18,2,false))</f>
        <v>256</v>
      </c>
      <c r="F707" s="12">
        <f>C707*'Exponential Item Growth'!$B$21</f>
        <v>1509145.6</v>
      </c>
      <c r="G707" s="12">
        <f>'Exponential Item Growth'!$B$22*C707</f>
        <v>22637184</v>
      </c>
      <c r="H707" s="12">
        <f>'Exponential Item Growth'!$B$23*C707</f>
        <v>301829120</v>
      </c>
    </row>
    <row r="708" ht="15.75" customHeight="1">
      <c r="A708" s="2">
        <v>707.0</v>
      </c>
      <c r="B708" s="11">
        <f>'Exponential Item Growth'!$B$5*'Exponential Item Growth'!$B$6^A708</f>
        <v>2.22316E+21</v>
      </c>
      <c r="C708" s="12">
        <f t="shared" si="1"/>
        <v>302256.64</v>
      </c>
      <c r="D708" s="2">
        <f>A708*'Exponential Item Growth'!$B$4</f>
        <v>1180.69</v>
      </c>
      <c r="E708" s="12">
        <f>if(isna(VLOOKUP(A708,'Exponential Item Growth'!$A$10:$B$18,2,false)),E707, E707*VLOOKUP(A708,'Exponential Item Growth'!$A$10:$B$18,2,false))</f>
        <v>256</v>
      </c>
      <c r="F708" s="12">
        <f>C708*'Exponential Item Growth'!$B$21</f>
        <v>1511283.2</v>
      </c>
      <c r="G708" s="12">
        <f>'Exponential Item Growth'!$B$22*C708</f>
        <v>22669248</v>
      </c>
      <c r="H708" s="12">
        <f>'Exponential Item Growth'!$B$23*C708</f>
        <v>302256640</v>
      </c>
    </row>
    <row r="709" ht="15.75" customHeight="1">
      <c r="A709" s="2">
        <v>708.0</v>
      </c>
      <c r="B709" s="11">
        <f>'Exponential Item Growth'!$B$5*'Exponential Item Growth'!$B$6^A709</f>
        <v>2.37878E+21</v>
      </c>
      <c r="C709" s="12">
        <f t="shared" si="1"/>
        <v>302684.16</v>
      </c>
      <c r="D709" s="2">
        <f>A709*'Exponential Item Growth'!$B$4</f>
        <v>1182.36</v>
      </c>
      <c r="E709" s="12">
        <f>if(isna(VLOOKUP(A709,'Exponential Item Growth'!$A$10:$B$18,2,false)),E708, E708*VLOOKUP(A709,'Exponential Item Growth'!$A$10:$B$18,2,false))</f>
        <v>256</v>
      </c>
      <c r="F709" s="12">
        <f>C709*'Exponential Item Growth'!$B$21</f>
        <v>1513420.8</v>
      </c>
      <c r="G709" s="12">
        <f>'Exponential Item Growth'!$B$22*C709</f>
        <v>22701312</v>
      </c>
      <c r="H709" s="12">
        <f>'Exponential Item Growth'!$B$23*C709</f>
        <v>302684160</v>
      </c>
    </row>
    <row r="710" ht="15.75" customHeight="1">
      <c r="A710" s="2">
        <v>709.0</v>
      </c>
      <c r="B710" s="11">
        <f>'Exponential Item Growth'!$B$5*'Exponential Item Growth'!$B$6^A710</f>
        <v>2.54529E+21</v>
      </c>
      <c r="C710" s="12">
        <f t="shared" si="1"/>
        <v>303111.68</v>
      </c>
      <c r="D710" s="2">
        <f>A710*'Exponential Item Growth'!$B$4</f>
        <v>1184.03</v>
      </c>
      <c r="E710" s="12">
        <f>if(isna(VLOOKUP(A710,'Exponential Item Growth'!$A$10:$B$18,2,false)),E709, E709*VLOOKUP(A710,'Exponential Item Growth'!$A$10:$B$18,2,false))</f>
        <v>256</v>
      </c>
      <c r="F710" s="12">
        <f>C710*'Exponential Item Growth'!$B$21</f>
        <v>1515558.4</v>
      </c>
      <c r="G710" s="12">
        <f>'Exponential Item Growth'!$B$22*C710</f>
        <v>22733376</v>
      </c>
      <c r="H710" s="12">
        <f>'Exponential Item Growth'!$B$23*C710</f>
        <v>303111680</v>
      </c>
    </row>
    <row r="711" ht="15.75" customHeight="1">
      <c r="A711" s="2">
        <v>710.0</v>
      </c>
      <c r="B711" s="11">
        <f>'Exponential Item Growth'!$B$5*'Exponential Item Growth'!$B$6^A711</f>
        <v>2.72346E+21</v>
      </c>
      <c r="C711" s="12">
        <f t="shared" si="1"/>
        <v>303539.2</v>
      </c>
      <c r="D711" s="2">
        <f>A711*'Exponential Item Growth'!$B$4</f>
        <v>1185.7</v>
      </c>
      <c r="E711" s="12">
        <f>if(isna(VLOOKUP(A711,'Exponential Item Growth'!$A$10:$B$18,2,false)),E710, E710*VLOOKUP(A711,'Exponential Item Growth'!$A$10:$B$18,2,false))</f>
        <v>256</v>
      </c>
      <c r="F711" s="12">
        <f>C711*'Exponential Item Growth'!$B$21</f>
        <v>1517696</v>
      </c>
      <c r="G711" s="12">
        <f>'Exponential Item Growth'!$B$22*C711</f>
        <v>22765440</v>
      </c>
      <c r="H711" s="12">
        <f>'Exponential Item Growth'!$B$23*C711</f>
        <v>303539200</v>
      </c>
    </row>
    <row r="712" ht="15.75" customHeight="1">
      <c r="A712" s="2">
        <v>711.0</v>
      </c>
      <c r="B712" s="11">
        <f>'Exponential Item Growth'!$B$5*'Exponential Item Growth'!$B$6^A712</f>
        <v>2.91411E+21</v>
      </c>
      <c r="C712" s="12">
        <f t="shared" si="1"/>
        <v>303966.72</v>
      </c>
      <c r="D712" s="2">
        <f>A712*'Exponential Item Growth'!$B$4</f>
        <v>1187.37</v>
      </c>
      <c r="E712" s="12">
        <f>if(isna(VLOOKUP(A712,'Exponential Item Growth'!$A$10:$B$18,2,false)),E711, E711*VLOOKUP(A712,'Exponential Item Growth'!$A$10:$B$18,2,false))</f>
        <v>256</v>
      </c>
      <c r="F712" s="12">
        <f>C712*'Exponential Item Growth'!$B$21</f>
        <v>1519833.6</v>
      </c>
      <c r="G712" s="12">
        <f>'Exponential Item Growth'!$B$22*C712</f>
        <v>22797504</v>
      </c>
      <c r="H712" s="12">
        <f>'Exponential Item Growth'!$B$23*C712</f>
        <v>303966720</v>
      </c>
    </row>
    <row r="713" ht="15.75" customHeight="1">
      <c r="A713" s="2">
        <v>712.0</v>
      </c>
      <c r="B713" s="11">
        <f>'Exponential Item Growth'!$B$5*'Exponential Item Growth'!$B$6^A713</f>
        <v>3.11809E+21</v>
      </c>
      <c r="C713" s="12">
        <f t="shared" si="1"/>
        <v>304394.24</v>
      </c>
      <c r="D713" s="2">
        <f>A713*'Exponential Item Growth'!$B$4</f>
        <v>1189.04</v>
      </c>
      <c r="E713" s="12">
        <f>if(isna(VLOOKUP(A713,'Exponential Item Growth'!$A$10:$B$18,2,false)),E712, E712*VLOOKUP(A713,'Exponential Item Growth'!$A$10:$B$18,2,false))</f>
        <v>256</v>
      </c>
      <c r="F713" s="12">
        <f>C713*'Exponential Item Growth'!$B$21</f>
        <v>1521971.2</v>
      </c>
      <c r="G713" s="12">
        <f>'Exponential Item Growth'!$B$22*C713</f>
        <v>22829568</v>
      </c>
      <c r="H713" s="12">
        <f>'Exponential Item Growth'!$B$23*C713</f>
        <v>304394240</v>
      </c>
    </row>
    <row r="714" ht="15.75" customHeight="1">
      <c r="A714" s="2">
        <v>713.0</v>
      </c>
      <c r="B714" s="11">
        <f>'Exponential Item Growth'!$B$5*'Exponential Item Growth'!$B$6^A714</f>
        <v>3.33636E+21</v>
      </c>
      <c r="C714" s="12">
        <f t="shared" si="1"/>
        <v>304821.76</v>
      </c>
      <c r="D714" s="2">
        <f>A714*'Exponential Item Growth'!$B$4</f>
        <v>1190.71</v>
      </c>
      <c r="E714" s="12">
        <f>if(isna(VLOOKUP(A714,'Exponential Item Growth'!$A$10:$B$18,2,false)),E713, E713*VLOOKUP(A714,'Exponential Item Growth'!$A$10:$B$18,2,false))</f>
        <v>256</v>
      </c>
      <c r="F714" s="12">
        <f>C714*'Exponential Item Growth'!$B$21</f>
        <v>1524108.8</v>
      </c>
      <c r="G714" s="12">
        <f>'Exponential Item Growth'!$B$22*C714</f>
        <v>22861632</v>
      </c>
      <c r="H714" s="12">
        <f>'Exponential Item Growth'!$B$23*C714</f>
        <v>304821760</v>
      </c>
    </row>
    <row r="715" ht="15.75" customHeight="1">
      <c r="A715" s="2">
        <v>714.0</v>
      </c>
      <c r="B715" s="11">
        <f>'Exponential Item Growth'!$B$5*'Exponential Item Growth'!$B$6^A715</f>
        <v>3.5699E+21</v>
      </c>
      <c r="C715" s="12">
        <f t="shared" si="1"/>
        <v>305249.28</v>
      </c>
      <c r="D715" s="2">
        <f>A715*'Exponential Item Growth'!$B$4</f>
        <v>1192.38</v>
      </c>
      <c r="E715" s="12">
        <f>if(isna(VLOOKUP(A715,'Exponential Item Growth'!$A$10:$B$18,2,false)),E714, E714*VLOOKUP(A715,'Exponential Item Growth'!$A$10:$B$18,2,false))</f>
        <v>256</v>
      </c>
      <c r="F715" s="12">
        <f>C715*'Exponential Item Growth'!$B$21</f>
        <v>1526246.4</v>
      </c>
      <c r="G715" s="12">
        <f>'Exponential Item Growth'!$B$22*C715</f>
        <v>22893696</v>
      </c>
      <c r="H715" s="12">
        <f>'Exponential Item Growth'!$B$23*C715</f>
        <v>305249280</v>
      </c>
    </row>
    <row r="716" ht="15.75" customHeight="1">
      <c r="A716" s="2">
        <v>715.0</v>
      </c>
      <c r="B716" s="11">
        <f>'Exponential Item Growth'!$B$5*'Exponential Item Growth'!$B$6^A716</f>
        <v>3.8198E+21</v>
      </c>
      <c r="C716" s="12">
        <f t="shared" si="1"/>
        <v>305676.8</v>
      </c>
      <c r="D716" s="2">
        <f>A716*'Exponential Item Growth'!$B$4</f>
        <v>1194.05</v>
      </c>
      <c r="E716" s="12">
        <f>if(isna(VLOOKUP(A716,'Exponential Item Growth'!$A$10:$B$18,2,false)),E715, E715*VLOOKUP(A716,'Exponential Item Growth'!$A$10:$B$18,2,false))</f>
        <v>256</v>
      </c>
      <c r="F716" s="12">
        <f>C716*'Exponential Item Growth'!$B$21</f>
        <v>1528384</v>
      </c>
      <c r="G716" s="12">
        <f>'Exponential Item Growth'!$B$22*C716</f>
        <v>22925760</v>
      </c>
      <c r="H716" s="12">
        <f>'Exponential Item Growth'!$B$23*C716</f>
        <v>305676800</v>
      </c>
    </row>
    <row r="717" ht="15.75" customHeight="1">
      <c r="A717" s="2">
        <v>716.0</v>
      </c>
      <c r="B717" s="11">
        <f>'Exponential Item Growth'!$B$5*'Exponential Item Growth'!$B$6^A717</f>
        <v>4.08718E+21</v>
      </c>
      <c r="C717" s="12">
        <f t="shared" si="1"/>
        <v>306104.32</v>
      </c>
      <c r="D717" s="2">
        <f>A717*'Exponential Item Growth'!$B$4</f>
        <v>1195.72</v>
      </c>
      <c r="E717" s="12">
        <f>if(isna(VLOOKUP(A717,'Exponential Item Growth'!$A$10:$B$18,2,false)),E716, E716*VLOOKUP(A717,'Exponential Item Growth'!$A$10:$B$18,2,false))</f>
        <v>256</v>
      </c>
      <c r="F717" s="12">
        <f>C717*'Exponential Item Growth'!$B$21</f>
        <v>1530521.6</v>
      </c>
      <c r="G717" s="12">
        <f>'Exponential Item Growth'!$B$22*C717</f>
        <v>22957824</v>
      </c>
      <c r="H717" s="12">
        <f>'Exponential Item Growth'!$B$23*C717</f>
        <v>306104320</v>
      </c>
    </row>
    <row r="718" ht="15.75" customHeight="1">
      <c r="A718" s="2">
        <v>717.0</v>
      </c>
      <c r="B718" s="11">
        <f>'Exponential Item Growth'!$B$5*'Exponential Item Growth'!$B$6^A718</f>
        <v>4.37329E+21</v>
      </c>
      <c r="C718" s="12">
        <f t="shared" si="1"/>
        <v>306531.84</v>
      </c>
      <c r="D718" s="2">
        <f>A718*'Exponential Item Growth'!$B$4</f>
        <v>1197.39</v>
      </c>
      <c r="E718" s="12">
        <f>if(isna(VLOOKUP(A718,'Exponential Item Growth'!$A$10:$B$18,2,false)),E717, E717*VLOOKUP(A718,'Exponential Item Growth'!$A$10:$B$18,2,false))</f>
        <v>256</v>
      </c>
      <c r="F718" s="12">
        <f>C718*'Exponential Item Growth'!$B$21</f>
        <v>1532659.2</v>
      </c>
      <c r="G718" s="12">
        <f>'Exponential Item Growth'!$B$22*C718</f>
        <v>22989888</v>
      </c>
      <c r="H718" s="12">
        <f>'Exponential Item Growth'!$B$23*C718</f>
        <v>306531840</v>
      </c>
    </row>
    <row r="719" ht="15.75" customHeight="1">
      <c r="A719" s="2">
        <v>718.0</v>
      </c>
      <c r="B719" s="11">
        <f>'Exponential Item Growth'!$B$5*'Exponential Item Growth'!$B$6^A719</f>
        <v>4.67942E+21</v>
      </c>
      <c r="C719" s="12">
        <f t="shared" si="1"/>
        <v>306959.36</v>
      </c>
      <c r="D719" s="2">
        <f>A719*'Exponential Item Growth'!$B$4</f>
        <v>1199.06</v>
      </c>
      <c r="E719" s="12">
        <f>if(isna(VLOOKUP(A719,'Exponential Item Growth'!$A$10:$B$18,2,false)),E718, E718*VLOOKUP(A719,'Exponential Item Growth'!$A$10:$B$18,2,false))</f>
        <v>256</v>
      </c>
      <c r="F719" s="12">
        <f>C719*'Exponential Item Growth'!$B$21</f>
        <v>1534796.8</v>
      </c>
      <c r="G719" s="12">
        <f>'Exponential Item Growth'!$B$22*C719</f>
        <v>23021952</v>
      </c>
      <c r="H719" s="12">
        <f>'Exponential Item Growth'!$B$23*C719</f>
        <v>306959360</v>
      </c>
    </row>
    <row r="720" ht="15.75" customHeight="1">
      <c r="A720" s="2">
        <v>719.0</v>
      </c>
      <c r="B720" s="11">
        <f>'Exponential Item Growth'!$B$5*'Exponential Item Growth'!$B$6^A720</f>
        <v>5.00698E+21</v>
      </c>
      <c r="C720" s="12">
        <f t="shared" si="1"/>
        <v>307386.88</v>
      </c>
      <c r="D720" s="2">
        <f>A720*'Exponential Item Growth'!$B$4</f>
        <v>1200.73</v>
      </c>
      <c r="E720" s="12">
        <f>if(isna(VLOOKUP(A720,'Exponential Item Growth'!$A$10:$B$18,2,false)),E719, E719*VLOOKUP(A720,'Exponential Item Growth'!$A$10:$B$18,2,false))</f>
        <v>256</v>
      </c>
      <c r="F720" s="12">
        <f>C720*'Exponential Item Growth'!$B$21</f>
        <v>1536934.4</v>
      </c>
      <c r="G720" s="12">
        <f>'Exponential Item Growth'!$B$22*C720</f>
        <v>23054016</v>
      </c>
      <c r="H720" s="12">
        <f>'Exponential Item Growth'!$B$23*C720</f>
        <v>307386880</v>
      </c>
    </row>
    <row r="721" ht="15.75" customHeight="1">
      <c r="A721" s="2">
        <v>720.0</v>
      </c>
      <c r="B721" s="11">
        <f>'Exponential Item Growth'!$B$5*'Exponential Item Growth'!$B$6^A721</f>
        <v>5.35746E+21</v>
      </c>
      <c r="C721" s="12">
        <f t="shared" si="1"/>
        <v>307814.4</v>
      </c>
      <c r="D721" s="2">
        <f>A721*'Exponential Item Growth'!$B$4</f>
        <v>1202.4</v>
      </c>
      <c r="E721" s="12">
        <f>if(isna(VLOOKUP(A721,'Exponential Item Growth'!$A$10:$B$18,2,false)),E720, E720*VLOOKUP(A721,'Exponential Item Growth'!$A$10:$B$18,2,false))</f>
        <v>256</v>
      </c>
      <c r="F721" s="12">
        <f>C721*'Exponential Item Growth'!$B$21</f>
        <v>1539072</v>
      </c>
      <c r="G721" s="12">
        <f>'Exponential Item Growth'!$B$22*C721</f>
        <v>23086080</v>
      </c>
      <c r="H721" s="12">
        <f>'Exponential Item Growth'!$B$23*C721</f>
        <v>307814400</v>
      </c>
    </row>
    <row r="722" ht="15.75" customHeight="1">
      <c r="A722" s="2">
        <v>721.0</v>
      </c>
      <c r="B722" s="11">
        <f>'Exponential Item Growth'!$B$5*'Exponential Item Growth'!$B$6^A722</f>
        <v>5.73249E+21</v>
      </c>
      <c r="C722" s="12">
        <f t="shared" si="1"/>
        <v>308241.92</v>
      </c>
      <c r="D722" s="2">
        <f>A722*'Exponential Item Growth'!$B$4</f>
        <v>1204.07</v>
      </c>
      <c r="E722" s="12">
        <f>if(isna(VLOOKUP(A722,'Exponential Item Growth'!$A$10:$B$18,2,false)),E721, E721*VLOOKUP(A722,'Exponential Item Growth'!$A$10:$B$18,2,false))</f>
        <v>256</v>
      </c>
      <c r="F722" s="12">
        <f>C722*'Exponential Item Growth'!$B$21</f>
        <v>1541209.6</v>
      </c>
      <c r="G722" s="12">
        <f>'Exponential Item Growth'!$B$22*C722</f>
        <v>23118144</v>
      </c>
      <c r="H722" s="12">
        <f>'Exponential Item Growth'!$B$23*C722</f>
        <v>308241920</v>
      </c>
    </row>
    <row r="723" ht="15.75" customHeight="1">
      <c r="A723" s="2">
        <v>722.0</v>
      </c>
      <c r="B723" s="11">
        <f>'Exponential Item Growth'!$B$5*'Exponential Item Growth'!$B$6^A723</f>
        <v>6.13376E+21</v>
      </c>
      <c r="C723" s="12">
        <f t="shared" si="1"/>
        <v>308669.44</v>
      </c>
      <c r="D723" s="2">
        <f>A723*'Exponential Item Growth'!$B$4</f>
        <v>1205.74</v>
      </c>
      <c r="E723" s="12">
        <f>if(isna(VLOOKUP(A723,'Exponential Item Growth'!$A$10:$B$18,2,false)),E722, E722*VLOOKUP(A723,'Exponential Item Growth'!$A$10:$B$18,2,false))</f>
        <v>256</v>
      </c>
      <c r="F723" s="12">
        <f>C723*'Exponential Item Growth'!$B$21</f>
        <v>1543347.2</v>
      </c>
      <c r="G723" s="12">
        <f>'Exponential Item Growth'!$B$22*C723</f>
        <v>23150208</v>
      </c>
      <c r="H723" s="12">
        <f>'Exponential Item Growth'!$B$23*C723</f>
        <v>308669440</v>
      </c>
    </row>
    <row r="724" ht="15.75" customHeight="1">
      <c r="A724" s="2">
        <v>723.0</v>
      </c>
      <c r="B724" s="11">
        <f>'Exponential Item Growth'!$B$5*'Exponential Item Growth'!$B$6^A724</f>
        <v>6.56312E+21</v>
      </c>
      <c r="C724" s="12">
        <f t="shared" si="1"/>
        <v>309096.96</v>
      </c>
      <c r="D724" s="2">
        <f>A724*'Exponential Item Growth'!$B$4</f>
        <v>1207.41</v>
      </c>
      <c r="E724" s="12">
        <f>if(isna(VLOOKUP(A724,'Exponential Item Growth'!$A$10:$B$18,2,false)),E723, E723*VLOOKUP(A724,'Exponential Item Growth'!$A$10:$B$18,2,false))</f>
        <v>256</v>
      </c>
      <c r="F724" s="12">
        <f>C724*'Exponential Item Growth'!$B$21</f>
        <v>1545484.8</v>
      </c>
      <c r="G724" s="12">
        <f>'Exponential Item Growth'!$B$22*C724</f>
        <v>23182272</v>
      </c>
      <c r="H724" s="12">
        <f>'Exponential Item Growth'!$B$23*C724</f>
        <v>309096960</v>
      </c>
    </row>
    <row r="725" ht="15.75" customHeight="1">
      <c r="A725" s="2">
        <v>724.0</v>
      </c>
      <c r="B725" s="11">
        <f>'Exponential Item Growth'!$B$5*'Exponential Item Growth'!$B$6^A725</f>
        <v>7.02254E+21</v>
      </c>
      <c r="C725" s="12">
        <f t="shared" si="1"/>
        <v>309524.48</v>
      </c>
      <c r="D725" s="2">
        <f>A725*'Exponential Item Growth'!$B$4</f>
        <v>1209.08</v>
      </c>
      <c r="E725" s="12">
        <f>if(isna(VLOOKUP(A725,'Exponential Item Growth'!$A$10:$B$18,2,false)),E724, E724*VLOOKUP(A725,'Exponential Item Growth'!$A$10:$B$18,2,false))</f>
        <v>256</v>
      </c>
      <c r="F725" s="12">
        <f>C725*'Exponential Item Growth'!$B$21</f>
        <v>1547622.4</v>
      </c>
      <c r="G725" s="12">
        <f>'Exponential Item Growth'!$B$22*C725</f>
        <v>23214336</v>
      </c>
      <c r="H725" s="12">
        <f>'Exponential Item Growth'!$B$23*C725</f>
        <v>309524480</v>
      </c>
    </row>
    <row r="726" ht="15.75" customHeight="1">
      <c r="A726" s="2">
        <v>725.0</v>
      </c>
      <c r="B726" s="11">
        <f>'Exponential Item Growth'!$B$5*'Exponential Item Growth'!$B$6^A726</f>
        <v>7.51412E+21</v>
      </c>
      <c r="C726" s="12">
        <f t="shared" si="1"/>
        <v>309952</v>
      </c>
      <c r="D726" s="2">
        <f>A726*'Exponential Item Growth'!$B$4</f>
        <v>1210.75</v>
      </c>
      <c r="E726" s="12">
        <f>if(isna(VLOOKUP(A726,'Exponential Item Growth'!$A$10:$B$18,2,false)),E725, E725*VLOOKUP(A726,'Exponential Item Growth'!$A$10:$B$18,2,false))</f>
        <v>256</v>
      </c>
      <c r="F726" s="12">
        <f>C726*'Exponential Item Growth'!$B$21</f>
        <v>1549760</v>
      </c>
      <c r="G726" s="12">
        <f>'Exponential Item Growth'!$B$22*C726</f>
        <v>23246400</v>
      </c>
      <c r="H726" s="12">
        <f>'Exponential Item Growth'!$B$23*C726</f>
        <v>309952000</v>
      </c>
    </row>
    <row r="727" ht="15.75" customHeight="1">
      <c r="A727" s="2">
        <v>726.0</v>
      </c>
      <c r="B727" s="11">
        <f>'Exponential Item Growth'!$B$5*'Exponential Item Growth'!$B$6^A727</f>
        <v>8.04011E+21</v>
      </c>
      <c r="C727" s="12">
        <f t="shared" si="1"/>
        <v>310379.52</v>
      </c>
      <c r="D727" s="2">
        <f>A727*'Exponential Item Growth'!$B$4</f>
        <v>1212.42</v>
      </c>
      <c r="E727" s="12">
        <f>if(isna(VLOOKUP(A727,'Exponential Item Growth'!$A$10:$B$18,2,false)),E726, E726*VLOOKUP(A727,'Exponential Item Growth'!$A$10:$B$18,2,false))</f>
        <v>256</v>
      </c>
      <c r="F727" s="12">
        <f>C727*'Exponential Item Growth'!$B$21</f>
        <v>1551897.6</v>
      </c>
      <c r="G727" s="12">
        <f>'Exponential Item Growth'!$B$22*C727</f>
        <v>23278464</v>
      </c>
      <c r="H727" s="12">
        <f>'Exponential Item Growth'!$B$23*C727</f>
        <v>310379520</v>
      </c>
    </row>
    <row r="728" ht="15.75" customHeight="1">
      <c r="A728" s="2">
        <v>727.0</v>
      </c>
      <c r="B728" s="11">
        <f>'Exponential Item Growth'!$B$5*'Exponential Item Growth'!$B$6^A728</f>
        <v>8.60292E+21</v>
      </c>
      <c r="C728" s="12">
        <f t="shared" si="1"/>
        <v>310807.04</v>
      </c>
      <c r="D728" s="2">
        <f>A728*'Exponential Item Growth'!$B$4</f>
        <v>1214.09</v>
      </c>
      <c r="E728" s="12">
        <f>if(isna(VLOOKUP(A728,'Exponential Item Growth'!$A$10:$B$18,2,false)),E727, E727*VLOOKUP(A728,'Exponential Item Growth'!$A$10:$B$18,2,false))</f>
        <v>256</v>
      </c>
      <c r="F728" s="12">
        <f>C728*'Exponential Item Growth'!$B$21</f>
        <v>1554035.2</v>
      </c>
      <c r="G728" s="12">
        <f>'Exponential Item Growth'!$B$22*C728</f>
        <v>23310528</v>
      </c>
      <c r="H728" s="12">
        <f>'Exponential Item Growth'!$B$23*C728</f>
        <v>310807040</v>
      </c>
    </row>
    <row r="729" ht="15.75" customHeight="1">
      <c r="A729" s="2">
        <v>728.0</v>
      </c>
      <c r="B729" s="11">
        <f>'Exponential Item Growth'!$B$5*'Exponential Item Growth'!$B$6^A729</f>
        <v>9.20512E+21</v>
      </c>
      <c r="C729" s="12">
        <f t="shared" si="1"/>
        <v>311234.56</v>
      </c>
      <c r="D729" s="2">
        <f>A729*'Exponential Item Growth'!$B$4</f>
        <v>1215.76</v>
      </c>
      <c r="E729" s="12">
        <f>if(isna(VLOOKUP(A729,'Exponential Item Growth'!$A$10:$B$18,2,false)),E728, E728*VLOOKUP(A729,'Exponential Item Growth'!$A$10:$B$18,2,false))</f>
        <v>256</v>
      </c>
      <c r="F729" s="12">
        <f>C729*'Exponential Item Growth'!$B$21</f>
        <v>1556172.8</v>
      </c>
      <c r="G729" s="12">
        <f>'Exponential Item Growth'!$B$22*C729</f>
        <v>23342592</v>
      </c>
      <c r="H729" s="12">
        <f>'Exponential Item Growth'!$B$23*C729</f>
        <v>311234560</v>
      </c>
    </row>
    <row r="730" ht="15.75" customHeight="1">
      <c r="A730" s="2">
        <v>729.0</v>
      </c>
      <c r="B730" s="11">
        <f>'Exponential Item Growth'!$B$5*'Exponential Item Growth'!$B$6^A730</f>
        <v>9.84948E+21</v>
      </c>
      <c r="C730" s="12">
        <f t="shared" si="1"/>
        <v>311662.08</v>
      </c>
      <c r="D730" s="2">
        <f>A730*'Exponential Item Growth'!$B$4</f>
        <v>1217.43</v>
      </c>
      <c r="E730" s="12">
        <f>if(isna(VLOOKUP(A730,'Exponential Item Growth'!$A$10:$B$18,2,false)),E729, E729*VLOOKUP(A730,'Exponential Item Growth'!$A$10:$B$18,2,false))</f>
        <v>256</v>
      </c>
      <c r="F730" s="12">
        <f>C730*'Exponential Item Growth'!$B$21</f>
        <v>1558310.4</v>
      </c>
      <c r="G730" s="12">
        <f>'Exponential Item Growth'!$B$22*C730</f>
        <v>23374656</v>
      </c>
      <c r="H730" s="12">
        <f>'Exponential Item Growth'!$B$23*C730</f>
        <v>311662080</v>
      </c>
    </row>
    <row r="731" ht="15.75" customHeight="1">
      <c r="A731" s="2">
        <v>730.0</v>
      </c>
      <c r="B731" s="11">
        <f>'Exponential Item Growth'!$B$5*'Exponential Item Growth'!$B$6^A731</f>
        <v>1.05389E+22</v>
      </c>
      <c r="C731" s="12">
        <f t="shared" si="1"/>
        <v>312089.6</v>
      </c>
      <c r="D731" s="2">
        <f>A731*'Exponential Item Growth'!$B$4</f>
        <v>1219.1</v>
      </c>
      <c r="E731" s="12">
        <f>if(isna(VLOOKUP(A731,'Exponential Item Growth'!$A$10:$B$18,2,false)),E730, E730*VLOOKUP(A731,'Exponential Item Growth'!$A$10:$B$18,2,false))</f>
        <v>256</v>
      </c>
      <c r="F731" s="12">
        <f>C731*'Exponential Item Growth'!$B$21</f>
        <v>1560448</v>
      </c>
      <c r="G731" s="12">
        <f>'Exponential Item Growth'!$B$22*C731</f>
        <v>23406720</v>
      </c>
      <c r="H731" s="12">
        <f>'Exponential Item Growth'!$B$23*C731</f>
        <v>312089600</v>
      </c>
    </row>
    <row r="732" ht="15.75" customHeight="1">
      <c r="A732" s="2">
        <v>731.0</v>
      </c>
      <c r="B732" s="11">
        <f>'Exponential Item Growth'!$B$5*'Exponential Item Growth'!$B$6^A732</f>
        <v>1.12767E+22</v>
      </c>
      <c r="C732" s="12">
        <f t="shared" si="1"/>
        <v>312517.12</v>
      </c>
      <c r="D732" s="2">
        <f>A732*'Exponential Item Growth'!$B$4</f>
        <v>1220.77</v>
      </c>
      <c r="E732" s="12">
        <f>if(isna(VLOOKUP(A732,'Exponential Item Growth'!$A$10:$B$18,2,false)),E731, E731*VLOOKUP(A732,'Exponential Item Growth'!$A$10:$B$18,2,false))</f>
        <v>256</v>
      </c>
      <c r="F732" s="12">
        <f>C732*'Exponential Item Growth'!$B$21</f>
        <v>1562585.6</v>
      </c>
      <c r="G732" s="12">
        <f>'Exponential Item Growth'!$B$22*C732</f>
        <v>23438784</v>
      </c>
      <c r="H732" s="12">
        <f>'Exponential Item Growth'!$B$23*C732</f>
        <v>312517120</v>
      </c>
    </row>
    <row r="733" ht="15.75" customHeight="1">
      <c r="A733" s="2">
        <v>732.0</v>
      </c>
      <c r="B733" s="11">
        <f>'Exponential Item Growth'!$B$5*'Exponential Item Growth'!$B$6^A733</f>
        <v>1.2066E+22</v>
      </c>
      <c r="C733" s="12">
        <f t="shared" si="1"/>
        <v>312944.64</v>
      </c>
      <c r="D733" s="2">
        <f>A733*'Exponential Item Growth'!$B$4</f>
        <v>1222.44</v>
      </c>
      <c r="E733" s="12">
        <f>if(isna(VLOOKUP(A733,'Exponential Item Growth'!$A$10:$B$18,2,false)),E732, E732*VLOOKUP(A733,'Exponential Item Growth'!$A$10:$B$18,2,false))</f>
        <v>256</v>
      </c>
      <c r="F733" s="12">
        <f>C733*'Exponential Item Growth'!$B$21</f>
        <v>1564723.2</v>
      </c>
      <c r="G733" s="12">
        <f>'Exponential Item Growth'!$B$22*C733</f>
        <v>23470848</v>
      </c>
      <c r="H733" s="12">
        <f>'Exponential Item Growth'!$B$23*C733</f>
        <v>312944640</v>
      </c>
    </row>
    <row r="734" ht="15.75" customHeight="1">
      <c r="A734" s="2">
        <v>733.0</v>
      </c>
      <c r="B734" s="11">
        <f>'Exponential Item Growth'!$B$5*'Exponential Item Growth'!$B$6^A734</f>
        <v>1.29107E+22</v>
      </c>
      <c r="C734" s="12">
        <f t="shared" si="1"/>
        <v>313372.16</v>
      </c>
      <c r="D734" s="2">
        <f>A734*'Exponential Item Growth'!$B$4</f>
        <v>1224.11</v>
      </c>
      <c r="E734" s="12">
        <f>if(isna(VLOOKUP(A734,'Exponential Item Growth'!$A$10:$B$18,2,false)),E733, E733*VLOOKUP(A734,'Exponential Item Growth'!$A$10:$B$18,2,false))</f>
        <v>256</v>
      </c>
      <c r="F734" s="12">
        <f>C734*'Exponential Item Growth'!$B$21</f>
        <v>1566860.8</v>
      </c>
      <c r="G734" s="12">
        <f>'Exponential Item Growth'!$B$22*C734</f>
        <v>23502912</v>
      </c>
      <c r="H734" s="12">
        <f>'Exponential Item Growth'!$B$23*C734</f>
        <v>313372160</v>
      </c>
    </row>
    <row r="735" ht="15.75" customHeight="1">
      <c r="A735" s="2">
        <v>734.0</v>
      </c>
      <c r="B735" s="11">
        <f>'Exponential Item Growth'!$B$5*'Exponential Item Growth'!$B$6^A735</f>
        <v>1.38144E+22</v>
      </c>
      <c r="C735" s="12">
        <f t="shared" si="1"/>
        <v>313799.68</v>
      </c>
      <c r="D735" s="2">
        <f>A735*'Exponential Item Growth'!$B$4</f>
        <v>1225.78</v>
      </c>
      <c r="E735" s="12">
        <f>if(isna(VLOOKUP(A735,'Exponential Item Growth'!$A$10:$B$18,2,false)),E734, E734*VLOOKUP(A735,'Exponential Item Growth'!$A$10:$B$18,2,false))</f>
        <v>256</v>
      </c>
      <c r="F735" s="12">
        <f>C735*'Exponential Item Growth'!$B$21</f>
        <v>1568998.4</v>
      </c>
      <c r="G735" s="12">
        <f>'Exponential Item Growth'!$B$22*C735</f>
        <v>23534976</v>
      </c>
      <c r="H735" s="12">
        <f>'Exponential Item Growth'!$B$23*C735</f>
        <v>313799680</v>
      </c>
    </row>
    <row r="736" ht="15.75" customHeight="1">
      <c r="A736" s="2">
        <v>735.0</v>
      </c>
      <c r="B736" s="11">
        <f>'Exponential Item Growth'!$B$5*'Exponential Item Growth'!$B$6^A736</f>
        <v>1.47814E+22</v>
      </c>
      <c r="C736" s="12">
        <f t="shared" si="1"/>
        <v>314227.2</v>
      </c>
      <c r="D736" s="2">
        <f>A736*'Exponential Item Growth'!$B$4</f>
        <v>1227.45</v>
      </c>
      <c r="E736" s="12">
        <f>if(isna(VLOOKUP(A736,'Exponential Item Growth'!$A$10:$B$18,2,false)),E735, E735*VLOOKUP(A736,'Exponential Item Growth'!$A$10:$B$18,2,false))</f>
        <v>256</v>
      </c>
      <c r="F736" s="12">
        <f>C736*'Exponential Item Growth'!$B$21</f>
        <v>1571136</v>
      </c>
      <c r="G736" s="12">
        <f>'Exponential Item Growth'!$B$22*C736</f>
        <v>23567040</v>
      </c>
      <c r="H736" s="12">
        <f>'Exponential Item Growth'!$B$23*C736</f>
        <v>314227200</v>
      </c>
    </row>
    <row r="737" ht="15.75" customHeight="1">
      <c r="A737" s="2">
        <v>736.0</v>
      </c>
      <c r="B737" s="11">
        <f>'Exponential Item Growth'!$B$5*'Exponential Item Growth'!$B$6^A737</f>
        <v>1.58161E+22</v>
      </c>
      <c r="C737" s="12">
        <f t="shared" si="1"/>
        <v>314654.72</v>
      </c>
      <c r="D737" s="2">
        <f>A737*'Exponential Item Growth'!$B$4</f>
        <v>1229.12</v>
      </c>
      <c r="E737" s="12">
        <f>if(isna(VLOOKUP(A737,'Exponential Item Growth'!$A$10:$B$18,2,false)),E736, E736*VLOOKUP(A737,'Exponential Item Growth'!$A$10:$B$18,2,false))</f>
        <v>256</v>
      </c>
      <c r="F737" s="12">
        <f>C737*'Exponential Item Growth'!$B$21</f>
        <v>1573273.6</v>
      </c>
      <c r="G737" s="12">
        <f>'Exponential Item Growth'!$B$22*C737</f>
        <v>23599104</v>
      </c>
      <c r="H737" s="12">
        <f>'Exponential Item Growth'!$B$23*C737</f>
        <v>314654720</v>
      </c>
    </row>
    <row r="738" ht="15.75" customHeight="1">
      <c r="A738" s="2">
        <v>737.0</v>
      </c>
      <c r="B738" s="11">
        <f>'Exponential Item Growth'!$B$5*'Exponential Item Growth'!$B$6^A738</f>
        <v>1.69232E+22</v>
      </c>
      <c r="C738" s="12">
        <f t="shared" si="1"/>
        <v>315082.24</v>
      </c>
      <c r="D738" s="2">
        <f>A738*'Exponential Item Growth'!$B$4</f>
        <v>1230.79</v>
      </c>
      <c r="E738" s="12">
        <f>if(isna(VLOOKUP(A738,'Exponential Item Growth'!$A$10:$B$18,2,false)),E737, E737*VLOOKUP(A738,'Exponential Item Growth'!$A$10:$B$18,2,false))</f>
        <v>256</v>
      </c>
      <c r="F738" s="12">
        <f>C738*'Exponential Item Growth'!$B$21</f>
        <v>1575411.2</v>
      </c>
      <c r="G738" s="12">
        <f>'Exponential Item Growth'!$B$22*C738</f>
        <v>23631168</v>
      </c>
      <c r="H738" s="12">
        <f>'Exponential Item Growth'!$B$23*C738</f>
        <v>315082240</v>
      </c>
    </row>
    <row r="739" ht="15.75" customHeight="1">
      <c r="A739" s="2">
        <v>738.0</v>
      </c>
      <c r="B739" s="11">
        <f>'Exponential Item Growth'!$B$5*'Exponential Item Growth'!$B$6^A739</f>
        <v>1.81079E+22</v>
      </c>
      <c r="C739" s="12">
        <f t="shared" si="1"/>
        <v>315509.76</v>
      </c>
      <c r="D739" s="2">
        <f>A739*'Exponential Item Growth'!$B$4</f>
        <v>1232.46</v>
      </c>
      <c r="E739" s="12">
        <f>if(isna(VLOOKUP(A739,'Exponential Item Growth'!$A$10:$B$18,2,false)),E738, E738*VLOOKUP(A739,'Exponential Item Growth'!$A$10:$B$18,2,false))</f>
        <v>256</v>
      </c>
      <c r="F739" s="12">
        <f>C739*'Exponential Item Growth'!$B$21</f>
        <v>1577548.8</v>
      </c>
      <c r="G739" s="12">
        <f>'Exponential Item Growth'!$B$22*C739</f>
        <v>23663232</v>
      </c>
      <c r="H739" s="12">
        <f>'Exponential Item Growth'!$B$23*C739</f>
        <v>315509760</v>
      </c>
    </row>
    <row r="740" ht="15.75" customHeight="1">
      <c r="A740" s="2">
        <v>739.0</v>
      </c>
      <c r="B740" s="11">
        <f>'Exponential Item Growth'!$B$5*'Exponential Item Growth'!$B$6^A740</f>
        <v>1.93754E+22</v>
      </c>
      <c r="C740" s="12">
        <f t="shared" si="1"/>
        <v>315937.28</v>
      </c>
      <c r="D740" s="2">
        <f>A740*'Exponential Item Growth'!$B$4</f>
        <v>1234.13</v>
      </c>
      <c r="E740" s="12">
        <f>if(isna(VLOOKUP(A740,'Exponential Item Growth'!$A$10:$B$18,2,false)),E739, E739*VLOOKUP(A740,'Exponential Item Growth'!$A$10:$B$18,2,false))</f>
        <v>256</v>
      </c>
      <c r="F740" s="12">
        <f>C740*'Exponential Item Growth'!$B$21</f>
        <v>1579686.4</v>
      </c>
      <c r="G740" s="12">
        <f>'Exponential Item Growth'!$B$22*C740</f>
        <v>23695296</v>
      </c>
      <c r="H740" s="12">
        <f>'Exponential Item Growth'!$B$23*C740</f>
        <v>315937280</v>
      </c>
    </row>
    <row r="741" ht="15.75" customHeight="1">
      <c r="A741" s="2">
        <v>740.0</v>
      </c>
      <c r="B741" s="11">
        <f>'Exponential Item Growth'!$B$5*'Exponential Item Growth'!$B$6^A741</f>
        <v>2.07317E+22</v>
      </c>
      <c r="C741" s="12">
        <f t="shared" si="1"/>
        <v>316364.8</v>
      </c>
      <c r="D741" s="2">
        <f>A741*'Exponential Item Growth'!$B$4</f>
        <v>1235.8</v>
      </c>
      <c r="E741" s="12">
        <f>if(isna(VLOOKUP(A741,'Exponential Item Growth'!$A$10:$B$18,2,false)),E740, E740*VLOOKUP(A741,'Exponential Item Growth'!$A$10:$B$18,2,false))</f>
        <v>256</v>
      </c>
      <c r="F741" s="12">
        <f>C741*'Exponential Item Growth'!$B$21</f>
        <v>1581824</v>
      </c>
      <c r="G741" s="12">
        <f>'Exponential Item Growth'!$B$22*C741</f>
        <v>23727360</v>
      </c>
      <c r="H741" s="12">
        <f>'Exponential Item Growth'!$B$23*C741</f>
        <v>316364800</v>
      </c>
    </row>
    <row r="742" ht="15.75" customHeight="1">
      <c r="A742" s="2">
        <v>741.0</v>
      </c>
      <c r="B742" s="11">
        <f>'Exponential Item Growth'!$B$5*'Exponential Item Growth'!$B$6^A742</f>
        <v>2.21829E+22</v>
      </c>
      <c r="C742" s="12">
        <f t="shared" si="1"/>
        <v>316792.32</v>
      </c>
      <c r="D742" s="2">
        <f>A742*'Exponential Item Growth'!$B$4</f>
        <v>1237.47</v>
      </c>
      <c r="E742" s="12">
        <f>if(isna(VLOOKUP(A742,'Exponential Item Growth'!$A$10:$B$18,2,false)),E741, E741*VLOOKUP(A742,'Exponential Item Growth'!$A$10:$B$18,2,false))</f>
        <v>256</v>
      </c>
      <c r="F742" s="12">
        <f>C742*'Exponential Item Growth'!$B$21</f>
        <v>1583961.6</v>
      </c>
      <c r="G742" s="12">
        <f>'Exponential Item Growth'!$B$22*C742</f>
        <v>23759424</v>
      </c>
      <c r="H742" s="12">
        <f>'Exponential Item Growth'!$B$23*C742</f>
        <v>316792320</v>
      </c>
    </row>
    <row r="743" ht="15.75" customHeight="1">
      <c r="A743" s="2">
        <v>742.0</v>
      </c>
      <c r="B743" s="11">
        <f>'Exponential Item Growth'!$B$5*'Exponential Item Growth'!$B$6^A743</f>
        <v>2.37357E+22</v>
      </c>
      <c r="C743" s="12">
        <f t="shared" si="1"/>
        <v>317219.84</v>
      </c>
      <c r="D743" s="2">
        <f>A743*'Exponential Item Growth'!$B$4</f>
        <v>1239.14</v>
      </c>
      <c r="E743" s="12">
        <f>if(isna(VLOOKUP(A743,'Exponential Item Growth'!$A$10:$B$18,2,false)),E742, E742*VLOOKUP(A743,'Exponential Item Growth'!$A$10:$B$18,2,false))</f>
        <v>256</v>
      </c>
      <c r="F743" s="12">
        <f>C743*'Exponential Item Growth'!$B$21</f>
        <v>1586099.2</v>
      </c>
      <c r="G743" s="12">
        <f>'Exponential Item Growth'!$B$22*C743</f>
        <v>23791488</v>
      </c>
      <c r="H743" s="12">
        <f>'Exponential Item Growth'!$B$23*C743</f>
        <v>317219840</v>
      </c>
    </row>
    <row r="744" ht="15.75" customHeight="1">
      <c r="A744" s="2">
        <v>743.0</v>
      </c>
      <c r="B744" s="11">
        <f>'Exponential Item Growth'!$B$5*'Exponential Item Growth'!$B$6^A744</f>
        <v>2.53972E+22</v>
      </c>
      <c r="C744" s="12">
        <f t="shared" si="1"/>
        <v>317647.36</v>
      </c>
      <c r="D744" s="2">
        <f>A744*'Exponential Item Growth'!$B$4</f>
        <v>1240.81</v>
      </c>
      <c r="E744" s="12">
        <f>if(isna(VLOOKUP(A744,'Exponential Item Growth'!$A$10:$B$18,2,false)),E743, E743*VLOOKUP(A744,'Exponential Item Growth'!$A$10:$B$18,2,false))</f>
        <v>256</v>
      </c>
      <c r="F744" s="12">
        <f>C744*'Exponential Item Growth'!$B$21</f>
        <v>1588236.8</v>
      </c>
      <c r="G744" s="12">
        <f>'Exponential Item Growth'!$B$22*C744</f>
        <v>23823552</v>
      </c>
      <c r="H744" s="12">
        <f>'Exponential Item Growth'!$B$23*C744</f>
        <v>317647360</v>
      </c>
    </row>
    <row r="745" ht="15.75" customHeight="1">
      <c r="A745" s="2">
        <v>744.0</v>
      </c>
      <c r="B745" s="11">
        <f>'Exponential Item Growth'!$B$5*'Exponential Item Growth'!$B$6^A745</f>
        <v>2.7175E+22</v>
      </c>
      <c r="C745" s="12">
        <f t="shared" si="1"/>
        <v>318074.88</v>
      </c>
      <c r="D745" s="2">
        <f>A745*'Exponential Item Growth'!$B$4</f>
        <v>1242.48</v>
      </c>
      <c r="E745" s="12">
        <f>if(isna(VLOOKUP(A745,'Exponential Item Growth'!$A$10:$B$18,2,false)),E744, E744*VLOOKUP(A745,'Exponential Item Growth'!$A$10:$B$18,2,false))</f>
        <v>256</v>
      </c>
      <c r="F745" s="12">
        <f>C745*'Exponential Item Growth'!$B$21</f>
        <v>1590374.4</v>
      </c>
      <c r="G745" s="12">
        <f>'Exponential Item Growth'!$B$22*C745</f>
        <v>23855616</v>
      </c>
      <c r="H745" s="12">
        <f>'Exponential Item Growth'!$B$23*C745</f>
        <v>318074880</v>
      </c>
    </row>
    <row r="746" ht="15.75" customHeight="1">
      <c r="A746" s="2">
        <v>745.0</v>
      </c>
      <c r="B746" s="11">
        <f>'Exponential Item Growth'!$B$5*'Exponential Item Growth'!$B$6^A746</f>
        <v>2.90773E+22</v>
      </c>
      <c r="C746" s="12">
        <f t="shared" si="1"/>
        <v>318502.4</v>
      </c>
      <c r="D746" s="2">
        <f>A746*'Exponential Item Growth'!$B$4</f>
        <v>1244.15</v>
      </c>
      <c r="E746" s="12">
        <f>if(isna(VLOOKUP(A746,'Exponential Item Growth'!$A$10:$B$18,2,false)),E745, E745*VLOOKUP(A746,'Exponential Item Growth'!$A$10:$B$18,2,false))</f>
        <v>256</v>
      </c>
      <c r="F746" s="12">
        <f>C746*'Exponential Item Growth'!$B$21</f>
        <v>1592512</v>
      </c>
      <c r="G746" s="12">
        <f>'Exponential Item Growth'!$B$22*C746</f>
        <v>23887680</v>
      </c>
      <c r="H746" s="12">
        <f>'Exponential Item Growth'!$B$23*C746</f>
        <v>318502400</v>
      </c>
    </row>
    <row r="747" ht="15.75" customHeight="1">
      <c r="A747" s="2">
        <v>746.0</v>
      </c>
      <c r="B747" s="11">
        <f>'Exponential Item Growth'!$B$5*'Exponential Item Growth'!$B$6^A747</f>
        <v>3.11127E+22</v>
      </c>
      <c r="C747" s="12">
        <f t="shared" si="1"/>
        <v>318929.92</v>
      </c>
      <c r="D747" s="2">
        <f>A747*'Exponential Item Growth'!$B$4</f>
        <v>1245.82</v>
      </c>
      <c r="E747" s="12">
        <f>if(isna(VLOOKUP(A747,'Exponential Item Growth'!$A$10:$B$18,2,false)),E746, E746*VLOOKUP(A747,'Exponential Item Growth'!$A$10:$B$18,2,false))</f>
        <v>256</v>
      </c>
      <c r="F747" s="12">
        <f>C747*'Exponential Item Growth'!$B$21</f>
        <v>1594649.6</v>
      </c>
      <c r="G747" s="12">
        <f>'Exponential Item Growth'!$B$22*C747</f>
        <v>23919744</v>
      </c>
      <c r="H747" s="12">
        <f>'Exponential Item Growth'!$B$23*C747</f>
        <v>318929920</v>
      </c>
    </row>
    <row r="748" ht="15.75" customHeight="1">
      <c r="A748" s="2">
        <v>747.0</v>
      </c>
      <c r="B748" s="11">
        <f>'Exponential Item Growth'!$B$5*'Exponential Item Growth'!$B$6^A748</f>
        <v>3.32906E+22</v>
      </c>
      <c r="C748" s="12">
        <f t="shared" si="1"/>
        <v>319357.44</v>
      </c>
      <c r="D748" s="2">
        <f>A748*'Exponential Item Growth'!$B$4</f>
        <v>1247.49</v>
      </c>
      <c r="E748" s="12">
        <f>if(isna(VLOOKUP(A748,'Exponential Item Growth'!$A$10:$B$18,2,false)),E747, E747*VLOOKUP(A748,'Exponential Item Growth'!$A$10:$B$18,2,false))</f>
        <v>256</v>
      </c>
      <c r="F748" s="12">
        <f>C748*'Exponential Item Growth'!$B$21</f>
        <v>1596787.2</v>
      </c>
      <c r="G748" s="12">
        <f>'Exponential Item Growth'!$B$22*C748</f>
        <v>23951808</v>
      </c>
      <c r="H748" s="12">
        <f>'Exponential Item Growth'!$B$23*C748</f>
        <v>319357440</v>
      </c>
    </row>
    <row r="749" ht="15.75" customHeight="1">
      <c r="A749" s="2">
        <v>748.0</v>
      </c>
      <c r="B749" s="11">
        <f>'Exponential Item Growth'!$B$5*'Exponential Item Growth'!$B$6^A749</f>
        <v>3.56209E+22</v>
      </c>
      <c r="C749" s="12">
        <f t="shared" si="1"/>
        <v>319784.96</v>
      </c>
      <c r="D749" s="2">
        <f>A749*'Exponential Item Growth'!$B$4</f>
        <v>1249.16</v>
      </c>
      <c r="E749" s="12">
        <f>if(isna(VLOOKUP(A749,'Exponential Item Growth'!$A$10:$B$18,2,false)),E748, E748*VLOOKUP(A749,'Exponential Item Growth'!$A$10:$B$18,2,false))</f>
        <v>256</v>
      </c>
      <c r="F749" s="12">
        <f>C749*'Exponential Item Growth'!$B$21</f>
        <v>1598924.8</v>
      </c>
      <c r="G749" s="12">
        <f>'Exponential Item Growth'!$B$22*C749</f>
        <v>23983872</v>
      </c>
      <c r="H749" s="12">
        <f>'Exponential Item Growth'!$B$23*C749</f>
        <v>319784960</v>
      </c>
    </row>
    <row r="750" ht="15.75" customHeight="1">
      <c r="A750" s="2">
        <v>749.0</v>
      </c>
      <c r="B750" s="11">
        <f>'Exponential Item Growth'!$B$5*'Exponential Item Growth'!$B$6^A750</f>
        <v>3.81144E+22</v>
      </c>
      <c r="C750" s="12">
        <f t="shared" si="1"/>
        <v>320212.48</v>
      </c>
      <c r="D750" s="2">
        <f>A750*'Exponential Item Growth'!$B$4</f>
        <v>1250.83</v>
      </c>
      <c r="E750" s="12">
        <f>if(isna(VLOOKUP(A750,'Exponential Item Growth'!$A$10:$B$18,2,false)),E749, E749*VLOOKUP(A750,'Exponential Item Growth'!$A$10:$B$18,2,false))</f>
        <v>256</v>
      </c>
      <c r="F750" s="12">
        <f>C750*'Exponential Item Growth'!$B$21</f>
        <v>1601062.4</v>
      </c>
      <c r="G750" s="12">
        <f>'Exponential Item Growth'!$B$22*C750</f>
        <v>24015936</v>
      </c>
      <c r="H750" s="12">
        <f>'Exponential Item Growth'!$B$23*C750</f>
        <v>320212480</v>
      </c>
    </row>
    <row r="751" ht="15.75" customHeight="1">
      <c r="A751" s="2">
        <v>750.0</v>
      </c>
      <c r="B751" s="11">
        <f>'Exponential Item Growth'!$B$5*'Exponential Item Growth'!$B$6^A751</f>
        <v>4.07824E+22</v>
      </c>
      <c r="C751" s="12">
        <f t="shared" si="1"/>
        <v>320640</v>
      </c>
      <c r="D751" s="2">
        <f>A751*'Exponential Item Growth'!$B$4</f>
        <v>1252.5</v>
      </c>
      <c r="E751" s="12">
        <f>if(isna(VLOOKUP(A751,'Exponential Item Growth'!$A$10:$B$18,2,false)),E750, E750*VLOOKUP(A751,'Exponential Item Growth'!$A$10:$B$18,2,false))</f>
        <v>256</v>
      </c>
      <c r="F751" s="12">
        <f>C751*'Exponential Item Growth'!$B$21</f>
        <v>1603200</v>
      </c>
      <c r="G751" s="12">
        <f>'Exponential Item Growth'!$B$22*C751</f>
        <v>24048000</v>
      </c>
      <c r="H751" s="12">
        <f>'Exponential Item Growth'!$B$23*C751</f>
        <v>320640000</v>
      </c>
    </row>
    <row r="752" ht="15.75" customHeight="1">
      <c r="A752" s="2"/>
      <c r="B752" s="11"/>
      <c r="D752" s="2"/>
    </row>
    <row r="753" ht="15.75" customHeight="1">
      <c r="A753" s="2"/>
      <c r="B753" s="11"/>
      <c r="D753" s="2"/>
    </row>
    <row r="754" ht="15.75" customHeight="1">
      <c r="A754" s="2"/>
      <c r="B754" s="11"/>
      <c r="D754" s="2"/>
    </row>
    <row r="755" ht="15.75" customHeight="1">
      <c r="A755" s="2"/>
      <c r="B755" s="11"/>
      <c r="D755" s="2"/>
    </row>
    <row r="756" ht="15.75" customHeight="1">
      <c r="A756" s="2"/>
      <c r="B756" s="11"/>
      <c r="D756" s="2"/>
    </row>
    <row r="757" ht="15.75" customHeight="1">
      <c r="A757" s="2"/>
      <c r="B757" s="11"/>
      <c r="D757" s="2"/>
    </row>
    <row r="758" ht="15.75" customHeight="1">
      <c r="A758" s="2"/>
      <c r="B758" s="11"/>
      <c r="D758" s="2"/>
    </row>
    <row r="759" ht="15.75" customHeight="1">
      <c r="A759" s="2"/>
      <c r="B759" s="11"/>
      <c r="D759" s="2"/>
    </row>
    <row r="760" ht="15.75" customHeight="1">
      <c r="A760" s="2"/>
      <c r="B760" s="11"/>
      <c r="D760" s="2"/>
    </row>
    <row r="761" ht="15.75" customHeight="1">
      <c r="A761" s="2"/>
      <c r="B761" s="11"/>
      <c r="D761" s="2"/>
    </row>
    <row r="762" ht="15.75" customHeight="1">
      <c r="A762" s="2"/>
      <c r="B762" s="11"/>
      <c r="D762" s="2"/>
    </row>
    <row r="763" ht="15.75" customHeight="1">
      <c r="A763" s="2"/>
      <c r="B763" s="11"/>
      <c r="D763" s="2"/>
    </row>
    <row r="764" ht="15.75" customHeight="1">
      <c r="A764" s="2"/>
      <c r="B764" s="11"/>
      <c r="D764" s="2"/>
    </row>
    <row r="765" ht="15.75" customHeight="1">
      <c r="A765" s="2"/>
      <c r="B765" s="11"/>
      <c r="D765" s="2"/>
    </row>
    <row r="766" ht="15.75" customHeight="1">
      <c r="A766" s="2"/>
      <c r="B766" s="11"/>
      <c r="D766" s="2"/>
    </row>
    <row r="767" ht="15.75" customHeight="1">
      <c r="A767" s="2"/>
      <c r="B767" s="11"/>
      <c r="D767" s="2"/>
    </row>
    <row r="768" ht="15.75" customHeight="1">
      <c r="A768" s="2"/>
      <c r="B768" s="11"/>
      <c r="D768" s="2"/>
    </row>
    <row r="769" ht="15.75" customHeight="1">
      <c r="A769" s="2"/>
      <c r="B769" s="11"/>
      <c r="D769" s="2"/>
    </row>
    <row r="770" ht="15.75" customHeight="1">
      <c r="A770" s="2"/>
      <c r="B770" s="11"/>
      <c r="D770" s="2"/>
    </row>
    <row r="771" ht="15.75" customHeight="1">
      <c r="A771" s="2"/>
      <c r="B771" s="11"/>
      <c r="D771" s="2"/>
    </row>
    <row r="772" ht="15.75" customHeight="1">
      <c r="A772" s="2"/>
      <c r="B772" s="11"/>
      <c r="D772" s="2"/>
    </row>
    <row r="773" ht="15.75" customHeight="1">
      <c r="A773" s="2"/>
      <c r="B773" s="11"/>
      <c r="D773" s="2"/>
    </row>
    <row r="774" ht="15.75" customHeight="1">
      <c r="A774" s="2"/>
      <c r="B774" s="11"/>
      <c r="D774" s="2"/>
    </row>
    <row r="775" ht="15.75" customHeight="1">
      <c r="A775" s="2"/>
      <c r="B775" s="11"/>
      <c r="D775" s="2"/>
    </row>
    <row r="776" ht="15.75" customHeight="1">
      <c r="A776" s="2"/>
      <c r="B776" s="11"/>
      <c r="D776" s="2"/>
    </row>
    <row r="777" ht="15.75" customHeight="1">
      <c r="A777" s="2"/>
      <c r="B777" s="11"/>
      <c r="D777" s="2"/>
    </row>
    <row r="778" ht="15.75" customHeight="1">
      <c r="A778" s="2"/>
      <c r="B778" s="11"/>
      <c r="D778" s="2"/>
    </row>
    <row r="779" ht="15.75" customHeight="1">
      <c r="A779" s="2"/>
      <c r="B779" s="11"/>
      <c r="D779" s="2"/>
    </row>
    <row r="780" ht="15.75" customHeight="1">
      <c r="A780" s="2"/>
      <c r="B780" s="11"/>
      <c r="D780" s="2"/>
    </row>
    <row r="781" ht="15.75" customHeight="1">
      <c r="A781" s="2"/>
      <c r="B781" s="11"/>
      <c r="D781" s="2"/>
    </row>
    <row r="782" ht="15.75" customHeight="1">
      <c r="A782" s="2"/>
      <c r="B782" s="11"/>
      <c r="D782" s="2"/>
    </row>
    <row r="783" ht="15.75" customHeight="1">
      <c r="A783" s="2"/>
      <c r="B783" s="11"/>
      <c r="D783" s="2"/>
    </row>
    <row r="784" ht="15.75" customHeight="1">
      <c r="A784" s="2"/>
      <c r="B784" s="11"/>
      <c r="D784" s="2"/>
    </row>
    <row r="785" ht="15.75" customHeight="1">
      <c r="A785" s="2"/>
      <c r="B785" s="11"/>
      <c r="D785" s="2"/>
    </row>
    <row r="786" ht="15.75" customHeight="1">
      <c r="A786" s="2"/>
      <c r="B786" s="11"/>
      <c r="D786" s="2"/>
    </row>
    <row r="787" ht="15.75" customHeight="1">
      <c r="A787" s="2"/>
      <c r="B787" s="11"/>
      <c r="D787" s="2"/>
    </row>
    <row r="788" ht="15.75" customHeight="1">
      <c r="A788" s="2"/>
      <c r="B788" s="11"/>
      <c r="D788" s="2"/>
    </row>
    <row r="789" ht="15.75" customHeight="1">
      <c r="A789" s="2"/>
      <c r="B789" s="11"/>
      <c r="D789" s="2"/>
    </row>
    <row r="790" ht="15.75" customHeight="1">
      <c r="A790" s="2"/>
      <c r="B790" s="11"/>
      <c r="D790" s="2"/>
    </row>
    <row r="791" ht="15.75" customHeight="1">
      <c r="A791" s="2"/>
      <c r="B791" s="11"/>
      <c r="D791" s="2"/>
    </row>
    <row r="792" ht="15.75" customHeight="1">
      <c r="A792" s="2"/>
      <c r="B792" s="11"/>
      <c r="D792" s="2"/>
    </row>
    <row r="793" ht="15.75" customHeight="1">
      <c r="A793" s="2"/>
      <c r="B793" s="11"/>
      <c r="D793" s="2"/>
    </row>
    <row r="794" ht="15.75" customHeight="1">
      <c r="A794" s="2"/>
      <c r="B794" s="11"/>
      <c r="D794" s="2"/>
    </row>
    <row r="795" ht="15.75" customHeight="1">
      <c r="A795" s="2"/>
      <c r="B795" s="11"/>
      <c r="D795" s="2"/>
    </row>
    <row r="796" ht="15.75" customHeight="1">
      <c r="A796" s="2"/>
      <c r="B796" s="11"/>
      <c r="D796" s="2"/>
    </row>
    <row r="797" ht="15.75" customHeight="1">
      <c r="A797" s="2"/>
      <c r="B797" s="11"/>
      <c r="D797" s="2"/>
    </row>
    <row r="798" ht="15.75" customHeight="1">
      <c r="A798" s="2"/>
      <c r="B798" s="11"/>
      <c r="D798" s="2"/>
    </row>
    <row r="799" ht="15.75" customHeight="1">
      <c r="A799" s="2"/>
      <c r="B799" s="11"/>
      <c r="D799" s="2"/>
    </row>
    <row r="800" ht="15.75" customHeight="1">
      <c r="A800" s="2"/>
      <c r="B800" s="11"/>
      <c r="D800" s="2"/>
    </row>
    <row r="801" ht="15.75" customHeight="1">
      <c r="A801" s="2"/>
      <c r="B801" s="11"/>
      <c r="D801" s="2"/>
    </row>
    <row r="802" ht="15.75" customHeight="1">
      <c r="A802" s="2"/>
      <c r="B802" s="11"/>
      <c r="D802" s="2"/>
    </row>
    <row r="803" ht="15.75" customHeight="1">
      <c r="A803" s="2"/>
      <c r="B803" s="11"/>
      <c r="D803" s="2"/>
    </row>
    <row r="804" ht="15.75" customHeight="1">
      <c r="A804" s="2"/>
      <c r="B804" s="11"/>
      <c r="D804" s="2"/>
    </row>
    <row r="805" ht="15.75" customHeight="1">
      <c r="A805" s="2"/>
      <c r="B805" s="11"/>
      <c r="D805" s="2"/>
    </row>
    <row r="806" ht="15.75" customHeight="1">
      <c r="A806" s="2"/>
      <c r="B806" s="11"/>
      <c r="D806" s="2"/>
    </row>
    <row r="807" ht="15.75" customHeight="1">
      <c r="A807" s="2"/>
      <c r="B807" s="11"/>
      <c r="D807" s="2"/>
    </row>
    <row r="808" ht="15.75" customHeight="1">
      <c r="A808" s="2"/>
      <c r="B808" s="11"/>
      <c r="D808" s="2"/>
    </row>
    <row r="809" ht="15.75" customHeight="1">
      <c r="A809" s="2"/>
      <c r="B809" s="11"/>
      <c r="D809" s="2"/>
    </row>
    <row r="810" ht="15.75" customHeight="1">
      <c r="A810" s="2"/>
      <c r="B810" s="11"/>
      <c r="D810" s="2"/>
    </row>
    <row r="811" ht="15.75" customHeight="1">
      <c r="A811" s="2"/>
      <c r="B811" s="11"/>
      <c r="D811" s="2"/>
    </row>
    <row r="812" ht="15.75" customHeight="1">
      <c r="A812" s="2"/>
      <c r="B812" s="11"/>
      <c r="D812" s="2"/>
    </row>
    <row r="813" ht="15.75" customHeight="1">
      <c r="A813" s="2"/>
      <c r="B813" s="11"/>
      <c r="D813" s="2"/>
    </row>
    <row r="814" ht="15.75" customHeight="1">
      <c r="A814" s="2"/>
      <c r="B814" s="11"/>
      <c r="D814" s="2"/>
    </row>
    <row r="815" ht="15.75" customHeight="1">
      <c r="A815" s="2"/>
      <c r="B815" s="11"/>
      <c r="D815" s="2"/>
    </row>
    <row r="816" ht="15.75" customHeight="1">
      <c r="A816" s="2"/>
      <c r="B816" s="11"/>
      <c r="D816" s="2"/>
    </row>
    <row r="817" ht="15.75" customHeight="1">
      <c r="A817" s="2"/>
      <c r="B817" s="11"/>
      <c r="D817" s="2"/>
    </row>
    <row r="818" ht="15.75" customHeight="1">
      <c r="A818" s="2"/>
      <c r="B818" s="11"/>
      <c r="D818" s="2"/>
    </row>
    <row r="819" ht="15.75" customHeight="1">
      <c r="A819" s="2"/>
      <c r="B819" s="11"/>
      <c r="D819" s="2"/>
    </row>
    <row r="820" ht="15.75" customHeight="1">
      <c r="A820" s="2"/>
      <c r="B820" s="11"/>
      <c r="D820" s="2"/>
    </row>
    <row r="821" ht="15.75" customHeight="1">
      <c r="A821" s="2"/>
      <c r="B821" s="11"/>
      <c r="D821" s="2"/>
    </row>
    <row r="822" ht="15.75" customHeight="1">
      <c r="A822" s="2"/>
      <c r="B822" s="11"/>
      <c r="D822" s="2"/>
    </row>
    <row r="823" ht="15.75" customHeight="1">
      <c r="A823" s="2"/>
      <c r="B823" s="11"/>
      <c r="D823" s="2"/>
    </row>
    <row r="824" ht="15.75" customHeight="1">
      <c r="A824" s="2"/>
      <c r="B824" s="11"/>
      <c r="D824" s="2"/>
    </row>
    <row r="825" ht="15.75" customHeight="1">
      <c r="A825" s="2"/>
      <c r="B825" s="11"/>
      <c r="D825" s="2"/>
    </row>
    <row r="826" ht="15.75" customHeight="1">
      <c r="A826" s="2"/>
      <c r="B826" s="11"/>
      <c r="D826" s="2"/>
    </row>
    <row r="827" ht="15.75" customHeight="1">
      <c r="A827" s="2"/>
      <c r="B827" s="11"/>
      <c r="D827" s="2"/>
    </row>
    <row r="828" ht="15.75" customHeight="1">
      <c r="A828" s="2"/>
      <c r="B828" s="11"/>
      <c r="D828" s="2"/>
    </row>
    <row r="829" ht="15.75" customHeight="1">
      <c r="A829" s="2"/>
      <c r="B829" s="11"/>
      <c r="D829" s="2"/>
    </row>
    <row r="830" ht="15.75" customHeight="1">
      <c r="A830" s="2"/>
      <c r="B830" s="11"/>
      <c r="D830" s="2"/>
    </row>
    <row r="831" ht="15.75" customHeight="1">
      <c r="A831" s="2"/>
      <c r="B831" s="11"/>
      <c r="D831" s="2"/>
    </row>
    <row r="832" ht="15.75" customHeight="1">
      <c r="A832" s="2"/>
      <c r="B832" s="11"/>
      <c r="D832" s="2"/>
    </row>
    <row r="833" ht="15.75" customHeight="1">
      <c r="A833" s="2"/>
      <c r="B833" s="11"/>
      <c r="D833" s="2"/>
    </row>
    <row r="834" ht="15.75" customHeight="1">
      <c r="A834" s="2"/>
      <c r="B834" s="11"/>
      <c r="D834" s="2"/>
    </row>
    <row r="835" ht="15.75" customHeight="1">
      <c r="A835" s="2"/>
      <c r="B835" s="11"/>
      <c r="D835" s="2"/>
    </row>
    <row r="836" ht="15.75" customHeight="1">
      <c r="A836" s="2"/>
      <c r="B836" s="11"/>
      <c r="D836" s="2"/>
    </row>
    <row r="837" ht="15.75" customHeight="1">
      <c r="A837" s="2"/>
      <c r="B837" s="11"/>
      <c r="D837" s="2"/>
    </row>
    <row r="838" ht="15.75" customHeight="1">
      <c r="A838" s="2"/>
      <c r="B838" s="11"/>
      <c r="D838" s="2"/>
    </row>
    <row r="839" ht="15.75" customHeight="1">
      <c r="A839" s="2"/>
      <c r="B839" s="11"/>
      <c r="D839" s="2"/>
    </row>
    <row r="840" ht="15.75" customHeight="1">
      <c r="A840" s="2"/>
      <c r="B840" s="11"/>
      <c r="D840" s="2"/>
    </row>
    <row r="841" ht="15.75" customHeight="1">
      <c r="A841" s="2"/>
      <c r="B841" s="11"/>
      <c r="D841" s="2"/>
    </row>
    <row r="842" ht="15.75" customHeight="1">
      <c r="A842" s="2"/>
      <c r="B842" s="11"/>
      <c r="D842" s="2"/>
    </row>
    <row r="843" ht="15.75" customHeight="1">
      <c r="A843" s="2"/>
      <c r="B843" s="11"/>
      <c r="D843" s="2"/>
    </row>
    <row r="844" ht="15.75" customHeight="1">
      <c r="A844" s="2"/>
      <c r="B844" s="11"/>
      <c r="D844" s="2"/>
    </row>
    <row r="845" ht="15.75" customHeight="1">
      <c r="A845" s="2"/>
      <c r="B845" s="11"/>
      <c r="D845" s="2"/>
    </row>
    <row r="846" ht="15.75" customHeight="1">
      <c r="A846" s="2"/>
      <c r="B846" s="11"/>
      <c r="D846" s="2"/>
    </row>
    <row r="847" ht="15.75" customHeight="1">
      <c r="A847" s="2"/>
      <c r="B847" s="11"/>
      <c r="D847" s="2"/>
    </row>
    <row r="848" ht="15.75" customHeight="1">
      <c r="A848" s="2"/>
      <c r="B848" s="11"/>
      <c r="D848" s="2"/>
    </row>
    <row r="849" ht="15.75" customHeight="1">
      <c r="A849" s="2"/>
      <c r="B849" s="11"/>
      <c r="D849" s="2"/>
    </row>
    <row r="850" ht="15.75" customHeight="1">
      <c r="A850" s="2"/>
      <c r="B850" s="11"/>
      <c r="D850" s="2"/>
    </row>
    <row r="851" ht="15.75" customHeight="1">
      <c r="A851" s="2"/>
      <c r="B851" s="11"/>
      <c r="D851" s="2"/>
    </row>
    <row r="852" ht="15.75" customHeight="1">
      <c r="A852" s="2"/>
      <c r="B852" s="11"/>
      <c r="D852" s="2"/>
    </row>
    <row r="853" ht="15.75" customHeight="1">
      <c r="A853" s="2"/>
      <c r="B853" s="11"/>
      <c r="D853" s="2"/>
    </row>
    <row r="854" ht="15.75" customHeight="1">
      <c r="A854" s="2"/>
      <c r="B854" s="11"/>
      <c r="D854" s="2"/>
    </row>
    <row r="855" ht="15.75" customHeight="1">
      <c r="A855" s="2"/>
      <c r="B855" s="11"/>
      <c r="D855" s="2"/>
    </row>
    <row r="856" ht="15.75" customHeight="1">
      <c r="A856" s="2"/>
      <c r="B856" s="11"/>
      <c r="D856" s="2"/>
    </row>
    <row r="857" ht="15.75" customHeight="1">
      <c r="A857" s="2"/>
      <c r="B857" s="11"/>
      <c r="D857" s="2"/>
    </row>
    <row r="858" ht="15.75" customHeight="1">
      <c r="A858" s="2"/>
      <c r="B858" s="11"/>
      <c r="D858" s="2"/>
    </row>
    <row r="859" ht="15.75" customHeight="1">
      <c r="A859" s="2"/>
      <c r="B859" s="11"/>
      <c r="D859" s="2"/>
    </row>
    <row r="860" ht="15.75" customHeight="1">
      <c r="A860" s="2"/>
      <c r="B860" s="11"/>
      <c r="D860" s="2"/>
    </row>
    <row r="861" ht="15.75" customHeight="1">
      <c r="A861" s="2"/>
      <c r="B861" s="11"/>
      <c r="D861" s="2"/>
    </row>
    <row r="862" ht="15.75" customHeight="1">
      <c r="A862" s="2"/>
      <c r="B862" s="11"/>
      <c r="D862" s="2"/>
    </row>
    <row r="863" ht="15.75" customHeight="1">
      <c r="A863" s="2"/>
      <c r="B863" s="11"/>
      <c r="D863" s="2"/>
    </row>
    <row r="864" ht="15.75" customHeight="1">
      <c r="A864" s="2"/>
      <c r="B864" s="11"/>
      <c r="D864" s="2"/>
    </row>
    <row r="865" ht="15.75" customHeight="1">
      <c r="A865" s="2"/>
      <c r="B865" s="11"/>
      <c r="D865" s="2"/>
    </row>
    <row r="866" ht="15.75" customHeight="1">
      <c r="A866" s="2"/>
      <c r="B866" s="11"/>
      <c r="D866" s="2"/>
    </row>
    <row r="867" ht="15.75" customHeight="1">
      <c r="A867" s="2"/>
      <c r="B867" s="11"/>
      <c r="D867" s="2"/>
    </row>
    <row r="868" ht="15.75" customHeight="1">
      <c r="A868" s="2"/>
      <c r="B868" s="11"/>
      <c r="D868" s="2"/>
    </row>
    <row r="869" ht="15.75" customHeight="1">
      <c r="A869" s="2"/>
      <c r="B869" s="11"/>
      <c r="D869" s="2"/>
    </row>
    <row r="870" ht="15.75" customHeight="1">
      <c r="A870" s="2"/>
      <c r="B870" s="11"/>
      <c r="D870" s="2"/>
    </row>
    <row r="871" ht="15.75" customHeight="1">
      <c r="A871" s="2"/>
      <c r="B871" s="11"/>
      <c r="D871" s="2"/>
    </row>
    <row r="872" ht="15.75" customHeight="1">
      <c r="A872" s="2"/>
      <c r="B872" s="11"/>
      <c r="D872" s="2"/>
    </row>
    <row r="873" ht="15.75" customHeight="1">
      <c r="A873" s="2"/>
      <c r="B873" s="11"/>
      <c r="D873" s="2"/>
    </row>
    <row r="874" ht="15.75" customHeight="1">
      <c r="A874" s="2"/>
      <c r="B874" s="11"/>
      <c r="D874" s="2"/>
    </row>
    <row r="875" ht="15.75" customHeight="1">
      <c r="A875" s="2"/>
      <c r="B875" s="11"/>
      <c r="D875" s="2"/>
    </row>
    <row r="876" ht="15.75" customHeight="1">
      <c r="A876" s="2"/>
      <c r="B876" s="11"/>
      <c r="D876" s="2"/>
    </row>
    <row r="877" ht="15.75" customHeight="1">
      <c r="A877" s="2"/>
      <c r="B877" s="11"/>
      <c r="D877" s="2"/>
    </row>
    <row r="878" ht="15.75" customHeight="1">
      <c r="A878" s="2"/>
      <c r="B878" s="11"/>
      <c r="D878" s="2"/>
    </row>
    <row r="879" ht="15.75" customHeight="1">
      <c r="A879" s="2"/>
      <c r="B879" s="11"/>
      <c r="D879" s="2"/>
    </row>
    <row r="880" ht="15.75" customHeight="1">
      <c r="A880" s="2"/>
      <c r="B880" s="11"/>
      <c r="D880" s="2"/>
    </row>
    <row r="881" ht="15.75" customHeight="1">
      <c r="A881" s="2"/>
      <c r="B881" s="11"/>
      <c r="D881" s="2"/>
    </row>
    <row r="882" ht="15.75" customHeight="1">
      <c r="A882" s="2"/>
      <c r="B882" s="11"/>
      <c r="D882" s="2"/>
    </row>
    <row r="883" ht="15.75" customHeight="1">
      <c r="A883" s="2"/>
      <c r="B883" s="11"/>
      <c r="D883" s="2"/>
    </row>
    <row r="884" ht="15.75" customHeight="1">
      <c r="A884" s="2"/>
      <c r="B884" s="11"/>
      <c r="D884" s="2"/>
    </row>
    <row r="885" ht="15.75" customHeight="1">
      <c r="A885" s="2"/>
      <c r="B885" s="11"/>
      <c r="D885" s="2"/>
    </row>
    <row r="886" ht="15.75" customHeight="1">
      <c r="A886" s="2"/>
      <c r="B886" s="11"/>
      <c r="D886" s="2"/>
    </row>
    <row r="887" ht="15.75" customHeight="1">
      <c r="A887" s="2"/>
      <c r="B887" s="11"/>
      <c r="D887" s="2"/>
    </row>
    <row r="888" ht="15.75" customHeight="1">
      <c r="A888" s="2"/>
      <c r="B888" s="11"/>
      <c r="D888" s="2"/>
    </row>
    <row r="889" ht="15.75" customHeight="1">
      <c r="A889" s="2"/>
      <c r="B889" s="11"/>
      <c r="D889" s="2"/>
    </row>
    <row r="890" ht="15.75" customHeight="1">
      <c r="A890" s="2"/>
      <c r="B890" s="11"/>
      <c r="D890" s="2"/>
    </row>
    <row r="891" ht="15.75" customHeight="1">
      <c r="A891" s="2"/>
      <c r="B891" s="11"/>
      <c r="D891" s="2"/>
    </row>
    <row r="892" ht="15.75" customHeight="1">
      <c r="A892" s="2"/>
      <c r="B892" s="11"/>
      <c r="D892" s="2"/>
    </row>
    <row r="893" ht="15.75" customHeight="1">
      <c r="A893" s="2"/>
      <c r="B893" s="11"/>
      <c r="D893" s="2"/>
    </row>
    <row r="894" ht="15.75" customHeight="1">
      <c r="A894" s="2"/>
      <c r="B894" s="11"/>
      <c r="D894" s="2"/>
    </row>
    <row r="895" ht="15.75" customHeight="1">
      <c r="A895" s="2"/>
      <c r="B895" s="11"/>
      <c r="D895" s="2"/>
    </row>
    <row r="896" ht="15.75" customHeight="1">
      <c r="A896" s="2"/>
      <c r="B896" s="11"/>
      <c r="D896" s="2"/>
    </row>
    <row r="897" ht="15.75" customHeight="1">
      <c r="A897" s="2"/>
      <c r="B897" s="11"/>
      <c r="D897" s="2"/>
    </row>
    <row r="898" ht="15.75" customHeight="1">
      <c r="A898" s="2"/>
      <c r="B898" s="11"/>
      <c r="D898" s="2"/>
    </row>
    <row r="899" ht="15.75" customHeight="1">
      <c r="A899" s="2"/>
      <c r="B899" s="11"/>
      <c r="D899" s="2"/>
    </row>
    <row r="900" ht="15.75" customHeight="1">
      <c r="A900" s="2"/>
      <c r="B900" s="11"/>
      <c r="D900" s="2"/>
    </row>
    <row r="901" ht="15.75" customHeight="1">
      <c r="A901" s="2"/>
      <c r="B901" s="11"/>
      <c r="D901" s="2"/>
    </row>
    <row r="902" ht="15.75" customHeight="1">
      <c r="A902" s="2"/>
      <c r="B902" s="11"/>
      <c r="D902" s="2"/>
    </row>
    <row r="903" ht="15.75" customHeight="1">
      <c r="A903" s="2"/>
      <c r="B903" s="11"/>
      <c r="D903" s="2"/>
    </row>
    <row r="904" ht="15.75" customHeight="1">
      <c r="A904" s="2"/>
      <c r="B904" s="11"/>
      <c r="D904" s="2"/>
    </row>
    <row r="905" ht="15.75" customHeight="1">
      <c r="A905" s="2"/>
      <c r="B905" s="11"/>
      <c r="D905" s="2"/>
    </row>
    <row r="906" ht="15.75" customHeight="1">
      <c r="A906" s="2"/>
      <c r="B906" s="11"/>
      <c r="D906" s="2"/>
    </row>
    <row r="907" ht="15.75" customHeight="1">
      <c r="A907" s="2"/>
      <c r="B907" s="11"/>
      <c r="D907" s="2"/>
    </row>
    <row r="908" ht="15.75" customHeight="1">
      <c r="A908" s="2"/>
      <c r="B908" s="11"/>
      <c r="D908" s="2"/>
    </row>
    <row r="909" ht="15.75" customHeight="1">
      <c r="A909" s="2"/>
      <c r="B909" s="11"/>
      <c r="D909" s="2"/>
    </row>
    <row r="910" ht="15.75" customHeight="1">
      <c r="A910" s="2"/>
      <c r="B910" s="11"/>
      <c r="D910" s="2"/>
    </row>
    <row r="911" ht="15.75" customHeight="1">
      <c r="A911" s="2"/>
      <c r="B911" s="11"/>
      <c r="D911" s="2"/>
    </row>
    <row r="912" ht="15.75" customHeight="1">
      <c r="A912" s="2"/>
      <c r="B912" s="11"/>
      <c r="D912" s="2"/>
    </row>
    <row r="913" ht="15.75" customHeight="1">
      <c r="A913" s="2"/>
      <c r="B913" s="11"/>
      <c r="D913" s="2"/>
    </row>
    <row r="914" ht="15.75" customHeight="1">
      <c r="A914" s="2"/>
      <c r="B914" s="11"/>
      <c r="D914" s="2"/>
    </row>
    <row r="915" ht="15.75" customHeight="1">
      <c r="A915" s="2"/>
      <c r="B915" s="11"/>
      <c r="D915" s="2"/>
    </row>
    <row r="916" ht="15.75" customHeight="1">
      <c r="A916" s="2"/>
      <c r="B916" s="11"/>
      <c r="D916" s="2"/>
    </row>
    <row r="917" ht="15.75" customHeight="1">
      <c r="A917" s="2"/>
      <c r="B917" s="11"/>
      <c r="D917" s="2"/>
    </row>
    <row r="918" ht="15.75" customHeight="1">
      <c r="A918" s="2"/>
      <c r="B918" s="11"/>
      <c r="D918" s="2"/>
    </row>
    <row r="919" ht="15.75" customHeight="1">
      <c r="A919" s="2"/>
      <c r="B919" s="11"/>
      <c r="D919" s="2"/>
    </row>
    <row r="920" ht="15.75" customHeight="1">
      <c r="A920" s="2"/>
      <c r="B920" s="11"/>
      <c r="D920" s="2"/>
    </row>
    <row r="921" ht="15.75" customHeight="1">
      <c r="A921" s="2"/>
      <c r="B921" s="11"/>
      <c r="D921" s="2"/>
    </row>
    <row r="922" ht="15.75" customHeight="1">
      <c r="A922" s="2"/>
      <c r="B922" s="11"/>
      <c r="D922" s="2"/>
    </row>
    <row r="923" ht="15.75" customHeight="1">
      <c r="A923" s="2"/>
      <c r="B923" s="11"/>
      <c r="D923" s="2"/>
    </row>
    <row r="924" ht="15.75" customHeight="1">
      <c r="A924" s="2"/>
      <c r="B924" s="11"/>
      <c r="D924" s="2"/>
    </row>
    <row r="925" ht="15.75" customHeight="1">
      <c r="A925" s="2"/>
      <c r="B925" s="11"/>
      <c r="D925" s="2"/>
    </row>
    <row r="926" ht="15.75" customHeight="1">
      <c r="A926" s="2"/>
      <c r="B926" s="11"/>
      <c r="D926" s="2"/>
    </row>
    <row r="927" ht="15.75" customHeight="1">
      <c r="A927" s="2"/>
      <c r="B927" s="11"/>
      <c r="D927" s="2"/>
    </row>
    <row r="928" ht="15.75" customHeight="1">
      <c r="A928" s="2"/>
      <c r="B928" s="11"/>
      <c r="D928" s="2"/>
    </row>
    <row r="929" ht="15.75" customHeight="1">
      <c r="A929" s="2"/>
      <c r="B929" s="11"/>
      <c r="D929" s="2"/>
    </row>
    <row r="930" ht="15.75" customHeight="1">
      <c r="A930" s="2"/>
      <c r="B930" s="11"/>
      <c r="D930" s="2"/>
    </row>
    <row r="931" ht="15.75" customHeight="1">
      <c r="A931" s="2"/>
      <c r="B931" s="11"/>
      <c r="D931" s="2"/>
    </row>
    <row r="932" ht="15.75" customHeight="1">
      <c r="A932" s="2"/>
      <c r="B932" s="11"/>
      <c r="D932" s="2"/>
    </row>
    <row r="933" ht="15.75" customHeight="1">
      <c r="A933" s="2"/>
      <c r="B933" s="11"/>
      <c r="D933" s="2"/>
    </row>
    <row r="934" ht="15.75" customHeight="1">
      <c r="A934" s="2"/>
      <c r="B934" s="11"/>
      <c r="D934" s="2"/>
    </row>
    <row r="935" ht="15.75" customHeight="1">
      <c r="A935" s="2"/>
      <c r="B935" s="11"/>
      <c r="D935" s="2"/>
    </row>
    <row r="936" ht="15.75" customHeight="1">
      <c r="A936" s="2"/>
      <c r="B936" s="11"/>
      <c r="D936" s="2"/>
    </row>
    <row r="937" ht="15.75" customHeight="1">
      <c r="A937" s="2"/>
      <c r="B937" s="11"/>
      <c r="D937" s="2"/>
    </row>
    <row r="938" ht="15.75" customHeight="1">
      <c r="A938" s="2"/>
      <c r="B938" s="11"/>
      <c r="D938" s="2"/>
    </row>
    <row r="939" ht="15.75" customHeight="1">
      <c r="A939" s="2"/>
      <c r="B939" s="11"/>
      <c r="D939" s="2"/>
    </row>
    <row r="940" ht="15.75" customHeight="1">
      <c r="A940" s="2"/>
      <c r="B940" s="11"/>
      <c r="D940" s="2"/>
    </row>
    <row r="941" ht="15.75" customHeight="1">
      <c r="A941" s="2"/>
      <c r="B941" s="11"/>
      <c r="D941" s="2"/>
    </row>
    <row r="942" ht="15.75" customHeight="1">
      <c r="A942" s="2"/>
      <c r="B942" s="11"/>
      <c r="D942" s="2"/>
    </row>
    <row r="943" ht="15.75" customHeight="1">
      <c r="A943" s="2"/>
      <c r="B943" s="11"/>
      <c r="D943" s="2"/>
    </row>
    <row r="944" ht="15.75" customHeight="1">
      <c r="A944" s="2"/>
      <c r="B944" s="11"/>
      <c r="D944" s="2"/>
    </row>
    <row r="945" ht="15.75" customHeight="1">
      <c r="A945" s="2"/>
      <c r="B945" s="11"/>
      <c r="D945" s="2"/>
    </row>
    <row r="946" ht="15.75" customHeight="1">
      <c r="A946" s="2"/>
      <c r="B946" s="11"/>
      <c r="D946" s="2"/>
    </row>
    <row r="947" ht="15.75" customHeight="1">
      <c r="A947" s="2"/>
      <c r="B947" s="11"/>
      <c r="D947" s="2"/>
    </row>
    <row r="948" ht="15.75" customHeight="1">
      <c r="A948" s="2"/>
      <c r="B948" s="11"/>
      <c r="D948" s="2"/>
    </row>
    <row r="949" ht="15.75" customHeight="1">
      <c r="A949" s="2"/>
      <c r="B949" s="11"/>
      <c r="D949" s="2"/>
    </row>
    <row r="950" ht="15.75" customHeight="1">
      <c r="A950" s="2"/>
      <c r="B950" s="11"/>
      <c r="D950" s="2"/>
    </row>
    <row r="951" ht="15.75" customHeight="1">
      <c r="A951" s="2"/>
      <c r="B951" s="11"/>
      <c r="D951" s="2"/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