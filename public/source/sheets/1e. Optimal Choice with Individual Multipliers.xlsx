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ptimal Choice" sheetId="1" r:id="rId5"/>
    <sheet state="visible" name="Calc for Optimal Choice" sheetId="2" r:id="rId6"/>
  </sheets>
  <definedNames/>
  <calcPr/>
</workbook>
</file>

<file path=xl/sharedStrings.xml><?xml version="1.0" encoding="utf-8"?>
<sst xmlns="http://schemas.openxmlformats.org/spreadsheetml/2006/main" count="72" uniqueCount="40">
  <si>
    <t xml:space="preserve">This is the most complex model of these sheets. It's nearly identical to 1d in that it models 5 generators with exponential costs over time, making the optimal decision at each step. The difference is that instead of having global multiplier rewards for hitting certain numbers of a generator, the multipliers can be adjusted per-generator. This gives you tremendous control over the relative power of the generators over time, even with modest multipliers (2x - 5x).
The Total Income charts let you get a sense of how much your income scales over time. The Counts of Generators chart is useful because it can help you identify good multiplication points. You could of course have varied targets for bonuses as well, but I'll leave that simulation as an exercise for the reader. 
Total Income for each Generator Type is basically the measure of relative "power" - i.e. contribution to the total income. Finally, the Time Between Purchases gives you a sense of how much the game is slowing down. Players will start to use offline gains to jump over some of this, but offline gains will be less efficient since they won't be buying upgrades right when they are available.
Note: Google Sheets is good at a lot of things, but iterative simulations is not one of them. It is very slow to update, so if you want to play around I recommend downloading the .xls version instead which is much, much snappier. </t>
  </si>
  <si>
    <t>Generator 1</t>
  </si>
  <si>
    <t>Base Income</t>
  </si>
  <si>
    <t>Starting Cost</t>
  </si>
  <si>
    <t xml:space="preserve">Cost Mult Factor </t>
  </si>
  <si>
    <t>Generator 2</t>
  </si>
  <si>
    <t>Generator 3</t>
  </si>
  <si>
    <t>Generator 4</t>
  </si>
  <si>
    <t>Generator 5</t>
  </si>
  <si>
    <t>Global Multiplier</t>
  </si>
  <si>
    <t>Individual Ownership Multipliers</t>
  </si>
  <si>
    <t>Number</t>
  </si>
  <si>
    <t>G1</t>
  </si>
  <si>
    <t>G2</t>
  </si>
  <si>
    <t>G3</t>
  </si>
  <si>
    <t>G4</t>
  </si>
  <si>
    <t>G5</t>
  </si>
  <si>
    <t>Minutes</t>
  </si>
  <si>
    <t>Income / Sec</t>
  </si>
  <si>
    <t>Indiv Multipliers</t>
  </si>
  <si>
    <t>Gen 1</t>
  </si>
  <si>
    <t>Gen 2</t>
  </si>
  <si>
    <t>Gen 3</t>
  </si>
  <si>
    <t>Gen 4</t>
  </si>
  <si>
    <t>Gen 5</t>
  </si>
  <si>
    <t>Item 1 Score</t>
  </si>
  <si>
    <t>Item 2 Score</t>
  </si>
  <si>
    <t>Item 3 Score</t>
  </si>
  <si>
    <t>Item 4 Score</t>
  </si>
  <si>
    <t>Item 5 Score</t>
  </si>
  <si>
    <t>Counts</t>
  </si>
  <si>
    <t>Item 1 Cost</t>
  </si>
  <si>
    <t>Item 2 Cost</t>
  </si>
  <si>
    <t>Item 3 Cost</t>
  </si>
  <si>
    <t>Item 4 Cost</t>
  </si>
  <si>
    <t>Item 5 Cost</t>
  </si>
  <si>
    <t>Bonuses</t>
  </si>
  <si>
    <t>Total Production</t>
  </si>
  <si>
    <t>N+1 bonus</t>
  </si>
  <si>
    <t>Time Delta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</si>
</sst>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8">
    <font>
      <sz val="10.0"/>
      <color rgb="FF000000"/>
      <name val="Arial"/>
      <scheme val="minor"/>
    </font>
    <font>
      <color theme="1"/>
      <name val="Arial"/>
      <scheme val="minor"/>
    </font>
    <font>
      <b/>
      <color theme="1"/>
      <name val="Arial"/>
      <scheme val="minor"/>
    </font>
    <font>
      <i/>
      <color theme="1"/>
      <name val="Arial"/>
      <scheme val="minor"/>
    </font>
    <font>
      <color theme="1"/>
      <name val="Arial"/>
    </font>
    <font>
      <b/>
      <color theme="1"/>
      <name val="Arial"/>
    </font>
    <font>
      <i/>
      <color theme="1"/>
      <name val="Arial"/>
    </font>
    <font>
      <sz val="10.0"/>
      <color rgb="FF000000"/>
      <name val="Arial"/>
    </font>
  </fonts>
  <fills count="5">
    <fill>
      <patternFill patternType="none"/>
    </fill>
    <fill>
      <patternFill patternType="lightGray"/>
    </fill>
    <fill>
      <patternFill patternType="solid">
        <fgColor rgb="FFFFF2CC"/>
        <bgColor rgb="FFFFF2CC"/>
      </patternFill>
    </fill>
    <fill>
      <patternFill patternType="solid">
        <fgColor rgb="FFD9EAD3"/>
        <bgColor rgb="FFD9EAD3"/>
      </patternFill>
    </fill>
    <fill>
      <patternFill patternType="solid">
        <fgColor rgb="FFFFFFFF"/>
        <bgColor rgb="FFFFFFFF"/>
      </patternFill>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Font="1"/>
    <xf borderId="0" fillId="2" fontId="3" numFmtId="0" xfId="0" applyFill="1" applyFont="1"/>
    <xf borderId="0" fillId="3" fontId="4" numFmtId="0" xfId="0" applyAlignment="1" applyFill="1" applyFont="1">
      <alignment horizontal="right" vertical="bottom"/>
    </xf>
    <xf borderId="0" fillId="0" fontId="4" numFmtId="0" xfId="0" applyAlignment="1" applyFont="1">
      <alignment vertical="bottom"/>
    </xf>
    <xf borderId="0" fillId="0" fontId="3" numFmtId="0" xfId="0" applyFont="1"/>
    <xf borderId="0" fillId="0" fontId="1" numFmtId="0" xfId="0" applyFont="1"/>
    <xf borderId="0" fillId="3" fontId="1" numFmtId="0" xfId="0" applyFont="1"/>
    <xf borderId="0" fillId="2" fontId="5" numFmtId="0" xfId="0" applyAlignment="1" applyFont="1">
      <alignment vertical="bottom"/>
    </xf>
    <xf borderId="0" fillId="0" fontId="6" numFmtId="0" xfId="0" applyAlignment="1" applyFont="1">
      <alignment vertical="bottom"/>
    </xf>
    <xf borderId="0" fillId="0" fontId="1" numFmtId="2" xfId="0" applyFont="1" applyNumberFormat="1"/>
    <xf borderId="0" fillId="0" fontId="1" numFmtId="1" xfId="0" applyFont="1" applyNumberFormat="1"/>
    <xf borderId="0" fillId="0" fontId="1" numFmtId="164" xfId="0" applyFont="1" applyNumberFormat="1"/>
    <xf borderId="0" fillId="0" fontId="1" numFmtId="0" xfId="0" applyFont="1"/>
    <xf borderId="0" fillId="4" fontId="7" numFmtId="2" xfId="0" applyFill="1"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600">
                <a:solidFill>
                  <a:srgbClr val="000000"/>
                </a:solidFill>
                <a:latin typeface="Roboto"/>
              </a:defRPr>
            </a:pPr>
            <a:r>
              <a:rPr b="1" i="0" sz="1600">
                <a:solidFill>
                  <a:srgbClr val="000000"/>
                </a:solidFill>
                <a:latin typeface="Roboto"/>
              </a:rPr>
              <a:t>Total Income</a:t>
            </a:r>
          </a:p>
        </c:rich>
      </c:tx>
      <c:overlay val="0"/>
    </c:title>
    <c:plotArea>
      <c:layout/>
      <c:lineChart>
        <c:varyColors val="0"/>
        <c:ser>
          <c:idx val="0"/>
          <c:order val="0"/>
          <c:tx>
            <c:strRef>
              <c:f>'Calc for Optimal Choice'!$B$1</c:f>
            </c:strRef>
          </c:tx>
          <c:spPr>
            <a:ln cmpd="sng">
              <a:solidFill>
                <a:srgbClr val="3366CC"/>
              </a:solidFill>
            </a:ln>
          </c:spPr>
          <c:marker>
            <c:symbol val="none"/>
          </c:marker>
          <c:cat>
            <c:strRef>
              <c:f>'Calc for Optimal Choice'!$A$2:$A$200</c:f>
            </c:strRef>
          </c:cat>
          <c:val>
            <c:numRef>
              <c:f>'Calc for Optimal Choice'!$B$2:$B$200</c:f>
              <c:numCache/>
            </c:numRef>
          </c:val>
          <c:smooth val="0"/>
        </c:ser>
        <c:axId val="521083271"/>
        <c:axId val="679483198"/>
      </c:lineChart>
      <c:catAx>
        <c:axId val="521083271"/>
        <c:scaling>
          <c:orientation val="minMax"/>
        </c:scaling>
        <c:delete val="0"/>
        <c:axPos val="b"/>
        <c:title>
          <c:tx>
            <c:rich>
              <a:bodyPr/>
              <a:lstStyle/>
              <a:p>
                <a:pPr lvl="0">
                  <a:defRPr b="0" i="0">
                    <a:solidFill>
                      <a:srgbClr val="000000"/>
                    </a:solidFill>
                    <a:latin typeface="Roboto"/>
                  </a:defRPr>
                </a:pPr>
                <a:r>
                  <a:rPr b="0" i="0">
                    <a:solidFill>
                      <a:srgbClr val="000000"/>
                    </a:solidFill>
                    <a:latin typeface="Roboto"/>
                  </a:rPr>
                  <a:t>Minutes</a:t>
                </a:r>
              </a:p>
            </c:rich>
          </c:tx>
          <c:overlay val="0"/>
        </c:title>
        <c:numFmt formatCode="General" sourceLinked="1"/>
        <c:majorTickMark val="none"/>
        <c:minorTickMark val="none"/>
        <c:spPr/>
        <c:txPr>
          <a:bodyPr/>
          <a:lstStyle/>
          <a:p>
            <a:pPr lvl="0">
              <a:defRPr b="0" i="0">
                <a:solidFill>
                  <a:srgbClr val="000000"/>
                </a:solidFill>
                <a:latin typeface="Roboto"/>
              </a:defRPr>
            </a:pPr>
          </a:p>
        </c:txPr>
        <c:crossAx val="679483198"/>
      </c:catAx>
      <c:valAx>
        <c:axId val="67948319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Roboto"/>
                  </a:defRPr>
                </a:pPr>
                <a:r>
                  <a:rPr b="0" i="0">
                    <a:solidFill>
                      <a:srgbClr val="000000"/>
                    </a:solidFill>
                    <a:latin typeface="Roboto"/>
                  </a:rPr>
                  <a:t>Income / Sec</a:t>
                </a:r>
              </a:p>
            </c:rich>
          </c:tx>
          <c:overlay val="0"/>
        </c:title>
        <c:numFmt formatCode="General" sourceLinked="1"/>
        <c:majorTickMark val="none"/>
        <c:minorTickMark val="none"/>
        <c:tickLblPos val="nextTo"/>
        <c:spPr>
          <a:ln/>
        </c:spPr>
        <c:txPr>
          <a:bodyPr/>
          <a:lstStyle/>
          <a:p>
            <a:pPr lvl="0">
              <a:defRPr b="0" i="0">
                <a:solidFill>
                  <a:srgbClr val="000000"/>
                </a:solidFill>
                <a:latin typeface="Roboto"/>
              </a:defRPr>
            </a:pPr>
          </a:p>
        </c:txPr>
        <c:crossAx val="521083271"/>
      </c:valAx>
    </c:plotArea>
    <c:legend>
      <c:legendPos val="r"/>
      <c:overlay val="0"/>
      <c:txPr>
        <a:bodyPr/>
        <a:lstStyle/>
        <a:p>
          <a:pPr lvl="0">
            <a:defRPr b="0" i="0">
              <a:solidFill>
                <a:srgbClr val="000000"/>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600">
                <a:solidFill>
                  <a:srgbClr val="000000"/>
                </a:solidFill>
                <a:latin typeface="Roboto"/>
              </a:defRPr>
            </a:pPr>
            <a:r>
              <a:rPr b="1" i="0" sz="1600">
                <a:solidFill>
                  <a:srgbClr val="000000"/>
                </a:solidFill>
                <a:latin typeface="Roboto"/>
              </a:rPr>
              <a:t>Total Income</a:t>
            </a:r>
          </a:p>
        </c:rich>
      </c:tx>
      <c:overlay val="0"/>
    </c:title>
    <c:plotArea>
      <c:layout/>
      <c:lineChart>
        <c:varyColors val="0"/>
        <c:ser>
          <c:idx val="0"/>
          <c:order val="0"/>
          <c:tx>
            <c:strRef>
              <c:f>'Calc for Optimal Choice'!$B$1</c:f>
            </c:strRef>
          </c:tx>
          <c:spPr>
            <a:ln cmpd="sng">
              <a:solidFill>
                <a:srgbClr val="3366CC"/>
              </a:solidFill>
            </a:ln>
          </c:spPr>
          <c:marker>
            <c:symbol val="none"/>
          </c:marker>
          <c:cat>
            <c:strRef>
              <c:f>'Calc for Optimal Choice'!$A$2:$A$400</c:f>
            </c:strRef>
          </c:cat>
          <c:val>
            <c:numRef>
              <c:f>'Calc for Optimal Choice'!$B$2:$B$400</c:f>
              <c:numCache/>
            </c:numRef>
          </c:val>
          <c:smooth val="0"/>
        </c:ser>
        <c:axId val="1644698012"/>
        <c:axId val="2079229806"/>
      </c:lineChart>
      <c:catAx>
        <c:axId val="1644698012"/>
        <c:scaling>
          <c:orientation val="minMax"/>
        </c:scaling>
        <c:delete val="0"/>
        <c:axPos val="b"/>
        <c:title>
          <c:tx>
            <c:rich>
              <a:bodyPr/>
              <a:lstStyle/>
              <a:p>
                <a:pPr lvl="0">
                  <a:defRPr b="0" i="0">
                    <a:solidFill>
                      <a:srgbClr val="000000"/>
                    </a:solidFill>
                    <a:latin typeface="Roboto"/>
                  </a:defRPr>
                </a:pPr>
                <a:r>
                  <a:rPr b="0" i="0">
                    <a:solidFill>
                      <a:srgbClr val="000000"/>
                    </a:solidFill>
                    <a:latin typeface="Roboto"/>
                  </a:rPr>
                  <a:t>Minutes</a:t>
                </a:r>
              </a:p>
            </c:rich>
          </c:tx>
          <c:overlay val="0"/>
        </c:title>
        <c:numFmt formatCode="General" sourceLinked="1"/>
        <c:majorTickMark val="none"/>
        <c:minorTickMark val="none"/>
        <c:spPr/>
        <c:txPr>
          <a:bodyPr/>
          <a:lstStyle/>
          <a:p>
            <a:pPr lvl="0">
              <a:defRPr b="0" i="0">
                <a:solidFill>
                  <a:srgbClr val="000000"/>
                </a:solidFill>
                <a:latin typeface="Roboto"/>
              </a:defRPr>
            </a:pPr>
          </a:p>
        </c:txPr>
        <c:crossAx val="2079229806"/>
      </c:catAx>
      <c:valAx>
        <c:axId val="207922980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Roboto"/>
                  </a:defRPr>
                </a:pPr>
                <a:r>
                  <a:rPr b="0" i="0">
                    <a:solidFill>
                      <a:srgbClr val="000000"/>
                    </a:solidFill>
                    <a:latin typeface="Roboto"/>
                  </a:rPr>
                  <a:t>Income / Sec</a:t>
                </a:r>
              </a:p>
            </c:rich>
          </c:tx>
          <c:overlay val="0"/>
        </c:title>
        <c:numFmt formatCode="General" sourceLinked="1"/>
        <c:majorTickMark val="none"/>
        <c:minorTickMark val="none"/>
        <c:tickLblPos val="nextTo"/>
        <c:spPr>
          <a:ln/>
        </c:spPr>
        <c:txPr>
          <a:bodyPr/>
          <a:lstStyle/>
          <a:p>
            <a:pPr lvl="0">
              <a:defRPr b="0" i="0">
                <a:solidFill>
                  <a:srgbClr val="000000"/>
                </a:solidFill>
                <a:latin typeface="Roboto"/>
              </a:defRPr>
            </a:pPr>
          </a:p>
        </c:txPr>
        <c:crossAx val="1644698012"/>
      </c:valAx>
    </c:plotArea>
    <c:legend>
      <c:legendPos val="r"/>
      <c:overlay val="0"/>
      <c:txPr>
        <a:bodyPr/>
        <a:lstStyle/>
        <a:p>
          <a:pPr lvl="0">
            <a:defRPr b="0" i="0">
              <a:solidFill>
                <a:srgbClr val="000000"/>
              </a:solidFill>
              <a:latin typeface="Roboto"/>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600">
                <a:solidFill>
                  <a:srgbClr val="000000"/>
                </a:solidFill>
                <a:latin typeface="Roboto"/>
              </a:defRPr>
            </a:pPr>
            <a:r>
              <a:rPr b="1" i="0" sz="1600">
                <a:solidFill>
                  <a:srgbClr val="000000"/>
                </a:solidFill>
                <a:latin typeface="Roboto"/>
              </a:rPr>
              <a:t>Total Income</a:t>
            </a:r>
          </a:p>
        </c:rich>
      </c:tx>
      <c:overlay val="0"/>
    </c:title>
    <c:plotArea>
      <c:layout/>
      <c:lineChart>
        <c:varyColors val="0"/>
        <c:ser>
          <c:idx val="0"/>
          <c:order val="0"/>
          <c:tx>
            <c:strRef>
              <c:f>'Calc for Optimal Choice'!$B$1</c:f>
            </c:strRef>
          </c:tx>
          <c:spPr>
            <a:ln cmpd="sng">
              <a:solidFill>
                <a:srgbClr val="3366CC"/>
              </a:solidFill>
            </a:ln>
          </c:spPr>
          <c:marker>
            <c:symbol val="none"/>
          </c:marker>
          <c:cat>
            <c:strRef>
              <c:f>'Calc for Optimal Choice'!$A$2:$A$600</c:f>
            </c:strRef>
          </c:cat>
          <c:val>
            <c:numRef>
              <c:f>'Calc for Optimal Choice'!$B$2:$B$600</c:f>
              <c:numCache/>
            </c:numRef>
          </c:val>
          <c:smooth val="0"/>
        </c:ser>
        <c:axId val="2006249397"/>
        <c:axId val="1254238817"/>
      </c:lineChart>
      <c:catAx>
        <c:axId val="2006249397"/>
        <c:scaling>
          <c:orientation val="minMax"/>
        </c:scaling>
        <c:delete val="0"/>
        <c:axPos val="b"/>
        <c:title>
          <c:tx>
            <c:rich>
              <a:bodyPr/>
              <a:lstStyle/>
              <a:p>
                <a:pPr lvl="0">
                  <a:defRPr b="0" i="0">
                    <a:solidFill>
                      <a:srgbClr val="000000"/>
                    </a:solidFill>
                    <a:latin typeface="Roboto"/>
                  </a:defRPr>
                </a:pPr>
                <a:r>
                  <a:rPr b="0" i="0">
                    <a:solidFill>
                      <a:srgbClr val="000000"/>
                    </a:solidFill>
                    <a:latin typeface="Roboto"/>
                  </a:rPr>
                  <a:t>Minutes</a:t>
                </a:r>
              </a:p>
            </c:rich>
          </c:tx>
          <c:overlay val="0"/>
        </c:title>
        <c:numFmt formatCode="General" sourceLinked="0"/>
        <c:majorTickMark val="none"/>
        <c:minorTickMark val="none"/>
        <c:spPr/>
        <c:txPr>
          <a:bodyPr/>
          <a:lstStyle/>
          <a:p>
            <a:pPr lvl="0">
              <a:defRPr b="0" i="0">
                <a:solidFill>
                  <a:srgbClr val="000000"/>
                </a:solidFill>
                <a:latin typeface="Roboto"/>
              </a:defRPr>
            </a:pPr>
          </a:p>
        </c:txPr>
        <c:crossAx val="1254238817"/>
      </c:catAx>
      <c:valAx>
        <c:axId val="125423881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Roboto"/>
                  </a:defRPr>
                </a:pPr>
                <a:r>
                  <a:rPr b="0" i="0">
                    <a:solidFill>
                      <a:srgbClr val="000000"/>
                    </a:solidFill>
                    <a:latin typeface="Roboto"/>
                  </a:rPr>
                  <a:t>Income / Sec</a:t>
                </a:r>
              </a:p>
            </c:rich>
          </c:tx>
          <c:overlay val="0"/>
        </c:title>
        <c:numFmt formatCode="General" sourceLinked="0"/>
        <c:majorTickMark val="none"/>
        <c:minorTickMark val="none"/>
        <c:tickLblPos val="nextTo"/>
        <c:spPr>
          <a:ln/>
        </c:spPr>
        <c:txPr>
          <a:bodyPr/>
          <a:lstStyle/>
          <a:p>
            <a:pPr lvl="0">
              <a:defRPr b="0" i="0">
                <a:solidFill>
                  <a:srgbClr val="000000"/>
                </a:solidFill>
                <a:latin typeface="Roboto"/>
              </a:defRPr>
            </a:pPr>
          </a:p>
        </c:txPr>
        <c:crossAx val="2006249397"/>
      </c:valAx>
    </c:plotArea>
    <c:legend>
      <c:legendPos val="r"/>
      <c:overlay val="0"/>
      <c:txPr>
        <a:bodyPr/>
        <a:lstStyle/>
        <a:p>
          <a:pPr lvl="0">
            <a:defRPr b="0" i="0">
              <a:solidFill>
                <a:srgbClr val="000000"/>
              </a:solidFill>
              <a:latin typeface="Roboto"/>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600">
                <a:solidFill>
                  <a:srgbClr val="000000"/>
                </a:solidFill>
                <a:latin typeface="Roboto"/>
              </a:defRPr>
            </a:pPr>
            <a:r>
              <a:rPr b="1" i="0" sz="1600">
                <a:solidFill>
                  <a:srgbClr val="000000"/>
                </a:solidFill>
                <a:latin typeface="Roboto"/>
              </a:rPr>
              <a:t>Counts of Generators Over Time</a:t>
            </a:r>
          </a:p>
        </c:rich>
      </c:tx>
      <c:overlay val="0"/>
    </c:title>
    <c:plotArea>
      <c:layout/>
      <c:lineChart>
        <c:ser>
          <c:idx val="0"/>
          <c:order val="0"/>
          <c:tx>
            <c:strRef>
              <c:f>'Calc for Optimal Choice'!$R$1</c:f>
            </c:strRef>
          </c:tx>
          <c:spPr>
            <a:ln cmpd="sng">
              <a:solidFill>
                <a:srgbClr val="3366CC"/>
              </a:solidFill>
            </a:ln>
          </c:spPr>
          <c:marker>
            <c:symbol val="none"/>
          </c:marker>
          <c:cat>
            <c:strRef>
              <c:f>'Calc for Optimal Choice'!$A$2:$A$400</c:f>
            </c:strRef>
          </c:cat>
          <c:val>
            <c:numRef>
              <c:f>'Calc for Optimal Choice'!$R$2:$R$400</c:f>
              <c:numCache/>
            </c:numRef>
          </c:val>
          <c:smooth val="0"/>
        </c:ser>
        <c:ser>
          <c:idx val="1"/>
          <c:order val="1"/>
          <c:tx>
            <c:strRef>
              <c:f>'Calc for Optimal Choice'!$S$1</c:f>
            </c:strRef>
          </c:tx>
          <c:spPr>
            <a:ln cmpd="sng">
              <a:solidFill>
                <a:srgbClr val="DC3912"/>
              </a:solidFill>
            </a:ln>
          </c:spPr>
          <c:marker>
            <c:symbol val="none"/>
          </c:marker>
          <c:cat>
            <c:strRef>
              <c:f>'Calc for Optimal Choice'!$A$2:$A$400</c:f>
            </c:strRef>
          </c:cat>
          <c:val>
            <c:numRef>
              <c:f>'Calc for Optimal Choice'!$S$2:$S$400</c:f>
              <c:numCache/>
            </c:numRef>
          </c:val>
          <c:smooth val="0"/>
        </c:ser>
        <c:ser>
          <c:idx val="2"/>
          <c:order val="2"/>
          <c:tx>
            <c:strRef>
              <c:f>'Calc for Optimal Choice'!$T$1</c:f>
            </c:strRef>
          </c:tx>
          <c:spPr>
            <a:ln cmpd="sng">
              <a:solidFill>
                <a:srgbClr val="FF9900"/>
              </a:solidFill>
            </a:ln>
          </c:spPr>
          <c:marker>
            <c:symbol val="none"/>
          </c:marker>
          <c:cat>
            <c:strRef>
              <c:f>'Calc for Optimal Choice'!$A$2:$A$400</c:f>
            </c:strRef>
          </c:cat>
          <c:val>
            <c:numRef>
              <c:f>'Calc for Optimal Choice'!$T$2:$T$400</c:f>
              <c:numCache/>
            </c:numRef>
          </c:val>
          <c:smooth val="0"/>
        </c:ser>
        <c:ser>
          <c:idx val="3"/>
          <c:order val="3"/>
          <c:tx>
            <c:strRef>
              <c:f>'Calc for Optimal Choice'!$U$1</c:f>
            </c:strRef>
          </c:tx>
          <c:spPr>
            <a:ln cmpd="sng">
              <a:solidFill>
                <a:srgbClr val="109618"/>
              </a:solidFill>
            </a:ln>
          </c:spPr>
          <c:marker>
            <c:symbol val="none"/>
          </c:marker>
          <c:cat>
            <c:strRef>
              <c:f>'Calc for Optimal Choice'!$A$2:$A$400</c:f>
            </c:strRef>
          </c:cat>
          <c:val>
            <c:numRef>
              <c:f>'Calc for Optimal Choice'!$U$2:$U$400</c:f>
              <c:numCache/>
            </c:numRef>
          </c:val>
          <c:smooth val="0"/>
        </c:ser>
        <c:ser>
          <c:idx val="4"/>
          <c:order val="4"/>
          <c:tx>
            <c:strRef>
              <c:f>'Calc for Optimal Choice'!$V$1</c:f>
            </c:strRef>
          </c:tx>
          <c:spPr>
            <a:ln cmpd="sng" w="19050">
              <a:solidFill>
                <a:srgbClr val="990099">
                  <a:alpha val="100000"/>
                </a:srgbClr>
              </a:solidFill>
            </a:ln>
          </c:spPr>
          <c:marker>
            <c:symbol val="none"/>
          </c:marker>
          <c:cat>
            <c:strRef>
              <c:f>'Calc for Optimal Choice'!$A$2:$A$400</c:f>
            </c:strRef>
          </c:cat>
          <c:val>
            <c:numRef>
              <c:f>'Calc for Optimal Choice'!$V$2:$V$400</c:f>
              <c:numCache/>
            </c:numRef>
          </c:val>
          <c:smooth val="0"/>
        </c:ser>
        <c:axId val="240066187"/>
        <c:axId val="1864419575"/>
      </c:lineChart>
      <c:catAx>
        <c:axId val="240066187"/>
        <c:scaling>
          <c:orientation val="minMax"/>
        </c:scaling>
        <c:delete val="0"/>
        <c:axPos val="b"/>
        <c:title>
          <c:tx>
            <c:rich>
              <a:bodyPr/>
              <a:lstStyle/>
              <a:p>
                <a:pPr lvl="0">
                  <a:defRPr b="0" i="0">
                    <a:solidFill>
                      <a:srgbClr val="000000"/>
                    </a:solidFill>
                    <a:latin typeface="Roboto"/>
                  </a:defRPr>
                </a:pPr>
                <a:r>
                  <a:rPr b="0" i="0">
                    <a:solidFill>
                      <a:srgbClr val="000000"/>
                    </a:solidFill>
                    <a:latin typeface="Roboto"/>
                  </a:rPr>
                  <a:t>Minutes</a:t>
                </a:r>
              </a:p>
            </c:rich>
          </c:tx>
          <c:overlay val="0"/>
        </c:title>
        <c:numFmt formatCode="General" sourceLinked="1"/>
        <c:majorTickMark val="none"/>
        <c:minorTickMark val="none"/>
        <c:spPr/>
        <c:txPr>
          <a:bodyPr/>
          <a:lstStyle/>
          <a:p>
            <a:pPr lvl="0">
              <a:defRPr b="0" i="0">
                <a:solidFill>
                  <a:srgbClr val="000000"/>
                </a:solidFill>
                <a:latin typeface="Roboto"/>
              </a:defRPr>
            </a:pPr>
          </a:p>
        </c:txPr>
        <c:crossAx val="1864419575"/>
      </c:catAx>
      <c:valAx>
        <c:axId val="186441957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Roboto"/>
                  </a:defRPr>
                </a:pPr>
                <a:r>
                  <a:rPr b="0" i="0">
                    <a:solidFill>
                      <a:srgbClr val="000000"/>
                    </a:solidFill>
                    <a:latin typeface="Roboto"/>
                  </a:rPr>
                  <a:t>Count</a:t>
                </a:r>
              </a:p>
            </c:rich>
          </c:tx>
          <c:overlay val="0"/>
        </c:title>
        <c:numFmt formatCode="General" sourceLinked="1"/>
        <c:majorTickMark val="none"/>
        <c:minorTickMark val="none"/>
        <c:tickLblPos val="nextTo"/>
        <c:spPr>
          <a:ln/>
        </c:spPr>
        <c:txPr>
          <a:bodyPr/>
          <a:lstStyle/>
          <a:p>
            <a:pPr lvl="0">
              <a:defRPr b="0" i="0">
                <a:solidFill>
                  <a:srgbClr val="000000"/>
                </a:solidFill>
                <a:latin typeface="Roboto"/>
              </a:defRPr>
            </a:pPr>
          </a:p>
        </c:txPr>
        <c:crossAx val="240066187"/>
      </c:valAx>
    </c:plotArea>
    <c:legend>
      <c:legendPos val="r"/>
      <c:overlay val="0"/>
      <c:txPr>
        <a:bodyPr/>
        <a:lstStyle/>
        <a:p>
          <a:pPr lvl="0">
            <a:defRPr b="0" i="0">
              <a:solidFill>
                <a:srgbClr val="000000"/>
              </a:solidFill>
              <a:latin typeface="Roboto"/>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600">
                <a:solidFill>
                  <a:srgbClr val="000000"/>
                </a:solidFill>
                <a:latin typeface="Roboto"/>
              </a:defRPr>
            </a:pPr>
            <a:r>
              <a:rPr b="1" i="0" sz="1600">
                <a:solidFill>
                  <a:srgbClr val="000000"/>
                </a:solidFill>
                <a:latin typeface="Roboto"/>
              </a:rPr>
              <a:t>Counts of Generators Over Time</a:t>
            </a:r>
          </a:p>
        </c:rich>
      </c:tx>
      <c:overlay val="0"/>
    </c:title>
    <c:plotArea>
      <c:layout/>
      <c:lineChart>
        <c:ser>
          <c:idx val="0"/>
          <c:order val="0"/>
          <c:tx>
            <c:strRef>
              <c:f>'Calc for Optimal Choice'!$R$1</c:f>
            </c:strRef>
          </c:tx>
          <c:spPr>
            <a:ln cmpd="sng">
              <a:solidFill>
                <a:srgbClr val="3366CC"/>
              </a:solidFill>
            </a:ln>
          </c:spPr>
          <c:marker>
            <c:symbol val="none"/>
          </c:marker>
          <c:cat>
            <c:strRef>
              <c:f>'Calc for Optimal Choice'!$A$2:$A$600</c:f>
            </c:strRef>
          </c:cat>
          <c:val>
            <c:numRef>
              <c:f>'Calc for Optimal Choice'!$R$2:$R$600</c:f>
              <c:numCache/>
            </c:numRef>
          </c:val>
          <c:smooth val="0"/>
        </c:ser>
        <c:ser>
          <c:idx val="1"/>
          <c:order val="1"/>
          <c:tx>
            <c:strRef>
              <c:f>'Calc for Optimal Choice'!$S$1</c:f>
            </c:strRef>
          </c:tx>
          <c:spPr>
            <a:ln cmpd="sng">
              <a:solidFill>
                <a:srgbClr val="DC3912"/>
              </a:solidFill>
            </a:ln>
          </c:spPr>
          <c:marker>
            <c:symbol val="none"/>
          </c:marker>
          <c:cat>
            <c:strRef>
              <c:f>'Calc for Optimal Choice'!$A$2:$A$600</c:f>
            </c:strRef>
          </c:cat>
          <c:val>
            <c:numRef>
              <c:f>'Calc for Optimal Choice'!$S$2:$S$600</c:f>
              <c:numCache/>
            </c:numRef>
          </c:val>
          <c:smooth val="0"/>
        </c:ser>
        <c:ser>
          <c:idx val="2"/>
          <c:order val="2"/>
          <c:tx>
            <c:strRef>
              <c:f>'Calc for Optimal Choice'!$T$1</c:f>
            </c:strRef>
          </c:tx>
          <c:spPr>
            <a:ln cmpd="sng">
              <a:solidFill>
                <a:srgbClr val="FF9900"/>
              </a:solidFill>
            </a:ln>
          </c:spPr>
          <c:marker>
            <c:symbol val="none"/>
          </c:marker>
          <c:cat>
            <c:strRef>
              <c:f>'Calc for Optimal Choice'!$A$2:$A$600</c:f>
            </c:strRef>
          </c:cat>
          <c:val>
            <c:numRef>
              <c:f>'Calc for Optimal Choice'!$T$2:$T$600</c:f>
              <c:numCache/>
            </c:numRef>
          </c:val>
          <c:smooth val="0"/>
        </c:ser>
        <c:ser>
          <c:idx val="3"/>
          <c:order val="3"/>
          <c:tx>
            <c:strRef>
              <c:f>'Calc for Optimal Choice'!$U$1</c:f>
            </c:strRef>
          </c:tx>
          <c:spPr>
            <a:ln cmpd="sng">
              <a:solidFill>
                <a:srgbClr val="109618"/>
              </a:solidFill>
            </a:ln>
          </c:spPr>
          <c:marker>
            <c:symbol val="none"/>
          </c:marker>
          <c:cat>
            <c:strRef>
              <c:f>'Calc for Optimal Choice'!$A$2:$A$600</c:f>
            </c:strRef>
          </c:cat>
          <c:val>
            <c:numRef>
              <c:f>'Calc for Optimal Choice'!$U$2:$U$600</c:f>
              <c:numCache/>
            </c:numRef>
          </c:val>
          <c:smooth val="0"/>
        </c:ser>
        <c:ser>
          <c:idx val="4"/>
          <c:order val="4"/>
          <c:tx>
            <c:strRef>
              <c:f>'Calc for Optimal Choice'!$V$1</c:f>
            </c:strRef>
          </c:tx>
          <c:spPr>
            <a:ln cmpd="sng">
              <a:solidFill>
                <a:srgbClr val="990099"/>
              </a:solidFill>
            </a:ln>
          </c:spPr>
          <c:marker>
            <c:symbol val="none"/>
          </c:marker>
          <c:cat>
            <c:strRef>
              <c:f>'Calc for Optimal Choice'!$A$2:$A$600</c:f>
            </c:strRef>
          </c:cat>
          <c:val>
            <c:numRef>
              <c:f>'Calc for Optimal Choice'!$V$2:$V$600</c:f>
              <c:numCache/>
            </c:numRef>
          </c:val>
          <c:smooth val="0"/>
        </c:ser>
        <c:axId val="1310831806"/>
        <c:axId val="1792083589"/>
      </c:lineChart>
      <c:catAx>
        <c:axId val="1310831806"/>
        <c:scaling>
          <c:orientation val="minMax"/>
        </c:scaling>
        <c:delete val="0"/>
        <c:axPos val="b"/>
        <c:title>
          <c:tx>
            <c:rich>
              <a:bodyPr/>
              <a:lstStyle/>
              <a:p>
                <a:pPr lvl="0">
                  <a:defRPr b="0" i="0">
                    <a:solidFill>
                      <a:srgbClr val="000000"/>
                    </a:solidFill>
                    <a:latin typeface="Roboto"/>
                  </a:defRPr>
                </a:pPr>
                <a:r>
                  <a:rPr b="0" i="0">
                    <a:solidFill>
                      <a:srgbClr val="000000"/>
                    </a:solidFill>
                    <a:latin typeface="Roboto"/>
                  </a:rPr>
                  <a:t>Minutes</a:t>
                </a:r>
              </a:p>
            </c:rich>
          </c:tx>
          <c:overlay val="0"/>
        </c:title>
        <c:numFmt formatCode="General" sourceLinked="1"/>
        <c:majorTickMark val="none"/>
        <c:minorTickMark val="none"/>
        <c:spPr/>
        <c:txPr>
          <a:bodyPr/>
          <a:lstStyle/>
          <a:p>
            <a:pPr lvl="0">
              <a:defRPr b="0" i="0">
                <a:solidFill>
                  <a:srgbClr val="000000"/>
                </a:solidFill>
                <a:latin typeface="Roboto"/>
              </a:defRPr>
            </a:pPr>
          </a:p>
        </c:txPr>
        <c:crossAx val="1792083589"/>
      </c:catAx>
      <c:valAx>
        <c:axId val="179208358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Roboto"/>
                  </a:defRPr>
                </a:pPr>
                <a:r>
                  <a:rPr b="0" i="0">
                    <a:solidFill>
                      <a:srgbClr val="000000"/>
                    </a:solidFill>
                    <a:latin typeface="Roboto"/>
                  </a:rPr>
                  <a:t>Count</a:t>
                </a:r>
              </a:p>
            </c:rich>
          </c:tx>
          <c:overlay val="0"/>
        </c:title>
        <c:numFmt formatCode="General" sourceLinked="1"/>
        <c:majorTickMark val="none"/>
        <c:minorTickMark val="none"/>
        <c:tickLblPos val="nextTo"/>
        <c:spPr>
          <a:ln/>
        </c:spPr>
        <c:txPr>
          <a:bodyPr/>
          <a:lstStyle/>
          <a:p>
            <a:pPr lvl="0">
              <a:defRPr b="0" i="0">
                <a:solidFill>
                  <a:srgbClr val="000000"/>
                </a:solidFill>
                <a:latin typeface="Roboto"/>
              </a:defRPr>
            </a:pPr>
          </a:p>
        </c:txPr>
        <c:crossAx val="1310831806"/>
      </c:valAx>
    </c:plotArea>
    <c:legend>
      <c:legendPos val="r"/>
      <c:overlay val="0"/>
      <c:txPr>
        <a:bodyPr/>
        <a:lstStyle/>
        <a:p>
          <a:pPr lvl="0">
            <a:defRPr b="0" i="0">
              <a:solidFill>
                <a:srgbClr val="000000"/>
              </a:solidFill>
              <a:latin typeface="Roboto"/>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600">
                <a:solidFill>
                  <a:srgbClr val="000000"/>
                </a:solidFill>
                <a:latin typeface="Roboto"/>
              </a:defRPr>
            </a:pPr>
            <a:r>
              <a:rPr b="1" i="0" sz="1600">
                <a:solidFill>
                  <a:srgbClr val="000000"/>
                </a:solidFill>
                <a:latin typeface="Roboto"/>
              </a:rPr>
              <a:t>Counts of Generators Over Time</a:t>
            </a:r>
          </a:p>
        </c:rich>
      </c:tx>
      <c:overlay val="0"/>
    </c:title>
    <c:plotArea>
      <c:layout/>
      <c:lineChart>
        <c:ser>
          <c:idx val="0"/>
          <c:order val="0"/>
          <c:tx>
            <c:strRef>
              <c:f>'Calc for Optimal Choice'!$R$1</c:f>
            </c:strRef>
          </c:tx>
          <c:spPr>
            <a:ln cmpd="sng">
              <a:solidFill>
                <a:srgbClr val="3366CC"/>
              </a:solidFill>
            </a:ln>
          </c:spPr>
          <c:marker>
            <c:symbol val="none"/>
          </c:marker>
          <c:cat>
            <c:strRef>
              <c:f>'Calc for Optimal Choice'!$A$2:$A$200</c:f>
            </c:strRef>
          </c:cat>
          <c:val>
            <c:numRef>
              <c:f>'Calc for Optimal Choice'!$R$2:$R$200</c:f>
              <c:numCache/>
            </c:numRef>
          </c:val>
          <c:smooth val="0"/>
        </c:ser>
        <c:ser>
          <c:idx val="1"/>
          <c:order val="1"/>
          <c:tx>
            <c:strRef>
              <c:f>'Calc for Optimal Choice'!$S$1</c:f>
            </c:strRef>
          </c:tx>
          <c:spPr>
            <a:ln cmpd="sng">
              <a:solidFill>
                <a:srgbClr val="DC3912"/>
              </a:solidFill>
            </a:ln>
          </c:spPr>
          <c:marker>
            <c:symbol val="none"/>
          </c:marker>
          <c:cat>
            <c:strRef>
              <c:f>'Calc for Optimal Choice'!$A$2:$A$200</c:f>
            </c:strRef>
          </c:cat>
          <c:val>
            <c:numRef>
              <c:f>'Calc for Optimal Choice'!$S$2:$S$200</c:f>
              <c:numCache/>
            </c:numRef>
          </c:val>
          <c:smooth val="0"/>
        </c:ser>
        <c:ser>
          <c:idx val="2"/>
          <c:order val="2"/>
          <c:tx>
            <c:strRef>
              <c:f>'Calc for Optimal Choice'!$T$1</c:f>
            </c:strRef>
          </c:tx>
          <c:spPr>
            <a:ln cmpd="sng">
              <a:solidFill>
                <a:srgbClr val="FF9900"/>
              </a:solidFill>
            </a:ln>
          </c:spPr>
          <c:marker>
            <c:symbol val="none"/>
          </c:marker>
          <c:cat>
            <c:strRef>
              <c:f>'Calc for Optimal Choice'!$A$2:$A$200</c:f>
            </c:strRef>
          </c:cat>
          <c:val>
            <c:numRef>
              <c:f>'Calc for Optimal Choice'!$T$2:$T$200</c:f>
              <c:numCache/>
            </c:numRef>
          </c:val>
          <c:smooth val="0"/>
        </c:ser>
        <c:ser>
          <c:idx val="3"/>
          <c:order val="3"/>
          <c:tx>
            <c:strRef>
              <c:f>'Calc for Optimal Choice'!$U$1</c:f>
            </c:strRef>
          </c:tx>
          <c:spPr>
            <a:ln cmpd="sng">
              <a:solidFill>
                <a:srgbClr val="109618"/>
              </a:solidFill>
            </a:ln>
          </c:spPr>
          <c:marker>
            <c:symbol val="none"/>
          </c:marker>
          <c:cat>
            <c:strRef>
              <c:f>'Calc for Optimal Choice'!$A$2:$A$200</c:f>
            </c:strRef>
          </c:cat>
          <c:val>
            <c:numRef>
              <c:f>'Calc for Optimal Choice'!$U$2:$U$200</c:f>
              <c:numCache/>
            </c:numRef>
          </c:val>
          <c:smooth val="0"/>
        </c:ser>
        <c:ser>
          <c:idx val="4"/>
          <c:order val="4"/>
          <c:tx>
            <c:strRef>
              <c:f>'Calc for Optimal Choice'!$V$1</c:f>
            </c:strRef>
          </c:tx>
          <c:spPr>
            <a:ln cmpd="sng">
              <a:solidFill>
                <a:srgbClr val="990099"/>
              </a:solidFill>
            </a:ln>
          </c:spPr>
          <c:marker>
            <c:symbol val="none"/>
          </c:marker>
          <c:cat>
            <c:strRef>
              <c:f>'Calc for Optimal Choice'!$A$2:$A$200</c:f>
            </c:strRef>
          </c:cat>
          <c:val>
            <c:numRef>
              <c:f>'Calc for Optimal Choice'!$V$2:$V$200</c:f>
              <c:numCache/>
            </c:numRef>
          </c:val>
          <c:smooth val="0"/>
        </c:ser>
        <c:axId val="253104222"/>
        <c:axId val="1913119746"/>
      </c:lineChart>
      <c:catAx>
        <c:axId val="253104222"/>
        <c:scaling>
          <c:orientation val="minMax"/>
        </c:scaling>
        <c:delete val="0"/>
        <c:axPos val="b"/>
        <c:title>
          <c:tx>
            <c:rich>
              <a:bodyPr/>
              <a:lstStyle/>
              <a:p>
                <a:pPr lvl="0">
                  <a:defRPr b="0" i="0">
                    <a:solidFill>
                      <a:srgbClr val="000000"/>
                    </a:solidFill>
                    <a:latin typeface="Roboto"/>
                  </a:defRPr>
                </a:pPr>
                <a:r>
                  <a:rPr b="0" i="0">
                    <a:solidFill>
                      <a:srgbClr val="000000"/>
                    </a:solidFill>
                    <a:latin typeface="Roboto"/>
                  </a:rPr>
                  <a:t>Minutes</a:t>
                </a:r>
              </a:p>
            </c:rich>
          </c:tx>
          <c:overlay val="0"/>
        </c:title>
        <c:numFmt formatCode="General" sourceLinked="1"/>
        <c:majorTickMark val="none"/>
        <c:minorTickMark val="none"/>
        <c:spPr/>
        <c:txPr>
          <a:bodyPr/>
          <a:lstStyle/>
          <a:p>
            <a:pPr lvl="0">
              <a:defRPr b="0" i="0">
                <a:solidFill>
                  <a:srgbClr val="000000"/>
                </a:solidFill>
                <a:latin typeface="Roboto"/>
              </a:defRPr>
            </a:pPr>
          </a:p>
        </c:txPr>
        <c:crossAx val="1913119746"/>
      </c:catAx>
      <c:valAx>
        <c:axId val="191311974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Roboto"/>
                  </a:defRPr>
                </a:pPr>
                <a:r>
                  <a:rPr b="0" i="0">
                    <a:solidFill>
                      <a:srgbClr val="000000"/>
                    </a:solidFill>
                    <a:latin typeface="Roboto"/>
                  </a:rPr>
                  <a:t>Count</a:t>
                </a:r>
              </a:p>
            </c:rich>
          </c:tx>
          <c:overlay val="0"/>
        </c:title>
        <c:numFmt formatCode="General" sourceLinked="1"/>
        <c:majorTickMark val="none"/>
        <c:minorTickMark val="none"/>
        <c:tickLblPos val="nextTo"/>
        <c:spPr>
          <a:ln/>
        </c:spPr>
        <c:txPr>
          <a:bodyPr/>
          <a:lstStyle/>
          <a:p>
            <a:pPr lvl="0">
              <a:defRPr b="0" i="0">
                <a:solidFill>
                  <a:srgbClr val="000000"/>
                </a:solidFill>
                <a:latin typeface="Roboto"/>
              </a:defRPr>
            </a:pPr>
          </a:p>
        </c:txPr>
        <c:crossAx val="253104222"/>
      </c:valAx>
    </c:plotArea>
    <c:legend>
      <c:legendPos val="r"/>
      <c:overlay val="0"/>
      <c:txPr>
        <a:bodyPr/>
        <a:lstStyle/>
        <a:p>
          <a:pPr lvl="0">
            <a:defRPr b="0" i="0">
              <a:solidFill>
                <a:srgbClr val="000000"/>
              </a:solidFill>
              <a:latin typeface="Roboto"/>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600">
                <a:solidFill>
                  <a:srgbClr val="000000"/>
                </a:solidFill>
                <a:latin typeface="Roboto"/>
              </a:defRPr>
            </a:pPr>
            <a:r>
              <a:rPr b="1" i="0" sz="1600">
                <a:solidFill>
                  <a:srgbClr val="000000"/>
                </a:solidFill>
                <a:latin typeface="Roboto"/>
              </a:rPr>
              <a:t>Total Income for each Generator type</a:t>
            </a:r>
          </a:p>
        </c:rich>
      </c:tx>
      <c:overlay val="0"/>
    </c:title>
    <c:plotArea>
      <c:layout/>
      <c:lineChart>
        <c:ser>
          <c:idx val="0"/>
          <c:order val="0"/>
          <c:tx>
            <c:strRef>
              <c:f>'Calc for Optimal Choice'!$AL$1</c:f>
            </c:strRef>
          </c:tx>
          <c:spPr>
            <a:ln cmpd="sng">
              <a:solidFill>
                <a:srgbClr val="3366CC"/>
              </a:solidFill>
            </a:ln>
          </c:spPr>
          <c:marker>
            <c:symbol val="none"/>
          </c:marker>
          <c:cat>
            <c:strRef>
              <c:f>'Calc for Optimal Choice'!$A$2:$A$200</c:f>
            </c:strRef>
          </c:cat>
          <c:val>
            <c:numRef>
              <c:f>'Calc for Optimal Choice'!$AL$2:$AL$200</c:f>
              <c:numCache/>
            </c:numRef>
          </c:val>
          <c:smooth val="0"/>
        </c:ser>
        <c:ser>
          <c:idx val="1"/>
          <c:order val="1"/>
          <c:tx>
            <c:strRef>
              <c:f>'Calc for Optimal Choice'!$AM$1</c:f>
            </c:strRef>
          </c:tx>
          <c:spPr>
            <a:ln cmpd="sng">
              <a:solidFill>
                <a:srgbClr val="DC3912"/>
              </a:solidFill>
            </a:ln>
          </c:spPr>
          <c:marker>
            <c:symbol val="none"/>
          </c:marker>
          <c:cat>
            <c:strRef>
              <c:f>'Calc for Optimal Choice'!$A$2:$A$200</c:f>
            </c:strRef>
          </c:cat>
          <c:val>
            <c:numRef>
              <c:f>'Calc for Optimal Choice'!$AM$2:$AM$200</c:f>
              <c:numCache/>
            </c:numRef>
          </c:val>
          <c:smooth val="0"/>
        </c:ser>
        <c:ser>
          <c:idx val="2"/>
          <c:order val="2"/>
          <c:tx>
            <c:strRef>
              <c:f>'Calc for Optimal Choice'!$AN$1</c:f>
            </c:strRef>
          </c:tx>
          <c:spPr>
            <a:ln cmpd="sng">
              <a:solidFill>
                <a:srgbClr val="FF9900"/>
              </a:solidFill>
            </a:ln>
          </c:spPr>
          <c:marker>
            <c:symbol val="none"/>
          </c:marker>
          <c:cat>
            <c:strRef>
              <c:f>'Calc for Optimal Choice'!$A$2:$A$200</c:f>
            </c:strRef>
          </c:cat>
          <c:val>
            <c:numRef>
              <c:f>'Calc for Optimal Choice'!$AN$2:$AN$200</c:f>
              <c:numCache/>
            </c:numRef>
          </c:val>
          <c:smooth val="0"/>
        </c:ser>
        <c:ser>
          <c:idx val="3"/>
          <c:order val="3"/>
          <c:tx>
            <c:strRef>
              <c:f>'Calc for Optimal Choice'!$AO$1</c:f>
            </c:strRef>
          </c:tx>
          <c:spPr>
            <a:ln cmpd="sng">
              <a:solidFill>
                <a:srgbClr val="109618"/>
              </a:solidFill>
            </a:ln>
          </c:spPr>
          <c:marker>
            <c:symbol val="none"/>
          </c:marker>
          <c:cat>
            <c:strRef>
              <c:f>'Calc for Optimal Choice'!$A$2:$A$200</c:f>
            </c:strRef>
          </c:cat>
          <c:val>
            <c:numRef>
              <c:f>'Calc for Optimal Choice'!$AO$2:$AO$200</c:f>
              <c:numCache/>
            </c:numRef>
          </c:val>
          <c:smooth val="0"/>
        </c:ser>
        <c:ser>
          <c:idx val="4"/>
          <c:order val="4"/>
          <c:tx>
            <c:strRef>
              <c:f>'Calc for Optimal Choice'!$AP$1</c:f>
            </c:strRef>
          </c:tx>
          <c:spPr>
            <a:ln cmpd="sng">
              <a:solidFill>
                <a:srgbClr val="990099"/>
              </a:solidFill>
            </a:ln>
          </c:spPr>
          <c:marker>
            <c:symbol val="none"/>
          </c:marker>
          <c:cat>
            <c:strRef>
              <c:f>'Calc for Optimal Choice'!$A$2:$A$200</c:f>
            </c:strRef>
          </c:cat>
          <c:val>
            <c:numRef>
              <c:f>'Calc for Optimal Choice'!$AP$2:$AP$200</c:f>
              <c:numCache/>
            </c:numRef>
          </c:val>
          <c:smooth val="0"/>
        </c:ser>
        <c:axId val="714449033"/>
        <c:axId val="1598621936"/>
      </c:lineChart>
      <c:catAx>
        <c:axId val="714449033"/>
        <c:scaling>
          <c:orientation val="minMax"/>
        </c:scaling>
        <c:delete val="0"/>
        <c:axPos val="b"/>
        <c:title>
          <c:tx>
            <c:rich>
              <a:bodyPr/>
              <a:lstStyle/>
              <a:p>
                <a:pPr lvl="0">
                  <a:defRPr b="0" i="0">
                    <a:solidFill>
                      <a:srgbClr val="000000"/>
                    </a:solidFill>
                    <a:latin typeface="Roboto"/>
                  </a:defRPr>
                </a:pPr>
                <a:r>
                  <a:rPr b="0" i="0">
                    <a:solidFill>
                      <a:srgbClr val="000000"/>
                    </a:solidFill>
                    <a:latin typeface="Roboto"/>
                  </a:rPr>
                  <a:t>Minutes</a:t>
                </a:r>
              </a:p>
            </c:rich>
          </c:tx>
          <c:overlay val="0"/>
        </c:title>
        <c:numFmt formatCode="General" sourceLinked="1"/>
        <c:majorTickMark val="none"/>
        <c:minorTickMark val="none"/>
        <c:spPr/>
        <c:txPr>
          <a:bodyPr/>
          <a:lstStyle/>
          <a:p>
            <a:pPr lvl="0">
              <a:defRPr b="0" i="0">
                <a:solidFill>
                  <a:srgbClr val="000000"/>
                </a:solidFill>
                <a:latin typeface="Roboto"/>
              </a:defRPr>
            </a:pPr>
          </a:p>
        </c:txPr>
        <c:crossAx val="1598621936"/>
      </c:catAx>
      <c:valAx>
        <c:axId val="159862193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Roboto"/>
              </a:defRPr>
            </a:pPr>
          </a:p>
        </c:txPr>
        <c:crossAx val="714449033"/>
      </c:valAx>
    </c:plotArea>
    <c:legend>
      <c:legendPos val="r"/>
      <c:overlay val="0"/>
      <c:txPr>
        <a:bodyPr/>
        <a:lstStyle/>
        <a:p>
          <a:pPr lvl="0">
            <a:defRPr b="0" i="0">
              <a:solidFill>
                <a:srgbClr val="000000"/>
              </a:solidFill>
              <a:latin typeface="Roboto"/>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600">
                <a:solidFill>
                  <a:srgbClr val="000000"/>
                </a:solidFill>
                <a:latin typeface="Roboto"/>
              </a:defRPr>
            </a:pPr>
            <a:r>
              <a:rPr b="1" i="0" sz="1600">
                <a:solidFill>
                  <a:srgbClr val="000000"/>
                </a:solidFill>
                <a:latin typeface="Roboto"/>
              </a:rPr>
              <a:t>Total Income for Each Generator Type</a:t>
            </a:r>
          </a:p>
        </c:rich>
      </c:tx>
      <c:overlay val="0"/>
    </c:title>
    <c:plotArea>
      <c:layout/>
      <c:lineChart>
        <c:ser>
          <c:idx val="0"/>
          <c:order val="0"/>
          <c:tx>
            <c:strRef>
              <c:f>'Calc for Optimal Choice'!$AL$1</c:f>
            </c:strRef>
          </c:tx>
          <c:spPr>
            <a:ln cmpd="sng">
              <a:solidFill>
                <a:srgbClr val="3366CC"/>
              </a:solidFill>
            </a:ln>
          </c:spPr>
          <c:marker>
            <c:symbol val="none"/>
          </c:marker>
          <c:cat>
            <c:strRef>
              <c:f>'Calc for Optimal Choice'!$A$2:$A$400</c:f>
            </c:strRef>
          </c:cat>
          <c:val>
            <c:numRef>
              <c:f>'Calc for Optimal Choice'!$AL$2:$AL$400</c:f>
              <c:numCache/>
            </c:numRef>
          </c:val>
          <c:smooth val="0"/>
        </c:ser>
        <c:ser>
          <c:idx val="1"/>
          <c:order val="1"/>
          <c:tx>
            <c:strRef>
              <c:f>'Calc for Optimal Choice'!$AM$1</c:f>
            </c:strRef>
          </c:tx>
          <c:spPr>
            <a:ln cmpd="sng">
              <a:solidFill>
                <a:srgbClr val="DC3912"/>
              </a:solidFill>
            </a:ln>
          </c:spPr>
          <c:marker>
            <c:symbol val="none"/>
          </c:marker>
          <c:cat>
            <c:strRef>
              <c:f>'Calc for Optimal Choice'!$A$2:$A$400</c:f>
            </c:strRef>
          </c:cat>
          <c:val>
            <c:numRef>
              <c:f>'Calc for Optimal Choice'!$AM$2:$AM$400</c:f>
              <c:numCache/>
            </c:numRef>
          </c:val>
          <c:smooth val="0"/>
        </c:ser>
        <c:ser>
          <c:idx val="2"/>
          <c:order val="2"/>
          <c:tx>
            <c:strRef>
              <c:f>'Calc for Optimal Choice'!$AN$1</c:f>
            </c:strRef>
          </c:tx>
          <c:spPr>
            <a:ln cmpd="sng">
              <a:solidFill>
                <a:srgbClr val="FF9900"/>
              </a:solidFill>
            </a:ln>
          </c:spPr>
          <c:marker>
            <c:symbol val="none"/>
          </c:marker>
          <c:cat>
            <c:strRef>
              <c:f>'Calc for Optimal Choice'!$A$2:$A$400</c:f>
            </c:strRef>
          </c:cat>
          <c:val>
            <c:numRef>
              <c:f>'Calc for Optimal Choice'!$AN$2:$AN$400</c:f>
              <c:numCache/>
            </c:numRef>
          </c:val>
          <c:smooth val="0"/>
        </c:ser>
        <c:ser>
          <c:idx val="3"/>
          <c:order val="3"/>
          <c:tx>
            <c:strRef>
              <c:f>'Calc for Optimal Choice'!$AO$1</c:f>
            </c:strRef>
          </c:tx>
          <c:spPr>
            <a:ln cmpd="sng">
              <a:solidFill>
                <a:srgbClr val="109618"/>
              </a:solidFill>
            </a:ln>
          </c:spPr>
          <c:marker>
            <c:symbol val="none"/>
          </c:marker>
          <c:cat>
            <c:strRef>
              <c:f>'Calc for Optimal Choice'!$A$2:$A$400</c:f>
            </c:strRef>
          </c:cat>
          <c:val>
            <c:numRef>
              <c:f>'Calc for Optimal Choice'!$AO$2:$AO$400</c:f>
              <c:numCache/>
            </c:numRef>
          </c:val>
          <c:smooth val="0"/>
        </c:ser>
        <c:ser>
          <c:idx val="4"/>
          <c:order val="4"/>
          <c:tx>
            <c:strRef>
              <c:f>'Calc for Optimal Choice'!$AP$1</c:f>
            </c:strRef>
          </c:tx>
          <c:spPr>
            <a:ln cmpd="sng">
              <a:solidFill>
                <a:srgbClr val="990099"/>
              </a:solidFill>
            </a:ln>
          </c:spPr>
          <c:marker>
            <c:symbol val="none"/>
          </c:marker>
          <c:cat>
            <c:strRef>
              <c:f>'Calc for Optimal Choice'!$A$2:$A$400</c:f>
            </c:strRef>
          </c:cat>
          <c:val>
            <c:numRef>
              <c:f>'Calc for Optimal Choice'!$AP$2:$AP$400</c:f>
              <c:numCache/>
            </c:numRef>
          </c:val>
          <c:smooth val="0"/>
        </c:ser>
        <c:axId val="394945200"/>
        <c:axId val="1942820257"/>
      </c:lineChart>
      <c:catAx>
        <c:axId val="394945200"/>
        <c:scaling>
          <c:orientation val="minMax"/>
        </c:scaling>
        <c:delete val="0"/>
        <c:axPos val="b"/>
        <c:title>
          <c:tx>
            <c:rich>
              <a:bodyPr/>
              <a:lstStyle/>
              <a:p>
                <a:pPr lvl="0">
                  <a:defRPr b="0" i="0">
                    <a:solidFill>
                      <a:srgbClr val="000000"/>
                    </a:solidFill>
                    <a:latin typeface="Roboto"/>
                  </a:defRPr>
                </a:pPr>
                <a:r>
                  <a:rPr b="0" i="0">
                    <a:solidFill>
                      <a:srgbClr val="000000"/>
                    </a:solidFill>
                    <a:latin typeface="Roboto"/>
                  </a:rPr>
                  <a:t>Minutes</a:t>
                </a:r>
              </a:p>
            </c:rich>
          </c:tx>
          <c:overlay val="0"/>
        </c:title>
        <c:numFmt formatCode="General" sourceLinked="1"/>
        <c:majorTickMark val="none"/>
        <c:minorTickMark val="none"/>
        <c:spPr/>
        <c:txPr>
          <a:bodyPr/>
          <a:lstStyle/>
          <a:p>
            <a:pPr lvl="0">
              <a:defRPr b="0" i="0">
                <a:solidFill>
                  <a:srgbClr val="000000"/>
                </a:solidFill>
                <a:latin typeface="Roboto"/>
              </a:defRPr>
            </a:pPr>
          </a:p>
        </c:txPr>
        <c:crossAx val="1942820257"/>
      </c:catAx>
      <c:valAx>
        <c:axId val="194282025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tickLblPos val="nextTo"/>
        <c:spPr>
          <a:ln/>
        </c:spPr>
        <c:txPr>
          <a:bodyPr/>
          <a:lstStyle/>
          <a:p>
            <a:pPr lvl="0">
              <a:defRPr b="0" i="0">
                <a:solidFill>
                  <a:srgbClr val="000000"/>
                </a:solidFill>
                <a:latin typeface="Roboto"/>
              </a:defRPr>
            </a:pPr>
          </a:p>
        </c:txPr>
        <c:crossAx val="394945200"/>
      </c:valAx>
    </c:plotArea>
    <c:legend>
      <c:legendPos val="r"/>
      <c:overlay val="0"/>
      <c:txPr>
        <a:bodyPr/>
        <a:lstStyle/>
        <a:p>
          <a:pPr lvl="0">
            <a:defRPr b="0" i="0">
              <a:solidFill>
                <a:srgbClr val="000000"/>
              </a:solidFill>
              <a:latin typeface="Roboto"/>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600">
                <a:solidFill>
                  <a:srgbClr val="000000"/>
                </a:solidFill>
                <a:latin typeface="Roboto"/>
              </a:defRPr>
            </a:pPr>
            <a:r>
              <a:rPr b="1" i="0" sz="1600">
                <a:solidFill>
                  <a:srgbClr val="000000"/>
                </a:solidFill>
                <a:latin typeface="Roboto"/>
              </a:rPr>
              <a:t>Total Income for each Generator type</a:t>
            </a:r>
          </a:p>
        </c:rich>
      </c:tx>
      <c:overlay val="0"/>
    </c:title>
    <c:plotArea>
      <c:layout/>
      <c:lineChart>
        <c:ser>
          <c:idx val="0"/>
          <c:order val="0"/>
          <c:tx>
            <c:strRef>
              <c:f>'Calc for Optimal Choice'!$AL$1</c:f>
            </c:strRef>
          </c:tx>
          <c:spPr>
            <a:ln cmpd="sng">
              <a:solidFill>
                <a:srgbClr val="3366CC"/>
              </a:solidFill>
            </a:ln>
          </c:spPr>
          <c:marker>
            <c:symbol val="none"/>
          </c:marker>
          <c:cat>
            <c:strRef>
              <c:f>'Calc for Optimal Choice'!$A$2:$A$600</c:f>
            </c:strRef>
          </c:cat>
          <c:val>
            <c:numRef>
              <c:f>'Calc for Optimal Choice'!$AL$2:$AL$600</c:f>
              <c:numCache/>
            </c:numRef>
          </c:val>
          <c:smooth val="0"/>
        </c:ser>
        <c:ser>
          <c:idx val="1"/>
          <c:order val="1"/>
          <c:tx>
            <c:strRef>
              <c:f>'Calc for Optimal Choice'!$AM$1</c:f>
            </c:strRef>
          </c:tx>
          <c:spPr>
            <a:ln cmpd="sng">
              <a:solidFill>
                <a:srgbClr val="DC3912"/>
              </a:solidFill>
            </a:ln>
          </c:spPr>
          <c:marker>
            <c:symbol val="none"/>
          </c:marker>
          <c:cat>
            <c:strRef>
              <c:f>'Calc for Optimal Choice'!$A$2:$A$600</c:f>
            </c:strRef>
          </c:cat>
          <c:val>
            <c:numRef>
              <c:f>'Calc for Optimal Choice'!$AM$2:$AM$600</c:f>
              <c:numCache/>
            </c:numRef>
          </c:val>
          <c:smooth val="0"/>
        </c:ser>
        <c:ser>
          <c:idx val="2"/>
          <c:order val="2"/>
          <c:tx>
            <c:strRef>
              <c:f>'Calc for Optimal Choice'!$AN$1</c:f>
            </c:strRef>
          </c:tx>
          <c:spPr>
            <a:ln cmpd="sng">
              <a:solidFill>
                <a:srgbClr val="FF9900"/>
              </a:solidFill>
            </a:ln>
          </c:spPr>
          <c:marker>
            <c:symbol val="none"/>
          </c:marker>
          <c:cat>
            <c:strRef>
              <c:f>'Calc for Optimal Choice'!$A$2:$A$600</c:f>
            </c:strRef>
          </c:cat>
          <c:val>
            <c:numRef>
              <c:f>'Calc for Optimal Choice'!$AN$2:$AN$600</c:f>
              <c:numCache/>
            </c:numRef>
          </c:val>
          <c:smooth val="0"/>
        </c:ser>
        <c:ser>
          <c:idx val="3"/>
          <c:order val="3"/>
          <c:tx>
            <c:strRef>
              <c:f>'Calc for Optimal Choice'!$AO$1</c:f>
            </c:strRef>
          </c:tx>
          <c:spPr>
            <a:ln cmpd="sng">
              <a:solidFill>
                <a:srgbClr val="109618"/>
              </a:solidFill>
            </a:ln>
          </c:spPr>
          <c:marker>
            <c:symbol val="none"/>
          </c:marker>
          <c:cat>
            <c:strRef>
              <c:f>'Calc for Optimal Choice'!$A$2:$A$600</c:f>
            </c:strRef>
          </c:cat>
          <c:val>
            <c:numRef>
              <c:f>'Calc for Optimal Choice'!$AO$2:$AO$600</c:f>
              <c:numCache/>
            </c:numRef>
          </c:val>
          <c:smooth val="0"/>
        </c:ser>
        <c:ser>
          <c:idx val="4"/>
          <c:order val="4"/>
          <c:tx>
            <c:strRef>
              <c:f>'Calc for Optimal Choice'!$AP$1</c:f>
            </c:strRef>
          </c:tx>
          <c:spPr>
            <a:ln cmpd="sng">
              <a:solidFill>
                <a:srgbClr val="990099"/>
              </a:solidFill>
            </a:ln>
          </c:spPr>
          <c:marker>
            <c:symbol val="none"/>
          </c:marker>
          <c:cat>
            <c:strRef>
              <c:f>'Calc for Optimal Choice'!$A$2:$A$600</c:f>
            </c:strRef>
          </c:cat>
          <c:val>
            <c:numRef>
              <c:f>'Calc for Optimal Choice'!$AP$2:$AP$600</c:f>
              <c:numCache/>
            </c:numRef>
          </c:val>
          <c:smooth val="0"/>
        </c:ser>
        <c:axId val="254563016"/>
        <c:axId val="1035418026"/>
      </c:lineChart>
      <c:catAx>
        <c:axId val="254563016"/>
        <c:scaling>
          <c:orientation val="minMax"/>
        </c:scaling>
        <c:delete val="0"/>
        <c:axPos val="b"/>
        <c:title>
          <c:tx>
            <c:rich>
              <a:bodyPr/>
              <a:lstStyle/>
              <a:p>
                <a:pPr lvl="0">
                  <a:defRPr b="0" i="0">
                    <a:solidFill>
                      <a:srgbClr val="000000"/>
                    </a:solidFill>
                    <a:latin typeface="Roboto"/>
                  </a:defRPr>
                </a:pPr>
                <a:r>
                  <a:rPr b="0" i="0">
                    <a:solidFill>
                      <a:srgbClr val="000000"/>
                    </a:solidFill>
                    <a:latin typeface="Roboto"/>
                  </a:rPr>
                  <a:t>Minutes</a:t>
                </a:r>
              </a:p>
            </c:rich>
          </c:tx>
          <c:overlay val="0"/>
        </c:title>
        <c:numFmt formatCode="General" sourceLinked="1"/>
        <c:majorTickMark val="none"/>
        <c:minorTickMark val="none"/>
        <c:spPr/>
        <c:txPr>
          <a:bodyPr/>
          <a:lstStyle/>
          <a:p>
            <a:pPr lvl="0">
              <a:defRPr b="0" i="0">
                <a:solidFill>
                  <a:srgbClr val="000000"/>
                </a:solidFill>
                <a:latin typeface="Roboto"/>
              </a:defRPr>
            </a:pPr>
          </a:p>
        </c:txPr>
        <c:crossAx val="1035418026"/>
      </c:catAx>
      <c:valAx>
        <c:axId val="103541802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Roboto"/>
              </a:defRPr>
            </a:pPr>
          </a:p>
        </c:txPr>
        <c:crossAx val="254563016"/>
      </c:valAx>
    </c:plotArea>
    <c:legend>
      <c:legendPos val="r"/>
      <c:overlay val="0"/>
      <c:txPr>
        <a:bodyPr/>
        <a:lstStyle/>
        <a:p>
          <a:pPr lvl="0">
            <a:defRPr b="0" i="0">
              <a:solidFill>
                <a:srgbClr val="000000"/>
              </a:solidFill>
              <a:latin typeface="Roboto"/>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600">
                <a:solidFill>
                  <a:srgbClr val="000000"/>
                </a:solidFill>
                <a:latin typeface="Roboto"/>
              </a:defRPr>
            </a:pPr>
            <a:r>
              <a:rPr b="1" i="0" sz="1600">
                <a:solidFill>
                  <a:srgbClr val="000000"/>
                </a:solidFill>
                <a:latin typeface="Roboto"/>
              </a:rPr>
              <a:t>Time Between Purchases vs. Time Since Start</a:t>
            </a:r>
          </a:p>
        </c:rich>
      </c:tx>
      <c:overlay val="0"/>
    </c:title>
    <c:plotArea>
      <c:layout/>
      <c:scatterChart>
        <c:scatterStyle val="lineMarker"/>
        <c:varyColors val="0"/>
        <c:ser>
          <c:idx val="0"/>
          <c:order val="0"/>
          <c:tx>
            <c:strRef>
              <c:f>'Calc for Optimal Choice'!$AY$1</c:f>
            </c:strRef>
          </c:tx>
          <c:spPr>
            <a:ln>
              <a:noFill/>
            </a:ln>
          </c:spPr>
          <c:marker>
            <c:symbol val="circle"/>
            <c:size val="7"/>
            <c:spPr>
              <a:solidFill>
                <a:srgbClr val="3366CC"/>
              </a:solidFill>
              <a:ln cmpd="sng">
                <a:solidFill>
                  <a:srgbClr val="3366CC"/>
                </a:solidFill>
              </a:ln>
            </c:spPr>
          </c:marker>
          <c:xVal>
            <c:numRef>
              <c:f>'Calc for Optimal Choice'!$A$2:$A$600</c:f>
            </c:numRef>
          </c:xVal>
          <c:yVal>
            <c:numRef>
              <c:f>'Calc for Optimal Choice'!$AY$2:$AY$600</c:f>
              <c:numCache/>
            </c:numRef>
          </c:yVal>
        </c:ser>
        <c:dLbls>
          <c:showLegendKey val="0"/>
          <c:showVal val="0"/>
          <c:showCatName val="0"/>
          <c:showSerName val="0"/>
          <c:showPercent val="0"/>
          <c:showBubbleSize val="0"/>
        </c:dLbls>
        <c:axId val="1176606676"/>
        <c:axId val="1867191994"/>
      </c:scatterChart>
      <c:valAx>
        <c:axId val="117660667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Roboto"/>
                  </a:defRPr>
                </a:pPr>
                <a:r>
                  <a:rPr b="0" i="0">
                    <a:solidFill>
                      <a:srgbClr val="000000"/>
                    </a:solidFill>
                    <a:latin typeface="Roboto"/>
                  </a:rPr>
                  <a:t>Time Since Start (minutes)</a:t>
                </a:r>
              </a:p>
            </c:rich>
          </c:tx>
          <c:overlay val="0"/>
        </c:title>
        <c:numFmt formatCode="General" sourceLinked="1"/>
        <c:majorTickMark val="none"/>
        <c:minorTickMark val="none"/>
        <c:tickLblPos val="nextTo"/>
        <c:spPr>
          <a:ln/>
        </c:spPr>
        <c:txPr>
          <a:bodyPr/>
          <a:lstStyle/>
          <a:p>
            <a:pPr lvl="0">
              <a:defRPr b="0" i="0">
                <a:solidFill>
                  <a:srgbClr val="000000"/>
                </a:solidFill>
                <a:latin typeface="Roboto"/>
              </a:defRPr>
            </a:pPr>
          </a:p>
        </c:txPr>
        <c:crossAx val="1867191994"/>
      </c:valAx>
      <c:valAx>
        <c:axId val="186719199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Roboto"/>
                  </a:defRPr>
                </a:pPr>
                <a:r>
                  <a:rPr b="0" i="0">
                    <a:solidFill>
                      <a:srgbClr val="000000"/>
                    </a:solidFill>
                    <a:latin typeface="Roboto"/>
                  </a:rPr>
                  <a:t>Time Until Next Purchase (min)</a:t>
                </a:r>
              </a:p>
            </c:rich>
          </c:tx>
          <c:overlay val="0"/>
        </c:title>
        <c:numFmt formatCode="General" sourceLinked="1"/>
        <c:majorTickMark val="none"/>
        <c:minorTickMark val="none"/>
        <c:tickLblPos val="nextTo"/>
        <c:spPr>
          <a:ln/>
        </c:spPr>
        <c:txPr>
          <a:bodyPr/>
          <a:lstStyle/>
          <a:p>
            <a:pPr lvl="0">
              <a:defRPr b="0" i="0">
                <a:solidFill>
                  <a:srgbClr val="000000"/>
                </a:solidFill>
                <a:latin typeface="Roboto"/>
              </a:defRPr>
            </a:pPr>
          </a:p>
        </c:txPr>
        <c:crossAx val="1176606676"/>
      </c:valAx>
    </c:plotArea>
    <c:legend>
      <c:legendPos val="r"/>
      <c:overlay val="0"/>
      <c:txPr>
        <a:bodyPr/>
        <a:lstStyle/>
        <a:p>
          <a:pPr lvl="0">
            <a:defRPr b="0" i="0">
              <a:solidFill>
                <a:srgbClr val="000000"/>
              </a:solidFill>
              <a:latin typeface="Roboto"/>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10" Type="http://schemas.openxmlformats.org/officeDocument/2006/relationships/chart" Target="../charts/chart10.xml"/><Relationship Id="rId9" Type="http://schemas.openxmlformats.org/officeDocument/2006/relationships/chart" Target="../charts/chart9.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85725</xdr:colOff>
      <xdr:row>2</xdr:row>
      <xdr:rowOff>9525</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13</xdr:col>
      <xdr:colOff>171450</xdr:colOff>
      <xdr:row>2</xdr:row>
      <xdr:rowOff>0</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19</xdr:col>
      <xdr:colOff>419100</xdr:colOff>
      <xdr:row>2</xdr:row>
      <xdr:rowOff>0</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13</xdr:col>
      <xdr:colOff>200025</xdr:colOff>
      <xdr:row>20</xdr:row>
      <xdr:rowOff>171450</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19</xdr:col>
      <xdr:colOff>428625</xdr:colOff>
      <xdr:row>20</xdr:row>
      <xdr:rowOff>180975</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7</xdr:col>
      <xdr:colOff>85725</xdr:colOff>
      <xdr:row>20</xdr:row>
      <xdr:rowOff>190500</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7</xdr:col>
      <xdr:colOff>85725</xdr:colOff>
      <xdr:row>39</xdr:row>
      <xdr:rowOff>152400</xdr:rowOff>
    </xdr:from>
    <xdr:ext cx="5743575" cy="3533775"/>
    <xdr:graphicFrame>
      <xdr:nvGraphicFramePr>
        <xdr:cNvPr id="7" name="Chart 7"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13</xdr:col>
      <xdr:colOff>219075</xdr:colOff>
      <xdr:row>39</xdr:row>
      <xdr:rowOff>180975</xdr:rowOff>
    </xdr:from>
    <xdr:ext cx="5743575" cy="3533775"/>
    <xdr:graphicFrame>
      <xdr:nvGraphicFramePr>
        <xdr:cNvPr id="8" name="Chart 8"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19</xdr:col>
      <xdr:colOff>428625</xdr:colOff>
      <xdr:row>39</xdr:row>
      <xdr:rowOff>190500</xdr:rowOff>
    </xdr:from>
    <xdr:ext cx="5743575" cy="3533775"/>
    <xdr:graphicFrame>
      <xdr:nvGraphicFramePr>
        <xdr:cNvPr id="9" name="Chart 9"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7</xdr:col>
      <xdr:colOff>85725</xdr:colOff>
      <xdr:row>58</xdr:row>
      <xdr:rowOff>85725</xdr:rowOff>
    </xdr:from>
    <xdr:ext cx="11696700" cy="6143625"/>
    <xdr:graphicFrame>
      <xdr:nvGraphicFramePr>
        <xdr:cNvPr id="10" name="Chart 10" title="Chart"/>
        <xdr:cNvGraphicFramePr/>
      </xdr:nvGraphicFramePr>
      <xdr:xfrm>
        <a:off x="0" y="0"/>
        <a:ext cx="0" cy="0"/>
      </xdr:xfrm>
      <a:graphic>
        <a:graphicData uri="http://schemas.openxmlformats.org/drawingml/2006/chart">
          <c:chart r:id="rId10"/>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5"/>
    <col customWidth="1" min="2" max="6" width="5.13"/>
  </cols>
  <sheetData>
    <row r="1" ht="15.75" customHeight="1">
      <c r="A1" s="1" t="s">
        <v>0</v>
      </c>
    </row>
    <row r="2" ht="15.75" customHeight="1"/>
    <row r="3" ht="15.75" customHeight="1">
      <c r="A3" s="2" t="s">
        <v>1</v>
      </c>
    </row>
    <row r="4" ht="15.75" customHeight="1">
      <c r="A4" s="3" t="s">
        <v>2</v>
      </c>
      <c r="B4" s="4">
        <v>1.67</v>
      </c>
    </row>
    <row r="5" ht="15.75" customHeight="1">
      <c r="A5" s="3" t="s">
        <v>3</v>
      </c>
      <c r="B5" s="4">
        <v>4.0</v>
      </c>
    </row>
    <row r="6" ht="15.75" customHeight="1">
      <c r="A6" s="3" t="s">
        <v>4</v>
      </c>
      <c r="B6" s="4">
        <v>1.07</v>
      </c>
    </row>
    <row r="7" ht="15.75" customHeight="1">
      <c r="B7" s="5"/>
    </row>
    <row r="8" ht="15.75" customHeight="1">
      <c r="A8" s="2" t="s">
        <v>5</v>
      </c>
      <c r="B8" s="5"/>
    </row>
    <row r="9" ht="15.75" customHeight="1">
      <c r="A9" s="6" t="s">
        <v>2</v>
      </c>
      <c r="B9" s="4">
        <v>20.0</v>
      </c>
    </row>
    <row r="10" ht="15.75" customHeight="1">
      <c r="A10" s="6" t="s">
        <v>3</v>
      </c>
      <c r="B10" s="4">
        <v>60.0</v>
      </c>
    </row>
    <row r="11" ht="15.75" customHeight="1">
      <c r="A11" s="6" t="s">
        <v>4</v>
      </c>
      <c r="B11" s="4">
        <v>1.15</v>
      </c>
    </row>
    <row r="12" ht="15.75" customHeight="1">
      <c r="B12" s="5"/>
      <c r="D12" s="7"/>
      <c r="E12" s="7"/>
      <c r="F12" s="7"/>
    </row>
    <row r="13" ht="15.75" customHeight="1">
      <c r="A13" s="2" t="s">
        <v>6</v>
      </c>
      <c r="B13" s="5"/>
    </row>
    <row r="14" ht="15.75" customHeight="1">
      <c r="A14" s="6" t="s">
        <v>2</v>
      </c>
      <c r="B14" s="4">
        <v>90.0</v>
      </c>
    </row>
    <row r="15" ht="15.75" customHeight="1">
      <c r="A15" s="6" t="s">
        <v>3</v>
      </c>
      <c r="B15" s="4">
        <v>720.0</v>
      </c>
    </row>
    <row r="16" ht="15.75" customHeight="1">
      <c r="A16" s="6" t="s">
        <v>4</v>
      </c>
      <c r="B16" s="4">
        <v>1.14</v>
      </c>
    </row>
    <row r="17" ht="15.75" customHeight="1">
      <c r="B17" s="5"/>
    </row>
    <row r="18" ht="15.75" customHeight="1">
      <c r="A18" s="2" t="s">
        <v>7</v>
      </c>
      <c r="B18" s="5"/>
    </row>
    <row r="19" ht="15.75" customHeight="1">
      <c r="A19" s="6" t="s">
        <v>2</v>
      </c>
      <c r="B19" s="4">
        <v>360.0</v>
      </c>
    </row>
    <row r="20" ht="15.75" customHeight="1">
      <c r="A20" s="6" t="s">
        <v>3</v>
      </c>
      <c r="B20" s="4">
        <v>8640.0</v>
      </c>
    </row>
    <row r="21" ht="15.75" customHeight="1">
      <c r="A21" s="6" t="s">
        <v>4</v>
      </c>
      <c r="B21" s="4">
        <v>1.13</v>
      </c>
    </row>
    <row r="22" ht="15.75" customHeight="1">
      <c r="B22" s="5"/>
    </row>
    <row r="23" ht="15.75" customHeight="1">
      <c r="A23" s="2" t="s">
        <v>8</v>
      </c>
      <c r="B23" s="5"/>
    </row>
    <row r="24" ht="15.75" customHeight="1">
      <c r="A24" s="6" t="s">
        <v>2</v>
      </c>
      <c r="B24" s="4">
        <v>2160.0</v>
      </c>
    </row>
    <row r="25" ht="15.75" customHeight="1">
      <c r="A25" s="6" t="s">
        <v>3</v>
      </c>
      <c r="B25" s="4">
        <v>103680.0</v>
      </c>
    </row>
    <row r="26" ht="15.75" customHeight="1">
      <c r="A26" s="6" t="s">
        <v>4</v>
      </c>
      <c r="B26" s="4">
        <v>1.12</v>
      </c>
    </row>
    <row r="27" ht="15.75" customHeight="1"/>
    <row r="28" ht="15.75" customHeight="1">
      <c r="A28" s="3" t="s">
        <v>9</v>
      </c>
      <c r="B28" s="8">
        <v>1.0</v>
      </c>
      <c r="C28" s="7"/>
    </row>
    <row r="29" ht="15.75" customHeight="1"/>
    <row r="30" ht="15.75" customHeight="1">
      <c r="A30" s="9" t="s">
        <v>10</v>
      </c>
      <c r="B30" s="5"/>
    </row>
    <row r="31" ht="15.75" customHeight="1">
      <c r="A31" s="10" t="s">
        <v>11</v>
      </c>
      <c r="B31" s="10" t="s">
        <v>12</v>
      </c>
      <c r="C31" s="6" t="s">
        <v>13</v>
      </c>
      <c r="D31" s="6" t="s">
        <v>14</v>
      </c>
      <c r="E31" s="6" t="s">
        <v>15</v>
      </c>
      <c r="F31" s="6" t="s">
        <v>16</v>
      </c>
    </row>
    <row r="32" ht="15.75" customHeight="1">
      <c r="A32" s="4">
        <v>25.0</v>
      </c>
      <c r="B32" s="4">
        <v>3.0</v>
      </c>
      <c r="C32" s="4">
        <v>5.0</v>
      </c>
      <c r="D32" s="4">
        <v>4.0</v>
      </c>
      <c r="E32" s="4">
        <v>2.0</v>
      </c>
      <c r="F32" s="4">
        <v>1.5</v>
      </c>
    </row>
    <row r="33" ht="15.75" customHeight="1">
      <c r="A33" s="4">
        <v>50.0</v>
      </c>
      <c r="B33" s="4">
        <v>2.0</v>
      </c>
      <c r="C33" s="4">
        <v>10.0</v>
      </c>
      <c r="D33" s="4">
        <v>8.0</v>
      </c>
      <c r="E33" s="4">
        <v>2.0</v>
      </c>
      <c r="F33" s="4">
        <v>2.0</v>
      </c>
    </row>
    <row r="34" ht="15.75" customHeight="1">
      <c r="A34" s="4">
        <v>100.0</v>
      </c>
      <c r="B34" s="4">
        <v>10.0</v>
      </c>
      <c r="C34" s="4">
        <v>3.0</v>
      </c>
      <c r="D34" s="4">
        <v>4.0</v>
      </c>
      <c r="E34" s="4">
        <v>3.0</v>
      </c>
      <c r="F34" s="4">
        <v>2.0</v>
      </c>
    </row>
    <row r="35" ht="15.75" customHeight="1">
      <c r="A35" s="4">
        <v>200.0</v>
      </c>
      <c r="B35" s="4">
        <v>3.0</v>
      </c>
      <c r="C35" s="4">
        <v>2.0</v>
      </c>
      <c r="D35" s="4">
        <v>2.0</v>
      </c>
      <c r="E35" s="4">
        <v>2.0</v>
      </c>
      <c r="F35" s="4">
        <v>2.0</v>
      </c>
    </row>
    <row r="36" ht="15.75" customHeight="1">
      <c r="A36" s="4">
        <v>300.0</v>
      </c>
      <c r="B36" s="4">
        <v>2.0</v>
      </c>
      <c r="C36" s="4">
        <v>2.0</v>
      </c>
      <c r="D36" s="4">
        <v>2.0</v>
      </c>
      <c r="E36" s="4">
        <v>2.0</v>
      </c>
      <c r="F36" s="4">
        <v>2.0</v>
      </c>
    </row>
    <row r="37" ht="15.75" customHeight="1">
      <c r="A37" s="4">
        <v>400.0</v>
      </c>
      <c r="B37" s="4">
        <v>2.0</v>
      </c>
      <c r="C37" s="4">
        <v>2.0</v>
      </c>
      <c r="D37" s="4">
        <v>2.0</v>
      </c>
      <c r="E37" s="4">
        <v>2.0</v>
      </c>
      <c r="F37" s="4">
        <v>2.0</v>
      </c>
    </row>
    <row r="38" ht="15.75" customHeight="1">
      <c r="A38" s="4">
        <v>500.0</v>
      </c>
      <c r="B38" s="4">
        <v>2.0</v>
      </c>
      <c r="C38" s="4">
        <v>2.0</v>
      </c>
      <c r="D38" s="4">
        <v>2.0</v>
      </c>
      <c r="E38" s="4">
        <v>2.0</v>
      </c>
      <c r="F38" s="4">
        <v>2.0</v>
      </c>
    </row>
    <row r="39" ht="15.75" customHeight="1">
      <c r="A39" s="4">
        <v>600.0</v>
      </c>
      <c r="B39" s="4">
        <v>2.0</v>
      </c>
      <c r="C39" s="4">
        <v>2.0</v>
      </c>
      <c r="D39" s="4">
        <v>2.0</v>
      </c>
      <c r="E39" s="4">
        <v>2.0</v>
      </c>
      <c r="F39" s="4">
        <v>2.0</v>
      </c>
    </row>
    <row r="40" ht="15.75" customHeight="1">
      <c r="A40" s="4">
        <v>1000.0</v>
      </c>
      <c r="B40" s="4">
        <v>2.0</v>
      </c>
      <c r="C40" s="4">
        <v>2.0</v>
      </c>
      <c r="D40" s="4">
        <v>2.0</v>
      </c>
      <c r="E40" s="4">
        <v>2.0</v>
      </c>
      <c r="F40" s="4">
        <v>2.0</v>
      </c>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4" width="12.63"/>
    <col customWidth="1" min="5" max="9" width="5.25"/>
  </cols>
  <sheetData>
    <row r="1" ht="15.75" customHeight="1">
      <c r="A1" s="11" t="s">
        <v>17</v>
      </c>
      <c r="B1" s="7" t="s">
        <v>18</v>
      </c>
      <c r="C1" s="11"/>
      <c r="D1" s="12" t="s">
        <v>19</v>
      </c>
      <c r="E1" s="12" t="s">
        <v>20</v>
      </c>
      <c r="F1" s="11" t="s">
        <v>21</v>
      </c>
      <c r="G1" s="12" t="s">
        <v>22</v>
      </c>
      <c r="H1" s="11" t="s">
        <v>23</v>
      </c>
      <c r="I1" s="12" t="s">
        <v>24</v>
      </c>
      <c r="J1" s="11"/>
      <c r="K1" s="11" t="s">
        <v>25</v>
      </c>
      <c r="L1" s="11" t="s">
        <v>26</v>
      </c>
      <c r="M1" s="11" t="s">
        <v>27</v>
      </c>
      <c r="N1" s="11" t="s">
        <v>28</v>
      </c>
      <c r="O1" s="11" t="s">
        <v>29</v>
      </c>
      <c r="Q1" s="7" t="s">
        <v>30</v>
      </c>
      <c r="R1" s="7" t="s">
        <v>20</v>
      </c>
      <c r="S1" s="7" t="s">
        <v>21</v>
      </c>
      <c r="T1" s="7" t="s">
        <v>22</v>
      </c>
      <c r="U1" s="7" t="s">
        <v>23</v>
      </c>
      <c r="V1" s="7" t="s">
        <v>24</v>
      </c>
      <c r="X1" s="13" t="s">
        <v>31</v>
      </c>
      <c r="Y1" s="13" t="s">
        <v>32</v>
      </c>
      <c r="Z1" s="13" t="s">
        <v>33</v>
      </c>
      <c r="AA1" s="13" t="s">
        <v>34</v>
      </c>
      <c r="AB1" s="13" t="s">
        <v>35</v>
      </c>
      <c r="AD1" s="7" t="s">
        <v>36</v>
      </c>
      <c r="AE1" s="7" t="s">
        <v>20</v>
      </c>
      <c r="AF1" s="7" t="s">
        <v>21</v>
      </c>
      <c r="AG1" s="7" t="s">
        <v>22</v>
      </c>
      <c r="AH1" s="7" t="s">
        <v>23</v>
      </c>
      <c r="AI1" s="7" t="s">
        <v>24</v>
      </c>
      <c r="AK1" s="7" t="s">
        <v>37</v>
      </c>
      <c r="AL1" s="7" t="s">
        <v>20</v>
      </c>
      <c r="AM1" s="7" t="s">
        <v>21</v>
      </c>
      <c r="AN1" s="7" t="s">
        <v>22</v>
      </c>
      <c r="AO1" s="7" t="s">
        <v>23</v>
      </c>
      <c r="AP1" s="7" t="s">
        <v>24</v>
      </c>
      <c r="AQ1" s="7"/>
      <c r="AR1" s="7" t="s">
        <v>38</v>
      </c>
      <c r="AS1" s="7" t="s">
        <v>20</v>
      </c>
      <c r="AT1" s="7" t="s">
        <v>21</v>
      </c>
      <c r="AU1" s="7" t="s">
        <v>22</v>
      </c>
      <c r="AV1" s="7" t="s">
        <v>23</v>
      </c>
      <c r="AW1" s="7" t="s">
        <v>24</v>
      </c>
      <c r="AY1" s="7" t="s">
        <v>39</v>
      </c>
    </row>
    <row r="2" ht="15.75" customHeight="1">
      <c r="A2" s="11">
        <v>0.0</v>
      </c>
      <c r="B2" s="7">
        <f>(sum(AL2:AP2))*'Optimal Choice'!$B$28</f>
        <v>1.67</v>
      </c>
      <c r="C2" s="11"/>
      <c r="D2" s="12">
        <f>'Optimal Choice'!A32</f>
        <v>25</v>
      </c>
      <c r="E2" s="12">
        <f>'Optimal Choice'!B32</f>
        <v>3</v>
      </c>
      <c r="F2" s="12">
        <f>'Optimal Choice'!C32</f>
        <v>5</v>
      </c>
      <c r="G2" s="12">
        <f>'Optimal Choice'!D32</f>
        <v>4</v>
      </c>
      <c r="H2" s="12">
        <f>'Optimal Choice'!E32</f>
        <v>2</v>
      </c>
      <c r="I2" s="12">
        <f>'Optimal Choice'!F32</f>
        <v>1.5</v>
      </c>
      <c r="J2" s="11"/>
      <c r="K2" s="11">
        <f>(X2/$B2)+(X2/('Optimal Choice'!$B$4*AS2))</f>
        <v>5.484550898</v>
      </c>
      <c r="L2" s="11">
        <f>(Y2/$B2)+(Y2/('Optimal Choice'!$B$9*AT2))</f>
        <v>44.76736527</v>
      </c>
      <c r="M2" s="11">
        <f>(Z2/$B2)+(Z2/('Optimal Choice'!$B$14*AU2))</f>
        <v>500.617006</v>
      </c>
      <c r="N2" s="11">
        <f>(AA2/$B2)+(AA2/('Optimal Choice'!$B$19*AV2))</f>
        <v>5873.347545</v>
      </c>
      <c r="O2" s="11">
        <f>(AB2/$B2)+(AB2/('Optimal Choice'!$B$24*AW2))</f>
        <v>69587.65222</v>
      </c>
      <c r="R2" s="12">
        <v>1.0</v>
      </c>
      <c r="S2" s="12">
        <v>0.0</v>
      </c>
      <c r="T2" s="12">
        <v>0.0</v>
      </c>
      <c r="U2" s="12">
        <v>0.0</v>
      </c>
      <c r="V2" s="12">
        <v>0.0</v>
      </c>
      <c r="X2" s="13">
        <f> 'Optimal Choice'!$B$5*'Optimal Choice'!$B$6^(R2+1)</f>
        <v>4.5796</v>
      </c>
      <c r="Y2" s="13">
        <f> 'Optimal Choice'!$B$10*'Optimal Choice'!$B$11^(S2+1)</f>
        <v>69</v>
      </c>
      <c r="Z2" s="13">
        <f> 'Optimal Choice'!$B$15*'Optimal Choice'!$B$16^(T2+1)</f>
        <v>820.8</v>
      </c>
      <c r="AA2" s="13">
        <f> 'Optimal Choice'!$B$20*'Optimal Choice'!$B$21^(U2+1)</f>
        <v>9763.2</v>
      </c>
      <c r="AB2" s="13">
        <f> 'Optimal Choice'!$B$25*'Optimal Choice'!$B$26^(V2+1)</f>
        <v>116121.6</v>
      </c>
      <c r="AE2" s="7">
        <v>1.0</v>
      </c>
      <c r="AF2" s="7">
        <v>1.0</v>
      </c>
      <c r="AG2" s="7">
        <v>1.0</v>
      </c>
      <c r="AH2" s="7">
        <v>1.0</v>
      </c>
      <c r="AI2" s="7">
        <v>1.0</v>
      </c>
      <c r="AL2" s="14">
        <f>R2*'Optimal Choice'!$B$4*AE2</f>
        <v>1.67</v>
      </c>
      <c r="AM2" s="14">
        <f>S2*'Optimal Choice'!$B$9*AF2</f>
        <v>0</v>
      </c>
      <c r="AN2" s="14">
        <f>T2*'Optimal Choice'!$B$14*AG2</f>
        <v>0</v>
      </c>
      <c r="AO2" s="14">
        <f>U2*'Optimal Choice'!$B$19*AH2</f>
        <v>0</v>
      </c>
      <c r="AP2" s="14">
        <f>V2*'Optimal Choice'!$B$24*AI2</f>
        <v>0</v>
      </c>
      <c r="AS2" s="7">
        <v>1.0</v>
      </c>
      <c r="AT2" s="7">
        <v>1.0</v>
      </c>
      <c r="AU2" s="7">
        <v>1.0</v>
      </c>
      <c r="AV2" s="7">
        <v>1.0</v>
      </c>
      <c r="AW2" s="7">
        <v>1.0</v>
      </c>
      <c r="AY2" s="7">
        <v>0.0</v>
      </c>
    </row>
    <row r="3" ht="15.75" customHeight="1">
      <c r="A3" s="15">
        <f t="shared" ref="A3:A600" si="2">A2+(index(X2:AB2,1,match(min(K2:O2),K2:O2,0))/B2)/60</f>
        <v>0.04570459082</v>
      </c>
      <c r="B3" s="7">
        <f>(sum(AL3:AP3))*'Optimal Choice'!$B$28</f>
        <v>3.34</v>
      </c>
      <c r="C3" s="11"/>
      <c r="D3" s="12">
        <f>'Optimal Choice'!A33</f>
        <v>50</v>
      </c>
      <c r="E3" s="12">
        <f>E2*'Optimal Choice'!B33</f>
        <v>6</v>
      </c>
      <c r="F3" s="12">
        <f>F2*'Optimal Choice'!C33</f>
        <v>50</v>
      </c>
      <c r="G3" s="12">
        <f>G2*'Optimal Choice'!D33</f>
        <v>32</v>
      </c>
      <c r="H3" s="12">
        <f>H2*'Optimal Choice'!E33</f>
        <v>4</v>
      </c>
      <c r="I3" s="12">
        <f>I2*'Optimal Choice'!F33</f>
        <v>3</v>
      </c>
      <c r="J3" s="11"/>
      <c r="K3" s="11">
        <f>(X3/$B3)+(X3/('Optimal Choice'!$B$4*AS3))</f>
        <v>4.401352096</v>
      </c>
      <c r="L3" s="11">
        <f>(Y3/$B3)+(Y3/('Optimal Choice'!$B$9*AT3))</f>
        <v>24.10868263</v>
      </c>
      <c r="M3" s="11">
        <f>(Z3/$B3)+(Z3/('Optimal Choice'!$B$14*AU3))</f>
        <v>254.868503</v>
      </c>
      <c r="N3" s="11">
        <f>(AA3/$B3)+(AA3/('Optimal Choice'!$B$19*AV3))</f>
        <v>2950.233772</v>
      </c>
      <c r="O3" s="11">
        <f>(AB3/$B3)+(AB3/('Optimal Choice'!$B$24*AW3))</f>
        <v>34820.70611</v>
      </c>
      <c r="R3" s="12">
        <f t="shared" ref="R3:V3" si="1">if(min($K2:$O2)=K2,R2+1,R2)</f>
        <v>2</v>
      </c>
      <c r="S3" s="12">
        <f t="shared" si="1"/>
        <v>0</v>
      </c>
      <c r="T3" s="12">
        <f t="shared" si="1"/>
        <v>0</v>
      </c>
      <c r="U3" s="12">
        <f t="shared" si="1"/>
        <v>0</v>
      </c>
      <c r="V3" s="12">
        <f t="shared" si="1"/>
        <v>0</v>
      </c>
      <c r="X3" s="13">
        <f> 'Optimal Choice'!$B$5*'Optimal Choice'!$B$6^(R3+1)</f>
        <v>4.900172</v>
      </c>
      <c r="Y3" s="13">
        <f> 'Optimal Choice'!$B$10*'Optimal Choice'!$B$11^(S3+1)</f>
        <v>69</v>
      </c>
      <c r="Z3" s="13">
        <f> 'Optimal Choice'!$B$15*'Optimal Choice'!$B$16^(T3+1)</f>
        <v>820.8</v>
      </c>
      <c r="AA3" s="13">
        <f> 'Optimal Choice'!$B$20*'Optimal Choice'!$B$21^(U3+1)</f>
        <v>9763.2</v>
      </c>
      <c r="AB3" s="13">
        <f> 'Optimal Choice'!$B$25*'Optimal Choice'!$B$26^(V3+1)</f>
        <v>116121.6</v>
      </c>
      <c r="AE3" s="14">
        <f t="shared" ref="AE3:AE600" si="4">if(isna(VLOOKUP(R3,$D$2:$I$10,2,false)),AE2, VLOOKUP(R3,$D$2:$I$10,2,false))</f>
        <v>1</v>
      </c>
      <c r="AF3" s="14">
        <f t="shared" ref="AF3:AF600" si="5">if(isna(VLOOKUP(S3,$D$2:$I$10,3,false)),AF2, VLOOKUP(S3,$D$2:$I$10,3,false))</f>
        <v>1</v>
      </c>
      <c r="AG3" s="14">
        <f t="shared" ref="AG3:AG600" si="6">if(isna(VLOOKUP(T3,$D$2:$I$10,4,false)),AG2, VLOOKUP(T3,$D$2:$I$10,4,false))</f>
        <v>1</v>
      </c>
      <c r="AH3" s="14">
        <f t="shared" ref="AH3:AH600" si="7">if(isna(VLOOKUP(U3,$D$2:$I$10,5,false)),AH2, VLOOKUP(U3,$D$2:$I$10,5,false))</f>
        <v>1</v>
      </c>
      <c r="AI3" s="14">
        <f t="shared" ref="AI3:AI600" si="8">if(isna(VLOOKUP(V3,$D$2:$I$10,6,false)),AI2, VLOOKUP(V3,$D$2:$I$10,6,false))</f>
        <v>1</v>
      </c>
      <c r="AL3" s="14">
        <f>R3*'Optimal Choice'!$B$4*AE3</f>
        <v>3.34</v>
      </c>
      <c r="AM3" s="14">
        <f>S3*'Optimal Choice'!$B$9*AF3</f>
        <v>0</v>
      </c>
      <c r="AN3" s="14">
        <f>T3*'Optimal Choice'!$B$14*AG3</f>
        <v>0</v>
      </c>
      <c r="AO3" s="14">
        <f>U3*'Optimal Choice'!$B$19*AH3</f>
        <v>0</v>
      </c>
      <c r="AP3" s="14">
        <f>V3*'Optimal Choice'!$B$24*AI3</f>
        <v>0</v>
      </c>
      <c r="AS3" s="14">
        <f t="shared" ref="AS3:AS600" si="9">if(isna(VLOOKUP(R3+1,$D$2:$I$10,2,false)),AS2, VLOOKUP(R3+1,$D$2:$I$10,2,false))</f>
        <v>1</v>
      </c>
      <c r="AT3" s="14">
        <f t="shared" ref="AT3:AT600" si="10">if(isna(VLOOKUP(S3+1,$D$2:$I$10,3,false)),AT2, VLOOKUP(S3+1,$D$2:$I$10,3,false))</f>
        <v>1</v>
      </c>
      <c r="AU3" s="14">
        <f t="shared" ref="AU3:AU600" si="11">if(isna(VLOOKUP(T3+1,$D$2:$I$10,4,false)),AU2, VLOOKUP(T3+1,$D$2:$I$10,4,false))</f>
        <v>1</v>
      </c>
      <c r="AV3" s="14">
        <f t="shared" ref="AV3:AV600" si="12">if(isna(VLOOKUP(U3+1,$D$2:$I$10,5,false)),AV2, VLOOKUP(U3+1,$D$2:$I$10,5,false))</f>
        <v>1</v>
      </c>
      <c r="AW3" s="14">
        <f t="shared" ref="AW3:AW600" si="13">if(isna(VLOOKUP(V3+1,$D$2:$I$10,6,false)),AW2, VLOOKUP(V3+1,$D$2:$I$10,6,false))</f>
        <v>1</v>
      </c>
      <c r="AY3" s="11">
        <f t="shared" ref="AY3:AY600" si="14">A3-A2</f>
        <v>0.04570459082</v>
      </c>
    </row>
    <row r="4" ht="15.75" customHeight="1">
      <c r="A4" s="15">
        <f t="shared" si="2"/>
        <v>0.07015654691</v>
      </c>
      <c r="B4" s="7">
        <f>(sum(AL4:AP4))*'Optimal Choice'!$B$28</f>
        <v>5.01</v>
      </c>
      <c r="C4" s="11"/>
      <c r="D4" s="12">
        <f>'Optimal Choice'!A34</f>
        <v>100</v>
      </c>
      <c r="E4" s="12">
        <f>E3*'Optimal Choice'!B34</f>
        <v>60</v>
      </c>
      <c r="F4" s="12">
        <f>F3*'Optimal Choice'!C34</f>
        <v>150</v>
      </c>
      <c r="G4" s="12">
        <f>G3*'Optimal Choice'!D34</f>
        <v>128</v>
      </c>
      <c r="H4" s="12">
        <f>H3*'Optimal Choice'!E34</f>
        <v>12</v>
      </c>
      <c r="I4" s="12">
        <f>I3*'Optimal Choice'!F34</f>
        <v>6</v>
      </c>
      <c r="J4" s="11"/>
      <c r="K4" s="11">
        <f>(X4/$B4)+(X4/('Optimal Choice'!$B$4*AS4))</f>
        <v>4.186174882</v>
      </c>
      <c r="L4" s="11">
        <f>(Y4/$B4)+(Y4/('Optimal Choice'!$B$9*AT4))</f>
        <v>17.22245509</v>
      </c>
      <c r="M4" s="11">
        <f>(Z4/$B4)+(Z4/('Optimal Choice'!$B$14*AU4))</f>
        <v>172.9523353</v>
      </c>
      <c r="N4" s="11">
        <f>(AA4/$B4)+(AA4/('Optimal Choice'!$B$19*AV4))</f>
        <v>1975.862515</v>
      </c>
      <c r="O4" s="11">
        <f>(AB4/$B4)+(AB4/('Optimal Choice'!$B$24*AW4))</f>
        <v>23231.72407</v>
      </c>
      <c r="R4" s="12">
        <f t="shared" ref="R4:V4" si="3">if(min($K3:$O3)=K3,R3+1,R3)</f>
        <v>3</v>
      </c>
      <c r="S4" s="12">
        <f t="shared" si="3"/>
        <v>0</v>
      </c>
      <c r="T4" s="12">
        <f t="shared" si="3"/>
        <v>0</v>
      </c>
      <c r="U4" s="12">
        <f t="shared" si="3"/>
        <v>0</v>
      </c>
      <c r="V4" s="12">
        <f t="shared" si="3"/>
        <v>0</v>
      </c>
      <c r="X4" s="13">
        <f> 'Optimal Choice'!$B$5*'Optimal Choice'!$B$6^(R4+1)</f>
        <v>5.24318404</v>
      </c>
      <c r="Y4" s="13">
        <f> 'Optimal Choice'!$B$10*'Optimal Choice'!$B$11^(S4+1)</f>
        <v>69</v>
      </c>
      <c r="Z4" s="13">
        <f> 'Optimal Choice'!$B$15*'Optimal Choice'!$B$16^(T4+1)</f>
        <v>820.8</v>
      </c>
      <c r="AA4" s="13">
        <f> 'Optimal Choice'!$B$20*'Optimal Choice'!$B$21^(U4+1)</f>
        <v>9763.2</v>
      </c>
      <c r="AB4" s="13">
        <f> 'Optimal Choice'!$B$25*'Optimal Choice'!$B$26^(V4+1)</f>
        <v>116121.6</v>
      </c>
      <c r="AE4" s="14">
        <f t="shared" si="4"/>
        <v>1</v>
      </c>
      <c r="AF4" s="14">
        <f t="shared" si="5"/>
        <v>1</v>
      </c>
      <c r="AG4" s="14">
        <f t="shared" si="6"/>
        <v>1</v>
      </c>
      <c r="AH4" s="14">
        <f t="shared" si="7"/>
        <v>1</v>
      </c>
      <c r="AI4" s="14">
        <f t="shared" si="8"/>
        <v>1</v>
      </c>
      <c r="AL4" s="14">
        <f>R4*'Optimal Choice'!$B$4*AE4</f>
        <v>5.01</v>
      </c>
      <c r="AM4" s="14">
        <f>S4*'Optimal Choice'!$B$9*AF4</f>
        <v>0</v>
      </c>
      <c r="AN4" s="14">
        <f>T4*'Optimal Choice'!$B$14*AG4</f>
        <v>0</v>
      </c>
      <c r="AO4" s="14">
        <f>U4*'Optimal Choice'!$B$19*AH4</f>
        <v>0</v>
      </c>
      <c r="AP4" s="14">
        <f>V4*'Optimal Choice'!$B$24*AI4</f>
        <v>0</v>
      </c>
      <c r="AS4" s="14">
        <f t="shared" si="9"/>
        <v>1</v>
      </c>
      <c r="AT4" s="14">
        <f t="shared" si="10"/>
        <v>1</v>
      </c>
      <c r="AU4" s="14">
        <f t="shared" si="11"/>
        <v>1</v>
      </c>
      <c r="AV4" s="14">
        <f t="shared" si="12"/>
        <v>1</v>
      </c>
      <c r="AW4" s="14">
        <f t="shared" si="13"/>
        <v>1</v>
      </c>
      <c r="AY4" s="11">
        <f t="shared" si="14"/>
        <v>0.02445195609</v>
      </c>
    </row>
    <row r="5" ht="15.75" customHeight="1">
      <c r="A5" s="15">
        <f t="shared" si="2"/>
        <v>0.08759894225</v>
      </c>
      <c r="B5" s="7">
        <f>(sum(AL5:AP5))*'Optimal Choice'!$B$28</f>
        <v>6.68</v>
      </c>
      <c r="C5" s="11"/>
      <c r="D5" s="12">
        <f>'Optimal Choice'!A35</f>
        <v>200</v>
      </c>
      <c r="E5" s="12">
        <f>E4*'Optimal Choice'!B35</f>
        <v>180</v>
      </c>
      <c r="F5" s="12">
        <f>F4*'Optimal Choice'!C35</f>
        <v>300</v>
      </c>
      <c r="G5" s="12">
        <f>G4*'Optimal Choice'!D35</f>
        <v>256</v>
      </c>
      <c r="H5" s="12">
        <f>H4*'Optimal Choice'!E35</f>
        <v>24</v>
      </c>
      <c r="I5" s="12">
        <f>I4*'Optimal Choice'!F35</f>
        <v>12</v>
      </c>
      <c r="J5" s="11"/>
      <c r="K5" s="11">
        <f>(X5/$B5)+(X5/('Optimal Choice'!$B$4*AS5))</f>
        <v>4.199256679</v>
      </c>
      <c r="L5" s="11">
        <f>(Y5/$B5)+(Y5/('Optimal Choice'!$B$9*AT5))</f>
        <v>13.77934132</v>
      </c>
      <c r="M5" s="11">
        <f>(Z5/$B5)+(Z5/('Optimal Choice'!$B$14*AU5))</f>
        <v>131.9942515</v>
      </c>
      <c r="N5" s="11">
        <f>(AA5/$B5)+(AA5/('Optimal Choice'!$B$19*AV5))</f>
        <v>1488.676886</v>
      </c>
      <c r="O5" s="11">
        <f>(AB5/$B5)+(AB5/('Optimal Choice'!$B$24*AW5))</f>
        <v>17437.23305</v>
      </c>
      <c r="R5" s="12">
        <f t="shared" ref="R5:V5" si="15">if(min($K4:$O4)=K4,R4+1,R4)</f>
        <v>4</v>
      </c>
      <c r="S5" s="12">
        <f t="shared" si="15"/>
        <v>0</v>
      </c>
      <c r="T5" s="12">
        <f t="shared" si="15"/>
        <v>0</v>
      </c>
      <c r="U5" s="12">
        <f t="shared" si="15"/>
        <v>0</v>
      </c>
      <c r="V5" s="12">
        <f t="shared" si="15"/>
        <v>0</v>
      </c>
      <c r="X5" s="13">
        <f> 'Optimal Choice'!$B$5*'Optimal Choice'!$B$6^(R5+1)</f>
        <v>5.610206923</v>
      </c>
      <c r="Y5" s="13">
        <f> 'Optimal Choice'!$B$10*'Optimal Choice'!$B$11^(S5+1)</f>
        <v>69</v>
      </c>
      <c r="Z5" s="13">
        <f> 'Optimal Choice'!$B$15*'Optimal Choice'!$B$16^(T5+1)</f>
        <v>820.8</v>
      </c>
      <c r="AA5" s="13">
        <f> 'Optimal Choice'!$B$20*'Optimal Choice'!$B$21^(U5+1)</f>
        <v>9763.2</v>
      </c>
      <c r="AB5" s="13">
        <f> 'Optimal Choice'!$B$25*'Optimal Choice'!$B$26^(V5+1)</f>
        <v>116121.6</v>
      </c>
      <c r="AE5" s="14">
        <f t="shared" si="4"/>
        <v>1</v>
      </c>
      <c r="AF5" s="14">
        <f t="shared" si="5"/>
        <v>1</v>
      </c>
      <c r="AG5" s="14">
        <f t="shared" si="6"/>
        <v>1</v>
      </c>
      <c r="AH5" s="14">
        <f t="shared" si="7"/>
        <v>1</v>
      </c>
      <c r="AI5" s="14">
        <f t="shared" si="8"/>
        <v>1</v>
      </c>
      <c r="AL5" s="14">
        <f>R5*'Optimal Choice'!$B$4*AE5</f>
        <v>6.68</v>
      </c>
      <c r="AM5" s="14">
        <f>S5*'Optimal Choice'!$B$9*AF5</f>
        <v>0</v>
      </c>
      <c r="AN5" s="14">
        <f>T5*'Optimal Choice'!$B$14*AG5</f>
        <v>0</v>
      </c>
      <c r="AO5" s="14">
        <f>U5*'Optimal Choice'!$B$19*AH5</f>
        <v>0</v>
      </c>
      <c r="AP5" s="14">
        <f>V5*'Optimal Choice'!$B$24*AI5</f>
        <v>0</v>
      </c>
      <c r="AS5" s="14">
        <f t="shared" si="9"/>
        <v>1</v>
      </c>
      <c r="AT5" s="14">
        <f t="shared" si="10"/>
        <v>1</v>
      </c>
      <c r="AU5" s="14">
        <f t="shared" si="11"/>
        <v>1</v>
      </c>
      <c r="AV5" s="14">
        <f t="shared" si="12"/>
        <v>1</v>
      </c>
      <c r="AW5" s="14">
        <f t="shared" si="13"/>
        <v>1</v>
      </c>
      <c r="AY5" s="11">
        <f t="shared" si="14"/>
        <v>0.01744239534</v>
      </c>
    </row>
    <row r="6" ht="15.75" customHeight="1">
      <c r="A6" s="15">
        <f t="shared" si="2"/>
        <v>0.1015964645</v>
      </c>
      <c r="B6" s="7">
        <f>(sum(AL6:AP6))*'Optimal Choice'!$B$28</f>
        <v>8.35</v>
      </c>
      <c r="C6" s="11"/>
      <c r="D6" s="12">
        <f>'Optimal Choice'!A36</f>
        <v>300</v>
      </c>
      <c r="E6" s="12">
        <f>E5*'Optimal Choice'!B36</f>
        <v>360</v>
      </c>
      <c r="F6" s="12">
        <f>F5*'Optimal Choice'!C36</f>
        <v>600</v>
      </c>
      <c r="G6" s="12">
        <f>G5*'Optimal Choice'!D36</f>
        <v>512</v>
      </c>
      <c r="H6" s="12">
        <f>H5*'Optimal Choice'!E36</f>
        <v>48</v>
      </c>
      <c r="I6" s="12">
        <f>I5*'Optimal Choice'!F36</f>
        <v>24</v>
      </c>
      <c r="J6" s="11"/>
      <c r="K6" s="11">
        <f>(X6/$B6)+(X6/('Optimal Choice'!$B$4*AS6))</f>
        <v>4.31347646</v>
      </c>
      <c r="L6" s="11">
        <f>(Y6/$B6)+(Y6/('Optimal Choice'!$B$9*AT6))</f>
        <v>11.71347305</v>
      </c>
      <c r="M6" s="11">
        <f>(Z6/$B6)+(Z6/('Optimal Choice'!$B$14*AU6))</f>
        <v>107.4194012</v>
      </c>
      <c r="N6" s="11">
        <f>(AA6/$B6)+(AA6/('Optimal Choice'!$B$19*AV6))</f>
        <v>1196.365509</v>
      </c>
      <c r="O6" s="11">
        <f>(AB6/$B6)+(AB6/('Optimal Choice'!$B$24*AW6))</f>
        <v>13960.53844</v>
      </c>
      <c r="R6" s="12">
        <f t="shared" ref="R6:V6" si="16">if(min($K5:$O5)=K5,R5+1,R5)</f>
        <v>5</v>
      </c>
      <c r="S6" s="12">
        <f t="shared" si="16"/>
        <v>0</v>
      </c>
      <c r="T6" s="12">
        <f t="shared" si="16"/>
        <v>0</v>
      </c>
      <c r="U6" s="12">
        <f t="shared" si="16"/>
        <v>0</v>
      </c>
      <c r="V6" s="12">
        <f t="shared" si="16"/>
        <v>0</v>
      </c>
      <c r="X6" s="13">
        <f> 'Optimal Choice'!$B$5*'Optimal Choice'!$B$6^(R6+1)</f>
        <v>6.002921407</v>
      </c>
      <c r="Y6" s="13">
        <f> 'Optimal Choice'!$B$10*'Optimal Choice'!$B$11^(S6+1)</f>
        <v>69</v>
      </c>
      <c r="Z6" s="13">
        <f> 'Optimal Choice'!$B$15*'Optimal Choice'!$B$16^(T6+1)</f>
        <v>820.8</v>
      </c>
      <c r="AA6" s="13">
        <f> 'Optimal Choice'!$B$20*'Optimal Choice'!$B$21^(U6+1)</f>
        <v>9763.2</v>
      </c>
      <c r="AB6" s="13">
        <f> 'Optimal Choice'!$B$25*'Optimal Choice'!$B$26^(V6+1)</f>
        <v>116121.6</v>
      </c>
      <c r="AE6" s="14">
        <f t="shared" si="4"/>
        <v>1</v>
      </c>
      <c r="AF6" s="14">
        <f t="shared" si="5"/>
        <v>1</v>
      </c>
      <c r="AG6" s="14">
        <f t="shared" si="6"/>
        <v>1</v>
      </c>
      <c r="AH6" s="14">
        <f t="shared" si="7"/>
        <v>1</v>
      </c>
      <c r="AI6" s="14">
        <f t="shared" si="8"/>
        <v>1</v>
      </c>
      <c r="AL6" s="14">
        <f>R6*'Optimal Choice'!$B$4*AE6</f>
        <v>8.35</v>
      </c>
      <c r="AM6" s="14">
        <f>S6*'Optimal Choice'!$B$9*AF6</f>
        <v>0</v>
      </c>
      <c r="AN6" s="14">
        <f>T6*'Optimal Choice'!$B$14*AG6</f>
        <v>0</v>
      </c>
      <c r="AO6" s="14">
        <f>U6*'Optimal Choice'!$B$19*AH6</f>
        <v>0</v>
      </c>
      <c r="AP6" s="14">
        <f>V6*'Optimal Choice'!$B$24*AI6</f>
        <v>0</v>
      </c>
      <c r="AS6" s="14">
        <f t="shared" si="9"/>
        <v>1</v>
      </c>
      <c r="AT6" s="14">
        <f t="shared" si="10"/>
        <v>1</v>
      </c>
      <c r="AU6" s="14">
        <f t="shared" si="11"/>
        <v>1</v>
      </c>
      <c r="AV6" s="14">
        <f t="shared" si="12"/>
        <v>1</v>
      </c>
      <c r="AW6" s="14">
        <f t="shared" si="13"/>
        <v>1</v>
      </c>
      <c r="AY6" s="11">
        <f t="shared" si="14"/>
        <v>0.01399752226</v>
      </c>
    </row>
    <row r="7" ht="15.75" customHeight="1">
      <c r="A7" s="15">
        <f t="shared" si="2"/>
        <v>0.1135783436</v>
      </c>
      <c r="B7" s="7">
        <f>(sum(AL7:AP7))*'Optimal Choice'!$B$28</f>
        <v>10.02</v>
      </c>
      <c r="C7" s="11"/>
      <c r="D7" s="12">
        <f>'Optimal Choice'!A37</f>
        <v>400</v>
      </c>
      <c r="E7" s="12">
        <f>E6*'Optimal Choice'!B37</f>
        <v>720</v>
      </c>
      <c r="F7" s="12">
        <f>F6*'Optimal Choice'!C37</f>
        <v>1200</v>
      </c>
      <c r="G7" s="12">
        <f>G6*'Optimal Choice'!D37</f>
        <v>1024</v>
      </c>
      <c r="H7" s="12">
        <f>H6*'Optimal Choice'!E37</f>
        <v>96</v>
      </c>
      <c r="I7" s="12">
        <f>I6*'Optimal Choice'!F37</f>
        <v>48</v>
      </c>
      <c r="J7" s="11"/>
      <c r="K7" s="11">
        <f>(X7/$B7)+(X7/('Optimal Choice'!$B$4*AS7))</f>
        <v>4.487213707</v>
      </c>
      <c r="L7" s="11">
        <f>(Y7/$B7)+(Y7/('Optimal Choice'!$B$9*AT7))</f>
        <v>10.33622754</v>
      </c>
      <c r="M7" s="11">
        <f>(Z7/$B7)+(Z7/('Optimal Choice'!$B$14*AU7))</f>
        <v>91.03616766</v>
      </c>
      <c r="N7" s="11">
        <f>(AA7/$B7)+(AA7/('Optimal Choice'!$B$19*AV7))</f>
        <v>1001.491257</v>
      </c>
      <c r="O7" s="11">
        <f>(AB7/$B7)+(AB7/('Optimal Choice'!$B$24*AW7))</f>
        <v>11642.74204</v>
      </c>
      <c r="R7" s="12">
        <f t="shared" ref="R7:V7" si="17">if(min($K6:$O6)=K6,R6+1,R6)</f>
        <v>6</v>
      </c>
      <c r="S7" s="12">
        <f t="shared" si="17"/>
        <v>0</v>
      </c>
      <c r="T7" s="12">
        <f t="shared" si="17"/>
        <v>0</v>
      </c>
      <c r="U7" s="12">
        <f t="shared" si="17"/>
        <v>0</v>
      </c>
      <c r="V7" s="12">
        <f t="shared" si="17"/>
        <v>0</v>
      </c>
      <c r="X7" s="13">
        <f> 'Optimal Choice'!$B$5*'Optimal Choice'!$B$6^(R7+1)</f>
        <v>6.423125906</v>
      </c>
      <c r="Y7" s="13">
        <f> 'Optimal Choice'!$B$10*'Optimal Choice'!$B$11^(S7+1)</f>
        <v>69</v>
      </c>
      <c r="Z7" s="13">
        <f> 'Optimal Choice'!$B$15*'Optimal Choice'!$B$16^(T7+1)</f>
        <v>820.8</v>
      </c>
      <c r="AA7" s="13">
        <f> 'Optimal Choice'!$B$20*'Optimal Choice'!$B$21^(U7+1)</f>
        <v>9763.2</v>
      </c>
      <c r="AB7" s="13">
        <f> 'Optimal Choice'!$B$25*'Optimal Choice'!$B$26^(V7+1)</f>
        <v>116121.6</v>
      </c>
      <c r="AE7" s="14">
        <f t="shared" si="4"/>
        <v>1</v>
      </c>
      <c r="AF7" s="14">
        <f t="shared" si="5"/>
        <v>1</v>
      </c>
      <c r="AG7" s="14">
        <f t="shared" si="6"/>
        <v>1</v>
      </c>
      <c r="AH7" s="14">
        <f t="shared" si="7"/>
        <v>1</v>
      </c>
      <c r="AI7" s="14">
        <f t="shared" si="8"/>
        <v>1</v>
      </c>
      <c r="AL7" s="14">
        <f>R7*'Optimal Choice'!$B$4*AE7</f>
        <v>10.02</v>
      </c>
      <c r="AM7" s="14">
        <f>S7*'Optimal Choice'!$B$9*AF7</f>
        <v>0</v>
      </c>
      <c r="AN7" s="14">
        <f>T7*'Optimal Choice'!$B$14*AG7</f>
        <v>0</v>
      </c>
      <c r="AO7" s="14">
        <f>U7*'Optimal Choice'!$B$19*AH7</f>
        <v>0</v>
      </c>
      <c r="AP7" s="14">
        <f>V7*'Optimal Choice'!$B$24*AI7</f>
        <v>0</v>
      </c>
      <c r="AS7" s="14">
        <f t="shared" si="9"/>
        <v>1</v>
      </c>
      <c r="AT7" s="14">
        <f t="shared" si="10"/>
        <v>1</v>
      </c>
      <c r="AU7" s="14">
        <f t="shared" si="11"/>
        <v>1</v>
      </c>
      <c r="AV7" s="14">
        <f t="shared" si="12"/>
        <v>1</v>
      </c>
      <c r="AW7" s="14">
        <f t="shared" si="13"/>
        <v>1</v>
      </c>
      <c r="AY7" s="11">
        <f t="shared" si="14"/>
        <v>0.01198187906</v>
      </c>
    </row>
    <row r="8" ht="15.75" customHeight="1">
      <c r="A8" s="15">
        <f t="shared" si="2"/>
        <v>0.1242621857</v>
      </c>
      <c r="B8" s="7">
        <f>(sum(AL8:AP8))*'Optimal Choice'!$B$28</f>
        <v>11.69</v>
      </c>
      <c r="C8" s="11"/>
      <c r="D8" s="12">
        <f>'Optimal Choice'!A38</f>
        <v>500</v>
      </c>
      <c r="E8" s="12">
        <f>E7*'Optimal Choice'!B38</f>
        <v>1440</v>
      </c>
      <c r="F8" s="12">
        <f>F7*'Optimal Choice'!C38</f>
        <v>2400</v>
      </c>
      <c r="G8" s="12">
        <f>G7*'Optimal Choice'!D38</f>
        <v>2048</v>
      </c>
      <c r="H8" s="12">
        <f>H7*'Optimal Choice'!E38</f>
        <v>192</v>
      </c>
      <c r="I8" s="12">
        <f>I7*'Optimal Choice'!F38</f>
        <v>96</v>
      </c>
      <c r="J8" s="11"/>
      <c r="K8" s="11">
        <f>(X8/$B8)+(X8/('Optimal Choice'!$B$4*AS8))</f>
        <v>4.703332571</v>
      </c>
      <c r="L8" s="11">
        <f>(Y8/$B8)+(Y8/('Optimal Choice'!$B$9*AT8))</f>
        <v>9.352480753</v>
      </c>
      <c r="M8" s="11">
        <f>(Z8/$B8)+(Z8/('Optimal Choice'!$B$14*AU8))</f>
        <v>79.333858</v>
      </c>
      <c r="N8" s="11">
        <f>(AA8/$B8)+(AA8/('Optimal Choice'!$B$19*AV8))</f>
        <v>862.2953636</v>
      </c>
      <c r="O8" s="11">
        <f>(AB8/$B8)+(AB8/('Optimal Choice'!$B$24*AW8))</f>
        <v>9987.173174</v>
      </c>
      <c r="R8" s="12">
        <f t="shared" ref="R8:V8" si="18">if(min($K7:$O7)=K7,R7+1,R7)</f>
        <v>7</v>
      </c>
      <c r="S8" s="12">
        <f t="shared" si="18"/>
        <v>0</v>
      </c>
      <c r="T8" s="12">
        <f t="shared" si="18"/>
        <v>0</v>
      </c>
      <c r="U8" s="12">
        <f t="shared" si="18"/>
        <v>0</v>
      </c>
      <c r="V8" s="12">
        <f t="shared" si="18"/>
        <v>0</v>
      </c>
      <c r="X8" s="13">
        <f> 'Optimal Choice'!$B$5*'Optimal Choice'!$B$6^(R8+1)</f>
        <v>6.872744719</v>
      </c>
      <c r="Y8" s="13">
        <f> 'Optimal Choice'!$B$10*'Optimal Choice'!$B$11^(S8+1)</f>
        <v>69</v>
      </c>
      <c r="Z8" s="13">
        <f> 'Optimal Choice'!$B$15*'Optimal Choice'!$B$16^(T8+1)</f>
        <v>820.8</v>
      </c>
      <c r="AA8" s="13">
        <f> 'Optimal Choice'!$B$20*'Optimal Choice'!$B$21^(U8+1)</f>
        <v>9763.2</v>
      </c>
      <c r="AB8" s="13">
        <f> 'Optimal Choice'!$B$25*'Optimal Choice'!$B$26^(V8+1)</f>
        <v>116121.6</v>
      </c>
      <c r="AE8" s="14">
        <f t="shared" si="4"/>
        <v>1</v>
      </c>
      <c r="AF8" s="14">
        <f t="shared" si="5"/>
        <v>1</v>
      </c>
      <c r="AG8" s="14">
        <f t="shared" si="6"/>
        <v>1</v>
      </c>
      <c r="AH8" s="14">
        <f t="shared" si="7"/>
        <v>1</v>
      </c>
      <c r="AI8" s="14">
        <f t="shared" si="8"/>
        <v>1</v>
      </c>
      <c r="AL8" s="14">
        <f>R8*'Optimal Choice'!$B$4*AE8</f>
        <v>11.69</v>
      </c>
      <c r="AM8" s="14">
        <f>S8*'Optimal Choice'!$B$9*AF8</f>
        <v>0</v>
      </c>
      <c r="AN8" s="14">
        <f>T8*'Optimal Choice'!$B$14*AG8</f>
        <v>0</v>
      </c>
      <c r="AO8" s="14">
        <f>U8*'Optimal Choice'!$B$19*AH8</f>
        <v>0</v>
      </c>
      <c r="AP8" s="14">
        <f>V8*'Optimal Choice'!$B$24*AI8</f>
        <v>0</v>
      </c>
      <c r="AS8" s="14">
        <f t="shared" si="9"/>
        <v>1</v>
      </c>
      <c r="AT8" s="14">
        <f t="shared" si="10"/>
        <v>1</v>
      </c>
      <c r="AU8" s="14">
        <f t="shared" si="11"/>
        <v>1</v>
      </c>
      <c r="AV8" s="14">
        <f t="shared" si="12"/>
        <v>1</v>
      </c>
      <c r="AW8" s="14">
        <f t="shared" si="13"/>
        <v>1</v>
      </c>
      <c r="AY8" s="11">
        <f t="shared" si="14"/>
        <v>0.01068384216</v>
      </c>
    </row>
    <row r="9" ht="15.75" customHeight="1">
      <c r="A9" s="15">
        <f t="shared" si="2"/>
        <v>0.1340607952</v>
      </c>
      <c r="B9" s="7">
        <f>(sum(AL9:AP9))*'Optimal Choice'!$B$28</f>
        <v>13.36</v>
      </c>
      <c r="C9" s="11"/>
      <c r="D9" s="12">
        <f>'Optimal Choice'!A39</f>
        <v>600</v>
      </c>
      <c r="E9" s="12">
        <f>E8*'Optimal Choice'!B39</f>
        <v>2880</v>
      </c>
      <c r="F9" s="12">
        <f>F8*'Optimal Choice'!C39</f>
        <v>4800</v>
      </c>
      <c r="G9" s="12">
        <f>G8*'Optimal Choice'!D39</f>
        <v>4096</v>
      </c>
      <c r="H9" s="12">
        <f>H8*'Optimal Choice'!E39</f>
        <v>384</v>
      </c>
      <c r="I9" s="12">
        <f>I8*'Optimal Choice'!F39</f>
        <v>192</v>
      </c>
      <c r="J9" s="11"/>
      <c r="K9" s="11">
        <f>(X9/$B9)+(X9/('Optimal Choice'!$B$4*AS9))</f>
        <v>4.95393201</v>
      </c>
      <c r="L9" s="11">
        <f>(Y9/$B9)+(Y9/('Optimal Choice'!$B$9*AT9))</f>
        <v>8.614670659</v>
      </c>
      <c r="M9" s="11">
        <f>(Z9/$B9)+(Z9/('Optimal Choice'!$B$14*AU9))</f>
        <v>70.55712575</v>
      </c>
      <c r="N9" s="11">
        <f>(AA9/$B9)+(AA9/('Optimal Choice'!$B$19*AV9))</f>
        <v>757.8984431</v>
      </c>
      <c r="O9" s="11">
        <f>(AB9/$B9)+(AB9/('Optimal Choice'!$B$24*AW9))</f>
        <v>8745.496527</v>
      </c>
      <c r="R9" s="12">
        <f t="shared" ref="R9:V9" si="19">if(min($K8:$O8)=K8,R8+1,R8)</f>
        <v>8</v>
      </c>
      <c r="S9" s="12">
        <f t="shared" si="19"/>
        <v>0</v>
      </c>
      <c r="T9" s="12">
        <f t="shared" si="19"/>
        <v>0</v>
      </c>
      <c r="U9" s="12">
        <f t="shared" si="19"/>
        <v>0</v>
      </c>
      <c r="V9" s="12">
        <f t="shared" si="19"/>
        <v>0</v>
      </c>
      <c r="X9" s="13">
        <f> 'Optimal Choice'!$B$5*'Optimal Choice'!$B$6^(R9+1)</f>
        <v>7.35383685</v>
      </c>
      <c r="Y9" s="13">
        <f> 'Optimal Choice'!$B$10*'Optimal Choice'!$B$11^(S9+1)</f>
        <v>69</v>
      </c>
      <c r="Z9" s="13">
        <f> 'Optimal Choice'!$B$15*'Optimal Choice'!$B$16^(T9+1)</f>
        <v>820.8</v>
      </c>
      <c r="AA9" s="13">
        <f> 'Optimal Choice'!$B$20*'Optimal Choice'!$B$21^(U9+1)</f>
        <v>9763.2</v>
      </c>
      <c r="AB9" s="13">
        <f> 'Optimal Choice'!$B$25*'Optimal Choice'!$B$26^(V9+1)</f>
        <v>116121.6</v>
      </c>
      <c r="AE9" s="14">
        <f t="shared" si="4"/>
        <v>1</v>
      </c>
      <c r="AF9" s="14">
        <f t="shared" si="5"/>
        <v>1</v>
      </c>
      <c r="AG9" s="14">
        <f t="shared" si="6"/>
        <v>1</v>
      </c>
      <c r="AH9" s="14">
        <f t="shared" si="7"/>
        <v>1</v>
      </c>
      <c r="AI9" s="14">
        <f t="shared" si="8"/>
        <v>1</v>
      </c>
      <c r="AL9" s="14">
        <f>R9*'Optimal Choice'!$B$4*AE9</f>
        <v>13.36</v>
      </c>
      <c r="AM9" s="14">
        <f>S9*'Optimal Choice'!$B$9*AF9</f>
        <v>0</v>
      </c>
      <c r="AN9" s="14">
        <f>T9*'Optimal Choice'!$B$14*AG9</f>
        <v>0</v>
      </c>
      <c r="AO9" s="14">
        <f>U9*'Optimal Choice'!$B$19*AH9</f>
        <v>0</v>
      </c>
      <c r="AP9" s="14">
        <f>V9*'Optimal Choice'!$B$24*AI9</f>
        <v>0</v>
      </c>
      <c r="AS9" s="14">
        <f t="shared" si="9"/>
        <v>1</v>
      </c>
      <c r="AT9" s="14">
        <f t="shared" si="10"/>
        <v>1</v>
      </c>
      <c r="AU9" s="14">
        <f t="shared" si="11"/>
        <v>1</v>
      </c>
      <c r="AV9" s="14">
        <f t="shared" si="12"/>
        <v>1</v>
      </c>
      <c r="AW9" s="14">
        <f t="shared" si="13"/>
        <v>1</v>
      </c>
      <c r="AY9" s="11">
        <f t="shared" si="14"/>
        <v>0.009798609523</v>
      </c>
    </row>
    <row r="10" ht="15.75" customHeight="1">
      <c r="A10" s="15">
        <f t="shared" si="2"/>
        <v>0.1432347434</v>
      </c>
      <c r="B10" s="7">
        <f>(sum(AL10:AP10))*'Optimal Choice'!$B$28</f>
        <v>15.03</v>
      </c>
      <c r="C10" s="11"/>
      <c r="D10" s="12">
        <f>'Optimal Choice'!A40</f>
        <v>1000</v>
      </c>
      <c r="E10" s="12">
        <f>E9*'Optimal Choice'!B40</f>
        <v>5760</v>
      </c>
      <c r="F10" s="12">
        <f>F9*'Optimal Choice'!C40</f>
        <v>9600</v>
      </c>
      <c r="G10" s="12">
        <f>G9*'Optimal Choice'!D40</f>
        <v>8192</v>
      </c>
      <c r="H10" s="12">
        <f>H9*'Optimal Choice'!E40</f>
        <v>768</v>
      </c>
      <c r="I10" s="12">
        <f>I9*'Optimal Choice'!F40</f>
        <v>384</v>
      </c>
      <c r="J10" s="11"/>
      <c r="K10" s="11">
        <f>(X10/$B10)+(X10/('Optimal Choice'!$B$4*AS10))</f>
        <v>5.23526642</v>
      </c>
      <c r="L10" s="11">
        <f>(Y10/$B10)+(Y10/('Optimal Choice'!$B$9*AT10))</f>
        <v>8.040818363</v>
      </c>
      <c r="M10" s="11">
        <f>(Z10/$B10)+(Z10/('Optimal Choice'!$B$14*AU10))</f>
        <v>63.73077844</v>
      </c>
      <c r="N10" s="11">
        <f>(AA10/$B10)+(AA10/('Optimal Choice'!$B$19*AV10))</f>
        <v>676.7008383</v>
      </c>
      <c r="O10" s="11">
        <f>(AB10/$B10)+(AB10/('Optimal Choice'!$B$24*AW10))</f>
        <v>7779.748024</v>
      </c>
      <c r="R10" s="12">
        <f t="shared" ref="R10:V10" si="20">if(min($K9:$O9)=K9,R9+1,R9)</f>
        <v>9</v>
      </c>
      <c r="S10" s="12">
        <f t="shared" si="20"/>
        <v>0</v>
      </c>
      <c r="T10" s="12">
        <f t="shared" si="20"/>
        <v>0</v>
      </c>
      <c r="U10" s="12">
        <f t="shared" si="20"/>
        <v>0</v>
      </c>
      <c r="V10" s="12">
        <f t="shared" si="20"/>
        <v>0</v>
      </c>
      <c r="X10" s="13">
        <f> 'Optimal Choice'!$B$5*'Optimal Choice'!$B$6^(R10+1)</f>
        <v>7.868605429</v>
      </c>
      <c r="Y10" s="13">
        <f> 'Optimal Choice'!$B$10*'Optimal Choice'!$B$11^(S10+1)</f>
        <v>69</v>
      </c>
      <c r="Z10" s="13">
        <f> 'Optimal Choice'!$B$15*'Optimal Choice'!$B$16^(T10+1)</f>
        <v>820.8</v>
      </c>
      <c r="AA10" s="13">
        <f> 'Optimal Choice'!$B$20*'Optimal Choice'!$B$21^(U10+1)</f>
        <v>9763.2</v>
      </c>
      <c r="AB10" s="13">
        <f> 'Optimal Choice'!$B$25*'Optimal Choice'!$B$26^(V10+1)</f>
        <v>116121.6</v>
      </c>
      <c r="AE10" s="14">
        <f t="shared" si="4"/>
        <v>1</v>
      </c>
      <c r="AF10" s="14">
        <f t="shared" si="5"/>
        <v>1</v>
      </c>
      <c r="AG10" s="14">
        <f t="shared" si="6"/>
        <v>1</v>
      </c>
      <c r="AH10" s="14">
        <f t="shared" si="7"/>
        <v>1</v>
      </c>
      <c r="AI10" s="14">
        <f t="shared" si="8"/>
        <v>1</v>
      </c>
      <c r="AL10" s="14">
        <f>R10*'Optimal Choice'!$B$4*AE10</f>
        <v>15.03</v>
      </c>
      <c r="AM10" s="14">
        <f>S10*'Optimal Choice'!$B$9*AF10</f>
        <v>0</v>
      </c>
      <c r="AN10" s="14">
        <f>T10*'Optimal Choice'!$B$14*AG10</f>
        <v>0</v>
      </c>
      <c r="AO10" s="14">
        <f>U10*'Optimal Choice'!$B$19*AH10</f>
        <v>0</v>
      </c>
      <c r="AP10" s="14">
        <f>V10*'Optimal Choice'!$B$24*AI10</f>
        <v>0</v>
      </c>
      <c r="AS10" s="14">
        <f t="shared" si="9"/>
        <v>1</v>
      </c>
      <c r="AT10" s="14">
        <f t="shared" si="10"/>
        <v>1</v>
      </c>
      <c r="AU10" s="14">
        <f t="shared" si="11"/>
        <v>1</v>
      </c>
      <c r="AV10" s="14">
        <f t="shared" si="12"/>
        <v>1</v>
      </c>
      <c r="AW10" s="14">
        <f t="shared" si="13"/>
        <v>1</v>
      </c>
      <c r="AY10" s="11">
        <f t="shared" si="14"/>
        <v>0.009173948166</v>
      </c>
    </row>
    <row r="11" ht="15.75" customHeight="1">
      <c r="A11" s="15">
        <f t="shared" si="2"/>
        <v>0.1519601874</v>
      </c>
      <c r="B11" s="7">
        <f>(sum(AL11:AP11))*'Optimal Choice'!$B$28</f>
        <v>16.7</v>
      </c>
      <c r="C11" s="11"/>
      <c r="D11" s="12" t="str">
        <f>'Optimal Choice'!A41</f>
        <v/>
      </c>
      <c r="E11" s="12"/>
      <c r="F11" s="11"/>
      <c r="G11" s="11"/>
      <c r="H11" s="11"/>
      <c r="I11" s="11"/>
      <c r="J11" s="11"/>
      <c r="K11" s="11">
        <f>(X11/$B11)+(X11/('Optimal Choice'!$B$4*AS11))</f>
        <v>5.545717719</v>
      </c>
      <c r="L11" s="11">
        <f>(Y11/$B11)+(Y11/('Optimal Choice'!$B$9*AT11))</f>
        <v>7.581736527</v>
      </c>
      <c r="M11" s="11">
        <f>(Z11/$B11)+(Z11/('Optimal Choice'!$B$14*AU11))</f>
        <v>58.2697006</v>
      </c>
      <c r="N11" s="11">
        <f>(AA11/$B11)+(AA11/('Optimal Choice'!$B$19*AV11))</f>
        <v>611.7427545</v>
      </c>
      <c r="O11" s="11">
        <f>(AB11/$B11)+(AB11/('Optimal Choice'!$B$24*AW11))</f>
        <v>7007.149222</v>
      </c>
      <c r="R11" s="12">
        <f t="shared" ref="R11:V11" si="21">if(min($K10:$O10)=K10,R10+1,R10)</f>
        <v>10</v>
      </c>
      <c r="S11" s="12">
        <f t="shared" si="21"/>
        <v>0</v>
      </c>
      <c r="T11" s="12">
        <f t="shared" si="21"/>
        <v>0</v>
      </c>
      <c r="U11" s="12">
        <f t="shared" si="21"/>
        <v>0</v>
      </c>
      <c r="V11" s="12">
        <f t="shared" si="21"/>
        <v>0</v>
      </c>
      <c r="X11" s="13">
        <f> 'Optimal Choice'!$B$5*'Optimal Choice'!$B$6^(R11+1)</f>
        <v>8.419407809</v>
      </c>
      <c r="Y11" s="13">
        <f> 'Optimal Choice'!$B$10*'Optimal Choice'!$B$11^(S11+1)</f>
        <v>69</v>
      </c>
      <c r="Z11" s="13">
        <f> 'Optimal Choice'!$B$15*'Optimal Choice'!$B$16^(T11+1)</f>
        <v>820.8</v>
      </c>
      <c r="AA11" s="13">
        <f> 'Optimal Choice'!$B$20*'Optimal Choice'!$B$21^(U11+1)</f>
        <v>9763.2</v>
      </c>
      <c r="AB11" s="13">
        <f> 'Optimal Choice'!$B$25*'Optimal Choice'!$B$26^(V11+1)</f>
        <v>116121.6</v>
      </c>
      <c r="AE11" s="14">
        <f t="shared" si="4"/>
        <v>1</v>
      </c>
      <c r="AF11" s="14">
        <f t="shared" si="5"/>
        <v>1</v>
      </c>
      <c r="AG11" s="14">
        <f t="shared" si="6"/>
        <v>1</v>
      </c>
      <c r="AH11" s="14">
        <f t="shared" si="7"/>
        <v>1</v>
      </c>
      <c r="AI11" s="14">
        <f t="shared" si="8"/>
        <v>1</v>
      </c>
      <c r="AL11" s="14">
        <f>R11*'Optimal Choice'!$B$4*AE11</f>
        <v>16.7</v>
      </c>
      <c r="AM11" s="14">
        <f>S11*'Optimal Choice'!$B$9*AF11</f>
        <v>0</v>
      </c>
      <c r="AN11" s="14">
        <f>T11*'Optimal Choice'!$B$14*AG11</f>
        <v>0</v>
      </c>
      <c r="AO11" s="14">
        <f>U11*'Optimal Choice'!$B$19*AH11</f>
        <v>0</v>
      </c>
      <c r="AP11" s="14">
        <f>V11*'Optimal Choice'!$B$24*AI11</f>
        <v>0</v>
      </c>
      <c r="AS11" s="14">
        <f t="shared" si="9"/>
        <v>1</v>
      </c>
      <c r="AT11" s="14">
        <f t="shared" si="10"/>
        <v>1</v>
      </c>
      <c r="AU11" s="14">
        <f t="shared" si="11"/>
        <v>1</v>
      </c>
      <c r="AV11" s="14">
        <f t="shared" si="12"/>
        <v>1</v>
      </c>
      <c r="AW11" s="14">
        <f t="shared" si="13"/>
        <v>1</v>
      </c>
      <c r="AY11" s="11">
        <f t="shared" si="14"/>
        <v>0.008725444033</v>
      </c>
    </row>
    <row r="12" ht="15.75" customHeight="1">
      <c r="A12" s="15">
        <f t="shared" si="2"/>
        <v>0.1603627901</v>
      </c>
      <c r="B12" s="7">
        <f>(sum(AL12:AP12))*'Optimal Choice'!$B$28</f>
        <v>18.37</v>
      </c>
      <c r="C12" s="11"/>
      <c r="D12" s="12"/>
      <c r="E12" s="12"/>
      <c r="F12" s="11"/>
      <c r="G12" s="11"/>
      <c r="H12" s="11"/>
      <c r="I12" s="11"/>
      <c r="J12" s="11"/>
      <c r="K12" s="11">
        <f>(X12/$B12)+(X12/('Optimal Choice'!$B$4*AS12))</f>
        <v>5.884877315</v>
      </c>
      <c r="L12" s="11">
        <f>(Y12/$B12)+(Y12/('Optimal Choice'!$B$9*AT12))</f>
        <v>7.206124115</v>
      </c>
      <c r="M12" s="11">
        <f>(Z12/$B12)+(Z12/('Optimal Choice'!$B$14*AU12))</f>
        <v>53.801546</v>
      </c>
      <c r="N12" s="11">
        <f>(AA12/$B12)+(AA12/('Optimal Choice'!$B$19*AV12))</f>
        <v>558.5952314</v>
      </c>
      <c r="O12" s="11">
        <f>(AB12/$B12)+(AB12/('Optimal Choice'!$B$24*AW12))</f>
        <v>6375.022929</v>
      </c>
      <c r="R12" s="12">
        <f t="shared" ref="R12:V12" si="22">if(min($K11:$O11)=K11,R11+1,R11)</f>
        <v>11</v>
      </c>
      <c r="S12" s="12">
        <f t="shared" si="22"/>
        <v>0</v>
      </c>
      <c r="T12" s="12">
        <f t="shared" si="22"/>
        <v>0</v>
      </c>
      <c r="U12" s="12">
        <f t="shared" si="22"/>
        <v>0</v>
      </c>
      <c r="V12" s="12">
        <f t="shared" si="22"/>
        <v>0</v>
      </c>
      <c r="X12" s="13">
        <f> 'Optimal Choice'!$B$5*'Optimal Choice'!$B$6^(R12+1)</f>
        <v>9.008766356</v>
      </c>
      <c r="Y12" s="13">
        <f> 'Optimal Choice'!$B$10*'Optimal Choice'!$B$11^(S12+1)</f>
        <v>69</v>
      </c>
      <c r="Z12" s="13">
        <f> 'Optimal Choice'!$B$15*'Optimal Choice'!$B$16^(T12+1)</f>
        <v>820.8</v>
      </c>
      <c r="AA12" s="13">
        <f> 'Optimal Choice'!$B$20*'Optimal Choice'!$B$21^(U12+1)</f>
        <v>9763.2</v>
      </c>
      <c r="AB12" s="13">
        <f> 'Optimal Choice'!$B$25*'Optimal Choice'!$B$26^(V12+1)</f>
        <v>116121.6</v>
      </c>
      <c r="AE12" s="14">
        <f t="shared" si="4"/>
        <v>1</v>
      </c>
      <c r="AF12" s="14">
        <f t="shared" si="5"/>
        <v>1</v>
      </c>
      <c r="AG12" s="14">
        <f t="shared" si="6"/>
        <v>1</v>
      </c>
      <c r="AH12" s="14">
        <f t="shared" si="7"/>
        <v>1</v>
      </c>
      <c r="AI12" s="14">
        <f t="shared" si="8"/>
        <v>1</v>
      </c>
      <c r="AL12" s="14">
        <f>R12*'Optimal Choice'!$B$4*AE12</f>
        <v>18.37</v>
      </c>
      <c r="AM12" s="14">
        <f>S12*'Optimal Choice'!$B$9*AF12</f>
        <v>0</v>
      </c>
      <c r="AN12" s="14">
        <f>T12*'Optimal Choice'!$B$14*AG12</f>
        <v>0</v>
      </c>
      <c r="AO12" s="14">
        <f>U12*'Optimal Choice'!$B$19*AH12</f>
        <v>0</v>
      </c>
      <c r="AP12" s="14">
        <f>V12*'Optimal Choice'!$B$24*AI12</f>
        <v>0</v>
      </c>
      <c r="AS12" s="14">
        <f t="shared" si="9"/>
        <v>1</v>
      </c>
      <c r="AT12" s="14">
        <f t="shared" si="10"/>
        <v>1</v>
      </c>
      <c r="AU12" s="14">
        <f t="shared" si="11"/>
        <v>1</v>
      </c>
      <c r="AV12" s="14">
        <f t="shared" si="12"/>
        <v>1</v>
      </c>
      <c r="AW12" s="14">
        <f t="shared" si="13"/>
        <v>1</v>
      </c>
      <c r="AY12" s="11">
        <f t="shared" si="14"/>
        <v>0.008402602604</v>
      </c>
    </row>
    <row r="13" ht="15.75" customHeight="1">
      <c r="A13" s="15">
        <f t="shared" si="2"/>
        <v>0.1685362308</v>
      </c>
      <c r="B13" s="7">
        <f>(sum(AL13:AP13))*'Optimal Choice'!$B$28</f>
        <v>20.04</v>
      </c>
      <c r="C13" s="11"/>
      <c r="D13" s="12"/>
      <c r="E13" s="12"/>
      <c r="F13" s="11"/>
      <c r="G13" s="11"/>
      <c r="H13" s="11"/>
      <c r="I13" s="11"/>
      <c r="J13" s="11"/>
      <c r="K13" s="11">
        <f>(X13/$B13)+(X13/('Optimal Choice'!$B$4*AS13))</f>
        <v>6.253090819</v>
      </c>
      <c r="L13" s="11">
        <f>(Y13/$B13)+(Y13/('Optimal Choice'!$B$9*AT13))</f>
        <v>6.893113772</v>
      </c>
      <c r="M13" s="11">
        <f>(Z13/$B13)+(Z13/('Optimal Choice'!$B$14*AU13))</f>
        <v>50.07808383</v>
      </c>
      <c r="N13" s="11">
        <f>(AA13/$B13)+(AA13/('Optimal Choice'!$B$19*AV13))</f>
        <v>514.3056287</v>
      </c>
      <c r="O13" s="11">
        <f>(AB13/$B13)+(AB13/('Optimal Choice'!$B$24*AW13))</f>
        <v>5848.251018</v>
      </c>
      <c r="R13" s="12">
        <f t="shared" ref="R13:V13" si="23">if(min($K12:$O12)=K12,R12+1,R12)</f>
        <v>12</v>
      </c>
      <c r="S13" s="12">
        <f t="shared" si="23"/>
        <v>0</v>
      </c>
      <c r="T13" s="12">
        <f t="shared" si="23"/>
        <v>0</v>
      </c>
      <c r="U13" s="12">
        <f t="shared" si="23"/>
        <v>0</v>
      </c>
      <c r="V13" s="12">
        <f t="shared" si="23"/>
        <v>0</v>
      </c>
      <c r="X13" s="13">
        <f> 'Optimal Choice'!$B$5*'Optimal Choice'!$B$6^(R13+1)</f>
        <v>9.639380001</v>
      </c>
      <c r="Y13" s="13">
        <f> 'Optimal Choice'!$B$10*'Optimal Choice'!$B$11^(S13+1)</f>
        <v>69</v>
      </c>
      <c r="Z13" s="13">
        <f> 'Optimal Choice'!$B$15*'Optimal Choice'!$B$16^(T13+1)</f>
        <v>820.8</v>
      </c>
      <c r="AA13" s="13">
        <f> 'Optimal Choice'!$B$20*'Optimal Choice'!$B$21^(U13+1)</f>
        <v>9763.2</v>
      </c>
      <c r="AB13" s="13">
        <f> 'Optimal Choice'!$B$25*'Optimal Choice'!$B$26^(V13+1)</f>
        <v>116121.6</v>
      </c>
      <c r="AE13" s="14">
        <f t="shared" si="4"/>
        <v>1</v>
      </c>
      <c r="AF13" s="14">
        <f t="shared" si="5"/>
        <v>1</v>
      </c>
      <c r="AG13" s="14">
        <f t="shared" si="6"/>
        <v>1</v>
      </c>
      <c r="AH13" s="14">
        <f t="shared" si="7"/>
        <v>1</v>
      </c>
      <c r="AI13" s="14">
        <f t="shared" si="8"/>
        <v>1</v>
      </c>
      <c r="AL13" s="14">
        <f>R13*'Optimal Choice'!$B$4*AE13</f>
        <v>20.04</v>
      </c>
      <c r="AM13" s="14">
        <f>S13*'Optimal Choice'!$B$9*AF13</f>
        <v>0</v>
      </c>
      <c r="AN13" s="14">
        <f>T13*'Optimal Choice'!$B$14*AG13</f>
        <v>0</v>
      </c>
      <c r="AO13" s="14">
        <f>U13*'Optimal Choice'!$B$19*AH13</f>
        <v>0</v>
      </c>
      <c r="AP13" s="14">
        <f>V13*'Optimal Choice'!$B$24*AI13</f>
        <v>0</v>
      </c>
      <c r="AS13" s="14">
        <f t="shared" si="9"/>
        <v>1</v>
      </c>
      <c r="AT13" s="14">
        <f t="shared" si="10"/>
        <v>1</v>
      </c>
      <c r="AU13" s="14">
        <f t="shared" si="11"/>
        <v>1</v>
      </c>
      <c r="AV13" s="14">
        <f t="shared" si="12"/>
        <v>1</v>
      </c>
      <c r="AW13" s="14">
        <f t="shared" si="13"/>
        <v>1</v>
      </c>
      <c r="AY13" s="11">
        <f t="shared" si="14"/>
        <v>0.008173440715</v>
      </c>
    </row>
    <row r="14" ht="15.75" customHeight="1">
      <c r="A14" s="15">
        <f t="shared" si="2"/>
        <v>0.1765530139</v>
      </c>
      <c r="B14" s="7">
        <f>(sum(AL14:AP14))*'Optimal Choice'!$B$28</f>
        <v>21.71</v>
      </c>
      <c r="C14" s="11"/>
      <c r="D14" s="12"/>
      <c r="E14" s="12"/>
      <c r="F14" s="11"/>
      <c r="G14" s="11"/>
      <c r="H14" s="11"/>
      <c r="I14" s="11"/>
      <c r="J14" s="11"/>
      <c r="K14" s="11">
        <f>(X14/$B14)+(X14/('Optimal Choice'!$B$4*AS14))</f>
        <v>6.651216601</v>
      </c>
      <c r="L14" s="11">
        <f>(Y14/$B14)+(Y14/('Optimal Choice'!$B$9*AT14))</f>
        <v>6.628258867</v>
      </c>
      <c r="M14" s="11">
        <f>(Z14/$B14)+(Z14/('Optimal Choice'!$B$14*AU14))</f>
        <v>46.927462</v>
      </c>
      <c r="N14" s="11">
        <f>(AA14/$B14)+(AA14/('Optimal Choice'!$B$19*AV14))</f>
        <v>476.8298111</v>
      </c>
      <c r="O14" s="11">
        <f>(AB14/$B14)+(AB14/('Optimal Choice'!$B$24*AW14))</f>
        <v>5402.52094</v>
      </c>
      <c r="R14" s="12">
        <f t="shared" ref="R14:V14" si="24">if(min($K13:$O13)=K13,R13+1,R13)</f>
        <v>13</v>
      </c>
      <c r="S14" s="12">
        <f t="shared" si="24"/>
        <v>0</v>
      </c>
      <c r="T14" s="12">
        <f t="shared" si="24"/>
        <v>0</v>
      </c>
      <c r="U14" s="12">
        <f t="shared" si="24"/>
        <v>0</v>
      </c>
      <c r="V14" s="12">
        <f t="shared" si="24"/>
        <v>0</v>
      </c>
      <c r="X14" s="13">
        <f> 'Optimal Choice'!$B$5*'Optimal Choice'!$B$6^(R14+1)</f>
        <v>10.3141366</v>
      </c>
      <c r="Y14" s="13">
        <f> 'Optimal Choice'!$B$10*'Optimal Choice'!$B$11^(S14+1)</f>
        <v>69</v>
      </c>
      <c r="Z14" s="13">
        <f> 'Optimal Choice'!$B$15*'Optimal Choice'!$B$16^(T14+1)</f>
        <v>820.8</v>
      </c>
      <c r="AA14" s="13">
        <f> 'Optimal Choice'!$B$20*'Optimal Choice'!$B$21^(U14+1)</f>
        <v>9763.2</v>
      </c>
      <c r="AB14" s="13">
        <f> 'Optimal Choice'!$B$25*'Optimal Choice'!$B$26^(V14+1)</f>
        <v>116121.6</v>
      </c>
      <c r="AE14" s="14">
        <f t="shared" si="4"/>
        <v>1</v>
      </c>
      <c r="AF14" s="14">
        <f t="shared" si="5"/>
        <v>1</v>
      </c>
      <c r="AG14" s="14">
        <f t="shared" si="6"/>
        <v>1</v>
      </c>
      <c r="AH14" s="14">
        <f t="shared" si="7"/>
        <v>1</v>
      </c>
      <c r="AI14" s="14">
        <f t="shared" si="8"/>
        <v>1</v>
      </c>
      <c r="AL14" s="14">
        <f>R14*'Optimal Choice'!$B$4*AE14</f>
        <v>21.71</v>
      </c>
      <c r="AM14" s="14">
        <f>S14*'Optimal Choice'!$B$9*AF14</f>
        <v>0</v>
      </c>
      <c r="AN14" s="14">
        <f>T14*'Optimal Choice'!$B$14*AG14</f>
        <v>0</v>
      </c>
      <c r="AO14" s="14">
        <f>U14*'Optimal Choice'!$B$19*AH14</f>
        <v>0</v>
      </c>
      <c r="AP14" s="14">
        <f>V14*'Optimal Choice'!$B$24*AI14</f>
        <v>0</v>
      </c>
      <c r="AS14" s="14">
        <f t="shared" si="9"/>
        <v>1</v>
      </c>
      <c r="AT14" s="14">
        <f t="shared" si="10"/>
        <v>1</v>
      </c>
      <c r="AU14" s="14">
        <f t="shared" si="11"/>
        <v>1</v>
      </c>
      <c r="AV14" s="14">
        <f t="shared" si="12"/>
        <v>1</v>
      </c>
      <c r="AW14" s="14">
        <f t="shared" si="13"/>
        <v>1</v>
      </c>
      <c r="AY14" s="11">
        <f t="shared" si="14"/>
        <v>0.008016783101</v>
      </c>
    </row>
    <row r="15" ht="15.75" customHeight="1">
      <c r="A15" s="15">
        <f t="shared" si="2"/>
        <v>0.229523995</v>
      </c>
      <c r="B15" s="7">
        <f>(sum(AL15:AP15))*'Optimal Choice'!$B$28</f>
        <v>41.71</v>
      </c>
      <c r="C15" s="11"/>
      <c r="D15" s="12"/>
      <c r="E15" s="12"/>
      <c r="F15" s="11"/>
      <c r="G15" s="11"/>
      <c r="H15" s="11"/>
      <c r="I15" s="11"/>
      <c r="J15" s="11"/>
      <c r="K15" s="11">
        <f>(X15/$B15)+(X15/('Optimal Choice'!$B$4*AS15))</f>
        <v>6.423411806</v>
      </c>
      <c r="L15" s="11">
        <f>(Y15/$B15)+(Y15/('Optimal Choice'!$B$9*AT15))</f>
        <v>5.869921482</v>
      </c>
      <c r="M15" s="11">
        <f>(Z15/$B15)+(Z15/('Optimal Choice'!$B$14*AU15))</f>
        <v>28.79873412</v>
      </c>
      <c r="N15" s="11">
        <f>(AA15/$B15)+(AA15/('Optimal Choice'!$B$19*AV15))</f>
        <v>261.1933637</v>
      </c>
      <c r="O15" s="11">
        <f>(AB15/$B15)+(AB15/('Optimal Choice'!$B$24*AW15))</f>
        <v>2837.783016</v>
      </c>
      <c r="R15" s="12">
        <f t="shared" ref="R15:V15" si="25">if(min($K14:$O14)=K14,R14+1,R14)</f>
        <v>13</v>
      </c>
      <c r="S15" s="12">
        <f t="shared" si="25"/>
        <v>1</v>
      </c>
      <c r="T15" s="12">
        <f t="shared" si="25"/>
        <v>0</v>
      </c>
      <c r="U15" s="12">
        <f t="shared" si="25"/>
        <v>0</v>
      </c>
      <c r="V15" s="12">
        <f t="shared" si="25"/>
        <v>0</v>
      </c>
      <c r="X15" s="13">
        <f> 'Optimal Choice'!$B$5*'Optimal Choice'!$B$6^(R15+1)</f>
        <v>10.3141366</v>
      </c>
      <c r="Y15" s="13">
        <f> 'Optimal Choice'!$B$10*'Optimal Choice'!$B$11^(S15+1)</f>
        <v>79.35</v>
      </c>
      <c r="Z15" s="13">
        <f> 'Optimal Choice'!$B$15*'Optimal Choice'!$B$16^(T15+1)</f>
        <v>820.8</v>
      </c>
      <c r="AA15" s="13">
        <f> 'Optimal Choice'!$B$20*'Optimal Choice'!$B$21^(U15+1)</f>
        <v>9763.2</v>
      </c>
      <c r="AB15" s="13">
        <f> 'Optimal Choice'!$B$25*'Optimal Choice'!$B$26^(V15+1)</f>
        <v>116121.6</v>
      </c>
      <c r="AE15" s="14">
        <f t="shared" si="4"/>
        <v>1</v>
      </c>
      <c r="AF15" s="14">
        <f t="shared" si="5"/>
        <v>1</v>
      </c>
      <c r="AG15" s="14">
        <f t="shared" si="6"/>
        <v>1</v>
      </c>
      <c r="AH15" s="14">
        <f t="shared" si="7"/>
        <v>1</v>
      </c>
      <c r="AI15" s="14">
        <f t="shared" si="8"/>
        <v>1</v>
      </c>
      <c r="AL15" s="14">
        <f>R15*'Optimal Choice'!$B$4*AE15</f>
        <v>21.71</v>
      </c>
      <c r="AM15" s="14">
        <f>S15*'Optimal Choice'!$B$9*AF15</f>
        <v>20</v>
      </c>
      <c r="AN15" s="14">
        <f>T15*'Optimal Choice'!$B$14*AG15</f>
        <v>0</v>
      </c>
      <c r="AO15" s="14">
        <f>U15*'Optimal Choice'!$B$19*AH15</f>
        <v>0</v>
      </c>
      <c r="AP15" s="14">
        <f>V15*'Optimal Choice'!$B$24*AI15</f>
        <v>0</v>
      </c>
      <c r="AS15" s="14">
        <f t="shared" si="9"/>
        <v>1</v>
      </c>
      <c r="AT15" s="14">
        <f t="shared" si="10"/>
        <v>1</v>
      </c>
      <c r="AU15" s="14">
        <f t="shared" si="11"/>
        <v>1</v>
      </c>
      <c r="AV15" s="14">
        <f t="shared" si="12"/>
        <v>1</v>
      </c>
      <c r="AW15" s="14">
        <f t="shared" si="13"/>
        <v>1</v>
      </c>
      <c r="AY15" s="11">
        <f t="shared" si="14"/>
        <v>0.05297098111</v>
      </c>
    </row>
    <row r="16" ht="15.75" customHeight="1">
      <c r="A16" s="15">
        <f t="shared" si="2"/>
        <v>0.2612310197</v>
      </c>
      <c r="B16" s="7">
        <f>(sum(AL16:AP16))*'Optimal Choice'!$B$28</f>
        <v>61.71</v>
      </c>
      <c r="C16" s="11"/>
      <c r="D16" s="12"/>
      <c r="E16" s="12"/>
      <c r="F16" s="11"/>
      <c r="G16" s="11"/>
      <c r="H16" s="11"/>
      <c r="I16" s="11"/>
      <c r="J16" s="11"/>
      <c r="K16" s="11">
        <f>(X16/$B16)+(X16/('Optimal Choice'!$B$4*AS16))</f>
        <v>6.343268521</v>
      </c>
      <c r="L16" s="11">
        <f>(Y16/$B16)+(Y16/('Optimal Choice'!$B$9*AT16))</f>
        <v>6.041356162</v>
      </c>
      <c r="M16" s="11">
        <f>(Z16/$B16)+(Z16/('Optimal Choice'!$B$14*AU16))</f>
        <v>22.42092368</v>
      </c>
      <c r="N16" s="11">
        <f>(AA16/$B16)+(AA16/('Optimal Choice'!$B$19*AV16))</f>
        <v>185.3309869</v>
      </c>
      <c r="O16" s="11">
        <f>(AB16/$B16)+(AB16/('Optimal Choice'!$B$24*AW16))</f>
        <v>1935.490676</v>
      </c>
      <c r="R16" s="12">
        <f t="shared" ref="R16:V16" si="26">if(min($K15:$O15)=K15,R15+1,R15)</f>
        <v>13</v>
      </c>
      <c r="S16" s="12">
        <f t="shared" si="26"/>
        <v>2</v>
      </c>
      <c r="T16" s="12">
        <f t="shared" si="26"/>
        <v>0</v>
      </c>
      <c r="U16" s="12">
        <f t="shared" si="26"/>
        <v>0</v>
      </c>
      <c r="V16" s="12">
        <f t="shared" si="26"/>
        <v>0</v>
      </c>
      <c r="X16" s="13">
        <f> 'Optimal Choice'!$B$5*'Optimal Choice'!$B$6^(R16+1)</f>
        <v>10.3141366</v>
      </c>
      <c r="Y16" s="13">
        <f> 'Optimal Choice'!$B$10*'Optimal Choice'!$B$11^(S16+1)</f>
        <v>91.2525</v>
      </c>
      <c r="Z16" s="13">
        <f> 'Optimal Choice'!$B$15*'Optimal Choice'!$B$16^(T16+1)</f>
        <v>820.8</v>
      </c>
      <c r="AA16" s="13">
        <f> 'Optimal Choice'!$B$20*'Optimal Choice'!$B$21^(U16+1)</f>
        <v>9763.2</v>
      </c>
      <c r="AB16" s="13">
        <f> 'Optimal Choice'!$B$25*'Optimal Choice'!$B$26^(V16+1)</f>
        <v>116121.6</v>
      </c>
      <c r="AE16" s="14">
        <f t="shared" si="4"/>
        <v>1</v>
      </c>
      <c r="AF16" s="14">
        <f t="shared" si="5"/>
        <v>1</v>
      </c>
      <c r="AG16" s="14">
        <f t="shared" si="6"/>
        <v>1</v>
      </c>
      <c r="AH16" s="14">
        <f t="shared" si="7"/>
        <v>1</v>
      </c>
      <c r="AI16" s="14">
        <f t="shared" si="8"/>
        <v>1</v>
      </c>
      <c r="AL16" s="14">
        <f>R16*'Optimal Choice'!$B$4*AE16</f>
        <v>21.71</v>
      </c>
      <c r="AM16" s="14">
        <f>S16*'Optimal Choice'!$B$9*AF16</f>
        <v>40</v>
      </c>
      <c r="AN16" s="14">
        <f>T16*'Optimal Choice'!$B$14*AG16</f>
        <v>0</v>
      </c>
      <c r="AO16" s="14">
        <f>U16*'Optimal Choice'!$B$19*AH16</f>
        <v>0</v>
      </c>
      <c r="AP16" s="14">
        <f>V16*'Optimal Choice'!$B$24*AI16</f>
        <v>0</v>
      </c>
      <c r="AS16" s="14">
        <f t="shared" si="9"/>
        <v>1</v>
      </c>
      <c r="AT16" s="14">
        <f t="shared" si="10"/>
        <v>1</v>
      </c>
      <c r="AU16" s="14">
        <f t="shared" si="11"/>
        <v>1</v>
      </c>
      <c r="AV16" s="14">
        <f t="shared" si="12"/>
        <v>1</v>
      </c>
      <c r="AW16" s="14">
        <f t="shared" si="13"/>
        <v>1</v>
      </c>
      <c r="AY16" s="11">
        <f t="shared" si="14"/>
        <v>0.03170702469</v>
      </c>
    </row>
    <row r="17" ht="15.75" customHeight="1">
      <c r="A17" s="15">
        <f t="shared" si="2"/>
        <v>0.285876539</v>
      </c>
      <c r="B17" s="7">
        <f>(sum(AL17:AP17))*'Optimal Choice'!$B$28</f>
        <v>81.71</v>
      </c>
      <c r="C17" s="11"/>
      <c r="D17" s="12"/>
      <c r="E17" s="12"/>
      <c r="F17" s="11"/>
      <c r="G17" s="11"/>
      <c r="H17" s="11"/>
      <c r="I17" s="11"/>
      <c r="J17" s="11"/>
      <c r="K17" s="11">
        <f>(X17/$B17)+(X17/('Optimal Choice'!$B$4*AS17))</f>
        <v>6.302358273</v>
      </c>
      <c r="L17" s="11">
        <f>(Y17/$B17)+(Y17/('Optimal Choice'!$B$9*AT17))</f>
        <v>6.531321467</v>
      </c>
      <c r="M17" s="11">
        <f>(Z17/$B17)+(Z17/('Optimal Choice'!$B$14*AU17))</f>
        <v>19.1652821</v>
      </c>
      <c r="N17" s="11">
        <f>(AA17/$B17)+(AA17/('Optimal Choice'!$B$19*AV17))</f>
        <v>146.605987</v>
      </c>
      <c r="O17" s="11">
        <f>(AB17/$B17)+(AB17/('Optimal Choice'!$B$24*AW17))</f>
        <v>1474.903067</v>
      </c>
      <c r="R17" s="12">
        <f t="shared" ref="R17:V17" si="27">if(min($K16:$O16)=K16,R16+1,R16)</f>
        <v>13</v>
      </c>
      <c r="S17" s="12">
        <f t="shared" si="27"/>
        <v>3</v>
      </c>
      <c r="T17" s="12">
        <f t="shared" si="27"/>
        <v>0</v>
      </c>
      <c r="U17" s="12">
        <f t="shared" si="27"/>
        <v>0</v>
      </c>
      <c r="V17" s="12">
        <f t="shared" si="27"/>
        <v>0</v>
      </c>
      <c r="X17" s="13">
        <f> 'Optimal Choice'!$B$5*'Optimal Choice'!$B$6^(R17+1)</f>
        <v>10.3141366</v>
      </c>
      <c r="Y17" s="13">
        <f> 'Optimal Choice'!$B$10*'Optimal Choice'!$B$11^(S17+1)</f>
        <v>104.940375</v>
      </c>
      <c r="Z17" s="13">
        <f> 'Optimal Choice'!$B$15*'Optimal Choice'!$B$16^(T17+1)</f>
        <v>820.8</v>
      </c>
      <c r="AA17" s="13">
        <f> 'Optimal Choice'!$B$20*'Optimal Choice'!$B$21^(U17+1)</f>
        <v>9763.2</v>
      </c>
      <c r="AB17" s="13">
        <f> 'Optimal Choice'!$B$25*'Optimal Choice'!$B$26^(V17+1)</f>
        <v>116121.6</v>
      </c>
      <c r="AE17" s="14">
        <f t="shared" si="4"/>
        <v>1</v>
      </c>
      <c r="AF17" s="14">
        <f t="shared" si="5"/>
        <v>1</v>
      </c>
      <c r="AG17" s="14">
        <f t="shared" si="6"/>
        <v>1</v>
      </c>
      <c r="AH17" s="14">
        <f t="shared" si="7"/>
        <v>1</v>
      </c>
      <c r="AI17" s="14">
        <f t="shared" si="8"/>
        <v>1</v>
      </c>
      <c r="AL17" s="14">
        <f>R17*'Optimal Choice'!$B$4*AE17</f>
        <v>21.71</v>
      </c>
      <c r="AM17" s="14">
        <f>S17*'Optimal Choice'!$B$9*AF17</f>
        <v>60</v>
      </c>
      <c r="AN17" s="14">
        <f>T17*'Optimal Choice'!$B$14*AG17</f>
        <v>0</v>
      </c>
      <c r="AO17" s="14">
        <f>U17*'Optimal Choice'!$B$19*AH17</f>
        <v>0</v>
      </c>
      <c r="AP17" s="14">
        <f>V17*'Optimal Choice'!$B$24*AI17</f>
        <v>0</v>
      </c>
      <c r="AS17" s="14">
        <f t="shared" si="9"/>
        <v>1</v>
      </c>
      <c r="AT17" s="14">
        <f t="shared" si="10"/>
        <v>1</v>
      </c>
      <c r="AU17" s="14">
        <f t="shared" si="11"/>
        <v>1</v>
      </c>
      <c r="AV17" s="14">
        <f t="shared" si="12"/>
        <v>1</v>
      </c>
      <c r="AW17" s="14">
        <f t="shared" si="13"/>
        <v>1</v>
      </c>
      <c r="AY17" s="11">
        <f t="shared" si="14"/>
        <v>0.02464551936</v>
      </c>
    </row>
    <row r="18" ht="15.75" customHeight="1">
      <c r="A18" s="15">
        <f t="shared" si="2"/>
        <v>0.2879803486</v>
      </c>
      <c r="B18" s="7">
        <f>(sum(AL18:AP18))*'Optimal Choice'!$B$28</f>
        <v>83.38</v>
      </c>
      <c r="C18" s="11"/>
      <c r="D18" s="12"/>
      <c r="E18" s="12"/>
      <c r="F18" s="11"/>
      <c r="G18" s="11"/>
      <c r="H18" s="11"/>
      <c r="I18" s="11"/>
      <c r="J18" s="11"/>
      <c r="K18" s="11">
        <f>(X18/$B18)+(X18/('Optimal Choice'!$B$4*AS18))</f>
        <v>6.740818173</v>
      </c>
      <c r="L18" s="11">
        <f>(Y18/$B18)+(Y18/('Optimal Choice'!$B$9*AT18))</f>
        <v>6.505598445</v>
      </c>
      <c r="M18" s="11">
        <f>(Z18/$B18)+(Z18/('Optimal Choice'!$B$14*AU18))</f>
        <v>18.96408731</v>
      </c>
      <c r="N18" s="11">
        <f>(AA18/$B18)+(AA18/('Optimal Choice'!$B$19*AV18))</f>
        <v>144.212828</v>
      </c>
      <c r="O18" s="11">
        <f>(AB18/$B18)+(AB18/('Optimal Choice'!$B$24*AW18))</f>
        <v>1446.4393</v>
      </c>
      <c r="R18" s="12">
        <f t="shared" ref="R18:V18" si="28">if(min($K17:$O17)=K17,R17+1,R17)</f>
        <v>14</v>
      </c>
      <c r="S18" s="12">
        <f t="shared" si="28"/>
        <v>3</v>
      </c>
      <c r="T18" s="12">
        <f t="shared" si="28"/>
        <v>0</v>
      </c>
      <c r="U18" s="12">
        <f t="shared" si="28"/>
        <v>0</v>
      </c>
      <c r="V18" s="12">
        <f t="shared" si="28"/>
        <v>0</v>
      </c>
      <c r="X18" s="13">
        <f> 'Optimal Choice'!$B$5*'Optimal Choice'!$B$6^(R18+1)</f>
        <v>11.03612616</v>
      </c>
      <c r="Y18" s="13">
        <f> 'Optimal Choice'!$B$10*'Optimal Choice'!$B$11^(S18+1)</f>
        <v>104.940375</v>
      </c>
      <c r="Z18" s="13">
        <f> 'Optimal Choice'!$B$15*'Optimal Choice'!$B$16^(T18+1)</f>
        <v>820.8</v>
      </c>
      <c r="AA18" s="13">
        <f> 'Optimal Choice'!$B$20*'Optimal Choice'!$B$21^(U18+1)</f>
        <v>9763.2</v>
      </c>
      <c r="AB18" s="13">
        <f> 'Optimal Choice'!$B$25*'Optimal Choice'!$B$26^(V18+1)</f>
        <v>116121.6</v>
      </c>
      <c r="AE18" s="14">
        <f t="shared" si="4"/>
        <v>1</v>
      </c>
      <c r="AF18" s="14">
        <f t="shared" si="5"/>
        <v>1</v>
      </c>
      <c r="AG18" s="14">
        <f t="shared" si="6"/>
        <v>1</v>
      </c>
      <c r="AH18" s="14">
        <f t="shared" si="7"/>
        <v>1</v>
      </c>
      <c r="AI18" s="14">
        <f t="shared" si="8"/>
        <v>1</v>
      </c>
      <c r="AL18" s="14">
        <f>R18*'Optimal Choice'!$B$4*AE18</f>
        <v>23.38</v>
      </c>
      <c r="AM18" s="14">
        <f>S18*'Optimal Choice'!$B$9*AF18</f>
        <v>60</v>
      </c>
      <c r="AN18" s="14">
        <f>T18*'Optimal Choice'!$B$14*AG18</f>
        <v>0</v>
      </c>
      <c r="AO18" s="14">
        <f>U18*'Optimal Choice'!$B$19*AH18</f>
        <v>0</v>
      </c>
      <c r="AP18" s="14">
        <f>V18*'Optimal Choice'!$B$24*AI18</f>
        <v>0</v>
      </c>
      <c r="AS18" s="14">
        <f t="shared" si="9"/>
        <v>1</v>
      </c>
      <c r="AT18" s="14">
        <f t="shared" si="10"/>
        <v>1</v>
      </c>
      <c r="AU18" s="14">
        <f t="shared" si="11"/>
        <v>1</v>
      </c>
      <c r="AV18" s="14">
        <f t="shared" si="12"/>
        <v>1</v>
      </c>
      <c r="AW18" s="14">
        <f t="shared" si="13"/>
        <v>1</v>
      </c>
      <c r="AY18" s="11">
        <f t="shared" si="14"/>
        <v>0.00210380953</v>
      </c>
    </row>
    <row r="19" ht="15.75" customHeight="1">
      <c r="A19" s="15">
        <f t="shared" si="2"/>
        <v>0.3089566768</v>
      </c>
      <c r="B19" s="7">
        <f>(sum(AL19:AP19))*'Optimal Choice'!$B$28</f>
        <v>103.38</v>
      </c>
      <c r="C19" s="11"/>
      <c r="D19" s="12"/>
      <c r="E19" s="12"/>
      <c r="F19" s="11"/>
      <c r="G19" s="11"/>
      <c r="H19" s="11"/>
      <c r="I19" s="11"/>
      <c r="J19" s="11"/>
      <c r="K19" s="11">
        <f>(X19/$B19)+(X19/('Optimal Choice'!$B$4*AS19))</f>
        <v>6.71521179</v>
      </c>
      <c r="L19" s="11">
        <f>(Y19/$B19)+(Y19/('Optimal Choice'!$B$9*AT19))</f>
        <v>7.201429187</v>
      </c>
      <c r="M19" s="11">
        <f>(Z19/$B19)+(Z19/('Optimal Choice'!$B$14*AU19))</f>
        <v>17.05964016</v>
      </c>
      <c r="N19" s="11">
        <f>(AA19/$B19)+(AA19/('Optimal Choice'!$B$19*AV19))</f>
        <v>121.5599304</v>
      </c>
      <c r="O19" s="11">
        <f>(AB19/$B19)+(AB19/('Optimal Choice'!$B$24*AW19))</f>
        <v>1177.010145</v>
      </c>
      <c r="R19" s="12">
        <f t="shared" ref="R19:V19" si="29">if(min($K18:$O18)=K18,R18+1,R18)</f>
        <v>14</v>
      </c>
      <c r="S19" s="12">
        <f t="shared" si="29"/>
        <v>4</v>
      </c>
      <c r="T19" s="12">
        <f t="shared" si="29"/>
        <v>0</v>
      </c>
      <c r="U19" s="12">
        <f t="shared" si="29"/>
        <v>0</v>
      </c>
      <c r="V19" s="12">
        <f t="shared" si="29"/>
        <v>0</v>
      </c>
      <c r="X19" s="13">
        <f> 'Optimal Choice'!$B$5*'Optimal Choice'!$B$6^(R19+1)</f>
        <v>11.03612616</v>
      </c>
      <c r="Y19" s="13">
        <f> 'Optimal Choice'!$B$10*'Optimal Choice'!$B$11^(S19+1)</f>
        <v>120.6814313</v>
      </c>
      <c r="Z19" s="13">
        <f> 'Optimal Choice'!$B$15*'Optimal Choice'!$B$16^(T19+1)</f>
        <v>820.8</v>
      </c>
      <c r="AA19" s="13">
        <f> 'Optimal Choice'!$B$20*'Optimal Choice'!$B$21^(U19+1)</f>
        <v>9763.2</v>
      </c>
      <c r="AB19" s="13">
        <f> 'Optimal Choice'!$B$25*'Optimal Choice'!$B$26^(V19+1)</f>
        <v>116121.6</v>
      </c>
      <c r="AE19" s="14">
        <f t="shared" si="4"/>
        <v>1</v>
      </c>
      <c r="AF19" s="14">
        <f t="shared" si="5"/>
        <v>1</v>
      </c>
      <c r="AG19" s="14">
        <f t="shared" si="6"/>
        <v>1</v>
      </c>
      <c r="AH19" s="14">
        <f t="shared" si="7"/>
        <v>1</v>
      </c>
      <c r="AI19" s="14">
        <f t="shared" si="8"/>
        <v>1</v>
      </c>
      <c r="AL19" s="14">
        <f>R19*'Optimal Choice'!$B$4*AE19</f>
        <v>23.38</v>
      </c>
      <c r="AM19" s="14">
        <f>S19*'Optimal Choice'!$B$9*AF19</f>
        <v>80</v>
      </c>
      <c r="AN19" s="14">
        <f>T19*'Optimal Choice'!$B$14*AG19</f>
        <v>0</v>
      </c>
      <c r="AO19" s="14">
        <f>U19*'Optimal Choice'!$B$19*AH19</f>
        <v>0</v>
      </c>
      <c r="AP19" s="14">
        <f>V19*'Optimal Choice'!$B$24*AI19</f>
        <v>0</v>
      </c>
      <c r="AS19" s="14">
        <f t="shared" si="9"/>
        <v>1</v>
      </c>
      <c r="AT19" s="14">
        <f t="shared" si="10"/>
        <v>1</v>
      </c>
      <c r="AU19" s="14">
        <f t="shared" si="11"/>
        <v>1</v>
      </c>
      <c r="AV19" s="14">
        <f t="shared" si="12"/>
        <v>1</v>
      </c>
      <c r="AW19" s="14">
        <f t="shared" si="13"/>
        <v>1</v>
      </c>
      <c r="AY19" s="11">
        <f t="shared" si="14"/>
        <v>0.02097632826</v>
      </c>
    </row>
    <row r="20" ht="15.75" customHeight="1">
      <c r="A20" s="15">
        <f t="shared" si="2"/>
        <v>0.3107358937</v>
      </c>
      <c r="B20" s="7">
        <f>(sum(AL20:AP20))*'Optimal Choice'!$B$28</f>
        <v>105.05</v>
      </c>
      <c r="C20" s="11"/>
      <c r="D20" s="12"/>
      <c r="E20" s="12"/>
      <c r="F20" s="11"/>
      <c r="G20" s="11"/>
      <c r="H20" s="11"/>
      <c r="I20" s="11"/>
      <c r="J20" s="11"/>
      <c r="K20" s="11">
        <f>(X20/$B20)+(X20/('Optimal Choice'!$B$4*AS20))</f>
        <v>7.183460747</v>
      </c>
      <c r="L20" s="11">
        <f>(Y20/$B20)+(Y20/('Optimal Choice'!$B$9*AT20))</f>
        <v>7.182871479</v>
      </c>
      <c r="M20" s="11">
        <f>(Z20/$B20)+(Z20/('Optimal Choice'!$B$14*AU20))</f>
        <v>16.93342218</v>
      </c>
      <c r="N20" s="11">
        <f>(AA20/$B20)+(AA20/('Optimal Choice'!$B$19*AV20))</f>
        <v>120.0586007</v>
      </c>
      <c r="O20" s="11">
        <f>(AB20/$B20)+(AB20/('Optimal Choice'!$B$24*AW20))</f>
        <v>1159.153622</v>
      </c>
      <c r="R20" s="12">
        <f t="shared" ref="R20:V20" si="30">if(min($K19:$O19)=K19,R19+1,R19)</f>
        <v>15</v>
      </c>
      <c r="S20" s="12">
        <f t="shared" si="30"/>
        <v>4</v>
      </c>
      <c r="T20" s="12">
        <f t="shared" si="30"/>
        <v>0</v>
      </c>
      <c r="U20" s="12">
        <f t="shared" si="30"/>
        <v>0</v>
      </c>
      <c r="V20" s="12">
        <f t="shared" si="30"/>
        <v>0</v>
      </c>
      <c r="X20" s="13">
        <f> 'Optimal Choice'!$B$5*'Optimal Choice'!$B$6^(R20+1)</f>
        <v>11.80865499</v>
      </c>
      <c r="Y20" s="13">
        <f> 'Optimal Choice'!$B$10*'Optimal Choice'!$B$11^(S20+1)</f>
        <v>120.6814313</v>
      </c>
      <c r="Z20" s="13">
        <f> 'Optimal Choice'!$B$15*'Optimal Choice'!$B$16^(T20+1)</f>
        <v>820.8</v>
      </c>
      <c r="AA20" s="13">
        <f> 'Optimal Choice'!$B$20*'Optimal Choice'!$B$21^(U20+1)</f>
        <v>9763.2</v>
      </c>
      <c r="AB20" s="13">
        <f> 'Optimal Choice'!$B$25*'Optimal Choice'!$B$26^(V20+1)</f>
        <v>116121.6</v>
      </c>
      <c r="AE20" s="14">
        <f t="shared" si="4"/>
        <v>1</v>
      </c>
      <c r="AF20" s="14">
        <f t="shared" si="5"/>
        <v>1</v>
      </c>
      <c r="AG20" s="14">
        <f t="shared" si="6"/>
        <v>1</v>
      </c>
      <c r="AH20" s="14">
        <f t="shared" si="7"/>
        <v>1</v>
      </c>
      <c r="AI20" s="14">
        <f t="shared" si="8"/>
        <v>1</v>
      </c>
      <c r="AL20" s="14">
        <f>R20*'Optimal Choice'!$B$4*AE20</f>
        <v>25.05</v>
      </c>
      <c r="AM20" s="14">
        <f>S20*'Optimal Choice'!$B$9*AF20</f>
        <v>80</v>
      </c>
      <c r="AN20" s="14">
        <f>T20*'Optimal Choice'!$B$14*AG20</f>
        <v>0</v>
      </c>
      <c r="AO20" s="14">
        <f>U20*'Optimal Choice'!$B$19*AH20</f>
        <v>0</v>
      </c>
      <c r="AP20" s="14">
        <f>V20*'Optimal Choice'!$B$24*AI20</f>
        <v>0</v>
      </c>
      <c r="AS20" s="14">
        <f t="shared" si="9"/>
        <v>1</v>
      </c>
      <c r="AT20" s="14">
        <f t="shared" si="10"/>
        <v>1</v>
      </c>
      <c r="AU20" s="14">
        <f t="shared" si="11"/>
        <v>1</v>
      </c>
      <c r="AV20" s="14">
        <f t="shared" si="12"/>
        <v>1</v>
      </c>
      <c r="AW20" s="14">
        <f t="shared" si="13"/>
        <v>1</v>
      </c>
      <c r="AY20" s="11">
        <f t="shared" si="14"/>
        <v>0.001779216832</v>
      </c>
    </row>
    <row r="21" ht="15.75" customHeight="1">
      <c r="A21" s="15">
        <f t="shared" si="2"/>
        <v>0.3298825589</v>
      </c>
      <c r="B21" s="7">
        <f>(sum(AL21:AP21))*'Optimal Choice'!$B$28</f>
        <v>125.05</v>
      </c>
      <c r="C21" s="11"/>
      <c r="D21" s="12"/>
      <c r="E21" s="12"/>
      <c r="F21" s="11"/>
      <c r="G21" s="11"/>
      <c r="H21" s="11"/>
      <c r="I21" s="11"/>
      <c r="J21" s="11"/>
      <c r="K21" s="11">
        <f>(X21/$B21)+(X21/('Optimal Choice'!$B$4*AS21))</f>
        <v>7.165482362</v>
      </c>
      <c r="L21" s="11">
        <f>(Y21/$B21)+(Y21/('Optimal Choice'!$B$9*AT21))</f>
        <v>8.049007534</v>
      </c>
      <c r="M21" s="11">
        <f>(Z21/$B21)+(Z21/('Optimal Choice'!$B$14*AU21))</f>
        <v>15.68377449</v>
      </c>
      <c r="N21" s="11">
        <f>(AA21/$B21)+(AA21/('Optimal Choice'!$B$19*AV21))</f>
        <v>105.1943703</v>
      </c>
      <c r="O21" s="11">
        <f>(AB21/$B21)+(AB21/('Optimal Choice'!$B$24*AW21))</f>
        <v>982.3613595</v>
      </c>
      <c r="R21" s="12">
        <f t="shared" ref="R21:V21" si="31">if(min($K20:$O20)=K20,R20+1,R20)</f>
        <v>15</v>
      </c>
      <c r="S21" s="12">
        <f t="shared" si="31"/>
        <v>5</v>
      </c>
      <c r="T21" s="12">
        <f t="shared" si="31"/>
        <v>0</v>
      </c>
      <c r="U21" s="12">
        <f t="shared" si="31"/>
        <v>0</v>
      </c>
      <c r="V21" s="12">
        <f t="shared" si="31"/>
        <v>0</v>
      </c>
      <c r="X21" s="13">
        <f> 'Optimal Choice'!$B$5*'Optimal Choice'!$B$6^(R21+1)</f>
        <v>11.80865499</v>
      </c>
      <c r="Y21" s="13">
        <f> 'Optimal Choice'!$B$10*'Optimal Choice'!$B$11^(S21+1)</f>
        <v>138.7836459</v>
      </c>
      <c r="Z21" s="13">
        <f> 'Optimal Choice'!$B$15*'Optimal Choice'!$B$16^(T21+1)</f>
        <v>820.8</v>
      </c>
      <c r="AA21" s="13">
        <f> 'Optimal Choice'!$B$20*'Optimal Choice'!$B$21^(U21+1)</f>
        <v>9763.2</v>
      </c>
      <c r="AB21" s="13">
        <f> 'Optimal Choice'!$B$25*'Optimal Choice'!$B$26^(V21+1)</f>
        <v>116121.6</v>
      </c>
      <c r="AE21" s="14">
        <f t="shared" si="4"/>
        <v>1</v>
      </c>
      <c r="AF21" s="14">
        <f t="shared" si="5"/>
        <v>1</v>
      </c>
      <c r="AG21" s="14">
        <f t="shared" si="6"/>
        <v>1</v>
      </c>
      <c r="AH21" s="14">
        <f t="shared" si="7"/>
        <v>1</v>
      </c>
      <c r="AI21" s="14">
        <f t="shared" si="8"/>
        <v>1</v>
      </c>
      <c r="AL21" s="14">
        <f>R21*'Optimal Choice'!$B$4*AE21</f>
        <v>25.05</v>
      </c>
      <c r="AM21" s="14">
        <f>S21*'Optimal Choice'!$B$9*AF21</f>
        <v>100</v>
      </c>
      <c r="AN21" s="14">
        <f>T21*'Optimal Choice'!$B$14*AG21</f>
        <v>0</v>
      </c>
      <c r="AO21" s="14">
        <f>U21*'Optimal Choice'!$B$19*AH21</f>
        <v>0</v>
      </c>
      <c r="AP21" s="14">
        <f>V21*'Optimal Choice'!$B$24*AI21</f>
        <v>0</v>
      </c>
      <c r="AS21" s="14">
        <f t="shared" si="9"/>
        <v>1</v>
      </c>
      <c r="AT21" s="14">
        <f t="shared" si="10"/>
        <v>1</v>
      </c>
      <c r="AU21" s="14">
        <f t="shared" si="11"/>
        <v>1</v>
      </c>
      <c r="AV21" s="14">
        <f t="shared" si="12"/>
        <v>1</v>
      </c>
      <c r="AW21" s="14">
        <f t="shared" si="13"/>
        <v>1</v>
      </c>
      <c r="AY21" s="11">
        <f t="shared" si="14"/>
        <v>0.01914666528</v>
      </c>
    </row>
    <row r="22" ht="15.75" customHeight="1">
      <c r="A22" s="15">
        <f t="shared" si="2"/>
        <v>0.3314564167</v>
      </c>
      <c r="B22" s="7">
        <f>(sum(AL22:AP22))*'Optimal Choice'!$B$28</f>
        <v>126.72</v>
      </c>
      <c r="C22" s="11"/>
      <c r="D22" s="12"/>
      <c r="E22" s="12"/>
      <c r="F22" s="11"/>
      <c r="G22" s="11"/>
      <c r="H22" s="11"/>
      <c r="I22" s="11"/>
      <c r="J22" s="11"/>
      <c r="K22" s="11">
        <f>(X22/$B22)+(X22/('Optimal Choice'!$B$4*AS22))</f>
        <v>7.665734534</v>
      </c>
      <c r="L22" s="11">
        <f>(Y22/$B22)+(Y22/('Optimal Choice'!$B$9*AT22))</f>
        <v>8.034381523</v>
      </c>
      <c r="M22" s="11">
        <f>(Z22/$B22)+(Z22/('Optimal Choice'!$B$14*AU22))</f>
        <v>15.59727273</v>
      </c>
      <c r="N22" s="11">
        <f>(AA22/$B22)+(AA22/('Optimal Choice'!$B$19*AV22))</f>
        <v>104.1654545</v>
      </c>
      <c r="O22" s="11">
        <f>(AB22/$B22)+(AB22/('Optimal Choice'!$B$24*AW22))</f>
        <v>970.1236364</v>
      </c>
      <c r="R22" s="12">
        <f t="shared" ref="R22:V22" si="32">if(min($K21:$O21)=K21,R21+1,R21)</f>
        <v>16</v>
      </c>
      <c r="S22" s="12">
        <f t="shared" si="32"/>
        <v>5</v>
      </c>
      <c r="T22" s="12">
        <f t="shared" si="32"/>
        <v>0</v>
      </c>
      <c r="U22" s="12">
        <f t="shared" si="32"/>
        <v>0</v>
      </c>
      <c r="V22" s="12">
        <f t="shared" si="32"/>
        <v>0</v>
      </c>
      <c r="X22" s="13">
        <f> 'Optimal Choice'!$B$5*'Optimal Choice'!$B$6^(R22+1)</f>
        <v>12.63526084</v>
      </c>
      <c r="Y22" s="13">
        <f> 'Optimal Choice'!$B$10*'Optimal Choice'!$B$11^(S22+1)</f>
        <v>138.7836459</v>
      </c>
      <c r="Z22" s="13">
        <f> 'Optimal Choice'!$B$15*'Optimal Choice'!$B$16^(T22+1)</f>
        <v>820.8</v>
      </c>
      <c r="AA22" s="13">
        <f> 'Optimal Choice'!$B$20*'Optimal Choice'!$B$21^(U22+1)</f>
        <v>9763.2</v>
      </c>
      <c r="AB22" s="13">
        <f> 'Optimal Choice'!$B$25*'Optimal Choice'!$B$26^(V22+1)</f>
        <v>116121.6</v>
      </c>
      <c r="AE22" s="14">
        <f t="shared" si="4"/>
        <v>1</v>
      </c>
      <c r="AF22" s="14">
        <f t="shared" si="5"/>
        <v>1</v>
      </c>
      <c r="AG22" s="14">
        <f t="shared" si="6"/>
        <v>1</v>
      </c>
      <c r="AH22" s="14">
        <f t="shared" si="7"/>
        <v>1</v>
      </c>
      <c r="AI22" s="14">
        <f t="shared" si="8"/>
        <v>1</v>
      </c>
      <c r="AL22" s="14">
        <f>R22*'Optimal Choice'!$B$4*AE22</f>
        <v>26.72</v>
      </c>
      <c r="AM22" s="14">
        <f>S22*'Optimal Choice'!$B$9*AF22</f>
        <v>100</v>
      </c>
      <c r="AN22" s="14">
        <f>T22*'Optimal Choice'!$B$14*AG22</f>
        <v>0</v>
      </c>
      <c r="AO22" s="14">
        <f>U22*'Optimal Choice'!$B$19*AH22</f>
        <v>0</v>
      </c>
      <c r="AP22" s="14">
        <f>V22*'Optimal Choice'!$B$24*AI22</f>
        <v>0</v>
      </c>
      <c r="AS22" s="14">
        <f t="shared" si="9"/>
        <v>1</v>
      </c>
      <c r="AT22" s="14">
        <f t="shared" si="10"/>
        <v>1</v>
      </c>
      <c r="AU22" s="14">
        <f t="shared" si="11"/>
        <v>1</v>
      </c>
      <c r="AV22" s="14">
        <f t="shared" si="12"/>
        <v>1</v>
      </c>
      <c r="AW22" s="14">
        <f t="shared" si="13"/>
        <v>1</v>
      </c>
      <c r="AY22" s="11">
        <f t="shared" si="14"/>
        <v>0.001573857789</v>
      </c>
    </row>
    <row r="23" ht="15.75" customHeight="1">
      <c r="A23" s="15">
        <f t="shared" si="2"/>
        <v>0.3331182513</v>
      </c>
      <c r="B23" s="7">
        <f>(sum(AL23:AP23))*'Optimal Choice'!$B$28</f>
        <v>128.39</v>
      </c>
      <c r="C23" s="11"/>
      <c r="D23" s="12"/>
      <c r="E23" s="12"/>
      <c r="F23" s="11"/>
      <c r="G23" s="11"/>
      <c r="H23" s="11"/>
      <c r="I23" s="11"/>
      <c r="J23" s="11"/>
      <c r="K23" s="11">
        <f>(X23/$B23)+(X23/('Optimal Choice'!$B$4*AS23))</f>
        <v>8.200948211</v>
      </c>
      <c r="L23" s="11">
        <f>(Y23/$B23)+(Y23/('Optimal Choice'!$B$9*AT23))</f>
        <v>8.020136</v>
      </c>
      <c r="M23" s="11">
        <f>(Z23/$B23)+(Z23/('Optimal Choice'!$B$14*AU23))</f>
        <v>15.51302126</v>
      </c>
      <c r="N23" s="11">
        <f>(AA23/$B23)+(AA23/('Optimal Choice'!$B$19*AV23))</f>
        <v>103.1633056</v>
      </c>
      <c r="O23" s="11">
        <f>(AB23/$B23)+(AB23/('Optimal Choice'!$B$24*AW23))</f>
        <v>958.2042714</v>
      </c>
      <c r="R23" s="12">
        <f t="shared" ref="R23:V23" si="33">if(min($K22:$O22)=K22,R22+1,R22)</f>
        <v>17</v>
      </c>
      <c r="S23" s="12">
        <f t="shared" si="33"/>
        <v>5</v>
      </c>
      <c r="T23" s="12">
        <f t="shared" si="33"/>
        <v>0</v>
      </c>
      <c r="U23" s="12">
        <f t="shared" si="33"/>
        <v>0</v>
      </c>
      <c r="V23" s="12">
        <f t="shared" si="33"/>
        <v>0</v>
      </c>
      <c r="X23" s="13">
        <f> 'Optimal Choice'!$B$5*'Optimal Choice'!$B$6^(R23+1)</f>
        <v>13.5197291</v>
      </c>
      <c r="Y23" s="13">
        <f> 'Optimal Choice'!$B$10*'Optimal Choice'!$B$11^(S23+1)</f>
        <v>138.7836459</v>
      </c>
      <c r="Z23" s="13">
        <f> 'Optimal Choice'!$B$15*'Optimal Choice'!$B$16^(T23+1)</f>
        <v>820.8</v>
      </c>
      <c r="AA23" s="13">
        <f> 'Optimal Choice'!$B$20*'Optimal Choice'!$B$21^(U23+1)</f>
        <v>9763.2</v>
      </c>
      <c r="AB23" s="13">
        <f> 'Optimal Choice'!$B$25*'Optimal Choice'!$B$26^(V23+1)</f>
        <v>116121.6</v>
      </c>
      <c r="AE23" s="14">
        <f t="shared" si="4"/>
        <v>1</v>
      </c>
      <c r="AF23" s="14">
        <f t="shared" si="5"/>
        <v>1</v>
      </c>
      <c r="AG23" s="14">
        <f t="shared" si="6"/>
        <v>1</v>
      </c>
      <c r="AH23" s="14">
        <f t="shared" si="7"/>
        <v>1</v>
      </c>
      <c r="AI23" s="14">
        <f t="shared" si="8"/>
        <v>1</v>
      </c>
      <c r="AL23" s="14">
        <f>R23*'Optimal Choice'!$B$4*AE23</f>
        <v>28.39</v>
      </c>
      <c r="AM23" s="14">
        <f>S23*'Optimal Choice'!$B$9*AF23</f>
        <v>100</v>
      </c>
      <c r="AN23" s="14">
        <f>T23*'Optimal Choice'!$B$14*AG23</f>
        <v>0</v>
      </c>
      <c r="AO23" s="14">
        <f>U23*'Optimal Choice'!$B$19*AH23</f>
        <v>0</v>
      </c>
      <c r="AP23" s="14">
        <f>V23*'Optimal Choice'!$B$24*AI23</f>
        <v>0</v>
      </c>
      <c r="AS23" s="14">
        <f t="shared" si="9"/>
        <v>1</v>
      </c>
      <c r="AT23" s="14">
        <f t="shared" si="10"/>
        <v>1</v>
      </c>
      <c r="AU23" s="14">
        <f t="shared" si="11"/>
        <v>1</v>
      </c>
      <c r="AV23" s="14">
        <f t="shared" si="12"/>
        <v>1</v>
      </c>
      <c r="AW23" s="14">
        <f t="shared" si="13"/>
        <v>1</v>
      </c>
      <c r="AY23" s="11">
        <f t="shared" si="14"/>
        <v>0.001661834602</v>
      </c>
    </row>
    <row r="24" ht="15.75" customHeight="1">
      <c r="A24" s="15">
        <f t="shared" si="2"/>
        <v>0.3511341464</v>
      </c>
      <c r="B24" s="7">
        <f>(sum(AL24:AP24))*'Optimal Choice'!$B$28</f>
        <v>148.39</v>
      </c>
      <c r="C24" s="11"/>
      <c r="D24" s="12"/>
      <c r="E24" s="12"/>
      <c r="F24" s="11"/>
      <c r="G24" s="11"/>
      <c r="H24" s="11"/>
      <c r="I24" s="11"/>
      <c r="J24" s="11"/>
      <c r="K24" s="11">
        <f>(X24/$B24)+(X24/('Optimal Choice'!$B$4*AS24))</f>
        <v>8.186755605</v>
      </c>
      <c r="L24" s="11">
        <f>(Y24/$B24)+(Y24/('Optimal Choice'!$B$9*AT24))</f>
        <v>9.055611854</v>
      </c>
      <c r="M24" s="11">
        <f>(Z24/$B24)+(Z24/('Optimal Choice'!$B$14*AU24))</f>
        <v>14.65137004</v>
      </c>
      <c r="N24" s="11">
        <f>(AA24/$B24)+(AA24/('Optimal Choice'!$B$19*AV24))</f>
        <v>92.91419098</v>
      </c>
      <c r="O24" s="11">
        <f>(AB24/$B24)+(AB24/('Optimal Choice'!$B$24*AW24))</f>
        <v>836.3032981</v>
      </c>
      <c r="R24" s="12">
        <f t="shared" ref="R24:V24" si="34">if(min($K23:$O23)=K23,R23+1,R23)</f>
        <v>17</v>
      </c>
      <c r="S24" s="12">
        <f t="shared" si="34"/>
        <v>6</v>
      </c>
      <c r="T24" s="12">
        <f t="shared" si="34"/>
        <v>0</v>
      </c>
      <c r="U24" s="12">
        <f t="shared" si="34"/>
        <v>0</v>
      </c>
      <c r="V24" s="12">
        <f t="shared" si="34"/>
        <v>0</v>
      </c>
      <c r="X24" s="13">
        <f> 'Optimal Choice'!$B$5*'Optimal Choice'!$B$6^(R24+1)</f>
        <v>13.5197291</v>
      </c>
      <c r="Y24" s="13">
        <f> 'Optimal Choice'!$B$10*'Optimal Choice'!$B$11^(S24+1)</f>
        <v>159.6011928</v>
      </c>
      <c r="Z24" s="13">
        <f> 'Optimal Choice'!$B$15*'Optimal Choice'!$B$16^(T24+1)</f>
        <v>820.8</v>
      </c>
      <c r="AA24" s="13">
        <f> 'Optimal Choice'!$B$20*'Optimal Choice'!$B$21^(U24+1)</f>
        <v>9763.2</v>
      </c>
      <c r="AB24" s="13">
        <f> 'Optimal Choice'!$B$25*'Optimal Choice'!$B$26^(V24+1)</f>
        <v>116121.6</v>
      </c>
      <c r="AE24" s="14">
        <f t="shared" si="4"/>
        <v>1</v>
      </c>
      <c r="AF24" s="14">
        <f t="shared" si="5"/>
        <v>1</v>
      </c>
      <c r="AG24" s="14">
        <f t="shared" si="6"/>
        <v>1</v>
      </c>
      <c r="AH24" s="14">
        <f t="shared" si="7"/>
        <v>1</v>
      </c>
      <c r="AI24" s="14">
        <f t="shared" si="8"/>
        <v>1</v>
      </c>
      <c r="AL24" s="14">
        <f>R24*'Optimal Choice'!$B$4*AE24</f>
        <v>28.39</v>
      </c>
      <c r="AM24" s="14">
        <f>S24*'Optimal Choice'!$B$9*AF24</f>
        <v>120</v>
      </c>
      <c r="AN24" s="14">
        <f>T24*'Optimal Choice'!$B$14*AG24</f>
        <v>0</v>
      </c>
      <c r="AO24" s="14">
        <f>U24*'Optimal Choice'!$B$19*AH24</f>
        <v>0</v>
      </c>
      <c r="AP24" s="14">
        <f>V24*'Optimal Choice'!$B$24*AI24</f>
        <v>0</v>
      </c>
      <c r="AS24" s="14">
        <f t="shared" si="9"/>
        <v>1</v>
      </c>
      <c r="AT24" s="14">
        <f t="shared" si="10"/>
        <v>1</v>
      </c>
      <c r="AU24" s="14">
        <f t="shared" si="11"/>
        <v>1</v>
      </c>
      <c r="AV24" s="14">
        <f t="shared" si="12"/>
        <v>1</v>
      </c>
      <c r="AW24" s="14">
        <f t="shared" si="13"/>
        <v>1</v>
      </c>
      <c r="AY24" s="11">
        <f t="shared" si="14"/>
        <v>0.01801589505</v>
      </c>
    </row>
    <row r="25" ht="15.75" customHeight="1">
      <c r="A25" s="15">
        <f t="shared" si="2"/>
        <v>0.352652637</v>
      </c>
      <c r="B25" s="7">
        <f>(sum(AL25:AP25))*'Optimal Choice'!$B$28</f>
        <v>150.06</v>
      </c>
      <c r="C25" s="11"/>
      <c r="D25" s="12"/>
      <c r="E25" s="12"/>
      <c r="F25" s="11"/>
      <c r="G25" s="11"/>
      <c r="H25" s="11"/>
      <c r="I25" s="11"/>
      <c r="J25" s="11"/>
      <c r="K25" s="11">
        <f>(X25/$B25)+(X25/('Optimal Choice'!$B$4*AS25))</f>
        <v>8.758743575</v>
      </c>
      <c r="L25" s="11">
        <f>(Y25/$B25)+(Y25/('Optimal Choice'!$B$9*AT25))</f>
        <v>9.043642161</v>
      </c>
      <c r="M25" s="11">
        <f>(Z25/$B25)+(Z25/('Optimal Choice'!$B$14*AU25))</f>
        <v>14.58981208</v>
      </c>
      <c r="N25" s="11">
        <f>(AA25/$B25)+(AA25/('Optimal Choice'!$B$19*AV25))</f>
        <v>92.18197521</v>
      </c>
      <c r="O25" s="11">
        <f>(AB25/$B25)+(AB25/('Optimal Choice'!$B$24*AW25))</f>
        <v>827.5944662</v>
      </c>
      <c r="R25" s="12">
        <f t="shared" ref="R25:V25" si="35">if(min($K24:$O24)=K24,R24+1,R24)</f>
        <v>18</v>
      </c>
      <c r="S25" s="12">
        <f t="shared" si="35"/>
        <v>6</v>
      </c>
      <c r="T25" s="12">
        <f t="shared" si="35"/>
        <v>0</v>
      </c>
      <c r="U25" s="12">
        <f t="shared" si="35"/>
        <v>0</v>
      </c>
      <c r="V25" s="12">
        <f t="shared" si="35"/>
        <v>0</v>
      </c>
      <c r="X25" s="13">
        <f> 'Optimal Choice'!$B$5*'Optimal Choice'!$B$6^(R25+1)</f>
        <v>14.46611014</v>
      </c>
      <c r="Y25" s="13">
        <f> 'Optimal Choice'!$B$10*'Optimal Choice'!$B$11^(S25+1)</f>
        <v>159.6011928</v>
      </c>
      <c r="Z25" s="13">
        <f> 'Optimal Choice'!$B$15*'Optimal Choice'!$B$16^(T25+1)</f>
        <v>820.8</v>
      </c>
      <c r="AA25" s="13">
        <f> 'Optimal Choice'!$B$20*'Optimal Choice'!$B$21^(U25+1)</f>
        <v>9763.2</v>
      </c>
      <c r="AB25" s="13">
        <f> 'Optimal Choice'!$B$25*'Optimal Choice'!$B$26^(V25+1)</f>
        <v>116121.6</v>
      </c>
      <c r="AE25" s="14">
        <f t="shared" si="4"/>
        <v>1</v>
      </c>
      <c r="AF25" s="14">
        <f t="shared" si="5"/>
        <v>1</v>
      </c>
      <c r="AG25" s="14">
        <f t="shared" si="6"/>
        <v>1</v>
      </c>
      <c r="AH25" s="14">
        <f t="shared" si="7"/>
        <v>1</v>
      </c>
      <c r="AI25" s="14">
        <f t="shared" si="8"/>
        <v>1</v>
      </c>
      <c r="AL25" s="14">
        <f>R25*'Optimal Choice'!$B$4*AE25</f>
        <v>30.06</v>
      </c>
      <c r="AM25" s="14">
        <f>S25*'Optimal Choice'!$B$9*AF25</f>
        <v>120</v>
      </c>
      <c r="AN25" s="14">
        <f>T25*'Optimal Choice'!$B$14*AG25</f>
        <v>0</v>
      </c>
      <c r="AO25" s="14">
        <f>U25*'Optimal Choice'!$B$19*AH25</f>
        <v>0</v>
      </c>
      <c r="AP25" s="14">
        <f>V25*'Optimal Choice'!$B$24*AI25</f>
        <v>0</v>
      </c>
      <c r="AS25" s="14">
        <f t="shared" si="9"/>
        <v>1</v>
      </c>
      <c r="AT25" s="14">
        <f t="shared" si="10"/>
        <v>1</v>
      </c>
      <c r="AU25" s="14">
        <f t="shared" si="11"/>
        <v>1</v>
      </c>
      <c r="AV25" s="14">
        <f t="shared" si="12"/>
        <v>1</v>
      </c>
      <c r="AW25" s="14">
        <f t="shared" si="13"/>
        <v>1</v>
      </c>
      <c r="AY25" s="11">
        <f t="shared" si="14"/>
        <v>0.001518490588</v>
      </c>
    </row>
    <row r="26" ht="15.75" customHeight="1">
      <c r="A26" s="15">
        <f t="shared" si="2"/>
        <v>0.3542593399</v>
      </c>
      <c r="B26" s="7">
        <f>(sum(AL26:AP26))*'Optimal Choice'!$B$28</f>
        <v>151.73</v>
      </c>
      <c r="C26" s="11"/>
      <c r="D26" s="12"/>
      <c r="E26" s="12"/>
      <c r="F26" s="11"/>
      <c r="G26" s="11"/>
      <c r="H26" s="11"/>
      <c r="I26" s="11"/>
      <c r="J26" s="11"/>
      <c r="K26" s="11">
        <f>(X26/$B26)+(X26/('Optimal Choice'!$B$4*AS26))</f>
        <v>9.370720312</v>
      </c>
      <c r="L26" s="11">
        <f>(Y26/$B26)+(Y26/('Optimal Choice'!$B$9*AT26))</f>
        <v>9.031935953</v>
      </c>
      <c r="M26" s="11">
        <f>(Z26/$B26)+(Z26/('Optimal Choice'!$B$14*AU26))</f>
        <v>14.52960917</v>
      </c>
      <c r="N26" s="11">
        <f>(AA26/$B26)+(AA26/('Optimal Choice'!$B$19*AV26))</f>
        <v>91.46587755</v>
      </c>
      <c r="O26" s="11">
        <f>(AB26/$B26)+(AB26/('Optimal Choice'!$B$24*AW26))</f>
        <v>819.07734</v>
      </c>
      <c r="R26" s="12">
        <f t="shared" ref="R26:V26" si="36">if(min($K25:$O25)=K25,R25+1,R25)</f>
        <v>19</v>
      </c>
      <c r="S26" s="12">
        <f t="shared" si="36"/>
        <v>6</v>
      </c>
      <c r="T26" s="12">
        <f t="shared" si="36"/>
        <v>0</v>
      </c>
      <c r="U26" s="12">
        <f t="shared" si="36"/>
        <v>0</v>
      </c>
      <c r="V26" s="12">
        <f t="shared" si="36"/>
        <v>0</v>
      </c>
      <c r="X26" s="13">
        <f> 'Optimal Choice'!$B$5*'Optimal Choice'!$B$6^(R26+1)</f>
        <v>15.47873785</v>
      </c>
      <c r="Y26" s="13">
        <f> 'Optimal Choice'!$B$10*'Optimal Choice'!$B$11^(S26+1)</f>
        <v>159.6011928</v>
      </c>
      <c r="Z26" s="13">
        <f> 'Optimal Choice'!$B$15*'Optimal Choice'!$B$16^(T26+1)</f>
        <v>820.8</v>
      </c>
      <c r="AA26" s="13">
        <f> 'Optimal Choice'!$B$20*'Optimal Choice'!$B$21^(U26+1)</f>
        <v>9763.2</v>
      </c>
      <c r="AB26" s="13">
        <f> 'Optimal Choice'!$B$25*'Optimal Choice'!$B$26^(V26+1)</f>
        <v>116121.6</v>
      </c>
      <c r="AE26" s="14">
        <f t="shared" si="4"/>
        <v>1</v>
      </c>
      <c r="AF26" s="14">
        <f t="shared" si="5"/>
        <v>1</v>
      </c>
      <c r="AG26" s="14">
        <f t="shared" si="6"/>
        <v>1</v>
      </c>
      <c r="AH26" s="14">
        <f t="shared" si="7"/>
        <v>1</v>
      </c>
      <c r="AI26" s="14">
        <f t="shared" si="8"/>
        <v>1</v>
      </c>
      <c r="AL26" s="14">
        <f>R26*'Optimal Choice'!$B$4*AE26</f>
        <v>31.73</v>
      </c>
      <c r="AM26" s="14">
        <f>S26*'Optimal Choice'!$B$9*AF26</f>
        <v>120</v>
      </c>
      <c r="AN26" s="14">
        <f>T26*'Optimal Choice'!$B$14*AG26</f>
        <v>0</v>
      </c>
      <c r="AO26" s="14">
        <f>U26*'Optimal Choice'!$B$19*AH26</f>
        <v>0</v>
      </c>
      <c r="AP26" s="14">
        <f>V26*'Optimal Choice'!$B$24*AI26</f>
        <v>0</v>
      </c>
      <c r="AS26" s="14">
        <f t="shared" si="9"/>
        <v>1</v>
      </c>
      <c r="AT26" s="14">
        <f t="shared" si="10"/>
        <v>1</v>
      </c>
      <c r="AU26" s="14">
        <f t="shared" si="11"/>
        <v>1</v>
      </c>
      <c r="AV26" s="14">
        <f t="shared" si="12"/>
        <v>1</v>
      </c>
      <c r="AW26" s="14">
        <f t="shared" si="13"/>
        <v>1</v>
      </c>
      <c r="AY26" s="11">
        <f t="shared" si="14"/>
        <v>0.00160670289</v>
      </c>
    </row>
    <row r="27" ht="15.75" customHeight="1">
      <c r="A27" s="15">
        <f t="shared" si="2"/>
        <v>0.3717906117</v>
      </c>
      <c r="B27" s="7">
        <f>(sum(AL27:AP27))*'Optimal Choice'!$B$28</f>
        <v>171.73</v>
      </c>
      <c r="C27" s="11"/>
      <c r="D27" s="12"/>
      <c r="E27" s="12"/>
      <c r="F27" s="11"/>
      <c r="G27" s="11"/>
      <c r="H27" s="11"/>
      <c r="I27" s="11"/>
      <c r="J27" s="11"/>
      <c r="K27" s="11">
        <f>(X27/$B27)+(X27/('Optimal Choice'!$B$4*AS27))</f>
        <v>9.358839451</v>
      </c>
      <c r="L27" s="11">
        <f>(Y27/$B27)+(Y27/('Optimal Choice'!$B$9*AT27))</f>
        <v>10.24584732</v>
      </c>
      <c r="M27" s="11">
        <f>(Z27/$B27)+(Z27/('Optimal Choice'!$B$14*AU27))</f>
        <v>13.89959588</v>
      </c>
      <c r="N27" s="11">
        <f>(AA27/$B27)+(AA27/('Optimal Choice'!$B$19*AV27))</f>
        <v>83.97203517</v>
      </c>
      <c r="O27" s="11">
        <f>(AB27/$B27)+(AB27/('Optimal Choice'!$B$24*AW27))</f>
        <v>729.9470378</v>
      </c>
      <c r="R27" s="12">
        <f t="shared" ref="R27:V27" si="37">if(min($K26:$O26)=K26,R26+1,R26)</f>
        <v>19</v>
      </c>
      <c r="S27" s="12">
        <f t="shared" si="37"/>
        <v>7</v>
      </c>
      <c r="T27" s="12">
        <f t="shared" si="37"/>
        <v>0</v>
      </c>
      <c r="U27" s="12">
        <f t="shared" si="37"/>
        <v>0</v>
      </c>
      <c r="V27" s="12">
        <f t="shared" si="37"/>
        <v>0</v>
      </c>
      <c r="X27" s="13">
        <f> 'Optimal Choice'!$B$5*'Optimal Choice'!$B$6^(R27+1)</f>
        <v>15.47873785</v>
      </c>
      <c r="Y27" s="13">
        <f> 'Optimal Choice'!$B$10*'Optimal Choice'!$B$11^(S27+1)</f>
        <v>183.5413718</v>
      </c>
      <c r="Z27" s="13">
        <f> 'Optimal Choice'!$B$15*'Optimal Choice'!$B$16^(T27+1)</f>
        <v>820.8</v>
      </c>
      <c r="AA27" s="13">
        <f> 'Optimal Choice'!$B$20*'Optimal Choice'!$B$21^(U27+1)</f>
        <v>9763.2</v>
      </c>
      <c r="AB27" s="13">
        <f> 'Optimal Choice'!$B$25*'Optimal Choice'!$B$26^(V27+1)</f>
        <v>116121.6</v>
      </c>
      <c r="AE27" s="14">
        <f t="shared" si="4"/>
        <v>1</v>
      </c>
      <c r="AF27" s="14">
        <f t="shared" si="5"/>
        <v>1</v>
      </c>
      <c r="AG27" s="14">
        <f t="shared" si="6"/>
        <v>1</v>
      </c>
      <c r="AH27" s="14">
        <f t="shared" si="7"/>
        <v>1</v>
      </c>
      <c r="AI27" s="14">
        <f t="shared" si="8"/>
        <v>1</v>
      </c>
      <c r="AL27" s="14">
        <f>R27*'Optimal Choice'!$B$4*AE27</f>
        <v>31.73</v>
      </c>
      <c r="AM27" s="14">
        <f>S27*'Optimal Choice'!$B$9*AF27</f>
        <v>140</v>
      </c>
      <c r="AN27" s="14">
        <f>T27*'Optimal Choice'!$B$14*AG27</f>
        <v>0</v>
      </c>
      <c r="AO27" s="14">
        <f>U27*'Optimal Choice'!$B$19*AH27</f>
        <v>0</v>
      </c>
      <c r="AP27" s="14">
        <f>V27*'Optimal Choice'!$B$24*AI27</f>
        <v>0</v>
      </c>
      <c r="AS27" s="14">
        <f t="shared" si="9"/>
        <v>1</v>
      </c>
      <c r="AT27" s="14">
        <f t="shared" si="10"/>
        <v>1</v>
      </c>
      <c r="AU27" s="14">
        <f t="shared" si="11"/>
        <v>1</v>
      </c>
      <c r="AV27" s="14">
        <f t="shared" si="12"/>
        <v>1</v>
      </c>
      <c r="AW27" s="14">
        <f t="shared" si="13"/>
        <v>1</v>
      </c>
      <c r="AY27" s="11">
        <f t="shared" si="14"/>
        <v>0.01753127187</v>
      </c>
    </row>
    <row r="28" ht="15.75" customHeight="1">
      <c r="A28" s="15">
        <f t="shared" si="2"/>
        <v>0.3732928476</v>
      </c>
      <c r="B28" s="7">
        <f>(sum(AL28:AP28))*'Optimal Choice'!$B$28</f>
        <v>173.4</v>
      </c>
      <c r="C28" s="11"/>
      <c r="D28" s="12"/>
      <c r="E28" s="12"/>
      <c r="F28" s="11"/>
      <c r="G28" s="11"/>
      <c r="H28" s="11"/>
      <c r="I28" s="11"/>
      <c r="J28" s="11"/>
      <c r="K28" s="11">
        <f>(X28/$B28)+(X28/('Optimal Choice'!$B$4*AS28))</f>
        <v>10.01302937</v>
      </c>
      <c r="L28" s="11">
        <f>(Y28/$B28)+(Y28/('Optimal Choice'!$B$9*AT28))</f>
        <v>10.23555401</v>
      </c>
      <c r="M28" s="11">
        <f>(Z28/$B28)+(Z28/('Optimal Choice'!$B$14*AU28))</f>
        <v>13.85356401</v>
      </c>
      <c r="N28" s="11">
        <f>(AA28/$B28)+(AA28/('Optimal Choice'!$B$19*AV28))</f>
        <v>83.42449827</v>
      </c>
      <c r="O28" s="11">
        <f>(AB28/$B28)+(AB28/('Optimal Choice'!$B$24*AW28))</f>
        <v>723.4347405</v>
      </c>
      <c r="R28" s="12">
        <f t="shared" ref="R28:V28" si="38">if(min($K27:$O27)=K27,R27+1,R27)</f>
        <v>20</v>
      </c>
      <c r="S28" s="12">
        <f t="shared" si="38"/>
        <v>7</v>
      </c>
      <c r="T28" s="12">
        <f t="shared" si="38"/>
        <v>0</v>
      </c>
      <c r="U28" s="12">
        <f t="shared" si="38"/>
        <v>0</v>
      </c>
      <c r="V28" s="12">
        <f t="shared" si="38"/>
        <v>0</v>
      </c>
      <c r="X28" s="13">
        <f> 'Optimal Choice'!$B$5*'Optimal Choice'!$B$6^(R28+1)</f>
        <v>16.5622495</v>
      </c>
      <c r="Y28" s="13">
        <f> 'Optimal Choice'!$B$10*'Optimal Choice'!$B$11^(S28+1)</f>
        <v>183.5413718</v>
      </c>
      <c r="Z28" s="13">
        <f> 'Optimal Choice'!$B$15*'Optimal Choice'!$B$16^(T28+1)</f>
        <v>820.8</v>
      </c>
      <c r="AA28" s="13">
        <f> 'Optimal Choice'!$B$20*'Optimal Choice'!$B$21^(U28+1)</f>
        <v>9763.2</v>
      </c>
      <c r="AB28" s="13">
        <f> 'Optimal Choice'!$B$25*'Optimal Choice'!$B$26^(V28+1)</f>
        <v>116121.6</v>
      </c>
      <c r="AE28" s="14">
        <f t="shared" si="4"/>
        <v>1</v>
      </c>
      <c r="AF28" s="14">
        <f t="shared" si="5"/>
        <v>1</v>
      </c>
      <c r="AG28" s="14">
        <f t="shared" si="6"/>
        <v>1</v>
      </c>
      <c r="AH28" s="14">
        <f t="shared" si="7"/>
        <v>1</v>
      </c>
      <c r="AI28" s="14">
        <f t="shared" si="8"/>
        <v>1</v>
      </c>
      <c r="AL28" s="14">
        <f>R28*'Optimal Choice'!$B$4*AE28</f>
        <v>33.4</v>
      </c>
      <c r="AM28" s="14">
        <f>S28*'Optimal Choice'!$B$9*AF28</f>
        <v>140</v>
      </c>
      <c r="AN28" s="14">
        <f>T28*'Optimal Choice'!$B$14*AG28</f>
        <v>0</v>
      </c>
      <c r="AO28" s="14">
        <f>U28*'Optimal Choice'!$B$19*AH28</f>
        <v>0</v>
      </c>
      <c r="AP28" s="14">
        <f>V28*'Optimal Choice'!$B$24*AI28</f>
        <v>0</v>
      </c>
      <c r="AS28" s="14">
        <f t="shared" si="9"/>
        <v>1</v>
      </c>
      <c r="AT28" s="14">
        <f t="shared" si="10"/>
        <v>1</v>
      </c>
      <c r="AU28" s="14">
        <f t="shared" si="11"/>
        <v>1</v>
      </c>
      <c r="AV28" s="14">
        <f t="shared" si="12"/>
        <v>1</v>
      </c>
      <c r="AW28" s="14">
        <f t="shared" si="13"/>
        <v>1</v>
      </c>
      <c r="AY28" s="11">
        <f t="shared" si="14"/>
        <v>0.00150223586</v>
      </c>
    </row>
    <row r="29" ht="15.75" customHeight="1">
      <c r="A29" s="15">
        <f t="shared" si="2"/>
        <v>0.3748847593</v>
      </c>
      <c r="B29" s="7">
        <f>(sum(AL29:AP29))*'Optimal Choice'!$B$28</f>
        <v>175.07</v>
      </c>
      <c r="C29" s="11"/>
      <c r="D29" s="12"/>
      <c r="E29" s="12"/>
      <c r="F29" s="11"/>
      <c r="G29" s="11"/>
      <c r="H29" s="11"/>
      <c r="I29" s="11"/>
      <c r="J29" s="11"/>
      <c r="K29" s="11">
        <f>(X29/$B29)+(X29/('Optimal Choice'!$B$4*AS29))</f>
        <v>10.71296653</v>
      </c>
      <c r="L29" s="11">
        <f>(Y29/$B29)+(Y29/('Optimal Choice'!$B$9*AT29))</f>
        <v>10.22545707</v>
      </c>
      <c r="M29" s="11">
        <f>(Z29/$B29)+(Z29/('Optimal Choice'!$B$14*AU29))</f>
        <v>13.80841035</v>
      </c>
      <c r="N29" s="11">
        <f>(AA29/$B29)+(AA29/('Optimal Choice'!$B$19*AV29))</f>
        <v>82.88740732</v>
      </c>
      <c r="O29" s="11">
        <f>(AB29/$B29)+(AB29/('Optimal Choice'!$B$24*AW29))</f>
        <v>717.0466853</v>
      </c>
      <c r="R29" s="12">
        <f t="shared" ref="R29:V29" si="39">if(min($K28:$O28)=K28,R28+1,R28)</f>
        <v>21</v>
      </c>
      <c r="S29" s="12">
        <f t="shared" si="39"/>
        <v>7</v>
      </c>
      <c r="T29" s="12">
        <f t="shared" si="39"/>
        <v>0</v>
      </c>
      <c r="U29" s="12">
        <f t="shared" si="39"/>
        <v>0</v>
      </c>
      <c r="V29" s="12">
        <f t="shared" si="39"/>
        <v>0</v>
      </c>
      <c r="X29" s="13">
        <f> 'Optimal Choice'!$B$5*'Optimal Choice'!$B$6^(R29+1)</f>
        <v>17.72160696</v>
      </c>
      <c r="Y29" s="13">
        <f> 'Optimal Choice'!$B$10*'Optimal Choice'!$B$11^(S29+1)</f>
        <v>183.5413718</v>
      </c>
      <c r="Z29" s="13">
        <f> 'Optimal Choice'!$B$15*'Optimal Choice'!$B$16^(T29+1)</f>
        <v>820.8</v>
      </c>
      <c r="AA29" s="13">
        <f> 'Optimal Choice'!$B$20*'Optimal Choice'!$B$21^(U29+1)</f>
        <v>9763.2</v>
      </c>
      <c r="AB29" s="13">
        <f> 'Optimal Choice'!$B$25*'Optimal Choice'!$B$26^(V29+1)</f>
        <v>116121.6</v>
      </c>
      <c r="AE29" s="14">
        <f t="shared" si="4"/>
        <v>1</v>
      </c>
      <c r="AF29" s="14">
        <f t="shared" si="5"/>
        <v>1</v>
      </c>
      <c r="AG29" s="14">
        <f t="shared" si="6"/>
        <v>1</v>
      </c>
      <c r="AH29" s="14">
        <f t="shared" si="7"/>
        <v>1</v>
      </c>
      <c r="AI29" s="14">
        <f t="shared" si="8"/>
        <v>1</v>
      </c>
      <c r="AL29" s="14">
        <f>R29*'Optimal Choice'!$B$4*AE29</f>
        <v>35.07</v>
      </c>
      <c r="AM29" s="14">
        <f>S29*'Optimal Choice'!$B$9*AF29</f>
        <v>140</v>
      </c>
      <c r="AN29" s="14">
        <f>T29*'Optimal Choice'!$B$14*AG29</f>
        <v>0</v>
      </c>
      <c r="AO29" s="14">
        <f>U29*'Optimal Choice'!$B$19*AH29</f>
        <v>0</v>
      </c>
      <c r="AP29" s="14">
        <f>V29*'Optimal Choice'!$B$24*AI29</f>
        <v>0</v>
      </c>
      <c r="AS29" s="14">
        <f t="shared" si="9"/>
        <v>1</v>
      </c>
      <c r="AT29" s="14">
        <f t="shared" si="10"/>
        <v>1</v>
      </c>
      <c r="AU29" s="14">
        <f t="shared" si="11"/>
        <v>1</v>
      </c>
      <c r="AV29" s="14">
        <f t="shared" si="12"/>
        <v>1</v>
      </c>
      <c r="AW29" s="14">
        <f t="shared" si="13"/>
        <v>1</v>
      </c>
      <c r="AY29" s="11">
        <f t="shared" si="14"/>
        <v>0.001591911717</v>
      </c>
    </row>
    <row r="30" ht="15.75" customHeight="1">
      <c r="A30" s="15">
        <f t="shared" si="2"/>
        <v>0.3923579007</v>
      </c>
      <c r="B30" s="7">
        <f>(sum(AL30:AP30))*'Optimal Choice'!$B$28</f>
        <v>195.07</v>
      </c>
      <c r="C30" s="11"/>
      <c r="D30" s="12"/>
      <c r="E30" s="12"/>
      <c r="F30" s="11"/>
      <c r="G30" s="11"/>
      <c r="H30" s="11"/>
      <c r="I30" s="11"/>
      <c r="J30" s="11"/>
      <c r="K30" s="11">
        <f>(X30/$B30)+(X30/('Optimal Choice'!$B$4*AS30))</f>
        <v>10.70258812</v>
      </c>
      <c r="L30" s="11">
        <f>(Y30/$B30)+(Y30/('Optimal Choice'!$B$9*AT30))</f>
        <v>11.63566393</v>
      </c>
      <c r="M30" s="11">
        <f>(Z30/$B30)+(Z30/('Optimal Choice'!$B$14*AU30))</f>
        <v>13.32772031</v>
      </c>
      <c r="N30" s="11">
        <f>(AA30/$B30)+(AA30/('Optimal Choice'!$B$19*AV30))</f>
        <v>77.16972574</v>
      </c>
      <c r="O30" s="11">
        <f>(AB30/$B30)+(AB30/('Optimal Choice'!$B$24*AW30))</f>
        <v>649.0416938</v>
      </c>
      <c r="R30" s="12">
        <f t="shared" ref="R30:V30" si="40">if(min($K29:$O29)=K29,R29+1,R29)</f>
        <v>21</v>
      </c>
      <c r="S30" s="12">
        <f t="shared" si="40"/>
        <v>8</v>
      </c>
      <c r="T30" s="12">
        <f t="shared" si="40"/>
        <v>0</v>
      </c>
      <c r="U30" s="12">
        <f t="shared" si="40"/>
        <v>0</v>
      </c>
      <c r="V30" s="12">
        <f t="shared" si="40"/>
        <v>0</v>
      </c>
      <c r="X30" s="13">
        <f> 'Optimal Choice'!$B$5*'Optimal Choice'!$B$6^(R30+1)</f>
        <v>17.72160696</v>
      </c>
      <c r="Y30" s="13">
        <f> 'Optimal Choice'!$B$10*'Optimal Choice'!$B$11^(S30+1)</f>
        <v>211.0725775</v>
      </c>
      <c r="Z30" s="13">
        <f> 'Optimal Choice'!$B$15*'Optimal Choice'!$B$16^(T30+1)</f>
        <v>820.8</v>
      </c>
      <c r="AA30" s="13">
        <f> 'Optimal Choice'!$B$20*'Optimal Choice'!$B$21^(U30+1)</f>
        <v>9763.2</v>
      </c>
      <c r="AB30" s="13">
        <f> 'Optimal Choice'!$B$25*'Optimal Choice'!$B$26^(V30+1)</f>
        <v>116121.6</v>
      </c>
      <c r="AE30" s="14">
        <f t="shared" si="4"/>
        <v>1</v>
      </c>
      <c r="AF30" s="14">
        <f t="shared" si="5"/>
        <v>1</v>
      </c>
      <c r="AG30" s="14">
        <f t="shared" si="6"/>
        <v>1</v>
      </c>
      <c r="AH30" s="14">
        <f t="shared" si="7"/>
        <v>1</v>
      </c>
      <c r="AI30" s="14">
        <f t="shared" si="8"/>
        <v>1</v>
      </c>
      <c r="AL30" s="14">
        <f>R30*'Optimal Choice'!$B$4*AE30</f>
        <v>35.07</v>
      </c>
      <c r="AM30" s="14">
        <f>S30*'Optimal Choice'!$B$9*AF30</f>
        <v>160</v>
      </c>
      <c r="AN30" s="14">
        <f>T30*'Optimal Choice'!$B$14*AG30</f>
        <v>0</v>
      </c>
      <c r="AO30" s="14">
        <f>U30*'Optimal Choice'!$B$19*AH30</f>
        <v>0</v>
      </c>
      <c r="AP30" s="14">
        <f>V30*'Optimal Choice'!$B$24*AI30</f>
        <v>0</v>
      </c>
      <c r="AS30" s="14">
        <f t="shared" si="9"/>
        <v>1</v>
      </c>
      <c r="AT30" s="14">
        <f t="shared" si="10"/>
        <v>1</v>
      </c>
      <c r="AU30" s="14">
        <f t="shared" si="11"/>
        <v>1</v>
      </c>
      <c r="AV30" s="14">
        <f t="shared" si="12"/>
        <v>1</v>
      </c>
      <c r="AW30" s="14">
        <f t="shared" si="13"/>
        <v>1</v>
      </c>
      <c r="AY30" s="11">
        <f t="shared" si="14"/>
        <v>0.01747314139</v>
      </c>
    </row>
    <row r="31" ht="15.75" customHeight="1">
      <c r="A31" s="15">
        <f t="shared" si="2"/>
        <v>0.3938720244</v>
      </c>
      <c r="B31" s="7">
        <f>(sum(AL31:AP31))*'Optimal Choice'!$B$28</f>
        <v>196.74</v>
      </c>
      <c r="C31" s="11"/>
      <c r="D31" s="12"/>
      <c r="E31" s="12"/>
      <c r="F31" s="11"/>
      <c r="G31" s="11"/>
      <c r="H31" s="11"/>
      <c r="I31" s="11"/>
      <c r="J31" s="11"/>
      <c r="K31" s="11">
        <f>(X31/$B31)+(X31/('Optimal Choice'!$B$4*AS31))</f>
        <v>11.45094416</v>
      </c>
      <c r="L31" s="11">
        <f>(Y31/$B31)+(Y31/('Optimal Choice'!$B$9*AT31))</f>
        <v>11.62647922</v>
      </c>
      <c r="M31" s="11">
        <f>(Z31/$B31)+(Z31/('Optimal Choice'!$B$14*AU31))</f>
        <v>13.29200366</v>
      </c>
      <c r="N31" s="11">
        <f>(AA31/$B31)+(AA31/('Optimal Choice'!$B$19*AV31))</f>
        <v>76.74488564</v>
      </c>
      <c r="O31" s="11">
        <f>(AB31/$B31)+(AB31/('Optimal Choice'!$B$24*AW31))</f>
        <v>643.9887283</v>
      </c>
      <c r="R31" s="12">
        <f t="shared" ref="R31:V31" si="41">if(min($K30:$O30)=K30,R30+1,R30)</f>
        <v>22</v>
      </c>
      <c r="S31" s="12">
        <f t="shared" si="41"/>
        <v>8</v>
      </c>
      <c r="T31" s="12">
        <f t="shared" si="41"/>
        <v>0</v>
      </c>
      <c r="U31" s="12">
        <f t="shared" si="41"/>
        <v>0</v>
      </c>
      <c r="V31" s="12">
        <f t="shared" si="41"/>
        <v>0</v>
      </c>
      <c r="X31" s="13">
        <f> 'Optimal Choice'!$B$5*'Optimal Choice'!$B$6^(R31+1)</f>
        <v>18.96211945</v>
      </c>
      <c r="Y31" s="13">
        <f> 'Optimal Choice'!$B$10*'Optimal Choice'!$B$11^(S31+1)</f>
        <v>211.0725775</v>
      </c>
      <c r="Z31" s="13">
        <f> 'Optimal Choice'!$B$15*'Optimal Choice'!$B$16^(T31+1)</f>
        <v>820.8</v>
      </c>
      <c r="AA31" s="13">
        <f> 'Optimal Choice'!$B$20*'Optimal Choice'!$B$21^(U31+1)</f>
        <v>9763.2</v>
      </c>
      <c r="AB31" s="13">
        <f> 'Optimal Choice'!$B$25*'Optimal Choice'!$B$26^(V31+1)</f>
        <v>116121.6</v>
      </c>
      <c r="AE31" s="14">
        <f t="shared" si="4"/>
        <v>1</v>
      </c>
      <c r="AF31" s="14">
        <f t="shared" si="5"/>
        <v>1</v>
      </c>
      <c r="AG31" s="14">
        <f t="shared" si="6"/>
        <v>1</v>
      </c>
      <c r="AH31" s="14">
        <f t="shared" si="7"/>
        <v>1</v>
      </c>
      <c r="AI31" s="14">
        <f t="shared" si="8"/>
        <v>1</v>
      </c>
      <c r="AL31" s="14">
        <f>R31*'Optimal Choice'!$B$4*AE31</f>
        <v>36.74</v>
      </c>
      <c r="AM31" s="14">
        <f>S31*'Optimal Choice'!$B$9*AF31</f>
        <v>160</v>
      </c>
      <c r="AN31" s="14">
        <f>T31*'Optimal Choice'!$B$14*AG31</f>
        <v>0</v>
      </c>
      <c r="AO31" s="14">
        <f>U31*'Optimal Choice'!$B$19*AH31</f>
        <v>0</v>
      </c>
      <c r="AP31" s="14">
        <f>V31*'Optimal Choice'!$B$24*AI31</f>
        <v>0</v>
      </c>
      <c r="AS31" s="14">
        <f t="shared" si="9"/>
        <v>1</v>
      </c>
      <c r="AT31" s="14">
        <f t="shared" si="10"/>
        <v>1</v>
      </c>
      <c r="AU31" s="14">
        <f t="shared" si="11"/>
        <v>1</v>
      </c>
      <c r="AV31" s="14">
        <f t="shared" si="12"/>
        <v>1</v>
      </c>
      <c r="AW31" s="14">
        <f t="shared" si="13"/>
        <v>1</v>
      </c>
      <c r="AY31" s="11">
        <f t="shared" si="14"/>
        <v>0.00151412373</v>
      </c>
    </row>
    <row r="32" ht="15.75" customHeight="1">
      <c r="A32" s="15">
        <f t="shared" si="2"/>
        <v>0.3954783847</v>
      </c>
      <c r="B32" s="7">
        <f>(sum(AL32:AP32))*'Optimal Choice'!$B$28</f>
        <v>198.41</v>
      </c>
      <c r="C32" s="11"/>
      <c r="D32" s="12"/>
      <c r="E32" s="12"/>
      <c r="F32" s="11"/>
      <c r="G32" s="11"/>
      <c r="H32" s="11"/>
      <c r="I32" s="11"/>
      <c r="J32" s="11"/>
      <c r="K32" s="11">
        <f>(X32/$B32)+(X32/('Optimal Choice'!$B$4*AS32))</f>
        <v>12.25164223</v>
      </c>
      <c r="L32" s="11">
        <f>(Y32/$B32)+(Y32/('Optimal Choice'!$B$9*AT32))</f>
        <v>11.61744913</v>
      </c>
      <c r="M32" s="11">
        <f>(Z32/$B32)+(Z32/('Optimal Choice'!$B$14*AU32))</f>
        <v>13.25688826</v>
      </c>
      <c r="N32" s="11">
        <f>(AA32/$B32)+(AA32/('Optimal Choice'!$B$19*AV32))</f>
        <v>76.32719722</v>
      </c>
      <c r="O32" s="11">
        <f>(AB32/$B32)+(AB32/('Optimal Choice'!$B$24*AW32))</f>
        <v>639.0208235</v>
      </c>
      <c r="R32" s="12">
        <f t="shared" ref="R32:V32" si="42">if(min($K31:$O31)=K31,R31+1,R31)</f>
        <v>23</v>
      </c>
      <c r="S32" s="12">
        <f t="shared" si="42"/>
        <v>8</v>
      </c>
      <c r="T32" s="12">
        <f t="shared" si="42"/>
        <v>0</v>
      </c>
      <c r="U32" s="12">
        <f t="shared" si="42"/>
        <v>0</v>
      </c>
      <c r="V32" s="12">
        <f t="shared" si="42"/>
        <v>0</v>
      </c>
      <c r="X32" s="13">
        <f> 'Optimal Choice'!$B$5*'Optimal Choice'!$B$6^(R32+1)</f>
        <v>20.28946781</v>
      </c>
      <c r="Y32" s="13">
        <f> 'Optimal Choice'!$B$10*'Optimal Choice'!$B$11^(S32+1)</f>
        <v>211.0725775</v>
      </c>
      <c r="Z32" s="13">
        <f> 'Optimal Choice'!$B$15*'Optimal Choice'!$B$16^(T32+1)</f>
        <v>820.8</v>
      </c>
      <c r="AA32" s="13">
        <f> 'Optimal Choice'!$B$20*'Optimal Choice'!$B$21^(U32+1)</f>
        <v>9763.2</v>
      </c>
      <c r="AB32" s="13">
        <f> 'Optimal Choice'!$B$25*'Optimal Choice'!$B$26^(V32+1)</f>
        <v>116121.6</v>
      </c>
      <c r="AE32" s="14">
        <f t="shared" si="4"/>
        <v>1</v>
      </c>
      <c r="AF32" s="14">
        <f t="shared" si="5"/>
        <v>1</v>
      </c>
      <c r="AG32" s="14">
        <f t="shared" si="6"/>
        <v>1</v>
      </c>
      <c r="AH32" s="14">
        <f t="shared" si="7"/>
        <v>1</v>
      </c>
      <c r="AI32" s="14">
        <f t="shared" si="8"/>
        <v>1</v>
      </c>
      <c r="AL32" s="14">
        <f>R32*'Optimal Choice'!$B$4*AE32</f>
        <v>38.41</v>
      </c>
      <c r="AM32" s="14">
        <f>S32*'Optimal Choice'!$B$9*AF32</f>
        <v>160</v>
      </c>
      <c r="AN32" s="14">
        <f>T32*'Optimal Choice'!$B$14*AG32</f>
        <v>0</v>
      </c>
      <c r="AO32" s="14">
        <f>U32*'Optimal Choice'!$B$19*AH32</f>
        <v>0</v>
      </c>
      <c r="AP32" s="14">
        <f>V32*'Optimal Choice'!$B$24*AI32</f>
        <v>0</v>
      </c>
      <c r="AS32" s="14">
        <f t="shared" si="9"/>
        <v>1</v>
      </c>
      <c r="AT32" s="14">
        <f t="shared" si="10"/>
        <v>1</v>
      </c>
      <c r="AU32" s="14">
        <f t="shared" si="11"/>
        <v>1</v>
      </c>
      <c r="AV32" s="14">
        <f t="shared" si="12"/>
        <v>1</v>
      </c>
      <c r="AW32" s="14">
        <f t="shared" si="13"/>
        <v>1</v>
      </c>
      <c r="AY32" s="11">
        <f t="shared" si="14"/>
        <v>0.001606360294</v>
      </c>
    </row>
    <row r="33" ht="15.75" customHeight="1">
      <c r="A33" s="15">
        <f t="shared" si="2"/>
        <v>0.4132087224</v>
      </c>
      <c r="B33" s="7">
        <f>(sum(AL33:AP33))*'Optimal Choice'!$B$28</f>
        <v>218.41</v>
      </c>
      <c r="C33" s="11"/>
      <c r="D33" s="12"/>
      <c r="E33" s="12"/>
      <c r="F33" s="11"/>
      <c r="G33" s="11"/>
      <c r="H33" s="11"/>
      <c r="I33" s="11"/>
      <c r="J33" s="11"/>
      <c r="K33" s="11">
        <f>(X33/$B33)+(X33/('Optimal Choice'!$B$4*AS33))</f>
        <v>12.24227816</v>
      </c>
      <c r="L33" s="11">
        <f>(Y33/$B33)+(Y33/('Optimal Choice'!$B$9*AT33))</f>
        <v>13.24803928</v>
      </c>
      <c r="M33" s="11">
        <f>(Z33/$B33)+(Z33/('Optimal Choice'!$B$14*AU33))</f>
        <v>12.87806969</v>
      </c>
      <c r="N33" s="11">
        <f>(AA33/$B33)+(AA33/('Optimal Choice'!$B$19*AV33))</f>
        <v>71.82124994</v>
      </c>
      <c r="O33" s="11">
        <f>(AB33/$B33)+(AB33/('Optimal Choice'!$B$24*AW33))</f>
        <v>585.4279639</v>
      </c>
      <c r="R33" s="12">
        <f t="shared" ref="R33:V33" si="43">if(min($K32:$O32)=K32,R32+1,R32)</f>
        <v>23</v>
      </c>
      <c r="S33" s="12">
        <f t="shared" si="43"/>
        <v>9</v>
      </c>
      <c r="T33" s="12">
        <f t="shared" si="43"/>
        <v>0</v>
      </c>
      <c r="U33" s="12">
        <f t="shared" si="43"/>
        <v>0</v>
      </c>
      <c r="V33" s="12">
        <f t="shared" si="43"/>
        <v>0</v>
      </c>
      <c r="X33" s="13">
        <f> 'Optimal Choice'!$B$5*'Optimal Choice'!$B$6^(R33+1)</f>
        <v>20.28946781</v>
      </c>
      <c r="Y33" s="13">
        <f> 'Optimal Choice'!$B$10*'Optimal Choice'!$B$11^(S33+1)</f>
        <v>242.7334641</v>
      </c>
      <c r="Z33" s="13">
        <f> 'Optimal Choice'!$B$15*'Optimal Choice'!$B$16^(T33+1)</f>
        <v>820.8</v>
      </c>
      <c r="AA33" s="13">
        <f> 'Optimal Choice'!$B$20*'Optimal Choice'!$B$21^(U33+1)</f>
        <v>9763.2</v>
      </c>
      <c r="AB33" s="13">
        <f> 'Optimal Choice'!$B$25*'Optimal Choice'!$B$26^(V33+1)</f>
        <v>116121.6</v>
      </c>
      <c r="AE33" s="14">
        <f t="shared" si="4"/>
        <v>1</v>
      </c>
      <c r="AF33" s="14">
        <f t="shared" si="5"/>
        <v>1</v>
      </c>
      <c r="AG33" s="14">
        <f t="shared" si="6"/>
        <v>1</v>
      </c>
      <c r="AH33" s="14">
        <f t="shared" si="7"/>
        <v>1</v>
      </c>
      <c r="AI33" s="14">
        <f t="shared" si="8"/>
        <v>1</v>
      </c>
      <c r="AL33" s="14">
        <f>R33*'Optimal Choice'!$B$4*AE33</f>
        <v>38.41</v>
      </c>
      <c r="AM33" s="14">
        <f>S33*'Optimal Choice'!$B$9*AF33</f>
        <v>180</v>
      </c>
      <c r="AN33" s="14">
        <f>T33*'Optimal Choice'!$B$14*AG33</f>
        <v>0</v>
      </c>
      <c r="AO33" s="14">
        <f>U33*'Optimal Choice'!$B$19*AH33</f>
        <v>0</v>
      </c>
      <c r="AP33" s="14">
        <f>V33*'Optimal Choice'!$B$24*AI33</f>
        <v>0</v>
      </c>
      <c r="AS33" s="14">
        <f t="shared" si="9"/>
        <v>1</v>
      </c>
      <c r="AT33" s="14">
        <f t="shared" si="10"/>
        <v>1</v>
      </c>
      <c r="AU33" s="14">
        <f t="shared" si="11"/>
        <v>1</v>
      </c>
      <c r="AV33" s="14">
        <f t="shared" si="12"/>
        <v>1</v>
      </c>
      <c r="AW33" s="14">
        <f t="shared" si="13"/>
        <v>1</v>
      </c>
      <c r="AY33" s="11">
        <f t="shared" si="14"/>
        <v>0.01773033764</v>
      </c>
    </row>
    <row r="34" ht="15.75" customHeight="1">
      <c r="A34" s="15">
        <f t="shared" si="2"/>
        <v>0.414756993</v>
      </c>
      <c r="B34" s="7">
        <f>(sum(AL34:AP34))*'Optimal Choice'!$B$28</f>
        <v>220.08</v>
      </c>
      <c r="C34" s="11"/>
      <c r="D34" s="12"/>
      <c r="E34" s="12"/>
      <c r="F34" s="11"/>
      <c r="G34" s="11"/>
      <c r="H34" s="11"/>
      <c r="I34" s="11"/>
      <c r="J34" s="11"/>
      <c r="K34" s="11">
        <f>(X34/$B34)+(X34/('Optimal Choice'!$B$4*AS34))</f>
        <v>4.431924276</v>
      </c>
      <c r="L34" s="11">
        <f>(Y34/$B34)+(Y34/('Optimal Choice'!$B$9*AT34))</f>
        <v>13.23960607</v>
      </c>
      <c r="M34" s="11">
        <f>(Z34/$B34)+(Z34/('Optimal Choice'!$B$14*AU34))</f>
        <v>12.84955289</v>
      </c>
      <c r="N34" s="11">
        <f>(AA34/$B34)+(AA34/('Optimal Choice'!$B$19*AV34))</f>
        <v>71.48205016</v>
      </c>
      <c r="O34" s="11">
        <f>(AB34/$B34)+(AB34/('Optimal Choice'!$B$24*AW34))</f>
        <v>581.3935878</v>
      </c>
      <c r="R34" s="12">
        <f t="shared" ref="R34:V34" si="44">if(min($K33:$O33)=K33,R33+1,R33)</f>
        <v>24</v>
      </c>
      <c r="S34" s="12">
        <f t="shared" si="44"/>
        <v>9</v>
      </c>
      <c r="T34" s="12">
        <f t="shared" si="44"/>
        <v>0</v>
      </c>
      <c r="U34" s="12">
        <f t="shared" si="44"/>
        <v>0</v>
      </c>
      <c r="V34" s="12">
        <f t="shared" si="44"/>
        <v>0</v>
      </c>
      <c r="X34" s="13">
        <f> 'Optimal Choice'!$B$5*'Optimal Choice'!$B$6^(R34+1)</f>
        <v>21.70973056</v>
      </c>
      <c r="Y34" s="13">
        <f> 'Optimal Choice'!$B$10*'Optimal Choice'!$B$11^(S34+1)</f>
        <v>242.7334641</v>
      </c>
      <c r="Z34" s="13">
        <f> 'Optimal Choice'!$B$15*'Optimal Choice'!$B$16^(T34+1)</f>
        <v>820.8</v>
      </c>
      <c r="AA34" s="13">
        <f> 'Optimal Choice'!$B$20*'Optimal Choice'!$B$21^(U34+1)</f>
        <v>9763.2</v>
      </c>
      <c r="AB34" s="13">
        <f> 'Optimal Choice'!$B$25*'Optimal Choice'!$B$26^(V34+1)</f>
        <v>116121.6</v>
      </c>
      <c r="AE34" s="14">
        <f t="shared" si="4"/>
        <v>1</v>
      </c>
      <c r="AF34" s="14">
        <f t="shared" si="5"/>
        <v>1</v>
      </c>
      <c r="AG34" s="14">
        <f t="shared" si="6"/>
        <v>1</v>
      </c>
      <c r="AH34" s="14">
        <f t="shared" si="7"/>
        <v>1</v>
      </c>
      <c r="AI34" s="14">
        <f t="shared" si="8"/>
        <v>1</v>
      </c>
      <c r="AL34" s="14">
        <f>R34*'Optimal Choice'!$B$4*AE34</f>
        <v>40.08</v>
      </c>
      <c r="AM34" s="14">
        <f>S34*'Optimal Choice'!$B$9*AF34</f>
        <v>180</v>
      </c>
      <c r="AN34" s="14">
        <f>T34*'Optimal Choice'!$B$14*AG34</f>
        <v>0</v>
      </c>
      <c r="AO34" s="14">
        <f>U34*'Optimal Choice'!$B$19*AH34</f>
        <v>0</v>
      </c>
      <c r="AP34" s="14">
        <f>V34*'Optimal Choice'!$B$24*AI34</f>
        <v>0</v>
      </c>
      <c r="AS34" s="12">
        <f t="shared" si="9"/>
        <v>3</v>
      </c>
      <c r="AT34" s="14">
        <f t="shared" si="10"/>
        <v>1</v>
      </c>
      <c r="AU34" s="14">
        <f t="shared" si="11"/>
        <v>1</v>
      </c>
      <c r="AV34" s="14">
        <f t="shared" si="12"/>
        <v>1</v>
      </c>
      <c r="AW34" s="14">
        <f t="shared" si="13"/>
        <v>1</v>
      </c>
      <c r="AY34" s="11">
        <f t="shared" si="14"/>
        <v>0.001548270669</v>
      </c>
    </row>
    <row r="35" ht="15.75" customHeight="1">
      <c r="A35" s="15">
        <f t="shared" si="2"/>
        <v>0.4164010717</v>
      </c>
      <c r="B35" s="7">
        <f>(sum(AL35:AP35))*'Optimal Choice'!$B$28</f>
        <v>305.25</v>
      </c>
      <c r="C35" s="11"/>
      <c r="D35" s="12"/>
      <c r="E35" s="12"/>
      <c r="F35" s="11"/>
      <c r="G35" s="11"/>
      <c r="H35" s="11"/>
      <c r="I35" s="11"/>
      <c r="J35" s="11"/>
      <c r="K35" s="11">
        <f>(X35/$B35)+(X35/('Optimal Choice'!$B$4*AS35))</f>
        <v>4.712708751</v>
      </c>
      <c r="L35" s="11">
        <f>(Y35/$B35)+(Y35/('Optimal Choice'!$B$9*AT35))</f>
        <v>12.93186883</v>
      </c>
      <c r="M35" s="11">
        <f>(Z35/$B35)+(Z35/('Optimal Choice'!$B$14*AU35))</f>
        <v>11.80894349</v>
      </c>
      <c r="N35" s="11">
        <f>(AA35/$B35)+(AA35/('Optimal Choice'!$B$19*AV35))</f>
        <v>59.10427518</v>
      </c>
      <c r="O35" s="11">
        <f>(AB35/$B35)+(AB35/('Optimal Choice'!$B$24*AW35))</f>
        <v>434.174742</v>
      </c>
      <c r="R35" s="12">
        <f t="shared" ref="R35:V35" si="45">if(min($K34:$O34)=K34,R34+1,R34)</f>
        <v>25</v>
      </c>
      <c r="S35" s="12">
        <f t="shared" si="45"/>
        <v>9</v>
      </c>
      <c r="T35" s="12">
        <f t="shared" si="45"/>
        <v>0</v>
      </c>
      <c r="U35" s="12">
        <f t="shared" si="45"/>
        <v>0</v>
      </c>
      <c r="V35" s="12">
        <f t="shared" si="45"/>
        <v>0</v>
      </c>
      <c r="X35" s="13">
        <f> 'Optimal Choice'!$B$5*'Optimal Choice'!$B$6^(R35+1)</f>
        <v>23.2294117</v>
      </c>
      <c r="Y35" s="13">
        <f> 'Optimal Choice'!$B$10*'Optimal Choice'!$B$11^(S35+1)</f>
        <v>242.7334641</v>
      </c>
      <c r="Z35" s="13">
        <f> 'Optimal Choice'!$B$15*'Optimal Choice'!$B$16^(T35+1)</f>
        <v>820.8</v>
      </c>
      <c r="AA35" s="13">
        <f> 'Optimal Choice'!$B$20*'Optimal Choice'!$B$21^(U35+1)</f>
        <v>9763.2</v>
      </c>
      <c r="AB35" s="13">
        <f> 'Optimal Choice'!$B$25*'Optimal Choice'!$B$26^(V35+1)</f>
        <v>116121.6</v>
      </c>
      <c r="AE35" s="12">
        <f t="shared" si="4"/>
        <v>3</v>
      </c>
      <c r="AF35" s="14">
        <f t="shared" si="5"/>
        <v>1</v>
      </c>
      <c r="AG35" s="14">
        <f t="shared" si="6"/>
        <v>1</v>
      </c>
      <c r="AH35" s="14">
        <f t="shared" si="7"/>
        <v>1</v>
      </c>
      <c r="AI35" s="14">
        <f t="shared" si="8"/>
        <v>1</v>
      </c>
      <c r="AL35" s="14">
        <f>R35*'Optimal Choice'!$B$4*AE35</f>
        <v>125.25</v>
      </c>
      <c r="AM35" s="14">
        <f>S35*'Optimal Choice'!$B$9*AF35</f>
        <v>180</v>
      </c>
      <c r="AN35" s="14">
        <f>T35*'Optimal Choice'!$B$14*AG35</f>
        <v>0</v>
      </c>
      <c r="AO35" s="14">
        <f>U35*'Optimal Choice'!$B$19*AH35</f>
        <v>0</v>
      </c>
      <c r="AP35" s="14">
        <f>V35*'Optimal Choice'!$B$24*AI35</f>
        <v>0</v>
      </c>
      <c r="AS35" s="12">
        <f t="shared" si="9"/>
        <v>3</v>
      </c>
      <c r="AT35" s="14">
        <f t="shared" si="10"/>
        <v>1</v>
      </c>
      <c r="AU35" s="14">
        <f t="shared" si="11"/>
        <v>1</v>
      </c>
      <c r="AV35" s="14">
        <f t="shared" si="12"/>
        <v>1</v>
      </c>
      <c r="AW35" s="14">
        <f t="shared" si="13"/>
        <v>1</v>
      </c>
      <c r="AY35" s="11">
        <f t="shared" si="14"/>
        <v>0.001644078711</v>
      </c>
    </row>
    <row r="36" ht="15.75" customHeight="1">
      <c r="A36" s="15">
        <f t="shared" si="2"/>
        <v>0.4176693989</v>
      </c>
      <c r="B36" s="7">
        <f>(sum(AL36:AP36))*'Optimal Choice'!$B$28</f>
        <v>310.26</v>
      </c>
      <c r="C36" s="11"/>
      <c r="D36" s="12"/>
      <c r="E36" s="12"/>
      <c r="F36" s="11"/>
      <c r="G36" s="11"/>
      <c r="H36" s="11"/>
      <c r="I36" s="11"/>
      <c r="J36" s="11"/>
      <c r="K36" s="11">
        <f>(X36/$B36)+(X36/('Optimal Choice'!$B$4*AS36))</f>
        <v>5.041283507</v>
      </c>
      <c r="L36" s="11">
        <f>(Y36/$B36)+(Y36/('Optimal Choice'!$B$9*AT36))</f>
        <v>12.91902821</v>
      </c>
      <c r="M36" s="11">
        <f>(Z36/$B36)+(Z36/('Optimal Choice'!$B$14*AU36))</f>
        <v>11.76552311</v>
      </c>
      <c r="N36" s="11">
        <f>(AA36/$B36)+(AA36/('Optimal Choice'!$B$19*AV36))</f>
        <v>58.5878012</v>
      </c>
      <c r="O36" s="11">
        <f>(AB36/$B36)+(AB36/('Optimal Choice'!$B$24*AW36))</f>
        <v>428.031901</v>
      </c>
      <c r="R36" s="12">
        <f t="shared" ref="R36:V36" si="46">if(min($K35:$O35)=K35,R35+1,R35)</f>
        <v>26</v>
      </c>
      <c r="S36" s="12">
        <f t="shared" si="46"/>
        <v>9</v>
      </c>
      <c r="T36" s="12">
        <f t="shared" si="46"/>
        <v>0</v>
      </c>
      <c r="U36" s="12">
        <f t="shared" si="46"/>
        <v>0</v>
      </c>
      <c r="V36" s="12">
        <f t="shared" si="46"/>
        <v>0</v>
      </c>
      <c r="X36" s="13">
        <f> 'Optimal Choice'!$B$5*'Optimal Choice'!$B$6^(R36+1)</f>
        <v>24.85547052</v>
      </c>
      <c r="Y36" s="13">
        <f> 'Optimal Choice'!$B$10*'Optimal Choice'!$B$11^(S36+1)</f>
        <v>242.7334641</v>
      </c>
      <c r="Z36" s="13">
        <f> 'Optimal Choice'!$B$15*'Optimal Choice'!$B$16^(T36+1)</f>
        <v>820.8</v>
      </c>
      <c r="AA36" s="13">
        <f> 'Optimal Choice'!$B$20*'Optimal Choice'!$B$21^(U36+1)</f>
        <v>9763.2</v>
      </c>
      <c r="AB36" s="13">
        <f> 'Optimal Choice'!$B$25*'Optimal Choice'!$B$26^(V36+1)</f>
        <v>116121.6</v>
      </c>
      <c r="AE36" s="12">
        <f t="shared" si="4"/>
        <v>3</v>
      </c>
      <c r="AF36" s="14">
        <f t="shared" si="5"/>
        <v>1</v>
      </c>
      <c r="AG36" s="14">
        <f t="shared" si="6"/>
        <v>1</v>
      </c>
      <c r="AH36" s="14">
        <f t="shared" si="7"/>
        <v>1</v>
      </c>
      <c r="AI36" s="14">
        <f t="shared" si="8"/>
        <v>1</v>
      </c>
      <c r="AL36" s="14">
        <f>R36*'Optimal Choice'!$B$4*AE36</f>
        <v>130.26</v>
      </c>
      <c r="AM36" s="14">
        <f>S36*'Optimal Choice'!$B$9*AF36</f>
        <v>180</v>
      </c>
      <c r="AN36" s="14">
        <f>T36*'Optimal Choice'!$B$14*AG36</f>
        <v>0</v>
      </c>
      <c r="AO36" s="14">
        <f>U36*'Optimal Choice'!$B$19*AH36</f>
        <v>0</v>
      </c>
      <c r="AP36" s="14">
        <f>V36*'Optimal Choice'!$B$24*AI36</f>
        <v>0</v>
      </c>
      <c r="AS36" s="12">
        <f t="shared" si="9"/>
        <v>3</v>
      </c>
      <c r="AT36" s="14">
        <f t="shared" si="10"/>
        <v>1</v>
      </c>
      <c r="AU36" s="14">
        <f t="shared" si="11"/>
        <v>1</v>
      </c>
      <c r="AV36" s="14">
        <f t="shared" si="12"/>
        <v>1</v>
      </c>
      <c r="AW36" s="14">
        <f t="shared" si="13"/>
        <v>1</v>
      </c>
      <c r="AY36" s="11">
        <f t="shared" si="14"/>
        <v>0.001268327147</v>
      </c>
    </row>
    <row r="37" ht="15.75" customHeight="1">
      <c r="A37" s="15">
        <f t="shared" si="2"/>
        <v>0.4190045947</v>
      </c>
      <c r="B37" s="7">
        <f>(sum(AL37:AP37))*'Optimal Choice'!$B$28</f>
        <v>315.27</v>
      </c>
      <c r="C37" s="11"/>
      <c r="D37" s="12"/>
      <c r="E37" s="12"/>
      <c r="F37" s="11"/>
      <c r="G37" s="11"/>
      <c r="H37" s="11"/>
      <c r="I37" s="11"/>
      <c r="J37" s="11"/>
      <c r="K37" s="11">
        <f>(X37/$B37)+(X37/('Optimal Choice'!$B$4*AS37))</f>
        <v>5.392811171</v>
      </c>
      <c r="L37" s="11">
        <f>(Y37/$B37)+(Y37/('Optimal Choice'!$B$9*AT37))</f>
        <v>12.9065957</v>
      </c>
      <c r="M37" s="11">
        <f>(Z37/$B37)+(Z37/('Optimal Choice'!$B$14*AU37))</f>
        <v>11.72348273</v>
      </c>
      <c r="N37" s="11">
        <f>(AA37/$B37)+(AA37/('Optimal Choice'!$B$19*AV37))</f>
        <v>58.08774194</v>
      </c>
      <c r="O37" s="11">
        <f>(AB37/$B37)+(AB37/('Optimal Choice'!$B$24*AW37))</f>
        <v>422.0842935</v>
      </c>
      <c r="R37" s="12">
        <f t="shared" ref="R37:V37" si="47">if(min($K36:$O36)=K36,R36+1,R36)</f>
        <v>27</v>
      </c>
      <c r="S37" s="12">
        <f t="shared" si="47"/>
        <v>9</v>
      </c>
      <c r="T37" s="12">
        <f t="shared" si="47"/>
        <v>0</v>
      </c>
      <c r="U37" s="12">
        <f t="shared" si="47"/>
        <v>0</v>
      </c>
      <c r="V37" s="12">
        <f t="shared" si="47"/>
        <v>0</v>
      </c>
      <c r="X37" s="13">
        <f> 'Optimal Choice'!$B$5*'Optimal Choice'!$B$6^(R37+1)</f>
        <v>26.59535346</v>
      </c>
      <c r="Y37" s="13">
        <f> 'Optimal Choice'!$B$10*'Optimal Choice'!$B$11^(S37+1)</f>
        <v>242.7334641</v>
      </c>
      <c r="Z37" s="13">
        <f> 'Optimal Choice'!$B$15*'Optimal Choice'!$B$16^(T37+1)</f>
        <v>820.8</v>
      </c>
      <c r="AA37" s="13">
        <f> 'Optimal Choice'!$B$20*'Optimal Choice'!$B$21^(U37+1)</f>
        <v>9763.2</v>
      </c>
      <c r="AB37" s="13">
        <f> 'Optimal Choice'!$B$25*'Optimal Choice'!$B$26^(V37+1)</f>
        <v>116121.6</v>
      </c>
      <c r="AE37" s="12">
        <f t="shared" si="4"/>
        <v>3</v>
      </c>
      <c r="AF37" s="14">
        <f t="shared" si="5"/>
        <v>1</v>
      </c>
      <c r="AG37" s="14">
        <f t="shared" si="6"/>
        <v>1</v>
      </c>
      <c r="AH37" s="14">
        <f t="shared" si="7"/>
        <v>1</v>
      </c>
      <c r="AI37" s="14">
        <f t="shared" si="8"/>
        <v>1</v>
      </c>
      <c r="AL37" s="14">
        <f>R37*'Optimal Choice'!$B$4*AE37</f>
        <v>135.27</v>
      </c>
      <c r="AM37" s="14">
        <f>S37*'Optimal Choice'!$B$9*AF37</f>
        <v>180</v>
      </c>
      <c r="AN37" s="14">
        <f>T37*'Optimal Choice'!$B$14*AG37</f>
        <v>0</v>
      </c>
      <c r="AO37" s="14">
        <f>U37*'Optimal Choice'!$B$19*AH37</f>
        <v>0</v>
      </c>
      <c r="AP37" s="14">
        <f>V37*'Optimal Choice'!$B$24*AI37</f>
        <v>0</v>
      </c>
      <c r="AS37" s="12">
        <f t="shared" si="9"/>
        <v>3</v>
      </c>
      <c r="AT37" s="14">
        <f t="shared" si="10"/>
        <v>1</v>
      </c>
      <c r="AU37" s="14">
        <f t="shared" si="11"/>
        <v>1</v>
      </c>
      <c r="AV37" s="14">
        <f t="shared" si="12"/>
        <v>1</v>
      </c>
      <c r="AW37" s="14">
        <f t="shared" si="13"/>
        <v>1</v>
      </c>
      <c r="AY37" s="11">
        <f t="shared" si="14"/>
        <v>0.001335195778</v>
      </c>
    </row>
    <row r="38" ht="15.75" customHeight="1">
      <c r="A38" s="15">
        <f t="shared" si="2"/>
        <v>0.4204105511</v>
      </c>
      <c r="B38" s="7">
        <f>(sum(AL38:AP38))*'Optimal Choice'!$B$28</f>
        <v>320.28</v>
      </c>
      <c r="C38" s="11"/>
      <c r="D38" s="12"/>
      <c r="E38" s="12"/>
      <c r="F38" s="11"/>
      <c r="G38" s="11"/>
      <c r="H38" s="11"/>
      <c r="I38" s="11"/>
      <c r="J38" s="11"/>
      <c r="K38" s="11">
        <f>(X38/$B38)+(X38/('Optimal Choice'!$B$4*AS38))</f>
        <v>5.768896017</v>
      </c>
      <c r="L38" s="11">
        <f>(Y38/$B38)+(Y38/('Optimal Choice'!$B$9*AT38))</f>
        <v>12.89455214</v>
      </c>
      <c r="M38" s="11">
        <f>(Z38/$B38)+(Z38/('Optimal Choice'!$B$14*AU38))</f>
        <v>11.68275759</v>
      </c>
      <c r="N38" s="11">
        <f>(AA38/$B38)+(AA38/('Optimal Choice'!$B$19*AV38))</f>
        <v>57.60332709</v>
      </c>
      <c r="O38" s="11">
        <f>(AB38/$B38)+(AB38/('Optimal Choice'!$B$24*AW38))</f>
        <v>416.3227576</v>
      </c>
      <c r="R38" s="12">
        <f t="shared" ref="R38:V38" si="48">if(min($K37:$O37)=K37,R37+1,R37)</f>
        <v>28</v>
      </c>
      <c r="S38" s="12">
        <f t="shared" si="48"/>
        <v>9</v>
      </c>
      <c r="T38" s="12">
        <f t="shared" si="48"/>
        <v>0</v>
      </c>
      <c r="U38" s="12">
        <f t="shared" si="48"/>
        <v>0</v>
      </c>
      <c r="V38" s="12">
        <f t="shared" si="48"/>
        <v>0</v>
      </c>
      <c r="X38" s="13">
        <f> 'Optimal Choice'!$B$5*'Optimal Choice'!$B$6^(R38+1)</f>
        <v>28.4570282</v>
      </c>
      <c r="Y38" s="13">
        <f> 'Optimal Choice'!$B$10*'Optimal Choice'!$B$11^(S38+1)</f>
        <v>242.7334641</v>
      </c>
      <c r="Z38" s="13">
        <f> 'Optimal Choice'!$B$15*'Optimal Choice'!$B$16^(T38+1)</f>
        <v>820.8</v>
      </c>
      <c r="AA38" s="13">
        <f> 'Optimal Choice'!$B$20*'Optimal Choice'!$B$21^(U38+1)</f>
        <v>9763.2</v>
      </c>
      <c r="AB38" s="13">
        <f> 'Optimal Choice'!$B$25*'Optimal Choice'!$B$26^(V38+1)</f>
        <v>116121.6</v>
      </c>
      <c r="AE38" s="12">
        <f t="shared" si="4"/>
        <v>3</v>
      </c>
      <c r="AF38" s="14">
        <f t="shared" si="5"/>
        <v>1</v>
      </c>
      <c r="AG38" s="14">
        <f t="shared" si="6"/>
        <v>1</v>
      </c>
      <c r="AH38" s="14">
        <f t="shared" si="7"/>
        <v>1</v>
      </c>
      <c r="AI38" s="14">
        <f t="shared" si="8"/>
        <v>1</v>
      </c>
      <c r="AL38" s="14">
        <f>R38*'Optimal Choice'!$B$4*AE38</f>
        <v>140.28</v>
      </c>
      <c r="AM38" s="14">
        <f>S38*'Optimal Choice'!$B$9*AF38</f>
        <v>180</v>
      </c>
      <c r="AN38" s="14">
        <f>T38*'Optimal Choice'!$B$14*AG38</f>
        <v>0</v>
      </c>
      <c r="AO38" s="14">
        <f>U38*'Optimal Choice'!$B$19*AH38</f>
        <v>0</v>
      </c>
      <c r="AP38" s="14">
        <f>V38*'Optimal Choice'!$B$24*AI38</f>
        <v>0</v>
      </c>
      <c r="AS38" s="12">
        <f t="shared" si="9"/>
        <v>3</v>
      </c>
      <c r="AT38" s="14">
        <f t="shared" si="10"/>
        <v>1</v>
      </c>
      <c r="AU38" s="14">
        <f t="shared" si="11"/>
        <v>1</v>
      </c>
      <c r="AV38" s="14">
        <f t="shared" si="12"/>
        <v>1</v>
      </c>
      <c r="AW38" s="14">
        <f t="shared" si="13"/>
        <v>1</v>
      </c>
      <c r="AY38" s="11">
        <f t="shared" si="14"/>
        <v>0.001405956453</v>
      </c>
    </row>
    <row r="39" ht="15.75" customHeight="1">
      <c r="A39" s="15">
        <f t="shared" si="2"/>
        <v>0.4218913923</v>
      </c>
      <c r="B39" s="7">
        <f>(sum(AL39:AP39))*'Optimal Choice'!$B$28</f>
        <v>325.29</v>
      </c>
      <c r="C39" s="11"/>
      <c r="D39" s="12"/>
      <c r="E39" s="12"/>
      <c r="F39" s="11"/>
      <c r="G39" s="11"/>
      <c r="H39" s="11"/>
      <c r="I39" s="11"/>
      <c r="J39" s="11"/>
      <c r="K39" s="11">
        <f>(X39/$B39)+(X39/('Optimal Choice'!$B$4*AS39))</f>
        <v>6.171254504</v>
      </c>
      <c r="L39" s="11">
        <f>(Y39/$B39)+(Y39/('Optimal Choice'!$B$9*AT39))</f>
        <v>12.88287956</v>
      </c>
      <c r="M39" s="11">
        <f>(Z39/$B39)+(Z39/('Optimal Choice'!$B$14*AU39))</f>
        <v>11.64328691</v>
      </c>
      <c r="N39" s="11">
        <f>(AA39/$B39)+(AA39/('Optimal Choice'!$B$19*AV39))</f>
        <v>57.13383381</v>
      </c>
      <c r="O39" s="11">
        <f>(AB39/$B39)+(AB39/('Optimal Choice'!$B$24*AW39))</f>
        <v>410.7386959</v>
      </c>
      <c r="R39" s="12">
        <f t="shared" ref="R39:V39" si="49">if(min($K38:$O38)=K38,R38+1,R38)</f>
        <v>29</v>
      </c>
      <c r="S39" s="12">
        <f t="shared" si="49"/>
        <v>9</v>
      </c>
      <c r="T39" s="12">
        <f t="shared" si="49"/>
        <v>0</v>
      </c>
      <c r="U39" s="12">
        <f t="shared" si="49"/>
        <v>0</v>
      </c>
      <c r="V39" s="12">
        <f t="shared" si="49"/>
        <v>0</v>
      </c>
      <c r="X39" s="13">
        <f> 'Optimal Choice'!$B$5*'Optimal Choice'!$B$6^(R39+1)</f>
        <v>30.44902017</v>
      </c>
      <c r="Y39" s="13">
        <f> 'Optimal Choice'!$B$10*'Optimal Choice'!$B$11^(S39+1)</f>
        <v>242.7334641</v>
      </c>
      <c r="Z39" s="13">
        <f> 'Optimal Choice'!$B$15*'Optimal Choice'!$B$16^(T39+1)</f>
        <v>820.8</v>
      </c>
      <c r="AA39" s="13">
        <f> 'Optimal Choice'!$B$20*'Optimal Choice'!$B$21^(U39+1)</f>
        <v>9763.2</v>
      </c>
      <c r="AB39" s="13">
        <f> 'Optimal Choice'!$B$25*'Optimal Choice'!$B$26^(V39+1)</f>
        <v>116121.6</v>
      </c>
      <c r="AE39" s="12">
        <f t="shared" si="4"/>
        <v>3</v>
      </c>
      <c r="AF39" s="14">
        <f t="shared" si="5"/>
        <v>1</v>
      </c>
      <c r="AG39" s="14">
        <f t="shared" si="6"/>
        <v>1</v>
      </c>
      <c r="AH39" s="14">
        <f t="shared" si="7"/>
        <v>1</v>
      </c>
      <c r="AI39" s="14">
        <f t="shared" si="8"/>
        <v>1</v>
      </c>
      <c r="AL39" s="14">
        <f>R39*'Optimal Choice'!$B$4*AE39</f>
        <v>145.29</v>
      </c>
      <c r="AM39" s="14">
        <f>S39*'Optimal Choice'!$B$9*AF39</f>
        <v>180</v>
      </c>
      <c r="AN39" s="14">
        <f>T39*'Optimal Choice'!$B$14*AG39</f>
        <v>0</v>
      </c>
      <c r="AO39" s="14">
        <f>U39*'Optimal Choice'!$B$19*AH39</f>
        <v>0</v>
      </c>
      <c r="AP39" s="14">
        <f>V39*'Optimal Choice'!$B$24*AI39</f>
        <v>0</v>
      </c>
      <c r="AS39" s="12">
        <f t="shared" si="9"/>
        <v>3</v>
      </c>
      <c r="AT39" s="14">
        <f t="shared" si="10"/>
        <v>1</v>
      </c>
      <c r="AU39" s="14">
        <f t="shared" si="11"/>
        <v>1</v>
      </c>
      <c r="AV39" s="14">
        <f t="shared" si="12"/>
        <v>1</v>
      </c>
      <c r="AW39" s="14">
        <f t="shared" si="13"/>
        <v>1</v>
      </c>
      <c r="AY39" s="11">
        <f t="shared" si="14"/>
        <v>0.001480841149</v>
      </c>
    </row>
    <row r="40" ht="15.75" customHeight="1">
      <c r="A40" s="15">
        <f t="shared" si="2"/>
        <v>0.4234514884</v>
      </c>
      <c r="B40" s="7">
        <f>(sum(AL40:AP40))*'Optimal Choice'!$B$28</f>
        <v>330.3</v>
      </c>
      <c r="C40" s="11"/>
      <c r="D40" s="12"/>
      <c r="E40" s="12"/>
      <c r="F40" s="11"/>
      <c r="G40" s="11"/>
      <c r="H40" s="11"/>
      <c r="I40" s="11"/>
      <c r="J40" s="11"/>
      <c r="K40" s="11">
        <f>(X40/$B40)+(X40/('Optimal Choice'!$B$4*AS40))</f>
        <v>6.601723118</v>
      </c>
      <c r="L40" s="11">
        <f>(Y40/$B40)+(Y40/('Optimal Choice'!$B$9*AT40))</f>
        <v>12.87156108</v>
      </c>
      <c r="M40" s="11">
        <f>(Z40/$B40)+(Z40/('Optimal Choice'!$B$14*AU40))</f>
        <v>11.60501362</v>
      </c>
      <c r="N40" s="11">
        <f>(AA40/$B40)+(AA40/('Optimal Choice'!$B$19*AV40))</f>
        <v>56.67858311</v>
      </c>
      <c r="O40" s="11">
        <f>(AB40/$B40)+(AB40/('Optimal Choice'!$B$24*AW40))</f>
        <v>405.3240327</v>
      </c>
      <c r="R40" s="12">
        <f t="shared" ref="R40:V40" si="50">if(min($K39:$O39)=K39,R39+1,R39)</f>
        <v>30</v>
      </c>
      <c r="S40" s="12">
        <f t="shared" si="50"/>
        <v>9</v>
      </c>
      <c r="T40" s="12">
        <f t="shared" si="50"/>
        <v>0</v>
      </c>
      <c r="U40" s="12">
        <f t="shared" si="50"/>
        <v>0</v>
      </c>
      <c r="V40" s="12">
        <f t="shared" si="50"/>
        <v>0</v>
      </c>
      <c r="X40" s="13">
        <f> 'Optimal Choice'!$B$5*'Optimal Choice'!$B$6^(R40+1)</f>
        <v>32.58045158</v>
      </c>
      <c r="Y40" s="13">
        <f> 'Optimal Choice'!$B$10*'Optimal Choice'!$B$11^(S40+1)</f>
        <v>242.7334641</v>
      </c>
      <c r="Z40" s="13">
        <f> 'Optimal Choice'!$B$15*'Optimal Choice'!$B$16^(T40+1)</f>
        <v>820.8</v>
      </c>
      <c r="AA40" s="13">
        <f> 'Optimal Choice'!$B$20*'Optimal Choice'!$B$21^(U40+1)</f>
        <v>9763.2</v>
      </c>
      <c r="AB40" s="13">
        <f> 'Optimal Choice'!$B$25*'Optimal Choice'!$B$26^(V40+1)</f>
        <v>116121.6</v>
      </c>
      <c r="AE40" s="12">
        <f t="shared" si="4"/>
        <v>3</v>
      </c>
      <c r="AF40" s="14">
        <f t="shared" si="5"/>
        <v>1</v>
      </c>
      <c r="AG40" s="14">
        <f t="shared" si="6"/>
        <v>1</v>
      </c>
      <c r="AH40" s="14">
        <f t="shared" si="7"/>
        <v>1</v>
      </c>
      <c r="AI40" s="14">
        <f t="shared" si="8"/>
        <v>1</v>
      </c>
      <c r="AL40" s="14">
        <f>R40*'Optimal Choice'!$B$4*AE40</f>
        <v>150.3</v>
      </c>
      <c r="AM40" s="14">
        <f>S40*'Optimal Choice'!$B$9*AF40</f>
        <v>180</v>
      </c>
      <c r="AN40" s="14">
        <f>T40*'Optimal Choice'!$B$14*AG40</f>
        <v>0</v>
      </c>
      <c r="AO40" s="14">
        <f>U40*'Optimal Choice'!$B$19*AH40</f>
        <v>0</v>
      </c>
      <c r="AP40" s="14">
        <f>V40*'Optimal Choice'!$B$24*AI40</f>
        <v>0</v>
      </c>
      <c r="AS40" s="12">
        <f t="shared" si="9"/>
        <v>3</v>
      </c>
      <c r="AT40" s="14">
        <f t="shared" si="10"/>
        <v>1</v>
      </c>
      <c r="AU40" s="14">
        <f t="shared" si="11"/>
        <v>1</v>
      </c>
      <c r="AV40" s="14">
        <f t="shared" si="12"/>
        <v>1</v>
      </c>
      <c r="AW40" s="14">
        <f t="shared" si="13"/>
        <v>1</v>
      </c>
      <c r="AY40" s="11">
        <f t="shared" si="14"/>
        <v>0.001560096128</v>
      </c>
    </row>
    <row r="41" ht="15.75" customHeight="1">
      <c r="A41" s="15">
        <f t="shared" si="2"/>
        <v>0.4250954712</v>
      </c>
      <c r="B41" s="7">
        <f>(sum(AL41:AP41))*'Optimal Choice'!$B$28</f>
        <v>335.31</v>
      </c>
      <c r="C41" s="11"/>
      <c r="D41" s="12"/>
      <c r="E41" s="12"/>
      <c r="F41" s="11"/>
      <c r="G41" s="11"/>
      <c r="H41" s="11"/>
      <c r="I41" s="11"/>
      <c r="J41" s="11"/>
      <c r="K41" s="11">
        <f>(X41/$B41)+(X41/('Optimal Choice'!$B$4*AS41))</f>
        <v>7.062266765</v>
      </c>
      <c r="L41" s="11">
        <f>(Y41/$B41)+(Y41/('Optimal Choice'!$B$9*AT41))</f>
        <v>12.86058083</v>
      </c>
      <c r="M41" s="11">
        <f>(Z41/$B41)+(Z41/('Optimal Choice'!$B$14*AU41))</f>
        <v>11.56788405</v>
      </c>
      <c r="N41" s="11">
        <f>(AA41/$B41)+(AA41/('Optimal Choice'!$B$19*AV41))</f>
        <v>56.23693657</v>
      </c>
      <c r="O41" s="11">
        <f>(AB41/$B41)+(AB41/('Optimal Choice'!$B$24*AW41))</f>
        <v>400.0711747</v>
      </c>
      <c r="R41" s="12">
        <f t="shared" ref="R41:V41" si="51">if(min($K40:$O40)=K40,R40+1,R40)</f>
        <v>31</v>
      </c>
      <c r="S41" s="12">
        <f t="shared" si="51"/>
        <v>9</v>
      </c>
      <c r="T41" s="12">
        <f t="shared" si="51"/>
        <v>0</v>
      </c>
      <c r="U41" s="12">
        <f t="shared" si="51"/>
        <v>0</v>
      </c>
      <c r="V41" s="12">
        <f t="shared" si="51"/>
        <v>0</v>
      </c>
      <c r="X41" s="13">
        <f> 'Optimal Choice'!$B$5*'Optimal Choice'!$B$6^(R41+1)</f>
        <v>34.86108319</v>
      </c>
      <c r="Y41" s="13">
        <f> 'Optimal Choice'!$B$10*'Optimal Choice'!$B$11^(S41+1)</f>
        <v>242.7334641</v>
      </c>
      <c r="Z41" s="13">
        <f> 'Optimal Choice'!$B$15*'Optimal Choice'!$B$16^(T41+1)</f>
        <v>820.8</v>
      </c>
      <c r="AA41" s="13">
        <f> 'Optimal Choice'!$B$20*'Optimal Choice'!$B$21^(U41+1)</f>
        <v>9763.2</v>
      </c>
      <c r="AB41" s="13">
        <f> 'Optimal Choice'!$B$25*'Optimal Choice'!$B$26^(V41+1)</f>
        <v>116121.6</v>
      </c>
      <c r="AE41" s="12">
        <f t="shared" si="4"/>
        <v>3</v>
      </c>
      <c r="AF41" s="14">
        <f t="shared" si="5"/>
        <v>1</v>
      </c>
      <c r="AG41" s="14">
        <f t="shared" si="6"/>
        <v>1</v>
      </c>
      <c r="AH41" s="14">
        <f t="shared" si="7"/>
        <v>1</v>
      </c>
      <c r="AI41" s="14">
        <f t="shared" si="8"/>
        <v>1</v>
      </c>
      <c r="AL41" s="14">
        <f>R41*'Optimal Choice'!$B$4*AE41</f>
        <v>155.31</v>
      </c>
      <c r="AM41" s="14">
        <f>S41*'Optimal Choice'!$B$9*AF41</f>
        <v>180</v>
      </c>
      <c r="AN41" s="14">
        <f>T41*'Optimal Choice'!$B$14*AG41</f>
        <v>0</v>
      </c>
      <c r="AO41" s="14">
        <f>U41*'Optimal Choice'!$B$19*AH41</f>
        <v>0</v>
      </c>
      <c r="AP41" s="14">
        <f>V41*'Optimal Choice'!$B$24*AI41</f>
        <v>0</v>
      </c>
      <c r="AS41" s="12">
        <f t="shared" si="9"/>
        <v>3</v>
      </c>
      <c r="AT41" s="14">
        <f t="shared" si="10"/>
        <v>1</v>
      </c>
      <c r="AU41" s="14">
        <f t="shared" si="11"/>
        <v>1</v>
      </c>
      <c r="AV41" s="14">
        <f t="shared" si="12"/>
        <v>1</v>
      </c>
      <c r="AW41" s="14">
        <f t="shared" si="13"/>
        <v>1</v>
      </c>
      <c r="AY41" s="11">
        <f t="shared" si="14"/>
        <v>0.001643982823</v>
      </c>
    </row>
    <row r="42" ht="15.75" customHeight="1">
      <c r="A42" s="15">
        <f t="shared" si="2"/>
        <v>0.42682825</v>
      </c>
      <c r="B42" s="7">
        <f>(sum(AL42:AP42))*'Optimal Choice'!$B$28</f>
        <v>340.32</v>
      </c>
      <c r="C42" s="11"/>
      <c r="D42" s="12"/>
      <c r="E42" s="12"/>
      <c r="F42" s="11"/>
      <c r="G42" s="11"/>
      <c r="H42" s="11"/>
      <c r="I42" s="11"/>
      <c r="J42" s="11"/>
      <c r="K42" s="11">
        <f>(X42/$B42)+(X42/('Optimal Choice'!$B$4*AS42))</f>
        <v>7.554987761</v>
      </c>
      <c r="L42" s="11">
        <f>(Y42/$B42)+(Y42/('Optimal Choice'!$B$9*AT42))</f>
        <v>12.84992387</v>
      </c>
      <c r="M42" s="11">
        <f>(Z42/$B42)+(Z42/('Optimal Choice'!$B$14*AU42))</f>
        <v>11.53184767</v>
      </c>
      <c r="N42" s="11">
        <f>(AA42/$B42)+(AA42/('Optimal Choice'!$B$19*AV42))</f>
        <v>55.80829337</v>
      </c>
      <c r="O42" s="11">
        <f>(AB42/$B42)+(AB42/('Optimal Choice'!$B$24*AW42))</f>
        <v>394.972976</v>
      </c>
      <c r="R42" s="12">
        <f t="shared" ref="R42:V42" si="52">if(min($K41:$O41)=K41,R41+1,R41)</f>
        <v>32</v>
      </c>
      <c r="S42" s="12">
        <f t="shared" si="52"/>
        <v>9</v>
      </c>
      <c r="T42" s="12">
        <f t="shared" si="52"/>
        <v>0</v>
      </c>
      <c r="U42" s="12">
        <f t="shared" si="52"/>
        <v>0</v>
      </c>
      <c r="V42" s="12">
        <f t="shared" si="52"/>
        <v>0</v>
      </c>
      <c r="X42" s="13">
        <f> 'Optimal Choice'!$B$5*'Optimal Choice'!$B$6^(R42+1)</f>
        <v>37.30135902</v>
      </c>
      <c r="Y42" s="13">
        <f> 'Optimal Choice'!$B$10*'Optimal Choice'!$B$11^(S42+1)</f>
        <v>242.7334641</v>
      </c>
      <c r="Z42" s="13">
        <f> 'Optimal Choice'!$B$15*'Optimal Choice'!$B$16^(T42+1)</f>
        <v>820.8</v>
      </c>
      <c r="AA42" s="13">
        <f> 'Optimal Choice'!$B$20*'Optimal Choice'!$B$21^(U42+1)</f>
        <v>9763.2</v>
      </c>
      <c r="AB42" s="13">
        <f> 'Optimal Choice'!$B$25*'Optimal Choice'!$B$26^(V42+1)</f>
        <v>116121.6</v>
      </c>
      <c r="AE42" s="12">
        <f t="shared" si="4"/>
        <v>3</v>
      </c>
      <c r="AF42" s="14">
        <f t="shared" si="5"/>
        <v>1</v>
      </c>
      <c r="AG42" s="14">
        <f t="shared" si="6"/>
        <v>1</v>
      </c>
      <c r="AH42" s="14">
        <f t="shared" si="7"/>
        <v>1</v>
      </c>
      <c r="AI42" s="14">
        <f t="shared" si="8"/>
        <v>1</v>
      </c>
      <c r="AL42" s="14">
        <f>R42*'Optimal Choice'!$B$4*AE42</f>
        <v>160.32</v>
      </c>
      <c r="AM42" s="14">
        <f>S42*'Optimal Choice'!$B$9*AF42</f>
        <v>180</v>
      </c>
      <c r="AN42" s="14">
        <f>T42*'Optimal Choice'!$B$14*AG42</f>
        <v>0</v>
      </c>
      <c r="AO42" s="14">
        <f>U42*'Optimal Choice'!$B$19*AH42</f>
        <v>0</v>
      </c>
      <c r="AP42" s="14">
        <f>V42*'Optimal Choice'!$B$24*AI42</f>
        <v>0</v>
      </c>
      <c r="AS42" s="12">
        <f t="shared" si="9"/>
        <v>3</v>
      </c>
      <c r="AT42" s="14">
        <f t="shared" si="10"/>
        <v>1</v>
      </c>
      <c r="AU42" s="14">
        <f t="shared" si="11"/>
        <v>1</v>
      </c>
      <c r="AV42" s="14">
        <f t="shared" si="12"/>
        <v>1</v>
      </c>
      <c r="AW42" s="14">
        <f t="shared" si="13"/>
        <v>1</v>
      </c>
      <c r="AY42" s="11">
        <f t="shared" si="14"/>
        <v>0.001732778781</v>
      </c>
    </row>
    <row r="43" ht="15.75" customHeight="1">
      <c r="A43" s="15">
        <f t="shared" si="2"/>
        <v>0.4286550287</v>
      </c>
      <c r="B43" s="7">
        <f>(sum(AL43:AP43))*'Optimal Choice'!$B$28</f>
        <v>345.33</v>
      </c>
      <c r="C43" s="11"/>
      <c r="D43" s="12"/>
      <c r="E43" s="12"/>
      <c r="F43" s="11"/>
      <c r="G43" s="11"/>
      <c r="H43" s="11"/>
      <c r="I43" s="11"/>
      <c r="J43" s="11"/>
      <c r="K43" s="11">
        <f>(X43/$B43)+(X43/('Optimal Choice'!$B$4*AS43))</f>
        <v>8.082135434</v>
      </c>
      <c r="L43" s="11">
        <f>(Y43/$B43)+(Y43/('Optimal Choice'!$B$9*AT43))</f>
        <v>12.83957612</v>
      </c>
      <c r="M43" s="11">
        <f>(Z43/$B43)+(Z43/('Optimal Choice'!$B$14*AU43))</f>
        <v>11.49685692</v>
      </c>
      <c r="N43" s="11">
        <f>(AA43/$B43)+(AA43/('Optimal Choice'!$B$19*AV43))</f>
        <v>55.39208757</v>
      </c>
      <c r="O43" s="11">
        <f>(AB43/$B43)+(AB43/('Optimal Choice'!$B$24*AW43))</f>
        <v>390.0227052</v>
      </c>
      <c r="R43" s="12">
        <f t="shared" ref="R43:V43" si="53">if(min($K42:$O42)=K42,R42+1,R42)</f>
        <v>33</v>
      </c>
      <c r="S43" s="12">
        <f t="shared" si="53"/>
        <v>9</v>
      </c>
      <c r="T43" s="12">
        <f t="shared" si="53"/>
        <v>0</v>
      </c>
      <c r="U43" s="12">
        <f t="shared" si="53"/>
        <v>0</v>
      </c>
      <c r="V43" s="12">
        <f t="shared" si="53"/>
        <v>0</v>
      </c>
      <c r="X43" s="13">
        <f> 'Optimal Choice'!$B$5*'Optimal Choice'!$B$6^(R43+1)</f>
        <v>39.91245415</v>
      </c>
      <c r="Y43" s="13">
        <f> 'Optimal Choice'!$B$10*'Optimal Choice'!$B$11^(S43+1)</f>
        <v>242.7334641</v>
      </c>
      <c r="Z43" s="13">
        <f> 'Optimal Choice'!$B$15*'Optimal Choice'!$B$16^(T43+1)</f>
        <v>820.8</v>
      </c>
      <c r="AA43" s="13">
        <f> 'Optimal Choice'!$B$20*'Optimal Choice'!$B$21^(U43+1)</f>
        <v>9763.2</v>
      </c>
      <c r="AB43" s="13">
        <f> 'Optimal Choice'!$B$25*'Optimal Choice'!$B$26^(V43+1)</f>
        <v>116121.6</v>
      </c>
      <c r="AE43" s="12">
        <f t="shared" si="4"/>
        <v>3</v>
      </c>
      <c r="AF43" s="14">
        <f t="shared" si="5"/>
        <v>1</v>
      </c>
      <c r="AG43" s="14">
        <f t="shared" si="6"/>
        <v>1</v>
      </c>
      <c r="AH43" s="14">
        <f t="shared" si="7"/>
        <v>1</v>
      </c>
      <c r="AI43" s="14">
        <f t="shared" si="8"/>
        <v>1</v>
      </c>
      <c r="AL43" s="14">
        <f>R43*'Optimal Choice'!$B$4*AE43</f>
        <v>165.33</v>
      </c>
      <c r="AM43" s="14">
        <f>S43*'Optimal Choice'!$B$9*AF43</f>
        <v>180</v>
      </c>
      <c r="AN43" s="14">
        <f>T43*'Optimal Choice'!$B$14*AG43</f>
        <v>0</v>
      </c>
      <c r="AO43" s="14">
        <f>U43*'Optimal Choice'!$B$19*AH43</f>
        <v>0</v>
      </c>
      <c r="AP43" s="14">
        <f>V43*'Optimal Choice'!$B$24*AI43</f>
        <v>0</v>
      </c>
      <c r="AS43" s="12">
        <f t="shared" si="9"/>
        <v>3</v>
      </c>
      <c r="AT43" s="14">
        <f t="shared" si="10"/>
        <v>1</v>
      </c>
      <c r="AU43" s="14">
        <f t="shared" si="11"/>
        <v>1</v>
      </c>
      <c r="AV43" s="14">
        <f t="shared" si="12"/>
        <v>1</v>
      </c>
      <c r="AW43" s="14">
        <f t="shared" si="13"/>
        <v>1</v>
      </c>
      <c r="AY43" s="11">
        <f t="shared" si="14"/>
        <v>0.00182677867</v>
      </c>
    </row>
    <row r="44" ht="15.75" customHeight="1">
      <c r="A44" s="15">
        <f t="shared" si="2"/>
        <v>0.430581324</v>
      </c>
      <c r="B44" s="7">
        <f>(sum(AL44:AP44))*'Optimal Choice'!$B$28</f>
        <v>350.34</v>
      </c>
      <c r="C44" s="11"/>
      <c r="D44" s="12"/>
      <c r="E44" s="12"/>
      <c r="F44" s="11"/>
      <c r="G44" s="11"/>
      <c r="H44" s="11"/>
      <c r="I44" s="11"/>
      <c r="J44" s="11"/>
      <c r="K44" s="11">
        <f>(X44/$B44)+(X44/('Optimal Choice'!$B$4*AS44))</f>
        <v>8.646116411</v>
      </c>
      <c r="L44" s="11">
        <f>(Y44/$B44)+(Y44/('Optimal Choice'!$B$9*AT44))</f>
        <v>12.82952434</v>
      </c>
      <c r="M44" s="11">
        <f>(Z44/$B44)+(Z44/('Optimal Choice'!$B$14*AU44))</f>
        <v>11.46286693</v>
      </c>
      <c r="N44" s="11">
        <f>(AA44/$B44)+(AA44/('Optimal Choice'!$B$19*AV44))</f>
        <v>54.98778558</v>
      </c>
      <c r="O44" s="11">
        <f>(AB44/$B44)+(AB44/('Optimal Choice'!$B$24*AW44))</f>
        <v>385.2140161</v>
      </c>
      <c r="R44" s="12">
        <f t="shared" ref="R44:V44" si="54">if(min($K43:$O43)=K43,R43+1,R43)</f>
        <v>34</v>
      </c>
      <c r="S44" s="12">
        <f t="shared" si="54"/>
        <v>9</v>
      </c>
      <c r="T44" s="12">
        <f t="shared" si="54"/>
        <v>0</v>
      </c>
      <c r="U44" s="12">
        <f t="shared" si="54"/>
        <v>0</v>
      </c>
      <c r="V44" s="12">
        <f t="shared" si="54"/>
        <v>0</v>
      </c>
      <c r="X44" s="13">
        <f> 'Optimal Choice'!$B$5*'Optimal Choice'!$B$6^(R44+1)</f>
        <v>42.70632594</v>
      </c>
      <c r="Y44" s="13">
        <f> 'Optimal Choice'!$B$10*'Optimal Choice'!$B$11^(S44+1)</f>
        <v>242.7334641</v>
      </c>
      <c r="Z44" s="13">
        <f> 'Optimal Choice'!$B$15*'Optimal Choice'!$B$16^(T44+1)</f>
        <v>820.8</v>
      </c>
      <c r="AA44" s="13">
        <f> 'Optimal Choice'!$B$20*'Optimal Choice'!$B$21^(U44+1)</f>
        <v>9763.2</v>
      </c>
      <c r="AB44" s="13">
        <f> 'Optimal Choice'!$B$25*'Optimal Choice'!$B$26^(V44+1)</f>
        <v>116121.6</v>
      </c>
      <c r="AE44" s="12">
        <f t="shared" si="4"/>
        <v>3</v>
      </c>
      <c r="AF44" s="14">
        <f t="shared" si="5"/>
        <v>1</v>
      </c>
      <c r="AG44" s="14">
        <f t="shared" si="6"/>
        <v>1</v>
      </c>
      <c r="AH44" s="14">
        <f t="shared" si="7"/>
        <v>1</v>
      </c>
      <c r="AI44" s="14">
        <f t="shared" si="8"/>
        <v>1</v>
      </c>
      <c r="AL44" s="14">
        <f>R44*'Optimal Choice'!$B$4*AE44</f>
        <v>170.34</v>
      </c>
      <c r="AM44" s="14">
        <f>S44*'Optimal Choice'!$B$9*AF44</f>
        <v>180</v>
      </c>
      <c r="AN44" s="14">
        <f>T44*'Optimal Choice'!$B$14*AG44</f>
        <v>0</v>
      </c>
      <c r="AO44" s="14">
        <f>U44*'Optimal Choice'!$B$19*AH44</f>
        <v>0</v>
      </c>
      <c r="AP44" s="14">
        <f>V44*'Optimal Choice'!$B$24*AI44</f>
        <v>0</v>
      </c>
      <c r="AS44" s="12">
        <f t="shared" si="9"/>
        <v>3</v>
      </c>
      <c r="AT44" s="14">
        <f t="shared" si="10"/>
        <v>1</v>
      </c>
      <c r="AU44" s="14">
        <f t="shared" si="11"/>
        <v>1</v>
      </c>
      <c r="AV44" s="14">
        <f t="shared" si="12"/>
        <v>1</v>
      </c>
      <c r="AW44" s="14">
        <f t="shared" si="13"/>
        <v>1</v>
      </c>
      <c r="AY44" s="11">
        <f t="shared" si="14"/>
        <v>0.001926295338</v>
      </c>
    </row>
    <row r="45" ht="15.75" customHeight="1">
      <c r="A45" s="15">
        <f t="shared" si="2"/>
        <v>0.432612985</v>
      </c>
      <c r="B45" s="7">
        <f>(sum(AL45:AP45))*'Optimal Choice'!$B$28</f>
        <v>355.35</v>
      </c>
      <c r="C45" s="11"/>
      <c r="D45" s="12"/>
      <c r="E45" s="12"/>
      <c r="F45" s="11"/>
      <c r="G45" s="11"/>
      <c r="H45" s="11"/>
      <c r="I45" s="11"/>
      <c r="J45" s="11"/>
      <c r="K45" s="11">
        <f>(X45/$B45)+(X45/('Optimal Choice'!$B$4*AS45))</f>
        <v>9.24950562</v>
      </c>
      <c r="L45" s="11">
        <f>(Y45/$B45)+(Y45/('Optimal Choice'!$B$9*AT45))</f>
        <v>12.81975598</v>
      </c>
      <c r="M45" s="11">
        <f>(Z45/$B45)+(Z45/('Optimal Choice'!$B$14*AU45))</f>
        <v>11.42983537</v>
      </c>
      <c r="N45" s="11">
        <f>(AA45/$B45)+(AA45/('Optimal Choice'!$B$19*AV45))</f>
        <v>54.59488392</v>
      </c>
      <c r="O45" s="11">
        <f>(AB45/$B45)+(AB45/('Optimal Choice'!$B$24*AW45))</f>
        <v>380.5409202</v>
      </c>
      <c r="R45" s="12">
        <f t="shared" ref="R45:V45" si="55">if(min($K44:$O44)=K44,R44+1,R44)</f>
        <v>35</v>
      </c>
      <c r="S45" s="12">
        <f t="shared" si="55"/>
        <v>9</v>
      </c>
      <c r="T45" s="12">
        <f t="shared" si="55"/>
        <v>0</v>
      </c>
      <c r="U45" s="12">
        <f t="shared" si="55"/>
        <v>0</v>
      </c>
      <c r="V45" s="12">
        <f t="shared" si="55"/>
        <v>0</v>
      </c>
      <c r="X45" s="13">
        <f> 'Optimal Choice'!$B$5*'Optimal Choice'!$B$6^(R45+1)</f>
        <v>45.69576875</v>
      </c>
      <c r="Y45" s="13">
        <f> 'Optimal Choice'!$B$10*'Optimal Choice'!$B$11^(S45+1)</f>
        <v>242.7334641</v>
      </c>
      <c r="Z45" s="13">
        <f> 'Optimal Choice'!$B$15*'Optimal Choice'!$B$16^(T45+1)</f>
        <v>820.8</v>
      </c>
      <c r="AA45" s="13">
        <f> 'Optimal Choice'!$B$20*'Optimal Choice'!$B$21^(U45+1)</f>
        <v>9763.2</v>
      </c>
      <c r="AB45" s="13">
        <f> 'Optimal Choice'!$B$25*'Optimal Choice'!$B$26^(V45+1)</f>
        <v>116121.6</v>
      </c>
      <c r="AE45" s="12">
        <f t="shared" si="4"/>
        <v>3</v>
      </c>
      <c r="AF45" s="14">
        <f t="shared" si="5"/>
        <v>1</v>
      </c>
      <c r="AG45" s="14">
        <f t="shared" si="6"/>
        <v>1</v>
      </c>
      <c r="AH45" s="14">
        <f t="shared" si="7"/>
        <v>1</v>
      </c>
      <c r="AI45" s="14">
        <f t="shared" si="8"/>
        <v>1</v>
      </c>
      <c r="AL45" s="14">
        <f>R45*'Optimal Choice'!$B$4*AE45</f>
        <v>175.35</v>
      </c>
      <c r="AM45" s="14">
        <f>S45*'Optimal Choice'!$B$9*AF45</f>
        <v>180</v>
      </c>
      <c r="AN45" s="14">
        <f>T45*'Optimal Choice'!$B$14*AG45</f>
        <v>0</v>
      </c>
      <c r="AO45" s="14">
        <f>U45*'Optimal Choice'!$B$19*AH45</f>
        <v>0</v>
      </c>
      <c r="AP45" s="14">
        <f>V45*'Optimal Choice'!$B$24*AI45</f>
        <v>0</v>
      </c>
      <c r="AS45" s="12">
        <f t="shared" si="9"/>
        <v>3</v>
      </c>
      <c r="AT45" s="14">
        <f t="shared" si="10"/>
        <v>1</v>
      </c>
      <c r="AU45" s="14">
        <f t="shared" si="11"/>
        <v>1</v>
      </c>
      <c r="AV45" s="14">
        <f t="shared" si="12"/>
        <v>1</v>
      </c>
      <c r="AW45" s="14">
        <f t="shared" si="13"/>
        <v>1</v>
      </c>
      <c r="AY45" s="11">
        <f t="shared" si="14"/>
        <v>0.002031660955</v>
      </c>
    </row>
    <row r="46" ht="15.75" customHeight="1">
      <c r="A46" s="15">
        <f t="shared" si="2"/>
        <v>0.4347562132</v>
      </c>
      <c r="B46" s="7">
        <f>(sum(AL46:AP46))*'Optimal Choice'!$B$28</f>
        <v>360.36</v>
      </c>
      <c r="C46" s="11"/>
      <c r="D46" s="12"/>
      <c r="E46" s="12"/>
      <c r="F46" s="11"/>
      <c r="G46" s="11"/>
      <c r="H46" s="11"/>
      <c r="I46" s="11"/>
      <c r="J46" s="11"/>
      <c r="K46" s="11">
        <f>(X46/$B46)+(X46/('Optimal Choice'!$B$4*AS46))</f>
        <v>9.895058059</v>
      </c>
      <c r="L46" s="11">
        <f>(Y46/$B46)+(Y46/('Optimal Choice'!$B$9*AT46))</f>
        <v>12.81025924</v>
      </c>
      <c r="M46" s="11">
        <f>(Z46/$B46)+(Z46/('Optimal Choice'!$B$14*AU46))</f>
        <v>11.39772228</v>
      </c>
      <c r="N46" s="11">
        <f>(AA46/$B46)+(AA46/('Optimal Choice'!$B$19*AV46))</f>
        <v>54.21290709</v>
      </c>
      <c r="O46" s="11">
        <f>(AB46/$B46)+(AB46/('Optimal Choice'!$B$24*AW46))</f>
        <v>375.9977622</v>
      </c>
      <c r="R46" s="12">
        <f t="shared" ref="R46:V46" si="56">if(min($K45:$O45)=K45,R45+1,R45)</f>
        <v>36</v>
      </c>
      <c r="S46" s="12">
        <f t="shared" si="56"/>
        <v>9</v>
      </c>
      <c r="T46" s="12">
        <f t="shared" si="56"/>
        <v>0</v>
      </c>
      <c r="U46" s="12">
        <f t="shared" si="56"/>
        <v>0</v>
      </c>
      <c r="V46" s="12">
        <f t="shared" si="56"/>
        <v>0</v>
      </c>
      <c r="X46" s="13">
        <f> 'Optimal Choice'!$B$5*'Optimal Choice'!$B$6^(R46+1)</f>
        <v>48.89447257</v>
      </c>
      <c r="Y46" s="13">
        <f> 'Optimal Choice'!$B$10*'Optimal Choice'!$B$11^(S46+1)</f>
        <v>242.7334641</v>
      </c>
      <c r="Z46" s="13">
        <f> 'Optimal Choice'!$B$15*'Optimal Choice'!$B$16^(T46+1)</f>
        <v>820.8</v>
      </c>
      <c r="AA46" s="13">
        <f> 'Optimal Choice'!$B$20*'Optimal Choice'!$B$21^(U46+1)</f>
        <v>9763.2</v>
      </c>
      <c r="AB46" s="13">
        <f> 'Optimal Choice'!$B$25*'Optimal Choice'!$B$26^(V46+1)</f>
        <v>116121.6</v>
      </c>
      <c r="AE46" s="12">
        <f t="shared" si="4"/>
        <v>3</v>
      </c>
      <c r="AF46" s="14">
        <f t="shared" si="5"/>
        <v>1</v>
      </c>
      <c r="AG46" s="14">
        <f t="shared" si="6"/>
        <v>1</v>
      </c>
      <c r="AH46" s="14">
        <f t="shared" si="7"/>
        <v>1</v>
      </c>
      <c r="AI46" s="14">
        <f t="shared" si="8"/>
        <v>1</v>
      </c>
      <c r="AL46" s="14">
        <f>R46*'Optimal Choice'!$B$4*AE46</f>
        <v>180.36</v>
      </c>
      <c r="AM46" s="14">
        <f>S46*'Optimal Choice'!$B$9*AF46</f>
        <v>180</v>
      </c>
      <c r="AN46" s="14">
        <f>T46*'Optimal Choice'!$B$14*AG46</f>
        <v>0</v>
      </c>
      <c r="AO46" s="14">
        <f>U46*'Optimal Choice'!$B$19*AH46</f>
        <v>0</v>
      </c>
      <c r="AP46" s="14">
        <f>V46*'Optimal Choice'!$B$24*AI46</f>
        <v>0</v>
      </c>
      <c r="AS46" s="12">
        <f t="shared" si="9"/>
        <v>3</v>
      </c>
      <c r="AT46" s="14">
        <f t="shared" si="10"/>
        <v>1</v>
      </c>
      <c r="AU46" s="14">
        <f t="shared" si="11"/>
        <v>1</v>
      </c>
      <c r="AV46" s="14">
        <f t="shared" si="12"/>
        <v>1</v>
      </c>
      <c r="AW46" s="14">
        <f t="shared" si="13"/>
        <v>1</v>
      </c>
      <c r="AY46" s="11">
        <f t="shared" si="14"/>
        <v>0.002143228214</v>
      </c>
    </row>
    <row r="47" ht="15.75" customHeight="1">
      <c r="A47" s="15">
        <f t="shared" si="2"/>
        <v>0.4370175848</v>
      </c>
      <c r="B47" s="7">
        <f>(sum(AL47:AP47))*'Optimal Choice'!$B$28</f>
        <v>365.37</v>
      </c>
      <c r="C47" s="11"/>
      <c r="D47" s="12"/>
      <c r="E47" s="12"/>
      <c r="F47" s="11"/>
      <c r="G47" s="11"/>
      <c r="H47" s="11"/>
      <c r="I47" s="11"/>
      <c r="J47" s="11"/>
      <c r="K47" s="11">
        <f>(X47/$B47)+(X47/('Optimal Choice'!$B$4*AS47))</f>
        <v>10.5857214</v>
      </c>
      <c r="L47" s="11">
        <f>(Y47/$B47)+(Y47/('Optimal Choice'!$B$9*AT47))</f>
        <v>12.80102295</v>
      </c>
      <c r="M47" s="11">
        <f>(Z47/$B47)+(Z47/('Optimal Choice'!$B$14*AU47))</f>
        <v>11.36648986</v>
      </c>
      <c r="N47" s="11">
        <f>(AA47/$B47)+(AA47/('Optimal Choice'!$B$19*AV47))</f>
        <v>53.8414057</v>
      </c>
      <c r="O47" s="11">
        <f>(AB47/$B47)+(AB47/('Optimal Choice'!$B$24*AW47))</f>
        <v>371.579197</v>
      </c>
      <c r="R47" s="12">
        <f t="shared" ref="R47:V47" si="57">if(min($K46:$O46)=K46,R46+1,R46)</f>
        <v>37</v>
      </c>
      <c r="S47" s="12">
        <f t="shared" si="57"/>
        <v>9</v>
      </c>
      <c r="T47" s="12">
        <f t="shared" si="57"/>
        <v>0</v>
      </c>
      <c r="U47" s="12">
        <f t="shared" si="57"/>
        <v>0</v>
      </c>
      <c r="V47" s="12">
        <f t="shared" si="57"/>
        <v>0</v>
      </c>
      <c r="X47" s="13">
        <f> 'Optimal Choice'!$B$5*'Optimal Choice'!$B$6^(R47+1)</f>
        <v>52.31708565</v>
      </c>
      <c r="Y47" s="13">
        <f> 'Optimal Choice'!$B$10*'Optimal Choice'!$B$11^(S47+1)</f>
        <v>242.7334641</v>
      </c>
      <c r="Z47" s="13">
        <f> 'Optimal Choice'!$B$15*'Optimal Choice'!$B$16^(T47+1)</f>
        <v>820.8</v>
      </c>
      <c r="AA47" s="13">
        <f> 'Optimal Choice'!$B$20*'Optimal Choice'!$B$21^(U47+1)</f>
        <v>9763.2</v>
      </c>
      <c r="AB47" s="13">
        <f> 'Optimal Choice'!$B$25*'Optimal Choice'!$B$26^(V47+1)</f>
        <v>116121.6</v>
      </c>
      <c r="AE47" s="12">
        <f t="shared" si="4"/>
        <v>3</v>
      </c>
      <c r="AF47" s="14">
        <f t="shared" si="5"/>
        <v>1</v>
      </c>
      <c r="AG47" s="14">
        <f t="shared" si="6"/>
        <v>1</v>
      </c>
      <c r="AH47" s="14">
        <f t="shared" si="7"/>
        <v>1</v>
      </c>
      <c r="AI47" s="14">
        <f t="shared" si="8"/>
        <v>1</v>
      </c>
      <c r="AL47" s="14">
        <f>R47*'Optimal Choice'!$B$4*AE47</f>
        <v>185.37</v>
      </c>
      <c r="AM47" s="14">
        <f>S47*'Optimal Choice'!$B$9*AF47</f>
        <v>180</v>
      </c>
      <c r="AN47" s="14">
        <f>T47*'Optimal Choice'!$B$14*AG47</f>
        <v>0</v>
      </c>
      <c r="AO47" s="14">
        <f>U47*'Optimal Choice'!$B$19*AH47</f>
        <v>0</v>
      </c>
      <c r="AP47" s="14">
        <f>V47*'Optimal Choice'!$B$24*AI47</f>
        <v>0</v>
      </c>
      <c r="AS47" s="12">
        <f t="shared" si="9"/>
        <v>3</v>
      </c>
      <c r="AT47" s="14">
        <f t="shared" si="10"/>
        <v>1</v>
      </c>
      <c r="AU47" s="14">
        <f t="shared" si="11"/>
        <v>1</v>
      </c>
      <c r="AV47" s="14">
        <f t="shared" si="12"/>
        <v>1</v>
      </c>
      <c r="AW47" s="14">
        <f t="shared" si="13"/>
        <v>1</v>
      </c>
      <c r="AY47" s="11">
        <f t="shared" si="14"/>
        <v>0.002261371618</v>
      </c>
    </row>
    <row r="48" ht="15.75" customHeight="1">
      <c r="A48" s="15">
        <f t="shared" si="2"/>
        <v>0.4394040736</v>
      </c>
      <c r="B48" s="7">
        <f>(sum(AL48:AP48))*'Optimal Choice'!$B$28</f>
        <v>370.38</v>
      </c>
      <c r="C48" s="11"/>
      <c r="D48" s="12"/>
      <c r="E48" s="12"/>
      <c r="F48" s="11"/>
      <c r="G48" s="11"/>
      <c r="H48" s="11"/>
      <c r="I48" s="11"/>
      <c r="J48" s="11"/>
      <c r="K48" s="11">
        <f>(X48/$B48)+(X48/('Optimal Choice'!$B$4*AS48))</f>
        <v>11.32464944</v>
      </c>
      <c r="L48" s="11">
        <f>(Y48/$B48)+(Y48/('Optimal Choice'!$B$9*AT48))</f>
        <v>12.79203652</v>
      </c>
      <c r="M48" s="11">
        <f>(Z48/$B48)+(Z48/('Optimal Choice'!$B$14*AU48))</f>
        <v>11.33610238</v>
      </c>
      <c r="N48" s="11">
        <f>(AA48/$B48)+(AA48/('Optimal Choice'!$B$19*AV48))</f>
        <v>53.47995464</v>
      </c>
      <c r="O48" s="11">
        <f>(AB48/$B48)+(AB48/('Optimal Choice'!$B$24*AW48))</f>
        <v>367.2801685</v>
      </c>
      <c r="R48" s="12">
        <f t="shared" ref="R48:V48" si="58">if(min($K47:$O47)=K47,R47+1,R47)</f>
        <v>38</v>
      </c>
      <c r="S48" s="12">
        <f t="shared" si="58"/>
        <v>9</v>
      </c>
      <c r="T48" s="12">
        <f t="shared" si="58"/>
        <v>0</v>
      </c>
      <c r="U48" s="12">
        <f t="shared" si="58"/>
        <v>0</v>
      </c>
      <c r="V48" s="12">
        <f t="shared" si="58"/>
        <v>0</v>
      </c>
      <c r="X48" s="13">
        <f> 'Optimal Choice'!$B$5*'Optimal Choice'!$B$6^(R48+1)</f>
        <v>55.97928164</v>
      </c>
      <c r="Y48" s="13">
        <f> 'Optimal Choice'!$B$10*'Optimal Choice'!$B$11^(S48+1)</f>
        <v>242.7334641</v>
      </c>
      <c r="Z48" s="13">
        <f> 'Optimal Choice'!$B$15*'Optimal Choice'!$B$16^(T48+1)</f>
        <v>820.8</v>
      </c>
      <c r="AA48" s="13">
        <f> 'Optimal Choice'!$B$20*'Optimal Choice'!$B$21^(U48+1)</f>
        <v>9763.2</v>
      </c>
      <c r="AB48" s="13">
        <f> 'Optimal Choice'!$B$25*'Optimal Choice'!$B$26^(V48+1)</f>
        <v>116121.6</v>
      </c>
      <c r="AE48" s="12">
        <f t="shared" si="4"/>
        <v>3</v>
      </c>
      <c r="AF48" s="14">
        <f t="shared" si="5"/>
        <v>1</v>
      </c>
      <c r="AG48" s="14">
        <f t="shared" si="6"/>
        <v>1</v>
      </c>
      <c r="AH48" s="14">
        <f t="shared" si="7"/>
        <v>1</v>
      </c>
      <c r="AI48" s="14">
        <f t="shared" si="8"/>
        <v>1</v>
      </c>
      <c r="AL48" s="14">
        <f>R48*'Optimal Choice'!$B$4*AE48</f>
        <v>190.38</v>
      </c>
      <c r="AM48" s="14">
        <f>S48*'Optimal Choice'!$B$9*AF48</f>
        <v>180</v>
      </c>
      <c r="AN48" s="14">
        <f>T48*'Optimal Choice'!$B$14*AG48</f>
        <v>0</v>
      </c>
      <c r="AO48" s="14">
        <f>U48*'Optimal Choice'!$B$19*AH48</f>
        <v>0</v>
      </c>
      <c r="AP48" s="14">
        <f>V48*'Optimal Choice'!$B$24*AI48</f>
        <v>0</v>
      </c>
      <c r="AS48" s="12">
        <f t="shared" si="9"/>
        <v>3</v>
      </c>
      <c r="AT48" s="14">
        <f t="shared" si="10"/>
        <v>1</v>
      </c>
      <c r="AU48" s="14">
        <f t="shared" si="11"/>
        <v>1</v>
      </c>
      <c r="AV48" s="14">
        <f t="shared" si="12"/>
        <v>1</v>
      </c>
      <c r="AW48" s="14">
        <f t="shared" si="13"/>
        <v>1</v>
      </c>
      <c r="AY48" s="11">
        <f t="shared" si="14"/>
        <v>0.00238648884</v>
      </c>
    </row>
    <row r="49" ht="15.75" customHeight="1">
      <c r="A49" s="15">
        <f t="shared" si="2"/>
        <v>0.4419230758</v>
      </c>
      <c r="B49" s="7">
        <f>(sum(AL49:AP49))*'Optimal Choice'!$B$28</f>
        <v>375.39</v>
      </c>
      <c r="C49" s="11"/>
      <c r="D49" s="12"/>
      <c r="E49" s="12"/>
      <c r="F49" s="11"/>
      <c r="G49" s="11"/>
      <c r="H49" s="11"/>
      <c r="I49" s="11"/>
      <c r="J49" s="11"/>
      <c r="K49" s="11">
        <f>(X49/$B49)+(X49/('Optimal Choice'!$B$4*AS49))</f>
        <v>12.11521657</v>
      </c>
      <c r="L49" s="11">
        <f>(Y49/$B49)+(Y49/('Optimal Choice'!$B$9*AT49))</f>
        <v>12.78328996</v>
      </c>
      <c r="M49" s="11">
        <f>(Z49/$B49)+(Z49/('Optimal Choice'!$B$14*AU49))</f>
        <v>11.30652601</v>
      </c>
      <c r="N49" s="11">
        <f>(AA49/$B49)+(AA49/('Optimal Choice'!$B$19*AV49))</f>
        <v>53.12815152</v>
      </c>
      <c r="O49" s="11">
        <f>(AB49/$B49)+(AB49/('Optimal Choice'!$B$24*AW49))</f>
        <v>363.0958907</v>
      </c>
      <c r="R49" s="12">
        <f t="shared" ref="R49:V49" si="59">if(min($K48:$O48)=K48,R48+1,R48)</f>
        <v>39</v>
      </c>
      <c r="S49" s="12">
        <f t="shared" si="59"/>
        <v>9</v>
      </c>
      <c r="T49" s="12">
        <f t="shared" si="59"/>
        <v>0</v>
      </c>
      <c r="U49" s="12">
        <f t="shared" si="59"/>
        <v>0</v>
      </c>
      <c r="V49" s="12">
        <f t="shared" si="59"/>
        <v>0</v>
      </c>
      <c r="X49" s="13">
        <f> 'Optimal Choice'!$B$5*'Optimal Choice'!$B$6^(R49+1)</f>
        <v>59.89783136</v>
      </c>
      <c r="Y49" s="13">
        <f> 'Optimal Choice'!$B$10*'Optimal Choice'!$B$11^(S49+1)</f>
        <v>242.7334641</v>
      </c>
      <c r="Z49" s="13">
        <f> 'Optimal Choice'!$B$15*'Optimal Choice'!$B$16^(T49+1)</f>
        <v>820.8</v>
      </c>
      <c r="AA49" s="13">
        <f> 'Optimal Choice'!$B$20*'Optimal Choice'!$B$21^(U49+1)</f>
        <v>9763.2</v>
      </c>
      <c r="AB49" s="13">
        <f> 'Optimal Choice'!$B$25*'Optimal Choice'!$B$26^(V49+1)</f>
        <v>116121.6</v>
      </c>
      <c r="AE49" s="12">
        <f t="shared" si="4"/>
        <v>3</v>
      </c>
      <c r="AF49" s="14">
        <f t="shared" si="5"/>
        <v>1</v>
      </c>
      <c r="AG49" s="14">
        <f t="shared" si="6"/>
        <v>1</v>
      </c>
      <c r="AH49" s="14">
        <f t="shared" si="7"/>
        <v>1</v>
      </c>
      <c r="AI49" s="14">
        <f t="shared" si="8"/>
        <v>1</v>
      </c>
      <c r="AL49" s="14">
        <f>R49*'Optimal Choice'!$B$4*AE49</f>
        <v>195.39</v>
      </c>
      <c r="AM49" s="14">
        <f>S49*'Optimal Choice'!$B$9*AF49</f>
        <v>180</v>
      </c>
      <c r="AN49" s="14">
        <f>T49*'Optimal Choice'!$B$14*AG49</f>
        <v>0</v>
      </c>
      <c r="AO49" s="14">
        <f>U49*'Optimal Choice'!$B$19*AH49</f>
        <v>0</v>
      </c>
      <c r="AP49" s="14">
        <f>V49*'Optimal Choice'!$B$24*AI49</f>
        <v>0</v>
      </c>
      <c r="AS49" s="12">
        <f t="shared" si="9"/>
        <v>3</v>
      </c>
      <c r="AT49" s="14">
        <f t="shared" si="10"/>
        <v>1</v>
      </c>
      <c r="AU49" s="14">
        <f t="shared" si="11"/>
        <v>1</v>
      </c>
      <c r="AV49" s="14">
        <f t="shared" si="12"/>
        <v>1</v>
      </c>
      <c r="AW49" s="14">
        <f t="shared" si="13"/>
        <v>1</v>
      </c>
      <c r="AY49" s="11">
        <f t="shared" si="14"/>
        <v>0.00251900218</v>
      </c>
    </row>
    <row r="50" ht="15.75" customHeight="1">
      <c r="A50" s="15">
        <f t="shared" si="2"/>
        <v>0.478365176</v>
      </c>
      <c r="B50" s="7">
        <f>(sum(AL50:AP50))*'Optimal Choice'!$B$28</f>
        <v>465.39</v>
      </c>
      <c r="C50" s="11"/>
      <c r="D50" s="12"/>
      <c r="E50" s="12"/>
      <c r="F50" s="11"/>
      <c r="G50" s="11"/>
      <c r="H50" s="11"/>
      <c r="I50" s="11"/>
      <c r="J50" s="11"/>
      <c r="K50" s="11">
        <f>(X50/$B50)+(X50/('Optimal Choice'!$B$4*AS50))</f>
        <v>12.08435956</v>
      </c>
      <c r="L50" s="11">
        <f>(Y50/$B50)+(Y50/('Optimal Choice'!$B$9*AT50))</f>
        <v>12.65824321</v>
      </c>
      <c r="M50" s="11">
        <f>(Z50/$B50)+(Z50/('Optimal Choice'!$B$14*AU50))</f>
        <v>12.40739756</v>
      </c>
      <c r="N50" s="11">
        <f>(AA50/$B50)+(AA50/('Optimal Choice'!$B$19*AV50))</f>
        <v>48.09853413</v>
      </c>
      <c r="O50" s="11">
        <f>(AB50/$B50)+(AB50/('Optimal Choice'!$B$24*AW50))</f>
        <v>303.2746007</v>
      </c>
      <c r="R50" s="12">
        <f t="shared" ref="R50:V50" si="60">if(min($K49:$O49)=K49,R49+1,R49)</f>
        <v>39</v>
      </c>
      <c r="S50" s="12">
        <f t="shared" si="60"/>
        <v>9</v>
      </c>
      <c r="T50" s="12">
        <f t="shared" si="60"/>
        <v>1</v>
      </c>
      <c r="U50" s="12">
        <f t="shared" si="60"/>
        <v>0</v>
      </c>
      <c r="V50" s="12">
        <f t="shared" si="60"/>
        <v>0</v>
      </c>
      <c r="X50" s="13">
        <f> 'Optimal Choice'!$B$5*'Optimal Choice'!$B$6^(R50+1)</f>
        <v>59.89783136</v>
      </c>
      <c r="Y50" s="13">
        <f> 'Optimal Choice'!$B$10*'Optimal Choice'!$B$11^(S50+1)</f>
        <v>242.7334641</v>
      </c>
      <c r="Z50" s="13">
        <f> 'Optimal Choice'!$B$15*'Optimal Choice'!$B$16^(T50+1)</f>
        <v>935.712</v>
      </c>
      <c r="AA50" s="13">
        <f> 'Optimal Choice'!$B$20*'Optimal Choice'!$B$21^(U50+1)</f>
        <v>9763.2</v>
      </c>
      <c r="AB50" s="13">
        <f> 'Optimal Choice'!$B$25*'Optimal Choice'!$B$26^(V50+1)</f>
        <v>116121.6</v>
      </c>
      <c r="AE50" s="12">
        <f t="shared" si="4"/>
        <v>3</v>
      </c>
      <c r="AF50" s="14">
        <f t="shared" si="5"/>
        <v>1</v>
      </c>
      <c r="AG50" s="14">
        <f t="shared" si="6"/>
        <v>1</v>
      </c>
      <c r="AH50" s="14">
        <f t="shared" si="7"/>
        <v>1</v>
      </c>
      <c r="AI50" s="14">
        <f t="shared" si="8"/>
        <v>1</v>
      </c>
      <c r="AL50" s="14">
        <f>R50*'Optimal Choice'!$B$4*AE50</f>
        <v>195.39</v>
      </c>
      <c r="AM50" s="14">
        <f>S50*'Optimal Choice'!$B$9*AF50</f>
        <v>180</v>
      </c>
      <c r="AN50" s="14">
        <f>T50*'Optimal Choice'!$B$14*AG50</f>
        <v>90</v>
      </c>
      <c r="AO50" s="14">
        <f>U50*'Optimal Choice'!$B$19*AH50</f>
        <v>0</v>
      </c>
      <c r="AP50" s="14">
        <f>V50*'Optimal Choice'!$B$24*AI50</f>
        <v>0</v>
      </c>
      <c r="AS50" s="12">
        <f t="shared" si="9"/>
        <v>3</v>
      </c>
      <c r="AT50" s="14">
        <f t="shared" si="10"/>
        <v>1</v>
      </c>
      <c r="AU50" s="14">
        <f t="shared" si="11"/>
        <v>1</v>
      </c>
      <c r="AV50" s="14">
        <f t="shared" si="12"/>
        <v>1</v>
      </c>
      <c r="AW50" s="14">
        <f t="shared" si="13"/>
        <v>1</v>
      </c>
      <c r="AY50" s="11">
        <f t="shared" si="14"/>
        <v>0.03644210022</v>
      </c>
    </row>
    <row r="51" ht="15.75" customHeight="1">
      <c r="A51" s="15">
        <f t="shared" si="2"/>
        <v>0.4805102526</v>
      </c>
      <c r="B51" s="7">
        <f>(sum(AL51:AP51))*'Optimal Choice'!$B$28</f>
        <v>470.4</v>
      </c>
      <c r="C51" s="11"/>
      <c r="D51" s="12"/>
      <c r="E51" s="12"/>
      <c r="F51" s="11"/>
      <c r="G51" s="11"/>
      <c r="H51" s="11"/>
      <c r="I51" s="11"/>
      <c r="J51" s="11"/>
      <c r="K51" s="11">
        <f>(X51/$B51)+(X51/('Optimal Choice'!$B$4*AS51))</f>
        <v>12.928798</v>
      </c>
      <c r="L51" s="11">
        <f>(Y51/$B51)+(Y51/('Optimal Choice'!$B$9*AT51))</f>
        <v>12.65268822</v>
      </c>
      <c r="M51" s="11">
        <f>(Z51/$B51)+(Z51/('Optimal Choice'!$B$14*AU51))</f>
        <v>12.38598367</v>
      </c>
      <c r="N51" s="11">
        <f>(AA51/$B51)+(AA51/('Optimal Choice'!$B$19*AV51))</f>
        <v>47.87510204</v>
      </c>
      <c r="O51" s="11">
        <f>(AB51/$B51)+(AB51/('Optimal Choice'!$B$24*AW51))</f>
        <v>300.6171429</v>
      </c>
      <c r="R51" s="12">
        <f t="shared" ref="R51:V51" si="61">if(min($K50:$O50)=K50,R50+1,R50)</f>
        <v>40</v>
      </c>
      <c r="S51" s="12">
        <f t="shared" si="61"/>
        <v>9</v>
      </c>
      <c r="T51" s="12">
        <f t="shared" si="61"/>
        <v>1</v>
      </c>
      <c r="U51" s="12">
        <f t="shared" si="61"/>
        <v>0</v>
      </c>
      <c r="V51" s="12">
        <f t="shared" si="61"/>
        <v>0</v>
      </c>
      <c r="X51" s="13">
        <f> 'Optimal Choice'!$B$5*'Optimal Choice'!$B$6^(R51+1)</f>
        <v>64.09067955</v>
      </c>
      <c r="Y51" s="13">
        <f> 'Optimal Choice'!$B$10*'Optimal Choice'!$B$11^(S51+1)</f>
        <v>242.7334641</v>
      </c>
      <c r="Z51" s="13">
        <f> 'Optimal Choice'!$B$15*'Optimal Choice'!$B$16^(T51+1)</f>
        <v>935.712</v>
      </c>
      <c r="AA51" s="13">
        <f> 'Optimal Choice'!$B$20*'Optimal Choice'!$B$21^(U51+1)</f>
        <v>9763.2</v>
      </c>
      <c r="AB51" s="13">
        <f> 'Optimal Choice'!$B$25*'Optimal Choice'!$B$26^(V51+1)</f>
        <v>116121.6</v>
      </c>
      <c r="AE51" s="12">
        <f t="shared" si="4"/>
        <v>3</v>
      </c>
      <c r="AF51" s="14">
        <f t="shared" si="5"/>
        <v>1</v>
      </c>
      <c r="AG51" s="14">
        <f t="shared" si="6"/>
        <v>1</v>
      </c>
      <c r="AH51" s="14">
        <f t="shared" si="7"/>
        <v>1</v>
      </c>
      <c r="AI51" s="14">
        <f t="shared" si="8"/>
        <v>1</v>
      </c>
      <c r="AL51" s="14">
        <f>R51*'Optimal Choice'!$B$4*AE51</f>
        <v>200.4</v>
      </c>
      <c r="AM51" s="14">
        <f>S51*'Optimal Choice'!$B$9*AF51</f>
        <v>180</v>
      </c>
      <c r="AN51" s="14">
        <f>T51*'Optimal Choice'!$B$14*AG51</f>
        <v>90</v>
      </c>
      <c r="AO51" s="14">
        <f>U51*'Optimal Choice'!$B$19*AH51</f>
        <v>0</v>
      </c>
      <c r="AP51" s="14">
        <f>V51*'Optimal Choice'!$B$24*AI51</f>
        <v>0</v>
      </c>
      <c r="AS51" s="12">
        <f t="shared" si="9"/>
        <v>3</v>
      </c>
      <c r="AT51" s="14">
        <f t="shared" si="10"/>
        <v>1</v>
      </c>
      <c r="AU51" s="14">
        <f t="shared" si="11"/>
        <v>1</v>
      </c>
      <c r="AV51" s="14">
        <f t="shared" si="12"/>
        <v>1</v>
      </c>
      <c r="AW51" s="14">
        <f t="shared" si="13"/>
        <v>1</v>
      </c>
      <c r="AY51" s="11">
        <f t="shared" si="14"/>
        <v>0.002145076579</v>
      </c>
    </row>
    <row r="52" ht="15.75" customHeight="1">
      <c r="A52" s="15">
        <f t="shared" si="2"/>
        <v>0.5136633138</v>
      </c>
      <c r="B52" s="7">
        <f>(sum(AL52:AP52))*'Optimal Choice'!$B$28</f>
        <v>560.4</v>
      </c>
      <c r="C52" s="11"/>
      <c r="D52" s="12"/>
      <c r="E52" s="12"/>
      <c r="F52" s="11"/>
      <c r="G52" s="11"/>
      <c r="H52" s="11"/>
      <c r="I52" s="11"/>
      <c r="J52" s="11"/>
      <c r="K52" s="11">
        <f>(X52/$B52)+(X52/('Optimal Choice'!$B$4*AS52))</f>
        <v>12.90691676</v>
      </c>
      <c r="L52" s="11">
        <f>(Y52/$B52)+(Y52/('Optimal Choice'!$B$9*AT52))</f>
        <v>12.56981643</v>
      </c>
      <c r="M52" s="11">
        <f>(Z52/$B52)+(Z52/('Optimal Choice'!$B$14*AU52))</f>
        <v>13.75583466</v>
      </c>
      <c r="N52" s="11">
        <f>(AA52/$B52)+(AA52/('Optimal Choice'!$B$19*AV52))</f>
        <v>44.54184154</v>
      </c>
      <c r="O52" s="11">
        <f>(AB52/$B52)+(AB52/('Optimal Choice'!$B$24*AW52))</f>
        <v>260.9719914</v>
      </c>
      <c r="R52" s="12">
        <f t="shared" ref="R52:V52" si="62">if(min($K51:$O51)=K51,R51+1,R51)</f>
        <v>40</v>
      </c>
      <c r="S52" s="12">
        <f t="shared" si="62"/>
        <v>9</v>
      </c>
      <c r="T52" s="12">
        <f t="shared" si="62"/>
        <v>2</v>
      </c>
      <c r="U52" s="12">
        <f t="shared" si="62"/>
        <v>0</v>
      </c>
      <c r="V52" s="12">
        <f t="shared" si="62"/>
        <v>0</v>
      </c>
      <c r="X52" s="13">
        <f> 'Optimal Choice'!$B$5*'Optimal Choice'!$B$6^(R52+1)</f>
        <v>64.09067955</v>
      </c>
      <c r="Y52" s="13">
        <f> 'Optimal Choice'!$B$10*'Optimal Choice'!$B$11^(S52+1)</f>
        <v>242.7334641</v>
      </c>
      <c r="Z52" s="13">
        <f> 'Optimal Choice'!$B$15*'Optimal Choice'!$B$16^(T52+1)</f>
        <v>1066.71168</v>
      </c>
      <c r="AA52" s="13">
        <f> 'Optimal Choice'!$B$20*'Optimal Choice'!$B$21^(U52+1)</f>
        <v>9763.2</v>
      </c>
      <c r="AB52" s="13">
        <f> 'Optimal Choice'!$B$25*'Optimal Choice'!$B$26^(V52+1)</f>
        <v>116121.6</v>
      </c>
      <c r="AE52" s="12">
        <f t="shared" si="4"/>
        <v>3</v>
      </c>
      <c r="AF52" s="14">
        <f t="shared" si="5"/>
        <v>1</v>
      </c>
      <c r="AG52" s="14">
        <f t="shared" si="6"/>
        <v>1</v>
      </c>
      <c r="AH52" s="14">
        <f t="shared" si="7"/>
        <v>1</v>
      </c>
      <c r="AI52" s="14">
        <f t="shared" si="8"/>
        <v>1</v>
      </c>
      <c r="AL52" s="14">
        <f>R52*'Optimal Choice'!$B$4*AE52</f>
        <v>200.4</v>
      </c>
      <c r="AM52" s="14">
        <f>S52*'Optimal Choice'!$B$9*AF52</f>
        <v>180</v>
      </c>
      <c r="AN52" s="14">
        <f>T52*'Optimal Choice'!$B$14*AG52</f>
        <v>180</v>
      </c>
      <c r="AO52" s="14">
        <f>U52*'Optimal Choice'!$B$19*AH52</f>
        <v>0</v>
      </c>
      <c r="AP52" s="14">
        <f>V52*'Optimal Choice'!$B$24*AI52</f>
        <v>0</v>
      </c>
      <c r="AS52" s="12">
        <f t="shared" si="9"/>
        <v>3</v>
      </c>
      <c r="AT52" s="14">
        <f t="shared" si="10"/>
        <v>1</v>
      </c>
      <c r="AU52" s="14">
        <f t="shared" si="11"/>
        <v>1</v>
      </c>
      <c r="AV52" s="14">
        <f t="shared" si="12"/>
        <v>1</v>
      </c>
      <c r="AW52" s="14">
        <f t="shared" si="13"/>
        <v>1</v>
      </c>
      <c r="AY52" s="11">
        <f t="shared" si="14"/>
        <v>0.03315306122</v>
      </c>
    </row>
    <row r="53" ht="15.75" customHeight="1">
      <c r="A53" s="15">
        <f t="shared" si="2"/>
        <v>0.5208823676</v>
      </c>
      <c r="B53" s="7">
        <f>(sum(AL53:AP53))*'Optimal Choice'!$B$28</f>
        <v>580.4</v>
      </c>
      <c r="C53" s="11"/>
      <c r="D53" s="12"/>
      <c r="E53" s="12"/>
      <c r="F53" s="11"/>
      <c r="G53" s="11"/>
      <c r="H53" s="11"/>
      <c r="I53" s="11"/>
      <c r="J53" s="11"/>
      <c r="K53" s="11">
        <f>(X53/$B53)+(X53/('Optimal Choice'!$B$4*AS53))</f>
        <v>12.90297583</v>
      </c>
      <c r="L53" s="11">
        <f>(Y53/$B53)+(Y53/('Optimal Choice'!$B$9*AT53))</f>
        <v>14.43812437</v>
      </c>
      <c r="M53" s="11">
        <f>(Z53/$B53)+(Z53/('Optimal Choice'!$B$14*AU53))</f>
        <v>13.69024256</v>
      </c>
      <c r="N53" s="11">
        <f>(AA53/$B53)+(AA53/('Optimal Choice'!$B$19*AV53))</f>
        <v>43.94150241</v>
      </c>
      <c r="O53" s="11">
        <f>(AB53/$B53)+(AB53/('Optimal Choice'!$B$24*AW53))</f>
        <v>253.8316747</v>
      </c>
      <c r="R53" s="12">
        <f t="shared" ref="R53:V53" si="63">if(min($K52:$O52)=K52,R52+1,R52)</f>
        <v>40</v>
      </c>
      <c r="S53" s="12">
        <f t="shared" si="63"/>
        <v>10</v>
      </c>
      <c r="T53" s="12">
        <f t="shared" si="63"/>
        <v>2</v>
      </c>
      <c r="U53" s="12">
        <f t="shared" si="63"/>
        <v>0</v>
      </c>
      <c r="V53" s="12">
        <f t="shared" si="63"/>
        <v>0</v>
      </c>
      <c r="X53" s="13">
        <f> 'Optimal Choice'!$B$5*'Optimal Choice'!$B$6^(R53+1)</f>
        <v>64.09067955</v>
      </c>
      <c r="Y53" s="13">
        <f> 'Optimal Choice'!$B$10*'Optimal Choice'!$B$11^(S53+1)</f>
        <v>279.1434838</v>
      </c>
      <c r="Z53" s="13">
        <f> 'Optimal Choice'!$B$15*'Optimal Choice'!$B$16^(T53+1)</f>
        <v>1066.71168</v>
      </c>
      <c r="AA53" s="13">
        <f> 'Optimal Choice'!$B$20*'Optimal Choice'!$B$21^(U53+1)</f>
        <v>9763.2</v>
      </c>
      <c r="AB53" s="13">
        <f> 'Optimal Choice'!$B$25*'Optimal Choice'!$B$26^(V53+1)</f>
        <v>116121.6</v>
      </c>
      <c r="AE53" s="12">
        <f t="shared" si="4"/>
        <v>3</v>
      </c>
      <c r="AF53" s="14">
        <f t="shared" si="5"/>
        <v>1</v>
      </c>
      <c r="AG53" s="14">
        <f t="shared" si="6"/>
        <v>1</v>
      </c>
      <c r="AH53" s="14">
        <f t="shared" si="7"/>
        <v>1</v>
      </c>
      <c r="AI53" s="14">
        <f t="shared" si="8"/>
        <v>1</v>
      </c>
      <c r="AL53" s="14">
        <f>R53*'Optimal Choice'!$B$4*AE53</f>
        <v>200.4</v>
      </c>
      <c r="AM53" s="14">
        <f>S53*'Optimal Choice'!$B$9*AF53</f>
        <v>200</v>
      </c>
      <c r="AN53" s="14">
        <f>T53*'Optimal Choice'!$B$14*AG53</f>
        <v>180</v>
      </c>
      <c r="AO53" s="14">
        <f>U53*'Optimal Choice'!$B$19*AH53</f>
        <v>0</v>
      </c>
      <c r="AP53" s="14">
        <f>V53*'Optimal Choice'!$B$24*AI53</f>
        <v>0</v>
      </c>
      <c r="AS53" s="12">
        <f t="shared" si="9"/>
        <v>3</v>
      </c>
      <c r="AT53" s="14">
        <f t="shared" si="10"/>
        <v>1</v>
      </c>
      <c r="AU53" s="14">
        <f t="shared" si="11"/>
        <v>1</v>
      </c>
      <c r="AV53" s="14">
        <f t="shared" si="12"/>
        <v>1</v>
      </c>
      <c r="AW53" s="14">
        <f t="shared" si="13"/>
        <v>1</v>
      </c>
      <c r="AY53" s="11">
        <f t="shared" si="14"/>
        <v>0.007219053775</v>
      </c>
    </row>
    <row r="54" ht="15.75" customHeight="1">
      <c r="A54" s="15">
        <f t="shared" si="2"/>
        <v>0.5227227845</v>
      </c>
      <c r="B54" s="7">
        <f>(sum(AL54:AP54))*'Optimal Choice'!$B$28</f>
        <v>585.41</v>
      </c>
      <c r="C54" s="11"/>
      <c r="D54" s="12"/>
      <c r="E54" s="12"/>
      <c r="F54" s="11"/>
      <c r="G54" s="11"/>
      <c r="H54" s="11"/>
      <c r="I54" s="11"/>
      <c r="J54" s="11"/>
      <c r="K54" s="11">
        <f>(X54/$B54)+(X54/('Optimal Choice'!$B$4*AS54))</f>
        <v>13.80517295</v>
      </c>
      <c r="L54" s="11">
        <f>(Y54/$B54)+(Y54/('Optimal Choice'!$B$9*AT54))</f>
        <v>14.43400835</v>
      </c>
      <c r="M54" s="11">
        <f>(Z54/$B54)+(Z54/('Optimal Choice'!$B$14*AU54))</f>
        <v>13.6745137</v>
      </c>
      <c r="N54" s="11">
        <f>(AA54/$B54)+(AA54/('Optimal Choice'!$B$19*AV54))</f>
        <v>43.79754224</v>
      </c>
      <c r="O54" s="11">
        <f>(AB54/$B54)+(AB54/('Optimal Choice'!$B$24*AW54))</f>
        <v>252.1194404</v>
      </c>
      <c r="R54" s="12">
        <f t="shared" ref="R54:V54" si="64">if(min($K53:$O53)=K53,R53+1,R53)</f>
        <v>41</v>
      </c>
      <c r="S54" s="12">
        <f t="shared" si="64"/>
        <v>10</v>
      </c>
      <c r="T54" s="12">
        <f t="shared" si="64"/>
        <v>2</v>
      </c>
      <c r="U54" s="12">
        <f t="shared" si="64"/>
        <v>0</v>
      </c>
      <c r="V54" s="12">
        <f t="shared" si="64"/>
        <v>0</v>
      </c>
      <c r="X54" s="13">
        <f> 'Optimal Choice'!$B$5*'Optimal Choice'!$B$6^(R54+1)</f>
        <v>68.57702712</v>
      </c>
      <c r="Y54" s="13">
        <f> 'Optimal Choice'!$B$10*'Optimal Choice'!$B$11^(S54+1)</f>
        <v>279.1434838</v>
      </c>
      <c r="Z54" s="13">
        <f> 'Optimal Choice'!$B$15*'Optimal Choice'!$B$16^(T54+1)</f>
        <v>1066.71168</v>
      </c>
      <c r="AA54" s="13">
        <f> 'Optimal Choice'!$B$20*'Optimal Choice'!$B$21^(U54+1)</f>
        <v>9763.2</v>
      </c>
      <c r="AB54" s="13">
        <f> 'Optimal Choice'!$B$25*'Optimal Choice'!$B$26^(V54+1)</f>
        <v>116121.6</v>
      </c>
      <c r="AE54" s="12">
        <f t="shared" si="4"/>
        <v>3</v>
      </c>
      <c r="AF54" s="14">
        <f t="shared" si="5"/>
        <v>1</v>
      </c>
      <c r="AG54" s="14">
        <f t="shared" si="6"/>
        <v>1</v>
      </c>
      <c r="AH54" s="14">
        <f t="shared" si="7"/>
        <v>1</v>
      </c>
      <c r="AI54" s="14">
        <f t="shared" si="8"/>
        <v>1</v>
      </c>
      <c r="AL54" s="14">
        <f>R54*'Optimal Choice'!$B$4*AE54</f>
        <v>205.41</v>
      </c>
      <c r="AM54" s="14">
        <f>S54*'Optimal Choice'!$B$9*AF54</f>
        <v>200</v>
      </c>
      <c r="AN54" s="14">
        <f>T54*'Optimal Choice'!$B$14*AG54</f>
        <v>180</v>
      </c>
      <c r="AO54" s="14">
        <f>U54*'Optimal Choice'!$B$19*AH54</f>
        <v>0</v>
      </c>
      <c r="AP54" s="14">
        <f>V54*'Optimal Choice'!$B$24*AI54</f>
        <v>0</v>
      </c>
      <c r="AS54" s="12">
        <f t="shared" si="9"/>
        <v>3</v>
      </c>
      <c r="AT54" s="14">
        <f t="shared" si="10"/>
        <v>1</v>
      </c>
      <c r="AU54" s="14">
        <f t="shared" si="11"/>
        <v>1</v>
      </c>
      <c r="AV54" s="14">
        <f t="shared" si="12"/>
        <v>1</v>
      </c>
      <c r="AW54" s="14">
        <f t="shared" si="13"/>
        <v>1</v>
      </c>
      <c r="AY54" s="11">
        <f t="shared" si="14"/>
        <v>0.001840416941</v>
      </c>
    </row>
    <row r="55" ht="15.75" customHeight="1">
      <c r="A55" s="15">
        <f t="shared" si="2"/>
        <v>0.5530921462</v>
      </c>
      <c r="B55" s="7">
        <f>(sum(AL55:AP55))*'Optimal Choice'!$B$28</f>
        <v>675.41</v>
      </c>
      <c r="C55" s="11"/>
      <c r="D55" s="12"/>
      <c r="E55" s="12"/>
      <c r="F55" s="11"/>
      <c r="G55" s="11"/>
      <c r="H55" s="11"/>
      <c r="I55" s="11"/>
      <c r="J55" s="11"/>
      <c r="K55" s="11">
        <f>(X55/$B55)+(X55/('Optimal Choice'!$B$4*AS55))</f>
        <v>13.78956329</v>
      </c>
      <c r="L55" s="11">
        <f>(Y55/$B55)+(Y55/('Optimal Choice'!$B$9*AT55))</f>
        <v>14.37046905</v>
      </c>
      <c r="M55" s="11">
        <f>(Z55/$B55)+(Z55/('Optimal Choice'!$B$14*AU55))</f>
        <v>15.31214517</v>
      </c>
      <c r="N55" s="11">
        <f>(AA55/$B55)+(AA55/('Optimal Choice'!$B$19*AV55))</f>
        <v>41.57521979</v>
      </c>
      <c r="O55" s="11">
        <f>(AB55/$B55)+(AB55/('Optimal Choice'!$B$24*AW55))</f>
        <v>225.6875699</v>
      </c>
      <c r="R55" s="12">
        <f t="shared" ref="R55:V55" si="65">if(min($K54:$O54)=K54,R54+1,R54)</f>
        <v>41</v>
      </c>
      <c r="S55" s="12">
        <f t="shared" si="65"/>
        <v>10</v>
      </c>
      <c r="T55" s="12">
        <f t="shared" si="65"/>
        <v>3</v>
      </c>
      <c r="U55" s="12">
        <f t="shared" si="65"/>
        <v>0</v>
      </c>
      <c r="V55" s="12">
        <f t="shared" si="65"/>
        <v>0</v>
      </c>
      <c r="X55" s="13">
        <f> 'Optimal Choice'!$B$5*'Optimal Choice'!$B$6^(R55+1)</f>
        <v>68.57702712</v>
      </c>
      <c r="Y55" s="13">
        <f> 'Optimal Choice'!$B$10*'Optimal Choice'!$B$11^(S55+1)</f>
        <v>279.1434838</v>
      </c>
      <c r="Z55" s="13">
        <f> 'Optimal Choice'!$B$15*'Optimal Choice'!$B$16^(T55+1)</f>
        <v>1216.051315</v>
      </c>
      <c r="AA55" s="13">
        <f> 'Optimal Choice'!$B$20*'Optimal Choice'!$B$21^(U55+1)</f>
        <v>9763.2</v>
      </c>
      <c r="AB55" s="13">
        <f> 'Optimal Choice'!$B$25*'Optimal Choice'!$B$26^(V55+1)</f>
        <v>116121.6</v>
      </c>
      <c r="AE55" s="12">
        <f t="shared" si="4"/>
        <v>3</v>
      </c>
      <c r="AF55" s="14">
        <f t="shared" si="5"/>
        <v>1</v>
      </c>
      <c r="AG55" s="14">
        <f t="shared" si="6"/>
        <v>1</v>
      </c>
      <c r="AH55" s="14">
        <f t="shared" si="7"/>
        <v>1</v>
      </c>
      <c r="AI55" s="14">
        <f t="shared" si="8"/>
        <v>1</v>
      </c>
      <c r="AL55" s="14">
        <f>R55*'Optimal Choice'!$B$4*AE55</f>
        <v>205.41</v>
      </c>
      <c r="AM55" s="14">
        <f>S55*'Optimal Choice'!$B$9*AF55</f>
        <v>200</v>
      </c>
      <c r="AN55" s="14">
        <f>T55*'Optimal Choice'!$B$14*AG55</f>
        <v>270</v>
      </c>
      <c r="AO55" s="14">
        <f>U55*'Optimal Choice'!$B$19*AH55</f>
        <v>0</v>
      </c>
      <c r="AP55" s="14">
        <f>V55*'Optimal Choice'!$B$24*AI55</f>
        <v>0</v>
      </c>
      <c r="AS55" s="12">
        <f t="shared" si="9"/>
        <v>3</v>
      </c>
      <c r="AT55" s="14">
        <f t="shared" si="10"/>
        <v>1</v>
      </c>
      <c r="AU55" s="14">
        <f t="shared" si="11"/>
        <v>1</v>
      </c>
      <c r="AV55" s="14">
        <f t="shared" si="12"/>
        <v>1</v>
      </c>
      <c r="AW55" s="14">
        <f t="shared" si="13"/>
        <v>1</v>
      </c>
      <c r="AY55" s="11">
        <f t="shared" si="14"/>
        <v>0.03036936164</v>
      </c>
    </row>
    <row r="56" ht="15.75" customHeight="1">
      <c r="A56" s="15">
        <f t="shared" si="2"/>
        <v>0.5547843782</v>
      </c>
      <c r="B56" s="7">
        <f>(sum(AL56:AP56))*'Optimal Choice'!$B$28</f>
        <v>680.42</v>
      </c>
      <c r="C56" s="11"/>
      <c r="D56" s="12"/>
      <c r="E56" s="12"/>
      <c r="F56" s="11"/>
      <c r="G56" s="11"/>
      <c r="H56" s="11"/>
      <c r="I56" s="11"/>
      <c r="J56" s="11"/>
      <c r="K56" s="11">
        <f>(X56/$B56)+(X56/('Optimal Choice'!$B$4*AS56))</f>
        <v>14.75403278</v>
      </c>
      <c r="L56" s="11">
        <f>(Y56/$B56)+(Y56/('Optimal Choice'!$B$9*AT56))</f>
        <v>14.36742592</v>
      </c>
      <c r="M56" s="11">
        <f>(Z56/$B56)+(Z56/('Optimal Choice'!$B$14*AU56))</f>
        <v>15.29888817</v>
      </c>
      <c r="N56" s="11">
        <f>(AA56/$B56)+(AA56/('Optimal Choice'!$B$19*AV56))</f>
        <v>41.46878457</v>
      </c>
      <c r="O56" s="11">
        <f>(AB56/$B56)+(AB56/('Optimal Choice'!$B$24*AW56))</f>
        <v>224.4216502</v>
      </c>
      <c r="R56" s="12">
        <f t="shared" ref="R56:V56" si="66">if(min($K55:$O55)=K55,R55+1,R55)</f>
        <v>42</v>
      </c>
      <c r="S56" s="12">
        <f t="shared" si="66"/>
        <v>10</v>
      </c>
      <c r="T56" s="12">
        <f t="shared" si="66"/>
        <v>3</v>
      </c>
      <c r="U56" s="12">
        <f t="shared" si="66"/>
        <v>0</v>
      </c>
      <c r="V56" s="12">
        <f t="shared" si="66"/>
        <v>0</v>
      </c>
      <c r="X56" s="13">
        <f> 'Optimal Choice'!$B$5*'Optimal Choice'!$B$6^(R56+1)</f>
        <v>73.37741902</v>
      </c>
      <c r="Y56" s="13">
        <f> 'Optimal Choice'!$B$10*'Optimal Choice'!$B$11^(S56+1)</f>
        <v>279.1434838</v>
      </c>
      <c r="Z56" s="13">
        <f> 'Optimal Choice'!$B$15*'Optimal Choice'!$B$16^(T56+1)</f>
        <v>1216.051315</v>
      </c>
      <c r="AA56" s="13">
        <f> 'Optimal Choice'!$B$20*'Optimal Choice'!$B$21^(U56+1)</f>
        <v>9763.2</v>
      </c>
      <c r="AB56" s="13">
        <f> 'Optimal Choice'!$B$25*'Optimal Choice'!$B$26^(V56+1)</f>
        <v>116121.6</v>
      </c>
      <c r="AE56" s="12">
        <f t="shared" si="4"/>
        <v>3</v>
      </c>
      <c r="AF56" s="14">
        <f t="shared" si="5"/>
        <v>1</v>
      </c>
      <c r="AG56" s="14">
        <f t="shared" si="6"/>
        <v>1</v>
      </c>
      <c r="AH56" s="14">
        <f t="shared" si="7"/>
        <v>1</v>
      </c>
      <c r="AI56" s="14">
        <f t="shared" si="8"/>
        <v>1</v>
      </c>
      <c r="AL56" s="14">
        <f>R56*'Optimal Choice'!$B$4*AE56</f>
        <v>210.42</v>
      </c>
      <c r="AM56" s="14">
        <f>S56*'Optimal Choice'!$B$9*AF56</f>
        <v>200</v>
      </c>
      <c r="AN56" s="14">
        <f>T56*'Optimal Choice'!$B$14*AG56</f>
        <v>270</v>
      </c>
      <c r="AO56" s="14">
        <f>U56*'Optimal Choice'!$B$19*AH56</f>
        <v>0</v>
      </c>
      <c r="AP56" s="14">
        <f>V56*'Optimal Choice'!$B$24*AI56</f>
        <v>0</v>
      </c>
      <c r="AS56" s="12">
        <f t="shared" si="9"/>
        <v>3</v>
      </c>
      <c r="AT56" s="14">
        <f t="shared" si="10"/>
        <v>1</v>
      </c>
      <c r="AU56" s="14">
        <f t="shared" si="11"/>
        <v>1</v>
      </c>
      <c r="AV56" s="14">
        <f t="shared" si="12"/>
        <v>1</v>
      </c>
      <c r="AW56" s="14">
        <f t="shared" si="13"/>
        <v>1</v>
      </c>
      <c r="AY56" s="11">
        <f t="shared" si="14"/>
        <v>0.001692232055</v>
      </c>
    </row>
    <row r="57" ht="15.75" customHeight="1">
      <c r="A57" s="15">
        <f t="shared" si="2"/>
        <v>0.5616219071</v>
      </c>
      <c r="B57" s="7">
        <f>(sum(AL57:AP57))*'Optimal Choice'!$B$28</f>
        <v>700.42</v>
      </c>
      <c r="C57" s="11"/>
      <c r="D57" s="12"/>
      <c r="E57" s="12"/>
      <c r="F57" s="11"/>
      <c r="G57" s="11"/>
      <c r="H57" s="11"/>
      <c r="I57" s="11"/>
      <c r="J57" s="11"/>
      <c r="K57" s="11">
        <f>(X57/$B57)+(X57/('Optimal Choice'!$B$4*AS57))</f>
        <v>14.75095345</v>
      </c>
      <c r="L57" s="11">
        <f>(Y57/$B57)+(Y57/('Optimal Choice'!$B$9*AT57))</f>
        <v>16.50906819</v>
      </c>
      <c r="M57" s="11">
        <f>(Z57/$B57)+(Z57/('Optimal Choice'!$B$14*AU57))</f>
        <v>15.24785574</v>
      </c>
      <c r="N57" s="11">
        <f>(AA57/$B57)+(AA57/('Optimal Choice'!$B$19*AV57))</f>
        <v>41.05906513</v>
      </c>
      <c r="O57" s="11">
        <f>(AB57/$B57)+(AB57/('Optimal Choice'!$B$24*AW57))</f>
        <v>219.5485269</v>
      </c>
      <c r="R57" s="12">
        <f t="shared" ref="R57:V57" si="67">if(min($K56:$O56)=K56,R56+1,R56)</f>
        <v>42</v>
      </c>
      <c r="S57" s="12">
        <f t="shared" si="67"/>
        <v>11</v>
      </c>
      <c r="T57" s="12">
        <f t="shared" si="67"/>
        <v>3</v>
      </c>
      <c r="U57" s="12">
        <f t="shared" si="67"/>
        <v>0</v>
      </c>
      <c r="V57" s="12">
        <f t="shared" si="67"/>
        <v>0</v>
      </c>
      <c r="X57" s="13">
        <f> 'Optimal Choice'!$B$5*'Optimal Choice'!$B$6^(R57+1)</f>
        <v>73.37741902</v>
      </c>
      <c r="Y57" s="13">
        <f> 'Optimal Choice'!$B$10*'Optimal Choice'!$B$11^(S57+1)</f>
        <v>321.0150063</v>
      </c>
      <c r="Z57" s="13">
        <f> 'Optimal Choice'!$B$15*'Optimal Choice'!$B$16^(T57+1)</f>
        <v>1216.051315</v>
      </c>
      <c r="AA57" s="13">
        <f> 'Optimal Choice'!$B$20*'Optimal Choice'!$B$21^(U57+1)</f>
        <v>9763.2</v>
      </c>
      <c r="AB57" s="13">
        <f> 'Optimal Choice'!$B$25*'Optimal Choice'!$B$26^(V57+1)</f>
        <v>116121.6</v>
      </c>
      <c r="AE57" s="12">
        <f t="shared" si="4"/>
        <v>3</v>
      </c>
      <c r="AF57" s="14">
        <f t="shared" si="5"/>
        <v>1</v>
      </c>
      <c r="AG57" s="14">
        <f t="shared" si="6"/>
        <v>1</v>
      </c>
      <c r="AH57" s="14">
        <f t="shared" si="7"/>
        <v>1</v>
      </c>
      <c r="AI57" s="14">
        <f t="shared" si="8"/>
        <v>1</v>
      </c>
      <c r="AL57" s="14">
        <f>R57*'Optimal Choice'!$B$4*AE57</f>
        <v>210.42</v>
      </c>
      <c r="AM57" s="14">
        <f>S57*'Optimal Choice'!$B$9*AF57</f>
        <v>220</v>
      </c>
      <c r="AN57" s="14">
        <f>T57*'Optimal Choice'!$B$14*AG57</f>
        <v>270</v>
      </c>
      <c r="AO57" s="14">
        <f>U57*'Optimal Choice'!$B$19*AH57</f>
        <v>0</v>
      </c>
      <c r="AP57" s="14">
        <f>V57*'Optimal Choice'!$B$24*AI57</f>
        <v>0</v>
      </c>
      <c r="AS57" s="12">
        <f t="shared" si="9"/>
        <v>3</v>
      </c>
      <c r="AT57" s="14">
        <f t="shared" si="10"/>
        <v>1</v>
      </c>
      <c r="AU57" s="14">
        <f t="shared" si="11"/>
        <v>1</v>
      </c>
      <c r="AV57" s="14">
        <f t="shared" si="12"/>
        <v>1</v>
      </c>
      <c r="AW57" s="14">
        <f t="shared" si="13"/>
        <v>1</v>
      </c>
      <c r="AY57" s="11">
        <f t="shared" si="14"/>
        <v>0.006837528873</v>
      </c>
    </row>
    <row r="58" ht="15.75" customHeight="1">
      <c r="A58" s="15">
        <f t="shared" si="2"/>
        <v>0.5633679409</v>
      </c>
      <c r="B58" s="7">
        <f>(sum(AL58:AP58))*'Optimal Choice'!$B$28</f>
        <v>705.43</v>
      </c>
      <c r="C58" s="11"/>
      <c r="D58" s="12"/>
      <c r="E58" s="12"/>
      <c r="F58" s="11"/>
      <c r="G58" s="11"/>
      <c r="H58" s="11"/>
      <c r="I58" s="11"/>
      <c r="J58" s="11"/>
      <c r="K58" s="11">
        <f>(X58/$B58)+(X58/('Optimal Choice'!$B$4*AS58))</f>
        <v>15.78272408</v>
      </c>
      <c r="L58" s="11">
        <f>(Y58/$B58)+(Y58/('Optimal Choice'!$B$9*AT58))</f>
        <v>16.50581319</v>
      </c>
      <c r="M58" s="11">
        <f>(Z58/$B58)+(Z58/('Optimal Choice'!$B$14*AU58))</f>
        <v>15.23552534</v>
      </c>
      <c r="N58" s="11">
        <f>(AA58/$B58)+(AA58/('Optimal Choice'!$B$19*AV58))</f>
        <v>40.96006918</v>
      </c>
      <c r="O58" s="11">
        <f>(AB58/$B58)+(AB58/('Optimal Choice'!$B$24*AW58))</f>
        <v>218.3710883</v>
      </c>
      <c r="R58" s="12">
        <f t="shared" ref="R58:V58" si="68">if(min($K57:$O57)=K57,R57+1,R57)</f>
        <v>43</v>
      </c>
      <c r="S58" s="12">
        <f t="shared" si="68"/>
        <v>11</v>
      </c>
      <c r="T58" s="12">
        <f t="shared" si="68"/>
        <v>3</v>
      </c>
      <c r="U58" s="12">
        <f t="shared" si="68"/>
        <v>0</v>
      </c>
      <c r="V58" s="12">
        <f t="shared" si="68"/>
        <v>0</v>
      </c>
      <c r="X58" s="13">
        <f> 'Optimal Choice'!$B$5*'Optimal Choice'!$B$6^(R58+1)</f>
        <v>78.51383835</v>
      </c>
      <c r="Y58" s="13">
        <f> 'Optimal Choice'!$B$10*'Optimal Choice'!$B$11^(S58+1)</f>
        <v>321.0150063</v>
      </c>
      <c r="Z58" s="13">
        <f> 'Optimal Choice'!$B$15*'Optimal Choice'!$B$16^(T58+1)</f>
        <v>1216.051315</v>
      </c>
      <c r="AA58" s="13">
        <f> 'Optimal Choice'!$B$20*'Optimal Choice'!$B$21^(U58+1)</f>
        <v>9763.2</v>
      </c>
      <c r="AB58" s="13">
        <f> 'Optimal Choice'!$B$25*'Optimal Choice'!$B$26^(V58+1)</f>
        <v>116121.6</v>
      </c>
      <c r="AE58" s="12">
        <f t="shared" si="4"/>
        <v>3</v>
      </c>
      <c r="AF58" s="14">
        <f t="shared" si="5"/>
        <v>1</v>
      </c>
      <c r="AG58" s="14">
        <f t="shared" si="6"/>
        <v>1</v>
      </c>
      <c r="AH58" s="14">
        <f t="shared" si="7"/>
        <v>1</v>
      </c>
      <c r="AI58" s="14">
        <f t="shared" si="8"/>
        <v>1</v>
      </c>
      <c r="AL58" s="14">
        <f>R58*'Optimal Choice'!$B$4*AE58</f>
        <v>215.43</v>
      </c>
      <c r="AM58" s="14">
        <f>S58*'Optimal Choice'!$B$9*AF58</f>
        <v>220</v>
      </c>
      <c r="AN58" s="14">
        <f>T58*'Optimal Choice'!$B$14*AG58</f>
        <v>270</v>
      </c>
      <c r="AO58" s="14">
        <f>U58*'Optimal Choice'!$B$19*AH58</f>
        <v>0</v>
      </c>
      <c r="AP58" s="14">
        <f>V58*'Optimal Choice'!$B$24*AI58</f>
        <v>0</v>
      </c>
      <c r="AS58" s="12">
        <f t="shared" si="9"/>
        <v>3</v>
      </c>
      <c r="AT58" s="14">
        <f t="shared" si="10"/>
        <v>1</v>
      </c>
      <c r="AU58" s="14">
        <f t="shared" si="11"/>
        <v>1</v>
      </c>
      <c r="AV58" s="14">
        <f t="shared" si="12"/>
        <v>1</v>
      </c>
      <c r="AW58" s="14">
        <f t="shared" si="13"/>
        <v>1</v>
      </c>
      <c r="AY58" s="11">
        <f t="shared" si="14"/>
        <v>0.001746033785</v>
      </c>
    </row>
    <row r="59" ht="15.75" customHeight="1">
      <c r="A59" s="15">
        <f t="shared" si="2"/>
        <v>0.5920986752</v>
      </c>
      <c r="B59" s="7">
        <f>(sum(AL59:AP59))*'Optimal Choice'!$B$28</f>
        <v>795.43</v>
      </c>
      <c r="C59" s="11"/>
      <c r="D59" s="12"/>
      <c r="E59" s="12"/>
      <c r="F59" s="11"/>
      <c r="G59" s="11"/>
      <c r="H59" s="11"/>
      <c r="I59" s="11"/>
      <c r="J59" s="11"/>
      <c r="K59" s="11">
        <f>(X59/$B59)+(X59/('Optimal Choice'!$B$4*AS59))</f>
        <v>15.77013098</v>
      </c>
      <c r="L59" s="11">
        <f>(Y59/$B59)+(Y59/('Optimal Choice'!$B$9*AT59))</f>
        <v>16.45432449</v>
      </c>
      <c r="M59" s="11">
        <f>(Z59/$B59)+(Z59/('Optimal Choice'!$B$14*AU59))</f>
        <v>17.14614569</v>
      </c>
      <c r="N59" s="11">
        <f>(AA59/$B59)+(AA59/('Optimal Choice'!$B$19*AV59))</f>
        <v>39.39411589</v>
      </c>
      <c r="O59" s="11">
        <f>(AB59/$B59)+(AB59/('Optimal Choice'!$B$24*AW59))</f>
        <v>199.7459447</v>
      </c>
      <c r="R59" s="12">
        <f t="shared" ref="R59:V59" si="69">if(min($K58:$O58)=K58,R58+1,R58)</f>
        <v>43</v>
      </c>
      <c r="S59" s="12">
        <f t="shared" si="69"/>
        <v>11</v>
      </c>
      <c r="T59" s="12">
        <f t="shared" si="69"/>
        <v>4</v>
      </c>
      <c r="U59" s="12">
        <f t="shared" si="69"/>
        <v>0</v>
      </c>
      <c r="V59" s="12">
        <f t="shared" si="69"/>
        <v>0</v>
      </c>
      <c r="X59" s="13">
        <f> 'Optimal Choice'!$B$5*'Optimal Choice'!$B$6^(R59+1)</f>
        <v>78.51383835</v>
      </c>
      <c r="Y59" s="13">
        <f> 'Optimal Choice'!$B$10*'Optimal Choice'!$B$11^(S59+1)</f>
        <v>321.0150063</v>
      </c>
      <c r="Z59" s="13">
        <f> 'Optimal Choice'!$B$15*'Optimal Choice'!$B$16^(T59+1)</f>
        <v>1386.298499</v>
      </c>
      <c r="AA59" s="13">
        <f> 'Optimal Choice'!$B$20*'Optimal Choice'!$B$21^(U59+1)</f>
        <v>9763.2</v>
      </c>
      <c r="AB59" s="13">
        <f> 'Optimal Choice'!$B$25*'Optimal Choice'!$B$26^(V59+1)</f>
        <v>116121.6</v>
      </c>
      <c r="AE59" s="12">
        <f t="shared" si="4"/>
        <v>3</v>
      </c>
      <c r="AF59" s="14">
        <f t="shared" si="5"/>
        <v>1</v>
      </c>
      <c r="AG59" s="14">
        <f t="shared" si="6"/>
        <v>1</v>
      </c>
      <c r="AH59" s="14">
        <f t="shared" si="7"/>
        <v>1</v>
      </c>
      <c r="AI59" s="14">
        <f t="shared" si="8"/>
        <v>1</v>
      </c>
      <c r="AL59" s="14">
        <f>R59*'Optimal Choice'!$B$4*AE59</f>
        <v>215.43</v>
      </c>
      <c r="AM59" s="14">
        <f>S59*'Optimal Choice'!$B$9*AF59</f>
        <v>220</v>
      </c>
      <c r="AN59" s="14">
        <f>T59*'Optimal Choice'!$B$14*AG59</f>
        <v>360</v>
      </c>
      <c r="AO59" s="14">
        <f>U59*'Optimal Choice'!$B$19*AH59</f>
        <v>0</v>
      </c>
      <c r="AP59" s="14">
        <f>V59*'Optimal Choice'!$B$24*AI59</f>
        <v>0</v>
      </c>
      <c r="AS59" s="12">
        <f t="shared" si="9"/>
        <v>3</v>
      </c>
      <c r="AT59" s="14">
        <f t="shared" si="10"/>
        <v>1</v>
      </c>
      <c r="AU59" s="14">
        <f t="shared" si="11"/>
        <v>1</v>
      </c>
      <c r="AV59" s="14">
        <f t="shared" si="12"/>
        <v>1</v>
      </c>
      <c r="AW59" s="14">
        <f t="shared" si="13"/>
        <v>1</v>
      </c>
      <c r="AY59" s="11">
        <f t="shared" si="14"/>
        <v>0.02873073433</v>
      </c>
    </row>
    <row r="60" ht="15.75" customHeight="1">
      <c r="A60" s="15">
        <f t="shared" si="2"/>
        <v>0.5937437779</v>
      </c>
      <c r="B60" s="7">
        <f>(sum(AL60:AP60))*'Optimal Choice'!$B$28</f>
        <v>800.44</v>
      </c>
      <c r="C60" s="11"/>
      <c r="D60" s="12"/>
      <c r="E60" s="12"/>
      <c r="F60" s="11"/>
      <c r="G60" s="11"/>
      <c r="H60" s="11"/>
      <c r="I60" s="11"/>
      <c r="J60" s="11"/>
      <c r="K60" s="11">
        <f>(X60/$B60)+(X60/('Optimal Choice'!$B$4*AS60))</f>
        <v>16.87337909</v>
      </c>
      <c r="L60" s="11">
        <f>(Y60/$B60)+(Y60/('Optimal Choice'!$B$9*AT60))</f>
        <v>16.4517985</v>
      </c>
      <c r="M60" s="11">
        <f>(Z60/$B60)+(Z60/('Optimal Choice'!$B$14*AU60))</f>
        <v>17.13523723</v>
      </c>
      <c r="N60" s="11">
        <f>(AA60/$B60)+(AA60/('Optimal Choice'!$B$19*AV60))</f>
        <v>39.31729149</v>
      </c>
      <c r="O60" s="11">
        <f>(AB60/$B60)+(AB60/('Optimal Choice'!$B$24*AW60))</f>
        <v>198.8322103</v>
      </c>
      <c r="R60" s="12">
        <f t="shared" ref="R60:V60" si="70">if(min($K59:$O59)=K59,R59+1,R59)</f>
        <v>44</v>
      </c>
      <c r="S60" s="12">
        <f t="shared" si="70"/>
        <v>11</v>
      </c>
      <c r="T60" s="12">
        <f t="shared" si="70"/>
        <v>4</v>
      </c>
      <c r="U60" s="12">
        <f t="shared" si="70"/>
        <v>0</v>
      </c>
      <c r="V60" s="12">
        <f t="shared" si="70"/>
        <v>0</v>
      </c>
      <c r="X60" s="13">
        <f> 'Optimal Choice'!$B$5*'Optimal Choice'!$B$6^(R60+1)</f>
        <v>84.00980703</v>
      </c>
      <c r="Y60" s="13">
        <f> 'Optimal Choice'!$B$10*'Optimal Choice'!$B$11^(S60+1)</f>
        <v>321.0150063</v>
      </c>
      <c r="Z60" s="13">
        <f> 'Optimal Choice'!$B$15*'Optimal Choice'!$B$16^(T60+1)</f>
        <v>1386.298499</v>
      </c>
      <c r="AA60" s="13">
        <f> 'Optimal Choice'!$B$20*'Optimal Choice'!$B$21^(U60+1)</f>
        <v>9763.2</v>
      </c>
      <c r="AB60" s="13">
        <f> 'Optimal Choice'!$B$25*'Optimal Choice'!$B$26^(V60+1)</f>
        <v>116121.6</v>
      </c>
      <c r="AE60" s="12">
        <f t="shared" si="4"/>
        <v>3</v>
      </c>
      <c r="AF60" s="14">
        <f t="shared" si="5"/>
        <v>1</v>
      </c>
      <c r="AG60" s="14">
        <f t="shared" si="6"/>
        <v>1</v>
      </c>
      <c r="AH60" s="14">
        <f t="shared" si="7"/>
        <v>1</v>
      </c>
      <c r="AI60" s="14">
        <f t="shared" si="8"/>
        <v>1</v>
      </c>
      <c r="AL60" s="14">
        <f>R60*'Optimal Choice'!$B$4*AE60</f>
        <v>220.44</v>
      </c>
      <c r="AM60" s="14">
        <f>S60*'Optimal Choice'!$B$9*AF60</f>
        <v>220</v>
      </c>
      <c r="AN60" s="14">
        <f>T60*'Optimal Choice'!$B$14*AG60</f>
        <v>360</v>
      </c>
      <c r="AO60" s="14">
        <f>U60*'Optimal Choice'!$B$19*AH60</f>
        <v>0</v>
      </c>
      <c r="AP60" s="14">
        <f>V60*'Optimal Choice'!$B$24*AI60</f>
        <v>0</v>
      </c>
      <c r="AS60" s="12">
        <f t="shared" si="9"/>
        <v>3</v>
      </c>
      <c r="AT60" s="14">
        <f t="shared" si="10"/>
        <v>1</v>
      </c>
      <c r="AU60" s="14">
        <f t="shared" si="11"/>
        <v>1</v>
      </c>
      <c r="AV60" s="14">
        <f t="shared" si="12"/>
        <v>1</v>
      </c>
      <c r="AW60" s="14">
        <f t="shared" si="13"/>
        <v>1</v>
      </c>
      <c r="AY60" s="11">
        <f t="shared" si="14"/>
        <v>0.001645102614</v>
      </c>
    </row>
    <row r="61" ht="15.75" customHeight="1">
      <c r="A61" s="15">
        <f t="shared" si="2"/>
        <v>0.6004279142</v>
      </c>
      <c r="B61" s="7">
        <f>(sum(AL61:AP61))*'Optimal Choice'!$B$28</f>
        <v>820.44</v>
      </c>
      <c r="C61" s="11"/>
      <c r="D61" s="12"/>
      <c r="E61" s="12"/>
      <c r="F61" s="11"/>
      <c r="G61" s="11"/>
      <c r="H61" s="11"/>
      <c r="I61" s="11"/>
      <c r="J61" s="11"/>
      <c r="K61" s="11">
        <f>(X61/$B61)+(X61/('Optimal Choice'!$B$4*AS61))</f>
        <v>16.8708206</v>
      </c>
      <c r="L61" s="11">
        <f>(Y61/$B61)+(Y61/('Optimal Choice'!$B$9*AT61))</f>
        <v>18.90832539</v>
      </c>
      <c r="M61" s="11">
        <f>(Z61/$B61)+(Z61/('Optimal Choice'!$B$14*AU61))</f>
        <v>17.09301792</v>
      </c>
      <c r="N61" s="11">
        <f>(AA61/$B61)+(AA61/('Optimal Choice'!$B$19*AV61))</f>
        <v>39.01995612</v>
      </c>
      <c r="O61" s="11">
        <f>(AB61/$B61)+(AB61/('Optimal Choice'!$B$24*AW61))</f>
        <v>195.2957613</v>
      </c>
      <c r="R61" s="12">
        <f t="shared" ref="R61:V61" si="71">if(min($K60:$O60)=K60,R60+1,R60)</f>
        <v>44</v>
      </c>
      <c r="S61" s="12">
        <f t="shared" si="71"/>
        <v>12</v>
      </c>
      <c r="T61" s="12">
        <f t="shared" si="71"/>
        <v>4</v>
      </c>
      <c r="U61" s="12">
        <f t="shared" si="71"/>
        <v>0</v>
      </c>
      <c r="V61" s="12">
        <f t="shared" si="71"/>
        <v>0</v>
      </c>
      <c r="X61" s="13">
        <f> 'Optimal Choice'!$B$5*'Optimal Choice'!$B$6^(R61+1)</f>
        <v>84.00980703</v>
      </c>
      <c r="Y61" s="13">
        <f> 'Optimal Choice'!$B$10*'Optimal Choice'!$B$11^(S61+1)</f>
        <v>369.1672573</v>
      </c>
      <c r="Z61" s="13">
        <f> 'Optimal Choice'!$B$15*'Optimal Choice'!$B$16^(T61+1)</f>
        <v>1386.298499</v>
      </c>
      <c r="AA61" s="13">
        <f> 'Optimal Choice'!$B$20*'Optimal Choice'!$B$21^(U61+1)</f>
        <v>9763.2</v>
      </c>
      <c r="AB61" s="13">
        <f> 'Optimal Choice'!$B$25*'Optimal Choice'!$B$26^(V61+1)</f>
        <v>116121.6</v>
      </c>
      <c r="AE61" s="12">
        <f t="shared" si="4"/>
        <v>3</v>
      </c>
      <c r="AF61" s="14">
        <f t="shared" si="5"/>
        <v>1</v>
      </c>
      <c r="AG61" s="14">
        <f t="shared" si="6"/>
        <v>1</v>
      </c>
      <c r="AH61" s="14">
        <f t="shared" si="7"/>
        <v>1</v>
      </c>
      <c r="AI61" s="14">
        <f t="shared" si="8"/>
        <v>1</v>
      </c>
      <c r="AL61" s="14">
        <f>R61*'Optimal Choice'!$B$4*AE61</f>
        <v>220.44</v>
      </c>
      <c r="AM61" s="14">
        <f>S61*'Optimal Choice'!$B$9*AF61</f>
        <v>240</v>
      </c>
      <c r="AN61" s="14">
        <f>T61*'Optimal Choice'!$B$14*AG61</f>
        <v>360</v>
      </c>
      <c r="AO61" s="14">
        <f>U61*'Optimal Choice'!$B$19*AH61</f>
        <v>0</v>
      </c>
      <c r="AP61" s="14">
        <f>V61*'Optimal Choice'!$B$24*AI61</f>
        <v>0</v>
      </c>
      <c r="AS61" s="12">
        <f t="shared" si="9"/>
        <v>3</v>
      </c>
      <c r="AT61" s="14">
        <f t="shared" si="10"/>
        <v>1</v>
      </c>
      <c r="AU61" s="14">
        <f t="shared" si="11"/>
        <v>1</v>
      </c>
      <c r="AV61" s="14">
        <f t="shared" si="12"/>
        <v>1</v>
      </c>
      <c r="AW61" s="14">
        <f t="shared" si="13"/>
        <v>1</v>
      </c>
      <c r="AY61" s="11">
        <f t="shared" si="14"/>
        <v>0.006684136357</v>
      </c>
    </row>
    <row r="62" ht="15.75" customHeight="1">
      <c r="A62" s="15">
        <f t="shared" si="2"/>
        <v>0.6021345149</v>
      </c>
      <c r="B62" s="7">
        <f>(sum(AL62:AP62))*'Optimal Choice'!$B$28</f>
        <v>825.45</v>
      </c>
      <c r="C62" s="11"/>
      <c r="D62" s="12"/>
      <c r="E62" s="12"/>
      <c r="F62" s="11"/>
      <c r="G62" s="11"/>
      <c r="H62" s="11"/>
      <c r="I62" s="11"/>
      <c r="J62" s="11"/>
      <c r="K62" s="11">
        <f>(X62/$B62)+(X62/('Optimal Choice'!$B$4*AS62))</f>
        <v>18.05111305</v>
      </c>
      <c r="L62" s="11">
        <f>(Y62/$B62)+(Y62/('Optimal Choice'!$B$9*AT62))</f>
        <v>18.90559438</v>
      </c>
      <c r="M62" s="11">
        <f>(Z62/$B62)+(Z62/('Optimal Choice'!$B$14*AU62))</f>
        <v>17.08276242</v>
      </c>
      <c r="N62" s="11">
        <f>(AA62/$B62)+(AA62/('Optimal Choice'!$B$19*AV62))</f>
        <v>38.94773033</v>
      </c>
      <c r="O62" s="11">
        <f>(AB62/$B62)+(AB62/('Optimal Choice'!$B$24*AW62))</f>
        <v>194.4367218</v>
      </c>
      <c r="R62" s="12">
        <f t="shared" ref="R62:V62" si="72">if(min($K61:$O61)=K61,R61+1,R61)</f>
        <v>45</v>
      </c>
      <c r="S62" s="12">
        <f t="shared" si="72"/>
        <v>12</v>
      </c>
      <c r="T62" s="12">
        <f t="shared" si="72"/>
        <v>4</v>
      </c>
      <c r="U62" s="12">
        <f t="shared" si="72"/>
        <v>0</v>
      </c>
      <c r="V62" s="12">
        <f t="shared" si="72"/>
        <v>0</v>
      </c>
      <c r="X62" s="13">
        <f> 'Optimal Choice'!$B$5*'Optimal Choice'!$B$6^(R62+1)</f>
        <v>89.89049353</v>
      </c>
      <c r="Y62" s="13">
        <f> 'Optimal Choice'!$B$10*'Optimal Choice'!$B$11^(S62+1)</f>
        <v>369.1672573</v>
      </c>
      <c r="Z62" s="13">
        <f> 'Optimal Choice'!$B$15*'Optimal Choice'!$B$16^(T62+1)</f>
        <v>1386.298499</v>
      </c>
      <c r="AA62" s="13">
        <f> 'Optimal Choice'!$B$20*'Optimal Choice'!$B$21^(U62+1)</f>
        <v>9763.2</v>
      </c>
      <c r="AB62" s="13">
        <f> 'Optimal Choice'!$B$25*'Optimal Choice'!$B$26^(V62+1)</f>
        <v>116121.6</v>
      </c>
      <c r="AE62" s="12">
        <f t="shared" si="4"/>
        <v>3</v>
      </c>
      <c r="AF62" s="14">
        <f t="shared" si="5"/>
        <v>1</v>
      </c>
      <c r="AG62" s="14">
        <f t="shared" si="6"/>
        <v>1</v>
      </c>
      <c r="AH62" s="14">
        <f t="shared" si="7"/>
        <v>1</v>
      </c>
      <c r="AI62" s="14">
        <f t="shared" si="8"/>
        <v>1</v>
      </c>
      <c r="AL62" s="14">
        <f>R62*'Optimal Choice'!$B$4*AE62</f>
        <v>225.45</v>
      </c>
      <c r="AM62" s="14">
        <f>S62*'Optimal Choice'!$B$9*AF62</f>
        <v>240</v>
      </c>
      <c r="AN62" s="14">
        <f>T62*'Optimal Choice'!$B$14*AG62</f>
        <v>360</v>
      </c>
      <c r="AO62" s="14">
        <f>U62*'Optimal Choice'!$B$19*AH62</f>
        <v>0</v>
      </c>
      <c r="AP62" s="14">
        <f>V62*'Optimal Choice'!$B$24*AI62</f>
        <v>0</v>
      </c>
      <c r="AS62" s="12">
        <f t="shared" si="9"/>
        <v>3</v>
      </c>
      <c r="AT62" s="14">
        <f t="shared" si="10"/>
        <v>1</v>
      </c>
      <c r="AU62" s="14">
        <f t="shared" si="11"/>
        <v>1</v>
      </c>
      <c r="AV62" s="14">
        <f t="shared" si="12"/>
        <v>1</v>
      </c>
      <c r="AW62" s="14">
        <f t="shared" si="13"/>
        <v>1</v>
      </c>
      <c r="AY62" s="11">
        <f t="shared" si="14"/>
        <v>0.001706600666</v>
      </c>
    </row>
    <row r="63" ht="15.75" customHeight="1">
      <c r="A63" s="15">
        <f t="shared" si="2"/>
        <v>0.6301252775</v>
      </c>
      <c r="B63" s="7">
        <f>(sum(AL63:AP63))*'Optimal Choice'!$B$28</f>
        <v>915.45</v>
      </c>
      <c r="C63" s="11"/>
      <c r="D63" s="12"/>
      <c r="E63" s="12"/>
      <c r="F63" s="11"/>
      <c r="G63" s="11"/>
      <c r="H63" s="11"/>
      <c r="I63" s="11"/>
      <c r="J63" s="11"/>
      <c r="K63" s="11">
        <f>(X63/$B63)+(X63/('Optimal Choice'!$B$4*AS63))</f>
        <v>18.04040696</v>
      </c>
      <c r="L63" s="11">
        <f>(Y63/$B63)+(Y63/('Optimal Choice'!$B$9*AT63))</f>
        <v>18.86162602</v>
      </c>
      <c r="M63" s="11">
        <f>(Z63/$B63)+(Z63/('Optimal Choice'!$B$14*AU63))</f>
        <v>19.28612354</v>
      </c>
      <c r="N63" s="11">
        <f>(AA63/$B63)+(AA63/('Optimal Choice'!$B$19*AV63))</f>
        <v>37.78491889</v>
      </c>
      <c r="O63" s="11">
        <f>(AB63/$B63)+(AB63/('Optimal Choice'!$B$24*AW63))</f>
        <v>180.6064689</v>
      </c>
      <c r="R63" s="12">
        <f t="shared" ref="R63:V63" si="73">if(min($K62:$O62)=K62,R62+1,R62)</f>
        <v>45</v>
      </c>
      <c r="S63" s="12">
        <f t="shared" si="73"/>
        <v>12</v>
      </c>
      <c r="T63" s="12">
        <f t="shared" si="73"/>
        <v>5</v>
      </c>
      <c r="U63" s="12">
        <f t="shared" si="73"/>
        <v>0</v>
      </c>
      <c r="V63" s="12">
        <f t="shared" si="73"/>
        <v>0</v>
      </c>
      <c r="X63" s="13">
        <f> 'Optimal Choice'!$B$5*'Optimal Choice'!$B$6^(R63+1)</f>
        <v>89.89049353</v>
      </c>
      <c r="Y63" s="13">
        <f> 'Optimal Choice'!$B$10*'Optimal Choice'!$B$11^(S63+1)</f>
        <v>369.1672573</v>
      </c>
      <c r="Z63" s="13">
        <f> 'Optimal Choice'!$B$15*'Optimal Choice'!$B$16^(T63+1)</f>
        <v>1580.380289</v>
      </c>
      <c r="AA63" s="13">
        <f> 'Optimal Choice'!$B$20*'Optimal Choice'!$B$21^(U63+1)</f>
        <v>9763.2</v>
      </c>
      <c r="AB63" s="13">
        <f> 'Optimal Choice'!$B$25*'Optimal Choice'!$B$26^(V63+1)</f>
        <v>116121.6</v>
      </c>
      <c r="AE63" s="12">
        <f t="shared" si="4"/>
        <v>3</v>
      </c>
      <c r="AF63" s="14">
        <f t="shared" si="5"/>
        <v>1</v>
      </c>
      <c r="AG63" s="14">
        <f t="shared" si="6"/>
        <v>1</v>
      </c>
      <c r="AH63" s="14">
        <f t="shared" si="7"/>
        <v>1</v>
      </c>
      <c r="AI63" s="14">
        <f t="shared" si="8"/>
        <v>1</v>
      </c>
      <c r="AL63" s="14">
        <f>R63*'Optimal Choice'!$B$4*AE63</f>
        <v>225.45</v>
      </c>
      <c r="AM63" s="14">
        <f>S63*'Optimal Choice'!$B$9*AF63</f>
        <v>240</v>
      </c>
      <c r="AN63" s="14">
        <f>T63*'Optimal Choice'!$B$14*AG63</f>
        <v>450</v>
      </c>
      <c r="AO63" s="14">
        <f>U63*'Optimal Choice'!$B$19*AH63</f>
        <v>0</v>
      </c>
      <c r="AP63" s="14">
        <f>V63*'Optimal Choice'!$B$24*AI63</f>
        <v>0</v>
      </c>
      <c r="AS63" s="12">
        <f t="shared" si="9"/>
        <v>3</v>
      </c>
      <c r="AT63" s="14">
        <f t="shared" si="10"/>
        <v>1</v>
      </c>
      <c r="AU63" s="14">
        <f t="shared" si="11"/>
        <v>1</v>
      </c>
      <c r="AV63" s="14">
        <f t="shared" si="12"/>
        <v>1</v>
      </c>
      <c r="AW63" s="14">
        <f t="shared" si="13"/>
        <v>1</v>
      </c>
      <c r="AY63" s="11">
        <f t="shared" si="14"/>
        <v>0.0279907626</v>
      </c>
    </row>
    <row r="64" ht="15.75" customHeight="1">
      <c r="A64" s="15">
        <f t="shared" si="2"/>
        <v>0.6317618222</v>
      </c>
      <c r="B64" s="7">
        <f>(sum(AL64:AP64))*'Optimal Choice'!$B$28</f>
        <v>920.46</v>
      </c>
      <c r="C64" s="11"/>
      <c r="D64" s="12"/>
      <c r="E64" s="12"/>
      <c r="F64" s="11"/>
      <c r="G64" s="11"/>
      <c r="H64" s="11"/>
      <c r="I64" s="11"/>
      <c r="J64" s="11"/>
      <c r="K64" s="11">
        <f>(X64/$B64)+(X64/('Optimal Choice'!$B$4*AS64))</f>
        <v>19.30266358</v>
      </c>
      <c r="L64" s="11">
        <f>(Y64/$B64)+(Y64/('Optimal Choice'!$B$9*AT64))</f>
        <v>18.85943109</v>
      </c>
      <c r="M64" s="11">
        <f>(Z64/$B64)+(Z64/('Optimal Choice'!$B$14*AU64))</f>
        <v>19.27672718</v>
      </c>
      <c r="N64" s="11">
        <f>(AA64/$B64)+(AA64/('Optimal Choice'!$B$19*AV64))</f>
        <v>37.72687048</v>
      </c>
      <c r="O64" s="11">
        <f>(AB64/$B64)+(AB64/('Optimal Choice'!$B$24*AW64))</f>
        <v>179.9160524</v>
      </c>
      <c r="R64" s="12">
        <f t="shared" ref="R64:V64" si="74">if(min($K63:$O63)=K63,R63+1,R63)</f>
        <v>46</v>
      </c>
      <c r="S64" s="12">
        <f t="shared" si="74"/>
        <v>12</v>
      </c>
      <c r="T64" s="12">
        <f t="shared" si="74"/>
        <v>5</v>
      </c>
      <c r="U64" s="12">
        <f t="shared" si="74"/>
        <v>0</v>
      </c>
      <c r="V64" s="12">
        <f t="shared" si="74"/>
        <v>0</v>
      </c>
      <c r="X64" s="13">
        <f> 'Optimal Choice'!$B$5*'Optimal Choice'!$B$6^(R64+1)</f>
        <v>96.18282807</v>
      </c>
      <c r="Y64" s="13">
        <f> 'Optimal Choice'!$B$10*'Optimal Choice'!$B$11^(S64+1)</f>
        <v>369.1672573</v>
      </c>
      <c r="Z64" s="13">
        <f> 'Optimal Choice'!$B$15*'Optimal Choice'!$B$16^(T64+1)</f>
        <v>1580.380289</v>
      </c>
      <c r="AA64" s="13">
        <f> 'Optimal Choice'!$B$20*'Optimal Choice'!$B$21^(U64+1)</f>
        <v>9763.2</v>
      </c>
      <c r="AB64" s="13">
        <f> 'Optimal Choice'!$B$25*'Optimal Choice'!$B$26^(V64+1)</f>
        <v>116121.6</v>
      </c>
      <c r="AE64" s="12">
        <f t="shared" si="4"/>
        <v>3</v>
      </c>
      <c r="AF64" s="14">
        <f t="shared" si="5"/>
        <v>1</v>
      </c>
      <c r="AG64" s="14">
        <f t="shared" si="6"/>
        <v>1</v>
      </c>
      <c r="AH64" s="14">
        <f t="shared" si="7"/>
        <v>1</v>
      </c>
      <c r="AI64" s="14">
        <f t="shared" si="8"/>
        <v>1</v>
      </c>
      <c r="AL64" s="14">
        <f>R64*'Optimal Choice'!$B$4*AE64</f>
        <v>230.46</v>
      </c>
      <c r="AM64" s="14">
        <f>S64*'Optimal Choice'!$B$9*AF64</f>
        <v>240</v>
      </c>
      <c r="AN64" s="14">
        <f>T64*'Optimal Choice'!$B$14*AG64</f>
        <v>450</v>
      </c>
      <c r="AO64" s="14">
        <f>U64*'Optimal Choice'!$B$19*AH64</f>
        <v>0</v>
      </c>
      <c r="AP64" s="14">
        <f>V64*'Optimal Choice'!$B$24*AI64</f>
        <v>0</v>
      </c>
      <c r="AS64" s="12">
        <f t="shared" si="9"/>
        <v>3</v>
      </c>
      <c r="AT64" s="14">
        <f t="shared" si="10"/>
        <v>1</v>
      </c>
      <c r="AU64" s="14">
        <f t="shared" si="11"/>
        <v>1</v>
      </c>
      <c r="AV64" s="14">
        <f t="shared" si="12"/>
        <v>1</v>
      </c>
      <c r="AW64" s="14">
        <f t="shared" si="13"/>
        <v>1</v>
      </c>
      <c r="AY64" s="11">
        <f t="shared" si="14"/>
        <v>0.001636544751</v>
      </c>
    </row>
    <row r="65" ht="15.75" customHeight="1">
      <c r="A65" s="15">
        <f t="shared" si="2"/>
        <v>0.6384462926</v>
      </c>
      <c r="B65" s="7">
        <f>(sum(AL65:AP65))*'Optimal Choice'!$B$28</f>
        <v>940.46</v>
      </c>
      <c r="C65" s="11"/>
      <c r="D65" s="12"/>
      <c r="E65" s="12"/>
      <c r="F65" s="11"/>
      <c r="G65" s="11"/>
      <c r="H65" s="11"/>
      <c r="I65" s="11"/>
      <c r="J65" s="11"/>
      <c r="K65" s="11">
        <f>(X65/$B65)+(X65/('Optimal Choice'!$B$4*AS65))</f>
        <v>19.30044139</v>
      </c>
      <c r="L65" s="11">
        <f>(Y65/$B65)+(Y65/('Optimal Choice'!$B$9*AT65))</f>
        <v>21.67853718</v>
      </c>
      <c r="M65" s="11">
        <f>(Z65/$B65)+(Z65/('Optimal Choice'!$B$14*AU65))</f>
        <v>19.24021428</v>
      </c>
      <c r="N65" s="11">
        <f>(AA65/$B65)+(AA65/('Optimal Choice'!$B$19*AV65))</f>
        <v>37.50130277</v>
      </c>
      <c r="O65" s="11">
        <f>(AB65/$B65)+(AB65/('Optimal Choice'!$B$24*AW65))</f>
        <v>177.233194</v>
      </c>
      <c r="R65" s="12">
        <f t="shared" ref="R65:V65" si="75">if(min($K64:$O64)=K64,R64+1,R64)</f>
        <v>46</v>
      </c>
      <c r="S65" s="12">
        <f t="shared" si="75"/>
        <v>13</v>
      </c>
      <c r="T65" s="12">
        <f t="shared" si="75"/>
        <v>5</v>
      </c>
      <c r="U65" s="12">
        <f t="shared" si="75"/>
        <v>0</v>
      </c>
      <c r="V65" s="12">
        <f t="shared" si="75"/>
        <v>0</v>
      </c>
      <c r="X65" s="13">
        <f> 'Optimal Choice'!$B$5*'Optimal Choice'!$B$6^(R65+1)</f>
        <v>96.18282807</v>
      </c>
      <c r="Y65" s="13">
        <f> 'Optimal Choice'!$B$10*'Optimal Choice'!$B$11^(S65+1)</f>
        <v>424.5423459</v>
      </c>
      <c r="Z65" s="13">
        <f> 'Optimal Choice'!$B$15*'Optimal Choice'!$B$16^(T65+1)</f>
        <v>1580.380289</v>
      </c>
      <c r="AA65" s="13">
        <f> 'Optimal Choice'!$B$20*'Optimal Choice'!$B$21^(U65+1)</f>
        <v>9763.2</v>
      </c>
      <c r="AB65" s="13">
        <f> 'Optimal Choice'!$B$25*'Optimal Choice'!$B$26^(V65+1)</f>
        <v>116121.6</v>
      </c>
      <c r="AE65" s="12">
        <f t="shared" si="4"/>
        <v>3</v>
      </c>
      <c r="AF65" s="14">
        <f t="shared" si="5"/>
        <v>1</v>
      </c>
      <c r="AG65" s="14">
        <f t="shared" si="6"/>
        <v>1</v>
      </c>
      <c r="AH65" s="14">
        <f t="shared" si="7"/>
        <v>1</v>
      </c>
      <c r="AI65" s="14">
        <f t="shared" si="8"/>
        <v>1</v>
      </c>
      <c r="AL65" s="14">
        <f>R65*'Optimal Choice'!$B$4*AE65</f>
        <v>230.46</v>
      </c>
      <c r="AM65" s="14">
        <f>S65*'Optimal Choice'!$B$9*AF65</f>
        <v>260</v>
      </c>
      <c r="AN65" s="14">
        <f>T65*'Optimal Choice'!$B$14*AG65</f>
        <v>450</v>
      </c>
      <c r="AO65" s="14">
        <f>U65*'Optimal Choice'!$B$19*AH65</f>
        <v>0</v>
      </c>
      <c r="AP65" s="14">
        <f>V65*'Optimal Choice'!$B$24*AI65</f>
        <v>0</v>
      </c>
      <c r="AS65" s="12">
        <f t="shared" si="9"/>
        <v>3</v>
      </c>
      <c r="AT65" s="14">
        <f t="shared" si="10"/>
        <v>1</v>
      </c>
      <c r="AU65" s="14">
        <f t="shared" si="11"/>
        <v>1</v>
      </c>
      <c r="AV65" s="14">
        <f t="shared" si="12"/>
        <v>1</v>
      </c>
      <c r="AW65" s="14">
        <f t="shared" si="13"/>
        <v>1</v>
      </c>
      <c r="AY65" s="11">
        <f t="shared" si="14"/>
        <v>0.006684470397</v>
      </c>
    </row>
    <row r="66" ht="15.75" customHeight="1">
      <c r="A66" s="15">
        <f t="shared" si="2"/>
        <v>0.6664535141</v>
      </c>
      <c r="B66" s="7">
        <f>(sum(AL66:AP66))*'Optimal Choice'!$B$28</f>
        <v>1030.46</v>
      </c>
      <c r="C66" s="11"/>
      <c r="D66" s="12"/>
      <c r="E66" s="12"/>
      <c r="F66" s="11"/>
      <c r="G66" s="11"/>
      <c r="H66" s="11"/>
      <c r="I66" s="11"/>
      <c r="J66" s="11"/>
      <c r="K66" s="11">
        <f>(X66/$B66)+(X66/('Optimal Choice'!$B$4*AS66))</f>
        <v>19.29150898</v>
      </c>
      <c r="L66" s="11">
        <f>(Y66/$B66)+(Y66/('Optimal Choice'!$B$9*AT66))</f>
        <v>21.63911033</v>
      </c>
      <c r="M66" s="11">
        <f>(Z66/$B66)+(Z66/('Optimal Choice'!$B$14*AU66))</f>
        <v>21.76652827</v>
      </c>
      <c r="N66" s="11">
        <f>(AA66/$B66)+(AA66/('Optimal Choice'!$B$19*AV66))</f>
        <v>36.59460358</v>
      </c>
      <c r="O66" s="11">
        <f>(AB66/$B66)+(AB66/('Optimal Choice'!$B$24*AW66))</f>
        <v>166.4490903</v>
      </c>
      <c r="R66" s="12">
        <f t="shared" ref="R66:V66" si="76">if(min($K65:$O65)=K65,R65+1,R65)</f>
        <v>46</v>
      </c>
      <c r="S66" s="12">
        <f t="shared" si="76"/>
        <v>13</v>
      </c>
      <c r="T66" s="12">
        <f t="shared" si="76"/>
        <v>6</v>
      </c>
      <c r="U66" s="12">
        <f t="shared" si="76"/>
        <v>0</v>
      </c>
      <c r="V66" s="12">
        <f t="shared" si="76"/>
        <v>0</v>
      </c>
      <c r="X66" s="13">
        <f> 'Optimal Choice'!$B$5*'Optimal Choice'!$B$6^(R66+1)</f>
        <v>96.18282807</v>
      </c>
      <c r="Y66" s="13">
        <f> 'Optimal Choice'!$B$10*'Optimal Choice'!$B$11^(S66+1)</f>
        <v>424.5423459</v>
      </c>
      <c r="Z66" s="13">
        <f> 'Optimal Choice'!$B$15*'Optimal Choice'!$B$16^(T66+1)</f>
        <v>1801.63353</v>
      </c>
      <c r="AA66" s="13">
        <f> 'Optimal Choice'!$B$20*'Optimal Choice'!$B$21^(U66+1)</f>
        <v>9763.2</v>
      </c>
      <c r="AB66" s="13">
        <f> 'Optimal Choice'!$B$25*'Optimal Choice'!$B$26^(V66+1)</f>
        <v>116121.6</v>
      </c>
      <c r="AE66" s="12">
        <f t="shared" si="4"/>
        <v>3</v>
      </c>
      <c r="AF66" s="14">
        <f t="shared" si="5"/>
        <v>1</v>
      </c>
      <c r="AG66" s="14">
        <f t="shared" si="6"/>
        <v>1</v>
      </c>
      <c r="AH66" s="14">
        <f t="shared" si="7"/>
        <v>1</v>
      </c>
      <c r="AI66" s="14">
        <f t="shared" si="8"/>
        <v>1</v>
      </c>
      <c r="AL66" s="14">
        <f>R66*'Optimal Choice'!$B$4*AE66</f>
        <v>230.46</v>
      </c>
      <c r="AM66" s="14">
        <f>S66*'Optimal Choice'!$B$9*AF66</f>
        <v>260</v>
      </c>
      <c r="AN66" s="14">
        <f>T66*'Optimal Choice'!$B$14*AG66</f>
        <v>540</v>
      </c>
      <c r="AO66" s="14">
        <f>U66*'Optimal Choice'!$B$19*AH66</f>
        <v>0</v>
      </c>
      <c r="AP66" s="14">
        <f>V66*'Optimal Choice'!$B$24*AI66</f>
        <v>0</v>
      </c>
      <c r="AS66" s="12">
        <f t="shared" si="9"/>
        <v>3</v>
      </c>
      <c r="AT66" s="14">
        <f t="shared" si="10"/>
        <v>1</v>
      </c>
      <c r="AU66" s="14">
        <f t="shared" si="11"/>
        <v>1</v>
      </c>
      <c r="AV66" s="14">
        <f t="shared" si="12"/>
        <v>1</v>
      </c>
      <c r="AW66" s="14">
        <f t="shared" si="13"/>
        <v>1</v>
      </c>
      <c r="AY66" s="11">
        <f t="shared" si="14"/>
        <v>0.02800722145</v>
      </c>
    </row>
    <row r="67" ht="15.75" customHeight="1">
      <c r="A67" s="15">
        <f t="shared" si="2"/>
        <v>0.6680091758</v>
      </c>
      <c r="B67" s="7">
        <f>(sum(AL67:AP67))*'Optimal Choice'!$B$28</f>
        <v>1035.47</v>
      </c>
      <c r="C67" s="11"/>
      <c r="D67" s="12"/>
      <c r="E67" s="12"/>
      <c r="F67" s="11"/>
      <c r="G67" s="11"/>
      <c r="H67" s="11"/>
      <c r="I67" s="11"/>
      <c r="J67" s="11"/>
      <c r="K67" s="11">
        <f>(X67/$B67)+(X67/('Optimal Choice'!$B$4*AS67))</f>
        <v>20.64143138</v>
      </c>
      <c r="L67" s="11">
        <f>(Y67/$B67)+(Y67/('Optimal Choice'!$B$9*AT67))</f>
        <v>21.63711695</v>
      </c>
      <c r="M67" s="11">
        <f>(Z67/$B67)+(Z67/('Optimal Choice'!$B$14*AU67))</f>
        <v>21.75806895</v>
      </c>
      <c r="N67" s="11">
        <f>(AA67/$B67)+(AA67/('Optimal Choice'!$B$19*AV67))</f>
        <v>36.54876182</v>
      </c>
      <c r="O67" s="11">
        <f>(AB67/$B67)+(AB67/('Optimal Choice'!$B$24*AW67))</f>
        <v>165.9038574</v>
      </c>
      <c r="R67" s="12">
        <f t="shared" ref="R67:V67" si="77">if(min($K66:$O66)=K66,R66+1,R66)</f>
        <v>47</v>
      </c>
      <c r="S67" s="12">
        <f t="shared" si="77"/>
        <v>13</v>
      </c>
      <c r="T67" s="12">
        <f t="shared" si="77"/>
        <v>6</v>
      </c>
      <c r="U67" s="12">
        <f t="shared" si="77"/>
        <v>0</v>
      </c>
      <c r="V67" s="12">
        <f t="shared" si="77"/>
        <v>0</v>
      </c>
      <c r="X67" s="13">
        <f> 'Optimal Choice'!$B$5*'Optimal Choice'!$B$6^(R67+1)</f>
        <v>102.915626</v>
      </c>
      <c r="Y67" s="13">
        <f> 'Optimal Choice'!$B$10*'Optimal Choice'!$B$11^(S67+1)</f>
        <v>424.5423459</v>
      </c>
      <c r="Z67" s="13">
        <f> 'Optimal Choice'!$B$15*'Optimal Choice'!$B$16^(T67+1)</f>
        <v>1801.63353</v>
      </c>
      <c r="AA67" s="13">
        <f> 'Optimal Choice'!$B$20*'Optimal Choice'!$B$21^(U67+1)</f>
        <v>9763.2</v>
      </c>
      <c r="AB67" s="13">
        <f> 'Optimal Choice'!$B$25*'Optimal Choice'!$B$26^(V67+1)</f>
        <v>116121.6</v>
      </c>
      <c r="AE67" s="12">
        <f t="shared" si="4"/>
        <v>3</v>
      </c>
      <c r="AF67" s="14">
        <f t="shared" si="5"/>
        <v>1</v>
      </c>
      <c r="AG67" s="14">
        <f t="shared" si="6"/>
        <v>1</v>
      </c>
      <c r="AH67" s="14">
        <f t="shared" si="7"/>
        <v>1</v>
      </c>
      <c r="AI67" s="14">
        <f t="shared" si="8"/>
        <v>1</v>
      </c>
      <c r="AL67" s="14">
        <f>R67*'Optimal Choice'!$B$4*AE67</f>
        <v>235.47</v>
      </c>
      <c r="AM67" s="14">
        <f>S67*'Optimal Choice'!$B$9*AF67</f>
        <v>260</v>
      </c>
      <c r="AN67" s="14">
        <f>T67*'Optimal Choice'!$B$14*AG67</f>
        <v>540</v>
      </c>
      <c r="AO67" s="14">
        <f>U67*'Optimal Choice'!$B$19*AH67</f>
        <v>0</v>
      </c>
      <c r="AP67" s="14">
        <f>V67*'Optimal Choice'!$B$24*AI67</f>
        <v>0</v>
      </c>
      <c r="AS67" s="12">
        <f t="shared" si="9"/>
        <v>3</v>
      </c>
      <c r="AT67" s="14">
        <f t="shared" si="10"/>
        <v>1</v>
      </c>
      <c r="AU67" s="14">
        <f t="shared" si="11"/>
        <v>1</v>
      </c>
      <c r="AV67" s="14">
        <f t="shared" si="12"/>
        <v>1</v>
      </c>
      <c r="AW67" s="14">
        <f t="shared" si="13"/>
        <v>1</v>
      </c>
      <c r="AY67" s="11">
        <f t="shared" si="14"/>
        <v>0.00155566168</v>
      </c>
    </row>
    <row r="68" ht="15.75" customHeight="1">
      <c r="A68" s="15">
        <f t="shared" si="2"/>
        <v>0.66966568</v>
      </c>
      <c r="B68" s="7">
        <f>(sum(AL68:AP68))*'Optimal Choice'!$B$28</f>
        <v>1040.48</v>
      </c>
      <c r="C68" s="11"/>
      <c r="D68" s="12"/>
      <c r="E68" s="12"/>
      <c r="F68" s="11"/>
      <c r="G68" s="11"/>
      <c r="H68" s="11"/>
      <c r="I68" s="11"/>
      <c r="J68" s="11"/>
      <c r="K68" s="11">
        <f>(X68/$B68)+(X68/('Optimal Choice'!$B$4*AS68))</f>
        <v>22.0858195</v>
      </c>
      <c r="L68" s="11">
        <f>(Y68/$B68)+(Y68/('Optimal Choice'!$B$9*AT68))</f>
        <v>21.63514277</v>
      </c>
      <c r="M68" s="11">
        <f>(Z68/$B68)+(Z68/('Optimal Choice'!$B$14*AU68))</f>
        <v>21.74969109</v>
      </c>
      <c r="N68" s="11">
        <f>(AA68/$B68)+(AA68/('Optimal Choice'!$B$19*AV68))</f>
        <v>36.50336153</v>
      </c>
      <c r="O68" s="11">
        <f>(AB68/$B68)+(AB68/('Optimal Choice'!$B$24*AW68))</f>
        <v>165.3638751</v>
      </c>
      <c r="R68" s="12">
        <f t="shared" ref="R68:V68" si="78">if(min($K67:$O67)=K67,R67+1,R67)</f>
        <v>48</v>
      </c>
      <c r="S68" s="12">
        <f t="shared" si="78"/>
        <v>13</v>
      </c>
      <c r="T68" s="12">
        <f t="shared" si="78"/>
        <v>6</v>
      </c>
      <c r="U68" s="12">
        <f t="shared" si="78"/>
        <v>0</v>
      </c>
      <c r="V68" s="12">
        <f t="shared" si="78"/>
        <v>0</v>
      </c>
      <c r="X68" s="13">
        <f> 'Optimal Choice'!$B$5*'Optimal Choice'!$B$6^(R68+1)</f>
        <v>110.1197199</v>
      </c>
      <c r="Y68" s="13">
        <f> 'Optimal Choice'!$B$10*'Optimal Choice'!$B$11^(S68+1)</f>
        <v>424.5423459</v>
      </c>
      <c r="Z68" s="13">
        <f> 'Optimal Choice'!$B$15*'Optimal Choice'!$B$16^(T68+1)</f>
        <v>1801.63353</v>
      </c>
      <c r="AA68" s="13">
        <f> 'Optimal Choice'!$B$20*'Optimal Choice'!$B$21^(U68+1)</f>
        <v>9763.2</v>
      </c>
      <c r="AB68" s="13">
        <f> 'Optimal Choice'!$B$25*'Optimal Choice'!$B$26^(V68+1)</f>
        <v>116121.6</v>
      </c>
      <c r="AE68" s="12">
        <f t="shared" si="4"/>
        <v>3</v>
      </c>
      <c r="AF68" s="14">
        <f t="shared" si="5"/>
        <v>1</v>
      </c>
      <c r="AG68" s="14">
        <f t="shared" si="6"/>
        <v>1</v>
      </c>
      <c r="AH68" s="14">
        <f t="shared" si="7"/>
        <v>1</v>
      </c>
      <c r="AI68" s="14">
        <f t="shared" si="8"/>
        <v>1</v>
      </c>
      <c r="AL68" s="14">
        <f>R68*'Optimal Choice'!$B$4*AE68</f>
        <v>240.48</v>
      </c>
      <c r="AM68" s="14">
        <f>S68*'Optimal Choice'!$B$9*AF68</f>
        <v>260</v>
      </c>
      <c r="AN68" s="14">
        <f>T68*'Optimal Choice'!$B$14*AG68</f>
        <v>540</v>
      </c>
      <c r="AO68" s="14">
        <f>U68*'Optimal Choice'!$B$19*AH68</f>
        <v>0</v>
      </c>
      <c r="AP68" s="14">
        <f>V68*'Optimal Choice'!$B$24*AI68</f>
        <v>0</v>
      </c>
      <c r="AS68" s="12">
        <f t="shared" si="9"/>
        <v>3</v>
      </c>
      <c r="AT68" s="14">
        <f t="shared" si="10"/>
        <v>1</v>
      </c>
      <c r="AU68" s="14">
        <f t="shared" si="11"/>
        <v>1</v>
      </c>
      <c r="AV68" s="14">
        <f t="shared" si="12"/>
        <v>1</v>
      </c>
      <c r="AW68" s="14">
        <f t="shared" si="13"/>
        <v>1</v>
      </c>
      <c r="AY68" s="11">
        <f t="shared" si="14"/>
        <v>0.001656504229</v>
      </c>
    </row>
    <row r="69" ht="15.75" customHeight="1">
      <c r="A69" s="15">
        <f t="shared" si="2"/>
        <v>0.6764661046</v>
      </c>
      <c r="B69" s="7">
        <f>(sum(AL69:AP69))*'Optimal Choice'!$B$28</f>
        <v>1060.48</v>
      </c>
      <c r="C69" s="11"/>
      <c r="D69" s="12"/>
      <c r="E69" s="12"/>
      <c r="F69" s="11"/>
      <c r="G69" s="11"/>
      <c r="H69" s="11"/>
      <c r="I69" s="11"/>
      <c r="J69" s="11"/>
      <c r="K69" s="11">
        <f>(X69/$B69)+(X69/('Optimal Choice'!$B$4*AS69))</f>
        <v>22.08382351</v>
      </c>
      <c r="L69" s="11">
        <f>(Y69/$B69)+(Y69/('Optimal Choice'!$B$9*AT69))</f>
        <v>24.87156481</v>
      </c>
      <c r="M69" s="11">
        <f>(Z69/$B69)+(Z69/('Optimal Choice'!$B$14*AU69))</f>
        <v>21.7170353</v>
      </c>
      <c r="N69" s="11">
        <f>(AA69/$B69)+(AA69/('Optimal Choice'!$B$19*AV69))</f>
        <v>36.3263971</v>
      </c>
      <c r="O69" s="11">
        <f>(AB69/$B69)+(AB69/('Optimal Choice'!$B$24*AW69))</f>
        <v>163.2590947</v>
      </c>
      <c r="R69" s="12">
        <f t="shared" ref="R69:V69" si="79">if(min($K68:$O68)=K68,R68+1,R68)</f>
        <v>48</v>
      </c>
      <c r="S69" s="12">
        <f t="shared" si="79"/>
        <v>14</v>
      </c>
      <c r="T69" s="12">
        <f t="shared" si="79"/>
        <v>6</v>
      </c>
      <c r="U69" s="12">
        <f t="shared" si="79"/>
        <v>0</v>
      </c>
      <c r="V69" s="12">
        <f t="shared" si="79"/>
        <v>0</v>
      </c>
      <c r="X69" s="13">
        <f> 'Optimal Choice'!$B$5*'Optimal Choice'!$B$6^(R69+1)</f>
        <v>110.1197199</v>
      </c>
      <c r="Y69" s="13">
        <f> 'Optimal Choice'!$B$10*'Optimal Choice'!$B$11^(S69+1)</f>
        <v>488.2236977</v>
      </c>
      <c r="Z69" s="13">
        <f> 'Optimal Choice'!$B$15*'Optimal Choice'!$B$16^(T69+1)</f>
        <v>1801.63353</v>
      </c>
      <c r="AA69" s="13">
        <f> 'Optimal Choice'!$B$20*'Optimal Choice'!$B$21^(U69+1)</f>
        <v>9763.2</v>
      </c>
      <c r="AB69" s="13">
        <f> 'Optimal Choice'!$B$25*'Optimal Choice'!$B$26^(V69+1)</f>
        <v>116121.6</v>
      </c>
      <c r="AE69" s="12">
        <f t="shared" si="4"/>
        <v>3</v>
      </c>
      <c r="AF69" s="14">
        <f t="shared" si="5"/>
        <v>1</v>
      </c>
      <c r="AG69" s="14">
        <f t="shared" si="6"/>
        <v>1</v>
      </c>
      <c r="AH69" s="14">
        <f t="shared" si="7"/>
        <v>1</v>
      </c>
      <c r="AI69" s="14">
        <f t="shared" si="8"/>
        <v>1</v>
      </c>
      <c r="AL69" s="14">
        <f>R69*'Optimal Choice'!$B$4*AE69</f>
        <v>240.48</v>
      </c>
      <c r="AM69" s="14">
        <f>S69*'Optimal Choice'!$B$9*AF69</f>
        <v>280</v>
      </c>
      <c r="AN69" s="14">
        <f>T69*'Optimal Choice'!$B$14*AG69</f>
        <v>540</v>
      </c>
      <c r="AO69" s="14">
        <f>U69*'Optimal Choice'!$B$19*AH69</f>
        <v>0</v>
      </c>
      <c r="AP69" s="14">
        <f>V69*'Optimal Choice'!$B$24*AI69</f>
        <v>0</v>
      </c>
      <c r="AS69" s="12">
        <f t="shared" si="9"/>
        <v>3</v>
      </c>
      <c r="AT69" s="14">
        <f t="shared" si="10"/>
        <v>1</v>
      </c>
      <c r="AU69" s="14">
        <f t="shared" si="11"/>
        <v>1</v>
      </c>
      <c r="AV69" s="14">
        <f t="shared" si="12"/>
        <v>1</v>
      </c>
      <c r="AW69" s="14">
        <f t="shared" si="13"/>
        <v>1</v>
      </c>
      <c r="AY69" s="11">
        <f t="shared" si="14"/>
        <v>0.006800424578</v>
      </c>
    </row>
    <row r="70" ht="15.75" customHeight="1">
      <c r="A70" s="15">
        <f t="shared" si="2"/>
        <v>0.704780854</v>
      </c>
      <c r="B70" s="7">
        <f>(sum(AL70:AP70))*'Optimal Choice'!$B$28</f>
        <v>1150.48</v>
      </c>
      <c r="C70" s="11"/>
      <c r="D70" s="12"/>
      <c r="E70" s="12"/>
      <c r="F70" s="11"/>
      <c r="G70" s="11"/>
      <c r="H70" s="11"/>
      <c r="I70" s="11"/>
      <c r="J70" s="11"/>
      <c r="K70" s="11">
        <f>(X70/$B70)+(X70/('Optimal Choice'!$B$4*AS70))</f>
        <v>22.07570033</v>
      </c>
      <c r="L70" s="11">
        <f>(Y70/$B70)+(Y70/('Optimal Choice'!$B$9*AT70))</f>
        <v>24.83555011</v>
      </c>
      <c r="M70" s="11">
        <f>(Z70/$B70)+(Z70/('Optimal Choice'!$B$14*AU70))</f>
        <v>24.60591339</v>
      </c>
      <c r="N70" s="11">
        <f>(AA70/$B70)+(AA70/('Optimal Choice'!$B$19*AV70))</f>
        <v>35.60619707</v>
      </c>
      <c r="O70" s="11">
        <f>(AB70/$B70)+(AB70/('Optimal Choice'!$B$24*AW70))</f>
        <v>154.6931757</v>
      </c>
      <c r="R70" s="12">
        <f t="shared" ref="R70:V70" si="80">if(min($K69:$O69)=K69,R69+1,R69)</f>
        <v>48</v>
      </c>
      <c r="S70" s="12">
        <f t="shared" si="80"/>
        <v>14</v>
      </c>
      <c r="T70" s="12">
        <f t="shared" si="80"/>
        <v>7</v>
      </c>
      <c r="U70" s="12">
        <f t="shared" si="80"/>
        <v>0</v>
      </c>
      <c r="V70" s="12">
        <f t="shared" si="80"/>
        <v>0</v>
      </c>
      <c r="X70" s="13">
        <f> 'Optimal Choice'!$B$5*'Optimal Choice'!$B$6^(R70+1)</f>
        <v>110.1197199</v>
      </c>
      <c r="Y70" s="13">
        <f> 'Optimal Choice'!$B$10*'Optimal Choice'!$B$11^(S70+1)</f>
        <v>488.2236977</v>
      </c>
      <c r="Z70" s="13">
        <f> 'Optimal Choice'!$B$15*'Optimal Choice'!$B$16^(T70+1)</f>
        <v>2053.862224</v>
      </c>
      <c r="AA70" s="13">
        <f> 'Optimal Choice'!$B$20*'Optimal Choice'!$B$21^(U70+1)</f>
        <v>9763.2</v>
      </c>
      <c r="AB70" s="13">
        <f> 'Optimal Choice'!$B$25*'Optimal Choice'!$B$26^(V70+1)</f>
        <v>116121.6</v>
      </c>
      <c r="AE70" s="12">
        <f t="shared" si="4"/>
        <v>3</v>
      </c>
      <c r="AF70" s="14">
        <f t="shared" si="5"/>
        <v>1</v>
      </c>
      <c r="AG70" s="14">
        <f t="shared" si="6"/>
        <v>1</v>
      </c>
      <c r="AH70" s="14">
        <f t="shared" si="7"/>
        <v>1</v>
      </c>
      <c r="AI70" s="14">
        <f t="shared" si="8"/>
        <v>1</v>
      </c>
      <c r="AL70" s="14">
        <f>R70*'Optimal Choice'!$B$4*AE70</f>
        <v>240.48</v>
      </c>
      <c r="AM70" s="14">
        <f>S70*'Optimal Choice'!$B$9*AF70</f>
        <v>280</v>
      </c>
      <c r="AN70" s="14">
        <f>T70*'Optimal Choice'!$B$14*AG70</f>
        <v>630</v>
      </c>
      <c r="AO70" s="14">
        <f>U70*'Optimal Choice'!$B$19*AH70</f>
        <v>0</v>
      </c>
      <c r="AP70" s="14">
        <f>V70*'Optimal Choice'!$B$24*AI70</f>
        <v>0</v>
      </c>
      <c r="AS70" s="12">
        <f t="shared" si="9"/>
        <v>3</v>
      </c>
      <c r="AT70" s="14">
        <f t="shared" si="10"/>
        <v>1</v>
      </c>
      <c r="AU70" s="14">
        <f t="shared" si="11"/>
        <v>1</v>
      </c>
      <c r="AV70" s="14">
        <f t="shared" si="12"/>
        <v>1</v>
      </c>
      <c r="AW70" s="14">
        <f t="shared" si="13"/>
        <v>1</v>
      </c>
      <c r="AY70" s="11">
        <f t="shared" si="14"/>
        <v>0.02831474945</v>
      </c>
    </row>
    <row r="71" ht="15.75" customHeight="1">
      <c r="A71" s="15">
        <f t="shared" si="2"/>
        <v>0.7063761261</v>
      </c>
      <c r="B71" s="7">
        <f>(sum(AL71:AP71))*'Optimal Choice'!$B$28</f>
        <v>1155.49</v>
      </c>
      <c r="C71" s="11"/>
      <c r="D71" s="12"/>
      <c r="E71" s="12"/>
      <c r="F71" s="11"/>
      <c r="G71" s="11"/>
      <c r="H71" s="11"/>
      <c r="I71" s="11"/>
      <c r="J71" s="11"/>
      <c r="K71" s="11">
        <f>(X71/$B71)+(X71/('Optimal Choice'!$B$4*AS71))</f>
        <v>11.86126385</v>
      </c>
      <c r="L71" s="11">
        <f>(Y71/$B71)+(Y71/('Optimal Choice'!$B$9*AT71))</f>
        <v>24.83371013</v>
      </c>
      <c r="M71" s="11">
        <f>(Z71/$B71)+(Z71/('Optimal Choice'!$B$14*AU71))</f>
        <v>24.59817299</v>
      </c>
      <c r="N71" s="11">
        <f>(AA71/$B71)+(AA71/('Optimal Choice'!$B$19*AV71))</f>
        <v>35.56940242</v>
      </c>
      <c r="O71" s="11">
        <f>(AB71/$B71)+(AB71/('Optimal Choice'!$B$24*AW71))</f>
        <v>154.2555473</v>
      </c>
      <c r="R71" s="12">
        <f t="shared" ref="R71:V71" si="81">if(min($K70:$O70)=K70,R70+1,R70)</f>
        <v>49</v>
      </c>
      <c r="S71" s="12">
        <f t="shared" si="81"/>
        <v>14</v>
      </c>
      <c r="T71" s="12">
        <f t="shared" si="81"/>
        <v>7</v>
      </c>
      <c r="U71" s="12">
        <f t="shared" si="81"/>
        <v>0</v>
      </c>
      <c r="V71" s="12">
        <f t="shared" si="81"/>
        <v>0</v>
      </c>
      <c r="X71" s="13">
        <f> 'Optimal Choice'!$B$5*'Optimal Choice'!$B$6^(R71+1)</f>
        <v>117.8281003</v>
      </c>
      <c r="Y71" s="13">
        <f> 'Optimal Choice'!$B$10*'Optimal Choice'!$B$11^(S71+1)</f>
        <v>488.2236977</v>
      </c>
      <c r="Z71" s="13">
        <f> 'Optimal Choice'!$B$15*'Optimal Choice'!$B$16^(T71+1)</f>
        <v>2053.862224</v>
      </c>
      <c r="AA71" s="13">
        <f> 'Optimal Choice'!$B$20*'Optimal Choice'!$B$21^(U71+1)</f>
        <v>9763.2</v>
      </c>
      <c r="AB71" s="13">
        <f> 'Optimal Choice'!$B$25*'Optimal Choice'!$B$26^(V71+1)</f>
        <v>116121.6</v>
      </c>
      <c r="AE71" s="12">
        <f t="shared" si="4"/>
        <v>3</v>
      </c>
      <c r="AF71" s="14">
        <f t="shared" si="5"/>
        <v>1</v>
      </c>
      <c r="AG71" s="14">
        <f t="shared" si="6"/>
        <v>1</v>
      </c>
      <c r="AH71" s="14">
        <f t="shared" si="7"/>
        <v>1</v>
      </c>
      <c r="AI71" s="14">
        <f t="shared" si="8"/>
        <v>1</v>
      </c>
      <c r="AL71" s="14">
        <f>R71*'Optimal Choice'!$B$4*AE71</f>
        <v>245.49</v>
      </c>
      <c r="AM71" s="14">
        <f>S71*'Optimal Choice'!$B$9*AF71</f>
        <v>280</v>
      </c>
      <c r="AN71" s="14">
        <f>T71*'Optimal Choice'!$B$14*AG71</f>
        <v>630</v>
      </c>
      <c r="AO71" s="14">
        <f>U71*'Optimal Choice'!$B$19*AH71</f>
        <v>0</v>
      </c>
      <c r="AP71" s="14">
        <f>V71*'Optimal Choice'!$B$24*AI71</f>
        <v>0</v>
      </c>
      <c r="AS71" s="12">
        <f t="shared" si="9"/>
        <v>6</v>
      </c>
      <c r="AT71" s="14">
        <f t="shared" si="10"/>
        <v>1</v>
      </c>
      <c r="AU71" s="14">
        <f t="shared" si="11"/>
        <v>1</v>
      </c>
      <c r="AV71" s="14">
        <f t="shared" si="12"/>
        <v>1</v>
      </c>
      <c r="AW71" s="14">
        <f t="shared" si="13"/>
        <v>1</v>
      </c>
      <c r="AY71" s="11">
        <f t="shared" si="14"/>
        <v>0.001595272116</v>
      </c>
    </row>
    <row r="72" ht="15.75" customHeight="1">
      <c r="A72" s="15">
        <f t="shared" si="2"/>
        <v>0.7080756663</v>
      </c>
      <c r="B72" s="7">
        <f>(sum(AL72:AP72))*'Optimal Choice'!$B$28</f>
        <v>1411</v>
      </c>
      <c r="C72" s="11"/>
      <c r="D72" s="12"/>
      <c r="E72" s="12"/>
      <c r="F72" s="11"/>
      <c r="G72" s="11"/>
      <c r="H72" s="11"/>
      <c r="I72" s="11"/>
      <c r="J72" s="11"/>
      <c r="K72" s="11">
        <f>(X72/$B72)+(X72/('Optimal Choice'!$B$4*AS72))</f>
        <v>12.67179412</v>
      </c>
      <c r="L72" s="11">
        <f>(Y72/$B72)+(Y72/('Optimal Choice'!$B$9*AT72))</f>
        <v>24.75719743</v>
      </c>
      <c r="M72" s="11">
        <f>(Z72/$B72)+(Z72/('Optimal Choice'!$B$14*AU72))</f>
        <v>24.27629891</v>
      </c>
      <c r="N72" s="11">
        <f>(AA72/$B72)+(AA72/('Optimal Choice'!$B$19*AV72))</f>
        <v>34.03934798</v>
      </c>
      <c r="O72" s="11">
        <f>(AB72/$B72)+(AB72/('Optimal Choice'!$B$24*AW72))</f>
        <v>136.0573777</v>
      </c>
      <c r="R72" s="12">
        <f t="shared" ref="R72:V72" si="82">if(min($K71:$O71)=K71,R71+1,R71)</f>
        <v>50</v>
      </c>
      <c r="S72" s="12">
        <f t="shared" si="82"/>
        <v>14</v>
      </c>
      <c r="T72" s="12">
        <f t="shared" si="82"/>
        <v>7</v>
      </c>
      <c r="U72" s="12">
        <f t="shared" si="82"/>
        <v>0</v>
      </c>
      <c r="V72" s="12">
        <f t="shared" si="82"/>
        <v>0</v>
      </c>
      <c r="X72" s="13">
        <f> 'Optimal Choice'!$B$5*'Optimal Choice'!$B$6^(R72+1)</f>
        <v>126.0760673</v>
      </c>
      <c r="Y72" s="13">
        <f> 'Optimal Choice'!$B$10*'Optimal Choice'!$B$11^(S72+1)</f>
        <v>488.2236977</v>
      </c>
      <c r="Z72" s="13">
        <f> 'Optimal Choice'!$B$15*'Optimal Choice'!$B$16^(T72+1)</f>
        <v>2053.862224</v>
      </c>
      <c r="AA72" s="13">
        <f> 'Optimal Choice'!$B$20*'Optimal Choice'!$B$21^(U72+1)</f>
        <v>9763.2</v>
      </c>
      <c r="AB72" s="13">
        <f> 'Optimal Choice'!$B$25*'Optimal Choice'!$B$26^(V72+1)</f>
        <v>116121.6</v>
      </c>
      <c r="AE72" s="12">
        <f t="shared" si="4"/>
        <v>6</v>
      </c>
      <c r="AF72" s="14">
        <f t="shared" si="5"/>
        <v>1</v>
      </c>
      <c r="AG72" s="14">
        <f t="shared" si="6"/>
        <v>1</v>
      </c>
      <c r="AH72" s="14">
        <f t="shared" si="7"/>
        <v>1</v>
      </c>
      <c r="AI72" s="14">
        <f t="shared" si="8"/>
        <v>1</v>
      </c>
      <c r="AL72" s="14">
        <f>R72*'Optimal Choice'!$B$4*AE72</f>
        <v>501</v>
      </c>
      <c r="AM72" s="14">
        <f>S72*'Optimal Choice'!$B$9*AF72</f>
        <v>280</v>
      </c>
      <c r="AN72" s="14">
        <f>T72*'Optimal Choice'!$B$14*AG72</f>
        <v>630</v>
      </c>
      <c r="AO72" s="14">
        <f>U72*'Optimal Choice'!$B$19*AH72</f>
        <v>0</v>
      </c>
      <c r="AP72" s="14">
        <f>V72*'Optimal Choice'!$B$24*AI72</f>
        <v>0</v>
      </c>
      <c r="AS72" s="12">
        <f t="shared" si="9"/>
        <v>6</v>
      </c>
      <c r="AT72" s="14">
        <f t="shared" si="10"/>
        <v>1</v>
      </c>
      <c r="AU72" s="14">
        <f t="shared" si="11"/>
        <v>1</v>
      </c>
      <c r="AV72" s="14">
        <f t="shared" si="12"/>
        <v>1</v>
      </c>
      <c r="AW72" s="14">
        <f t="shared" si="13"/>
        <v>1</v>
      </c>
      <c r="AY72" s="11">
        <f t="shared" si="14"/>
        <v>0.00169954017</v>
      </c>
    </row>
    <row r="73" ht="15.75" customHeight="1">
      <c r="A73" s="15">
        <f t="shared" si="2"/>
        <v>0.709564871</v>
      </c>
      <c r="B73" s="7">
        <f>(sum(AL73:AP73))*'Optimal Choice'!$B$28</f>
        <v>1421.02</v>
      </c>
      <c r="C73" s="11"/>
      <c r="D73" s="12"/>
      <c r="E73" s="12"/>
      <c r="F73" s="11"/>
      <c r="G73" s="11"/>
      <c r="H73" s="11"/>
      <c r="I73" s="11"/>
      <c r="J73" s="11"/>
      <c r="K73" s="11">
        <f>(X73/$B73)+(X73/('Optimal Choice'!$B$4*AS73))</f>
        <v>13.55814556</v>
      </c>
      <c r="L73" s="11">
        <f>(Y73/$B73)+(Y73/('Optimal Choice'!$B$9*AT73))</f>
        <v>24.7547576</v>
      </c>
      <c r="M73" s="11">
        <f>(Z73/$B73)+(Z73/('Optimal Choice'!$B$14*AU73))</f>
        <v>24.26603502</v>
      </c>
      <c r="N73" s="11">
        <f>(AA73/$B73)+(AA73/('Optimal Choice'!$B$19*AV73))</f>
        <v>33.99055777</v>
      </c>
      <c r="O73" s="11">
        <f>(AB73/$B73)+(AB73/('Optimal Choice'!$B$24*AW73))</f>
        <v>135.4770765</v>
      </c>
      <c r="R73" s="12">
        <f t="shared" ref="R73:V73" si="83">if(min($K72:$O72)=K72,R72+1,R72)</f>
        <v>51</v>
      </c>
      <c r="S73" s="12">
        <f t="shared" si="83"/>
        <v>14</v>
      </c>
      <c r="T73" s="12">
        <f t="shared" si="83"/>
        <v>7</v>
      </c>
      <c r="U73" s="12">
        <f t="shared" si="83"/>
        <v>0</v>
      </c>
      <c r="V73" s="12">
        <f t="shared" si="83"/>
        <v>0</v>
      </c>
      <c r="X73" s="13">
        <f> 'Optimal Choice'!$B$5*'Optimal Choice'!$B$6^(R73+1)</f>
        <v>134.901392</v>
      </c>
      <c r="Y73" s="13">
        <f> 'Optimal Choice'!$B$10*'Optimal Choice'!$B$11^(S73+1)</f>
        <v>488.2236977</v>
      </c>
      <c r="Z73" s="13">
        <f> 'Optimal Choice'!$B$15*'Optimal Choice'!$B$16^(T73+1)</f>
        <v>2053.862224</v>
      </c>
      <c r="AA73" s="13">
        <f> 'Optimal Choice'!$B$20*'Optimal Choice'!$B$21^(U73+1)</f>
        <v>9763.2</v>
      </c>
      <c r="AB73" s="13">
        <f> 'Optimal Choice'!$B$25*'Optimal Choice'!$B$26^(V73+1)</f>
        <v>116121.6</v>
      </c>
      <c r="AE73" s="12">
        <f t="shared" si="4"/>
        <v>6</v>
      </c>
      <c r="AF73" s="14">
        <f t="shared" si="5"/>
        <v>1</v>
      </c>
      <c r="AG73" s="14">
        <f t="shared" si="6"/>
        <v>1</v>
      </c>
      <c r="AH73" s="14">
        <f t="shared" si="7"/>
        <v>1</v>
      </c>
      <c r="AI73" s="14">
        <f t="shared" si="8"/>
        <v>1</v>
      </c>
      <c r="AL73" s="14">
        <f>R73*'Optimal Choice'!$B$4*AE73</f>
        <v>511.02</v>
      </c>
      <c r="AM73" s="14">
        <f>S73*'Optimal Choice'!$B$9*AF73</f>
        <v>280</v>
      </c>
      <c r="AN73" s="14">
        <f>T73*'Optimal Choice'!$B$14*AG73</f>
        <v>630</v>
      </c>
      <c r="AO73" s="14">
        <f>U73*'Optimal Choice'!$B$19*AH73</f>
        <v>0</v>
      </c>
      <c r="AP73" s="14">
        <f>V73*'Optimal Choice'!$B$24*AI73</f>
        <v>0</v>
      </c>
      <c r="AS73" s="12">
        <f t="shared" si="9"/>
        <v>6</v>
      </c>
      <c r="AT73" s="14">
        <f t="shared" si="10"/>
        <v>1</v>
      </c>
      <c r="AU73" s="14">
        <f t="shared" si="11"/>
        <v>1</v>
      </c>
      <c r="AV73" s="14">
        <f t="shared" si="12"/>
        <v>1</v>
      </c>
      <c r="AW73" s="14">
        <f t="shared" si="13"/>
        <v>1</v>
      </c>
      <c r="AY73" s="11">
        <f t="shared" si="14"/>
        <v>0.001489204669</v>
      </c>
    </row>
    <row r="74" ht="15.75" customHeight="1">
      <c r="A74" s="15">
        <f t="shared" si="2"/>
        <v>0.7111470841</v>
      </c>
      <c r="B74" s="7">
        <f>(sum(AL74:AP74))*'Optimal Choice'!$B$28</f>
        <v>1431.04</v>
      </c>
      <c r="C74" s="11"/>
      <c r="D74" s="12"/>
      <c r="E74" s="12"/>
      <c r="F74" s="11"/>
      <c r="G74" s="11"/>
      <c r="H74" s="11"/>
      <c r="I74" s="11"/>
      <c r="J74" s="11"/>
      <c r="K74" s="11">
        <f>(X74/$B74)+(X74/('Optimal Choice'!$B$4*AS74))</f>
        <v>14.50650451</v>
      </c>
      <c r="L74" s="11">
        <f>(Y74/$B74)+(Y74/('Optimal Choice'!$B$9*AT74))</f>
        <v>24.75235194</v>
      </c>
      <c r="M74" s="11">
        <f>(Z74/$B74)+(Z74/('Optimal Choice'!$B$14*AU74))</f>
        <v>24.25591487</v>
      </c>
      <c r="N74" s="11">
        <f>(AA74/$B74)+(AA74/('Optimal Choice'!$B$19*AV74))</f>
        <v>33.94245081</v>
      </c>
      <c r="O74" s="11">
        <f>(AB74/$B74)+(AB74/('Optimal Choice'!$B$24*AW74))</f>
        <v>134.9049016</v>
      </c>
      <c r="R74" s="12">
        <f t="shared" ref="R74:V74" si="84">if(min($K73:$O73)=K73,R73+1,R73)</f>
        <v>52</v>
      </c>
      <c r="S74" s="12">
        <f t="shared" si="84"/>
        <v>14</v>
      </c>
      <c r="T74" s="12">
        <f t="shared" si="84"/>
        <v>7</v>
      </c>
      <c r="U74" s="12">
        <f t="shared" si="84"/>
        <v>0</v>
      </c>
      <c r="V74" s="12">
        <f t="shared" si="84"/>
        <v>0</v>
      </c>
      <c r="X74" s="13">
        <f> 'Optimal Choice'!$B$5*'Optimal Choice'!$B$6^(R74+1)</f>
        <v>144.3444894</v>
      </c>
      <c r="Y74" s="13">
        <f> 'Optimal Choice'!$B$10*'Optimal Choice'!$B$11^(S74+1)</f>
        <v>488.2236977</v>
      </c>
      <c r="Z74" s="13">
        <f> 'Optimal Choice'!$B$15*'Optimal Choice'!$B$16^(T74+1)</f>
        <v>2053.862224</v>
      </c>
      <c r="AA74" s="13">
        <f> 'Optimal Choice'!$B$20*'Optimal Choice'!$B$21^(U74+1)</f>
        <v>9763.2</v>
      </c>
      <c r="AB74" s="13">
        <f> 'Optimal Choice'!$B$25*'Optimal Choice'!$B$26^(V74+1)</f>
        <v>116121.6</v>
      </c>
      <c r="AE74" s="12">
        <f t="shared" si="4"/>
        <v>6</v>
      </c>
      <c r="AF74" s="14">
        <f t="shared" si="5"/>
        <v>1</v>
      </c>
      <c r="AG74" s="14">
        <f t="shared" si="6"/>
        <v>1</v>
      </c>
      <c r="AH74" s="14">
        <f t="shared" si="7"/>
        <v>1</v>
      </c>
      <c r="AI74" s="14">
        <f t="shared" si="8"/>
        <v>1</v>
      </c>
      <c r="AL74" s="14">
        <f>R74*'Optimal Choice'!$B$4*AE74</f>
        <v>521.04</v>
      </c>
      <c r="AM74" s="14">
        <f>S74*'Optimal Choice'!$B$9*AF74</f>
        <v>280</v>
      </c>
      <c r="AN74" s="14">
        <f>T74*'Optimal Choice'!$B$14*AG74</f>
        <v>630</v>
      </c>
      <c r="AO74" s="14">
        <f>U74*'Optimal Choice'!$B$19*AH74</f>
        <v>0</v>
      </c>
      <c r="AP74" s="14">
        <f>V74*'Optimal Choice'!$B$24*AI74</f>
        <v>0</v>
      </c>
      <c r="AS74" s="12">
        <f t="shared" si="9"/>
        <v>6</v>
      </c>
      <c r="AT74" s="14">
        <f t="shared" si="10"/>
        <v>1</v>
      </c>
      <c r="AU74" s="14">
        <f t="shared" si="11"/>
        <v>1</v>
      </c>
      <c r="AV74" s="14">
        <f t="shared" si="12"/>
        <v>1</v>
      </c>
      <c r="AW74" s="14">
        <f t="shared" si="13"/>
        <v>1</v>
      </c>
      <c r="AY74" s="11">
        <f t="shared" si="14"/>
        <v>0.001582213152</v>
      </c>
    </row>
    <row r="75" ht="15.75" customHeight="1">
      <c r="A75" s="15">
        <f t="shared" si="2"/>
        <v>0.7128281982</v>
      </c>
      <c r="B75" s="7">
        <f>(sum(AL75:AP75))*'Optimal Choice'!$B$28</f>
        <v>1441.06</v>
      </c>
      <c r="C75" s="11"/>
      <c r="D75" s="12"/>
      <c r="E75" s="12"/>
      <c r="F75" s="11"/>
      <c r="G75" s="11"/>
      <c r="H75" s="11"/>
      <c r="I75" s="11"/>
      <c r="J75" s="11"/>
      <c r="K75" s="11">
        <f>(X75/$B75)+(X75/('Optimal Choice'!$B$4*AS75))</f>
        <v>15.52120938</v>
      </c>
      <c r="L75" s="11">
        <f>(Y75/$B75)+(Y75/('Optimal Choice'!$B$9*AT75))</f>
        <v>24.74997973</v>
      </c>
      <c r="M75" s="11">
        <f>(Z75/$B75)+(Z75/('Optimal Choice'!$B$14*AU75))</f>
        <v>24.24593545</v>
      </c>
      <c r="N75" s="11">
        <f>(AA75/$B75)+(AA75/('Optimal Choice'!$B$19*AV75))</f>
        <v>33.89501284</v>
      </c>
      <c r="O75" s="11">
        <f>(AB75/$B75)+(AB75/('Optimal Choice'!$B$24*AW75))</f>
        <v>134.3406837</v>
      </c>
      <c r="R75" s="12">
        <f t="shared" ref="R75:V75" si="85">if(min($K74:$O74)=K74,R74+1,R74)</f>
        <v>53</v>
      </c>
      <c r="S75" s="12">
        <f t="shared" si="85"/>
        <v>14</v>
      </c>
      <c r="T75" s="12">
        <f t="shared" si="85"/>
        <v>7</v>
      </c>
      <c r="U75" s="12">
        <f t="shared" si="85"/>
        <v>0</v>
      </c>
      <c r="V75" s="12">
        <f t="shared" si="85"/>
        <v>0</v>
      </c>
      <c r="X75" s="13">
        <f> 'Optimal Choice'!$B$5*'Optimal Choice'!$B$6^(R75+1)</f>
        <v>154.4486037</v>
      </c>
      <c r="Y75" s="13">
        <f> 'Optimal Choice'!$B$10*'Optimal Choice'!$B$11^(S75+1)</f>
        <v>488.2236977</v>
      </c>
      <c r="Z75" s="13">
        <f> 'Optimal Choice'!$B$15*'Optimal Choice'!$B$16^(T75+1)</f>
        <v>2053.862224</v>
      </c>
      <c r="AA75" s="13">
        <f> 'Optimal Choice'!$B$20*'Optimal Choice'!$B$21^(U75+1)</f>
        <v>9763.2</v>
      </c>
      <c r="AB75" s="13">
        <f> 'Optimal Choice'!$B$25*'Optimal Choice'!$B$26^(V75+1)</f>
        <v>116121.6</v>
      </c>
      <c r="AE75" s="12">
        <f t="shared" si="4"/>
        <v>6</v>
      </c>
      <c r="AF75" s="14">
        <f t="shared" si="5"/>
        <v>1</v>
      </c>
      <c r="AG75" s="14">
        <f t="shared" si="6"/>
        <v>1</v>
      </c>
      <c r="AH75" s="14">
        <f t="shared" si="7"/>
        <v>1</v>
      </c>
      <c r="AI75" s="14">
        <f t="shared" si="8"/>
        <v>1</v>
      </c>
      <c r="AL75" s="14">
        <f>R75*'Optimal Choice'!$B$4*AE75</f>
        <v>531.06</v>
      </c>
      <c r="AM75" s="14">
        <f>S75*'Optimal Choice'!$B$9*AF75</f>
        <v>280</v>
      </c>
      <c r="AN75" s="14">
        <f>T75*'Optimal Choice'!$B$14*AG75</f>
        <v>630</v>
      </c>
      <c r="AO75" s="14">
        <f>U75*'Optimal Choice'!$B$19*AH75</f>
        <v>0</v>
      </c>
      <c r="AP75" s="14">
        <f>V75*'Optimal Choice'!$B$24*AI75</f>
        <v>0</v>
      </c>
      <c r="AS75" s="12">
        <f t="shared" si="9"/>
        <v>6</v>
      </c>
      <c r="AT75" s="14">
        <f t="shared" si="10"/>
        <v>1</v>
      </c>
      <c r="AU75" s="14">
        <f t="shared" si="11"/>
        <v>1</v>
      </c>
      <c r="AV75" s="14">
        <f t="shared" si="12"/>
        <v>1</v>
      </c>
      <c r="AW75" s="14">
        <f t="shared" si="13"/>
        <v>1</v>
      </c>
      <c r="AY75" s="11">
        <f t="shared" si="14"/>
        <v>0.001681114078</v>
      </c>
    </row>
    <row r="76" ht="15.75" customHeight="1">
      <c r="A76" s="15">
        <f t="shared" si="2"/>
        <v>0.7146144829</v>
      </c>
      <c r="B76" s="7">
        <f>(sum(AL76:AP76))*'Optimal Choice'!$B$28</f>
        <v>1451.08</v>
      </c>
      <c r="C76" s="11"/>
      <c r="D76" s="12"/>
      <c r="E76" s="12"/>
      <c r="F76" s="11"/>
      <c r="G76" s="11"/>
      <c r="H76" s="11"/>
      <c r="I76" s="11"/>
      <c r="J76" s="11"/>
      <c r="K76" s="11">
        <f>(X76/$B76)+(X76/('Optimal Choice'!$B$4*AS76))</f>
        <v>16.60690216</v>
      </c>
      <c r="L76" s="11">
        <f>(Y76/$B76)+(Y76/('Optimal Choice'!$B$9*AT76))</f>
        <v>24.74764028</v>
      </c>
      <c r="M76" s="11">
        <f>(Z76/$B76)+(Z76/('Optimal Choice'!$B$14*AU76))</f>
        <v>24.23609385</v>
      </c>
      <c r="N76" s="11">
        <f>(AA76/$B76)+(AA76/('Optimal Choice'!$B$19*AV76))</f>
        <v>33.84823001</v>
      </c>
      <c r="O76" s="11">
        <f>(AB76/$B76)+(AB76/('Optimal Choice'!$B$24*AW76))</f>
        <v>133.7842578</v>
      </c>
      <c r="R76" s="12">
        <f t="shared" ref="R76:V76" si="86">if(min($K75:$O75)=K75,R75+1,R75)</f>
        <v>54</v>
      </c>
      <c r="S76" s="12">
        <f t="shared" si="86"/>
        <v>14</v>
      </c>
      <c r="T76" s="12">
        <f t="shared" si="86"/>
        <v>7</v>
      </c>
      <c r="U76" s="12">
        <f t="shared" si="86"/>
        <v>0</v>
      </c>
      <c r="V76" s="12">
        <f t="shared" si="86"/>
        <v>0</v>
      </c>
      <c r="X76" s="13">
        <f> 'Optimal Choice'!$B$5*'Optimal Choice'!$B$6^(R76+1)</f>
        <v>165.2600059</v>
      </c>
      <c r="Y76" s="13">
        <f> 'Optimal Choice'!$B$10*'Optimal Choice'!$B$11^(S76+1)</f>
        <v>488.2236977</v>
      </c>
      <c r="Z76" s="13">
        <f> 'Optimal Choice'!$B$15*'Optimal Choice'!$B$16^(T76+1)</f>
        <v>2053.862224</v>
      </c>
      <c r="AA76" s="13">
        <f> 'Optimal Choice'!$B$20*'Optimal Choice'!$B$21^(U76+1)</f>
        <v>9763.2</v>
      </c>
      <c r="AB76" s="13">
        <f> 'Optimal Choice'!$B$25*'Optimal Choice'!$B$26^(V76+1)</f>
        <v>116121.6</v>
      </c>
      <c r="AE76" s="12">
        <f t="shared" si="4"/>
        <v>6</v>
      </c>
      <c r="AF76" s="14">
        <f t="shared" si="5"/>
        <v>1</v>
      </c>
      <c r="AG76" s="14">
        <f t="shared" si="6"/>
        <v>1</v>
      </c>
      <c r="AH76" s="14">
        <f t="shared" si="7"/>
        <v>1</v>
      </c>
      <c r="AI76" s="14">
        <f t="shared" si="8"/>
        <v>1</v>
      </c>
      <c r="AL76" s="14">
        <f>R76*'Optimal Choice'!$B$4*AE76</f>
        <v>541.08</v>
      </c>
      <c r="AM76" s="14">
        <f>S76*'Optimal Choice'!$B$9*AF76</f>
        <v>280</v>
      </c>
      <c r="AN76" s="14">
        <f>T76*'Optimal Choice'!$B$14*AG76</f>
        <v>630</v>
      </c>
      <c r="AO76" s="14">
        <f>U76*'Optimal Choice'!$B$19*AH76</f>
        <v>0</v>
      </c>
      <c r="AP76" s="14">
        <f>V76*'Optimal Choice'!$B$24*AI76</f>
        <v>0</v>
      </c>
      <c r="AS76" s="12">
        <f t="shared" si="9"/>
        <v>6</v>
      </c>
      <c r="AT76" s="14">
        <f t="shared" si="10"/>
        <v>1</v>
      </c>
      <c r="AU76" s="14">
        <f t="shared" si="11"/>
        <v>1</v>
      </c>
      <c r="AV76" s="14">
        <f t="shared" si="12"/>
        <v>1</v>
      </c>
      <c r="AW76" s="14">
        <f t="shared" si="13"/>
        <v>1</v>
      </c>
      <c r="AY76" s="11">
        <f t="shared" si="14"/>
        <v>0.001786284676</v>
      </c>
    </row>
    <row r="77" ht="15.75" customHeight="1">
      <c r="A77" s="15">
        <f t="shared" si="2"/>
        <v>0.7165126094</v>
      </c>
      <c r="B77" s="7">
        <f>(sum(AL77:AP77))*'Optimal Choice'!$B$28</f>
        <v>1461.1</v>
      </c>
      <c r="C77" s="11"/>
      <c r="D77" s="12"/>
      <c r="E77" s="12"/>
      <c r="F77" s="11"/>
      <c r="G77" s="11"/>
      <c r="H77" s="11"/>
      <c r="I77" s="11"/>
      <c r="J77" s="11"/>
      <c r="K77" s="11">
        <f>(X77/$B77)+(X77/('Optimal Choice'!$B$4*AS77))</f>
        <v>17.76854961</v>
      </c>
      <c r="L77" s="11">
        <f>(Y77/$B77)+(Y77/('Optimal Choice'!$B$9*AT77))</f>
        <v>24.74533293</v>
      </c>
      <c r="M77" s="11">
        <f>(Z77/$B77)+(Z77/('Optimal Choice'!$B$14*AU77))</f>
        <v>24.22638724</v>
      </c>
      <c r="N77" s="11">
        <f>(AA77/$B77)+(AA77/('Optimal Choice'!$B$19*AV77))</f>
        <v>33.80208884</v>
      </c>
      <c r="O77" s="11">
        <f>(AB77/$B77)+(AB77/('Optimal Choice'!$B$24*AW77))</f>
        <v>133.2354637</v>
      </c>
      <c r="R77" s="12">
        <f t="shared" ref="R77:V77" si="87">if(min($K76:$O76)=K76,R76+1,R76)</f>
        <v>55</v>
      </c>
      <c r="S77" s="12">
        <f t="shared" si="87"/>
        <v>14</v>
      </c>
      <c r="T77" s="12">
        <f t="shared" si="87"/>
        <v>7</v>
      </c>
      <c r="U77" s="12">
        <f t="shared" si="87"/>
        <v>0</v>
      </c>
      <c r="V77" s="12">
        <f t="shared" si="87"/>
        <v>0</v>
      </c>
      <c r="X77" s="13">
        <f> 'Optimal Choice'!$B$5*'Optimal Choice'!$B$6^(R77+1)</f>
        <v>176.8282063</v>
      </c>
      <c r="Y77" s="13">
        <f> 'Optimal Choice'!$B$10*'Optimal Choice'!$B$11^(S77+1)</f>
        <v>488.2236977</v>
      </c>
      <c r="Z77" s="13">
        <f> 'Optimal Choice'!$B$15*'Optimal Choice'!$B$16^(T77+1)</f>
        <v>2053.862224</v>
      </c>
      <c r="AA77" s="13">
        <f> 'Optimal Choice'!$B$20*'Optimal Choice'!$B$21^(U77+1)</f>
        <v>9763.2</v>
      </c>
      <c r="AB77" s="13">
        <f> 'Optimal Choice'!$B$25*'Optimal Choice'!$B$26^(V77+1)</f>
        <v>116121.6</v>
      </c>
      <c r="AE77" s="12">
        <f t="shared" si="4"/>
        <v>6</v>
      </c>
      <c r="AF77" s="14">
        <f t="shared" si="5"/>
        <v>1</v>
      </c>
      <c r="AG77" s="14">
        <f t="shared" si="6"/>
        <v>1</v>
      </c>
      <c r="AH77" s="14">
        <f t="shared" si="7"/>
        <v>1</v>
      </c>
      <c r="AI77" s="14">
        <f t="shared" si="8"/>
        <v>1</v>
      </c>
      <c r="AL77" s="14">
        <f>R77*'Optimal Choice'!$B$4*AE77</f>
        <v>551.1</v>
      </c>
      <c r="AM77" s="14">
        <f>S77*'Optimal Choice'!$B$9*AF77</f>
        <v>280</v>
      </c>
      <c r="AN77" s="14">
        <f>T77*'Optimal Choice'!$B$14*AG77</f>
        <v>630</v>
      </c>
      <c r="AO77" s="14">
        <f>U77*'Optimal Choice'!$B$19*AH77</f>
        <v>0</v>
      </c>
      <c r="AP77" s="14">
        <f>V77*'Optimal Choice'!$B$24*AI77</f>
        <v>0</v>
      </c>
      <c r="AS77" s="12">
        <f t="shared" si="9"/>
        <v>6</v>
      </c>
      <c r="AT77" s="14">
        <f t="shared" si="10"/>
        <v>1</v>
      </c>
      <c r="AU77" s="14">
        <f t="shared" si="11"/>
        <v>1</v>
      </c>
      <c r="AV77" s="14">
        <f t="shared" si="12"/>
        <v>1</v>
      </c>
      <c r="AW77" s="14">
        <f t="shared" si="13"/>
        <v>1</v>
      </c>
      <c r="AY77" s="11">
        <f t="shared" si="14"/>
        <v>0.001898126521</v>
      </c>
    </row>
    <row r="78" ht="15.75" customHeight="1">
      <c r="A78" s="15">
        <f t="shared" si="2"/>
        <v>0.7185296765</v>
      </c>
      <c r="B78" s="7">
        <f>(sum(AL78:AP78))*'Optimal Choice'!$B$28</f>
        <v>1471.12</v>
      </c>
      <c r="C78" s="11"/>
      <c r="D78" s="12"/>
      <c r="E78" s="12"/>
      <c r="F78" s="11"/>
      <c r="G78" s="11"/>
      <c r="H78" s="11"/>
      <c r="I78" s="11"/>
      <c r="J78" s="11"/>
      <c r="K78" s="11">
        <f>(X78/$B78)+(X78/('Optimal Choice'!$B$4*AS78))</f>
        <v>19.01146607</v>
      </c>
      <c r="L78" s="11">
        <f>(Y78/$B78)+(Y78/('Optimal Choice'!$B$9*AT78))</f>
        <v>24.743057</v>
      </c>
      <c r="M78" s="11">
        <f>(Z78/$B78)+(Z78/('Optimal Choice'!$B$14*AU78))</f>
        <v>24.21681285</v>
      </c>
      <c r="N78" s="11">
        <f>(AA78/$B78)+(AA78/('Optimal Choice'!$B$19*AV78))</f>
        <v>33.75657621</v>
      </c>
      <c r="O78" s="11">
        <f>(AB78/$B78)+(AB78/('Optimal Choice'!$B$24*AW78))</f>
        <v>132.6941454</v>
      </c>
      <c r="R78" s="12">
        <f t="shared" ref="R78:V78" si="88">if(min($K77:$O77)=K77,R77+1,R77)</f>
        <v>56</v>
      </c>
      <c r="S78" s="12">
        <f t="shared" si="88"/>
        <v>14</v>
      </c>
      <c r="T78" s="12">
        <f t="shared" si="88"/>
        <v>7</v>
      </c>
      <c r="U78" s="12">
        <f t="shared" si="88"/>
        <v>0</v>
      </c>
      <c r="V78" s="12">
        <f t="shared" si="88"/>
        <v>0</v>
      </c>
      <c r="X78" s="13">
        <f> 'Optimal Choice'!$B$5*'Optimal Choice'!$B$6^(R78+1)</f>
        <v>189.2061808</v>
      </c>
      <c r="Y78" s="13">
        <f> 'Optimal Choice'!$B$10*'Optimal Choice'!$B$11^(S78+1)</f>
        <v>488.2236977</v>
      </c>
      <c r="Z78" s="13">
        <f> 'Optimal Choice'!$B$15*'Optimal Choice'!$B$16^(T78+1)</f>
        <v>2053.862224</v>
      </c>
      <c r="AA78" s="13">
        <f> 'Optimal Choice'!$B$20*'Optimal Choice'!$B$21^(U78+1)</f>
        <v>9763.2</v>
      </c>
      <c r="AB78" s="13">
        <f> 'Optimal Choice'!$B$25*'Optimal Choice'!$B$26^(V78+1)</f>
        <v>116121.6</v>
      </c>
      <c r="AE78" s="12">
        <f t="shared" si="4"/>
        <v>6</v>
      </c>
      <c r="AF78" s="14">
        <f t="shared" si="5"/>
        <v>1</v>
      </c>
      <c r="AG78" s="14">
        <f t="shared" si="6"/>
        <v>1</v>
      </c>
      <c r="AH78" s="14">
        <f t="shared" si="7"/>
        <v>1</v>
      </c>
      <c r="AI78" s="14">
        <f t="shared" si="8"/>
        <v>1</v>
      </c>
      <c r="AL78" s="14">
        <f>R78*'Optimal Choice'!$B$4*AE78</f>
        <v>561.12</v>
      </c>
      <c r="AM78" s="14">
        <f>S78*'Optimal Choice'!$B$9*AF78</f>
        <v>280</v>
      </c>
      <c r="AN78" s="14">
        <f>T78*'Optimal Choice'!$B$14*AG78</f>
        <v>630</v>
      </c>
      <c r="AO78" s="14">
        <f>U78*'Optimal Choice'!$B$19*AH78</f>
        <v>0</v>
      </c>
      <c r="AP78" s="14">
        <f>V78*'Optimal Choice'!$B$24*AI78</f>
        <v>0</v>
      </c>
      <c r="AS78" s="12">
        <f t="shared" si="9"/>
        <v>6</v>
      </c>
      <c r="AT78" s="14">
        <f t="shared" si="10"/>
        <v>1</v>
      </c>
      <c r="AU78" s="14">
        <f t="shared" si="11"/>
        <v>1</v>
      </c>
      <c r="AV78" s="14">
        <f t="shared" si="12"/>
        <v>1</v>
      </c>
      <c r="AW78" s="14">
        <f t="shared" si="13"/>
        <v>1</v>
      </c>
      <c r="AY78" s="11">
        <f t="shared" si="14"/>
        <v>0.002017067122</v>
      </c>
    </row>
    <row r="79" ht="15.75" customHeight="1">
      <c r="A79" s="15">
        <f t="shared" si="2"/>
        <v>0.7206732381</v>
      </c>
      <c r="B79" s="7">
        <f>(sum(AL79:AP79))*'Optimal Choice'!$B$28</f>
        <v>1481.14</v>
      </c>
      <c r="C79" s="11"/>
      <c r="D79" s="12"/>
      <c r="E79" s="12"/>
      <c r="F79" s="11"/>
      <c r="G79" s="11"/>
      <c r="H79" s="11"/>
      <c r="I79" s="11"/>
      <c r="J79" s="11"/>
      <c r="K79" s="11">
        <f>(X79/$B79)+(X79/('Optimal Choice'!$B$4*AS79))</f>
        <v>20.34133771</v>
      </c>
      <c r="L79" s="11">
        <f>(Y79/$B79)+(Y79/('Optimal Choice'!$B$9*AT79))</f>
        <v>24.74081186</v>
      </c>
      <c r="M79" s="11">
        <f>(Z79/$B79)+(Z79/('Optimal Choice'!$B$14*AU79))</f>
        <v>24.20736801</v>
      </c>
      <c r="N79" s="11">
        <f>(AA79/$B79)+(AA79/('Optimal Choice'!$B$19*AV79))</f>
        <v>33.71167938</v>
      </c>
      <c r="O79" s="11">
        <f>(AB79/$B79)+(AB79/('Optimal Choice'!$B$24*AW79))</f>
        <v>132.1601512</v>
      </c>
      <c r="R79" s="12">
        <f t="shared" ref="R79:V79" si="89">if(min($K78:$O78)=K78,R78+1,R78)</f>
        <v>57</v>
      </c>
      <c r="S79" s="12">
        <f t="shared" si="89"/>
        <v>14</v>
      </c>
      <c r="T79" s="12">
        <f t="shared" si="89"/>
        <v>7</v>
      </c>
      <c r="U79" s="12">
        <f t="shared" si="89"/>
        <v>0</v>
      </c>
      <c r="V79" s="12">
        <f t="shared" si="89"/>
        <v>0</v>
      </c>
      <c r="X79" s="13">
        <f> 'Optimal Choice'!$B$5*'Optimal Choice'!$B$6^(R79+1)</f>
        <v>202.4506134</v>
      </c>
      <c r="Y79" s="13">
        <f> 'Optimal Choice'!$B$10*'Optimal Choice'!$B$11^(S79+1)</f>
        <v>488.2236977</v>
      </c>
      <c r="Z79" s="13">
        <f> 'Optimal Choice'!$B$15*'Optimal Choice'!$B$16^(T79+1)</f>
        <v>2053.862224</v>
      </c>
      <c r="AA79" s="13">
        <f> 'Optimal Choice'!$B$20*'Optimal Choice'!$B$21^(U79+1)</f>
        <v>9763.2</v>
      </c>
      <c r="AB79" s="13">
        <f> 'Optimal Choice'!$B$25*'Optimal Choice'!$B$26^(V79+1)</f>
        <v>116121.6</v>
      </c>
      <c r="AE79" s="12">
        <f t="shared" si="4"/>
        <v>6</v>
      </c>
      <c r="AF79" s="14">
        <f t="shared" si="5"/>
        <v>1</v>
      </c>
      <c r="AG79" s="14">
        <f t="shared" si="6"/>
        <v>1</v>
      </c>
      <c r="AH79" s="14">
        <f t="shared" si="7"/>
        <v>1</v>
      </c>
      <c r="AI79" s="14">
        <f t="shared" si="8"/>
        <v>1</v>
      </c>
      <c r="AL79" s="14">
        <f>R79*'Optimal Choice'!$B$4*AE79</f>
        <v>571.14</v>
      </c>
      <c r="AM79" s="14">
        <f>S79*'Optimal Choice'!$B$9*AF79</f>
        <v>280</v>
      </c>
      <c r="AN79" s="14">
        <f>T79*'Optimal Choice'!$B$14*AG79</f>
        <v>630</v>
      </c>
      <c r="AO79" s="14">
        <f>U79*'Optimal Choice'!$B$19*AH79</f>
        <v>0</v>
      </c>
      <c r="AP79" s="14">
        <f>V79*'Optimal Choice'!$B$24*AI79</f>
        <v>0</v>
      </c>
      <c r="AS79" s="12">
        <f t="shared" si="9"/>
        <v>6</v>
      </c>
      <c r="AT79" s="14">
        <f t="shared" si="10"/>
        <v>1</v>
      </c>
      <c r="AU79" s="14">
        <f t="shared" si="11"/>
        <v>1</v>
      </c>
      <c r="AV79" s="14">
        <f t="shared" si="12"/>
        <v>1</v>
      </c>
      <c r="AW79" s="14">
        <f t="shared" si="13"/>
        <v>1</v>
      </c>
      <c r="AY79" s="11">
        <f t="shared" si="14"/>
        <v>0.002143561604</v>
      </c>
    </row>
    <row r="80" ht="15.75" customHeight="1">
      <c r="A80" s="15">
        <f t="shared" si="2"/>
        <v>0.7229513326</v>
      </c>
      <c r="B80" s="7">
        <f>(sum(AL80:AP80))*'Optimal Choice'!$B$28</f>
        <v>1491.16</v>
      </c>
      <c r="C80" s="11"/>
      <c r="D80" s="12"/>
      <c r="E80" s="12"/>
      <c r="F80" s="11"/>
      <c r="G80" s="11"/>
      <c r="H80" s="11"/>
      <c r="I80" s="11"/>
      <c r="J80" s="11"/>
      <c r="K80" s="11">
        <f>(X80/$B80)+(X80/('Optimal Choice'!$B$4*AS80))</f>
        <v>21.76424858</v>
      </c>
      <c r="L80" s="11">
        <f>(Y80/$B80)+(Y80/('Optimal Choice'!$B$9*AT80))</f>
        <v>24.7385969</v>
      </c>
      <c r="M80" s="11">
        <f>(Z80/$B80)+(Z80/('Optimal Choice'!$B$14*AU80))</f>
        <v>24.19805009</v>
      </c>
      <c r="N80" s="11">
        <f>(AA80/$B80)+(AA80/('Optimal Choice'!$B$19*AV80))</f>
        <v>33.66738593</v>
      </c>
      <c r="O80" s="11">
        <f>(AB80/$B80)+(AB80/('Optimal Choice'!$B$24*AW80))</f>
        <v>131.6333335</v>
      </c>
      <c r="R80" s="12">
        <f t="shared" ref="R80:V80" si="90">if(min($K79:$O79)=K79,R79+1,R79)</f>
        <v>58</v>
      </c>
      <c r="S80" s="12">
        <f t="shared" si="90"/>
        <v>14</v>
      </c>
      <c r="T80" s="12">
        <f t="shared" si="90"/>
        <v>7</v>
      </c>
      <c r="U80" s="12">
        <f t="shared" si="90"/>
        <v>0</v>
      </c>
      <c r="V80" s="12">
        <f t="shared" si="90"/>
        <v>0</v>
      </c>
      <c r="X80" s="13">
        <f> 'Optimal Choice'!$B$5*'Optimal Choice'!$B$6^(R80+1)</f>
        <v>216.6221564</v>
      </c>
      <c r="Y80" s="13">
        <f> 'Optimal Choice'!$B$10*'Optimal Choice'!$B$11^(S80+1)</f>
        <v>488.2236977</v>
      </c>
      <c r="Z80" s="13">
        <f> 'Optimal Choice'!$B$15*'Optimal Choice'!$B$16^(T80+1)</f>
        <v>2053.862224</v>
      </c>
      <c r="AA80" s="13">
        <f> 'Optimal Choice'!$B$20*'Optimal Choice'!$B$21^(U80+1)</f>
        <v>9763.2</v>
      </c>
      <c r="AB80" s="13">
        <f> 'Optimal Choice'!$B$25*'Optimal Choice'!$B$26^(V80+1)</f>
        <v>116121.6</v>
      </c>
      <c r="AE80" s="12">
        <f t="shared" si="4"/>
        <v>6</v>
      </c>
      <c r="AF80" s="14">
        <f t="shared" si="5"/>
        <v>1</v>
      </c>
      <c r="AG80" s="14">
        <f t="shared" si="6"/>
        <v>1</v>
      </c>
      <c r="AH80" s="14">
        <f t="shared" si="7"/>
        <v>1</v>
      </c>
      <c r="AI80" s="14">
        <f t="shared" si="8"/>
        <v>1</v>
      </c>
      <c r="AL80" s="14">
        <f>R80*'Optimal Choice'!$B$4*AE80</f>
        <v>581.16</v>
      </c>
      <c r="AM80" s="14">
        <f>S80*'Optimal Choice'!$B$9*AF80</f>
        <v>280</v>
      </c>
      <c r="AN80" s="14">
        <f>T80*'Optimal Choice'!$B$14*AG80</f>
        <v>630</v>
      </c>
      <c r="AO80" s="14">
        <f>U80*'Optimal Choice'!$B$19*AH80</f>
        <v>0</v>
      </c>
      <c r="AP80" s="14">
        <f>V80*'Optimal Choice'!$B$24*AI80</f>
        <v>0</v>
      </c>
      <c r="AS80" s="12">
        <f t="shared" si="9"/>
        <v>6</v>
      </c>
      <c r="AT80" s="14">
        <f t="shared" si="10"/>
        <v>1</v>
      </c>
      <c r="AU80" s="14">
        <f t="shared" si="11"/>
        <v>1</v>
      </c>
      <c r="AV80" s="14">
        <f t="shared" si="12"/>
        <v>1</v>
      </c>
      <c r="AW80" s="14">
        <f t="shared" si="13"/>
        <v>1</v>
      </c>
      <c r="AY80" s="11">
        <f t="shared" si="14"/>
        <v>0.002278094502</v>
      </c>
    </row>
    <row r="81" ht="15.75" customHeight="1">
      <c r="A81" s="15">
        <f t="shared" si="2"/>
        <v>0.7253725143</v>
      </c>
      <c r="B81" s="7">
        <f>(sum(AL81:AP81))*'Optimal Choice'!$B$28</f>
        <v>1501.18</v>
      </c>
      <c r="C81" s="11"/>
      <c r="D81" s="12"/>
      <c r="E81" s="12"/>
      <c r="F81" s="11"/>
      <c r="G81" s="11"/>
      <c r="H81" s="11"/>
      <c r="I81" s="11"/>
      <c r="J81" s="11"/>
      <c r="K81" s="11">
        <f>(X81/$B81)+(X81/('Optimal Choice'!$B$4*AS81))</f>
        <v>23.28670846</v>
      </c>
      <c r="L81" s="11">
        <f>(Y81/$B81)+(Y81/('Optimal Choice'!$B$9*AT81))</f>
        <v>24.73641151</v>
      </c>
      <c r="M81" s="11">
        <f>(Z81/$B81)+(Z81/('Optimal Choice'!$B$14*AU81))</f>
        <v>24.18885657</v>
      </c>
      <c r="N81" s="11">
        <f>(AA81/$B81)+(AA81/('Optimal Choice'!$B$19*AV81))</f>
        <v>33.62368377</v>
      </c>
      <c r="O81" s="11">
        <f>(AB81/$B81)+(AB81/('Optimal Choice'!$B$24*AW81))</f>
        <v>131.1135485</v>
      </c>
      <c r="R81" s="12">
        <f t="shared" ref="R81:V81" si="91">if(min($K80:$O80)=K80,R80+1,R80)</f>
        <v>59</v>
      </c>
      <c r="S81" s="12">
        <f t="shared" si="91"/>
        <v>14</v>
      </c>
      <c r="T81" s="12">
        <f t="shared" si="91"/>
        <v>7</v>
      </c>
      <c r="U81" s="12">
        <f t="shared" si="91"/>
        <v>0</v>
      </c>
      <c r="V81" s="12">
        <f t="shared" si="91"/>
        <v>0</v>
      </c>
      <c r="X81" s="13">
        <f> 'Optimal Choice'!$B$5*'Optimal Choice'!$B$6^(R81+1)</f>
        <v>231.7857073</v>
      </c>
      <c r="Y81" s="13">
        <f> 'Optimal Choice'!$B$10*'Optimal Choice'!$B$11^(S81+1)</f>
        <v>488.2236977</v>
      </c>
      <c r="Z81" s="13">
        <f> 'Optimal Choice'!$B$15*'Optimal Choice'!$B$16^(T81+1)</f>
        <v>2053.862224</v>
      </c>
      <c r="AA81" s="13">
        <f> 'Optimal Choice'!$B$20*'Optimal Choice'!$B$21^(U81+1)</f>
        <v>9763.2</v>
      </c>
      <c r="AB81" s="13">
        <f> 'Optimal Choice'!$B$25*'Optimal Choice'!$B$26^(V81+1)</f>
        <v>116121.6</v>
      </c>
      <c r="AE81" s="12">
        <f t="shared" si="4"/>
        <v>6</v>
      </c>
      <c r="AF81" s="14">
        <f t="shared" si="5"/>
        <v>1</v>
      </c>
      <c r="AG81" s="14">
        <f t="shared" si="6"/>
        <v>1</v>
      </c>
      <c r="AH81" s="14">
        <f t="shared" si="7"/>
        <v>1</v>
      </c>
      <c r="AI81" s="14">
        <f t="shared" si="8"/>
        <v>1</v>
      </c>
      <c r="AL81" s="14">
        <f>R81*'Optimal Choice'!$B$4*AE81</f>
        <v>591.18</v>
      </c>
      <c r="AM81" s="14">
        <f>S81*'Optimal Choice'!$B$9*AF81</f>
        <v>280</v>
      </c>
      <c r="AN81" s="14">
        <f>T81*'Optimal Choice'!$B$14*AG81</f>
        <v>630</v>
      </c>
      <c r="AO81" s="14">
        <f>U81*'Optimal Choice'!$B$19*AH81</f>
        <v>0</v>
      </c>
      <c r="AP81" s="14">
        <f>V81*'Optimal Choice'!$B$24*AI81</f>
        <v>0</v>
      </c>
      <c r="AS81" s="12">
        <f t="shared" si="9"/>
        <v>6</v>
      </c>
      <c r="AT81" s="14">
        <f t="shared" si="10"/>
        <v>1</v>
      </c>
      <c r="AU81" s="14">
        <f t="shared" si="11"/>
        <v>1</v>
      </c>
      <c r="AV81" s="14">
        <f t="shared" si="12"/>
        <v>1</v>
      </c>
      <c r="AW81" s="14">
        <f t="shared" si="13"/>
        <v>1</v>
      </c>
      <c r="AY81" s="11">
        <f t="shared" si="14"/>
        <v>0.002421181679</v>
      </c>
    </row>
    <row r="82" ht="15.75" customHeight="1">
      <c r="A82" s="15">
        <f t="shared" si="2"/>
        <v>0.7279458867</v>
      </c>
      <c r="B82" s="7">
        <f>(sum(AL82:AP82))*'Optimal Choice'!$B$28</f>
        <v>1511.2</v>
      </c>
      <c r="C82" s="11"/>
      <c r="D82" s="12"/>
      <c r="E82" s="12"/>
      <c r="F82" s="11"/>
      <c r="G82" s="11"/>
      <c r="H82" s="11"/>
      <c r="I82" s="11"/>
      <c r="J82" s="11"/>
      <c r="K82" s="11">
        <f>(X82/$B82)+(X82/('Optimal Choice'!$B$4*AS82))</f>
        <v>24.91568263</v>
      </c>
      <c r="L82" s="11">
        <f>(Y82/$B82)+(Y82/('Optimal Choice'!$B$9*AT82))</f>
        <v>24.7342551</v>
      </c>
      <c r="M82" s="11">
        <f>(Z82/$B82)+(Z82/('Optimal Choice'!$B$14*AU82))</f>
        <v>24.17978496</v>
      </c>
      <c r="N82" s="11">
        <f>(AA82/$B82)+(AA82/('Optimal Choice'!$B$19*AV82))</f>
        <v>33.58056114</v>
      </c>
      <c r="O82" s="11">
        <f>(AB82/$B82)+(AB82/('Optimal Choice'!$B$24*AW82))</f>
        <v>130.6006564</v>
      </c>
      <c r="R82" s="12">
        <f t="shared" ref="R82:V82" si="92">if(min($K81:$O81)=K81,R81+1,R81)</f>
        <v>60</v>
      </c>
      <c r="S82" s="12">
        <f t="shared" si="92"/>
        <v>14</v>
      </c>
      <c r="T82" s="12">
        <f t="shared" si="92"/>
        <v>7</v>
      </c>
      <c r="U82" s="12">
        <f t="shared" si="92"/>
        <v>0</v>
      </c>
      <c r="V82" s="12">
        <f t="shared" si="92"/>
        <v>0</v>
      </c>
      <c r="X82" s="13">
        <f> 'Optimal Choice'!$B$5*'Optimal Choice'!$B$6^(R82+1)</f>
        <v>248.0107069</v>
      </c>
      <c r="Y82" s="13">
        <f> 'Optimal Choice'!$B$10*'Optimal Choice'!$B$11^(S82+1)</f>
        <v>488.2236977</v>
      </c>
      <c r="Z82" s="13">
        <f> 'Optimal Choice'!$B$15*'Optimal Choice'!$B$16^(T82+1)</f>
        <v>2053.862224</v>
      </c>
      <c r="AA82" s="13">
        <f> 'Optimal Choice'!$B$20*'Optimal Choice'!$B$21^(U82+1)</f>
        <v>9763.2</v>
      </c>
      <c r="AB82" s="13">
        <f> 'Optimal Choice'!$B$25*'Optimal Choice'!$B$26^(V82+1)</f>
        <v>116121.6</v>
      </c>
      <c r="AE82" s="12">
        <f t="shared" si="4"/>
        <v>6</v>
      </c>
      <c r="AF82" s="14">
        <f t="shared" si="5"/>
        <v>1</v>
      </c>
      <c r="AG82" s="14">
        <f t="shared" si="6"/>
        <v>1</v>
      </c>
      <c r="AH82" s="14">
        <f t="shared" si="7"/>
        <v>1</v>
      </c>
      <c r="AI82" s="14">
        <f t="shared" si="8"/>
        <v>1</v>
      </c>
      <c r="AL82" s="14">
        <f>R82*'Optimal Choice'!$B$4*AE82</f>
        <v>601.2</v>
      </c>
      <c r="AM82" s="14">
        <f>S82*'Optimal Choice'!$B$9*AF82</f>
        <v>280</v>
      </c>
      <c r="AN82" s="14">
        <f>T82*'Optimal Choice'!$B$14*AG82</f>
        <v>630</v>
      </c>
      <c r="AO82" s="14">
        <f>U82*'Optimal Choice'!$B$19*AH82</f>
        <v>0</v>
      </c>
      <c r="AP82" s="14">
        <f>V82*'Optimal Choice'!$B$24*AI82</f>
        <v>0</v>
      </c>
      <c r="AS82" s="12">
        <f t="shared" si="9"/>
        <v>6</v>
      </c>
      <c r="AT82" s="14">
        <f t="shared" si="10"/>
        <v>1</v>
      </c>
      <c r="AU82" s="14">
        <f t="shared" si="11"/>
        <v>1</v>
      </c>
      <c r="AV82" s="14">
        <f t="shared" si="12"/>
        <v>1</v>
      </c>
      <c r="AW82" s="14">
        <f t="shared" si="13"/>
        <v>1</v>
      </c>
      <c r="AY82" s="11">
        <f t="shared" si="14"/>
        <v>0.002573372362</v>
      </c>
    </row>
    <row r="83" ht="15.75" customHeight="1">
      <c r="A83" s="15">
        <f t="shared" si="2"/>
        <v>0.7505974464</v>
      </c>
      <c r="B83" s="7">
        <f>(sum(AL83:AP83))*'Optimal Choice'!$B$28</f>
        <v>1601.2</v>
      </c>
      <c r="C83" s="11"/>
      <c r="D83" s="12"/>
      <c r="E83" s="12"/>
      <c r="F83" s="11"/>
      <c r="G83" s="11"/>
      <c r="H83" s="11"/>
      <c r="I83" s="11"/>
      <c r="J83" s="11"/>
      <c r="K83" s="11">
        <f>(X83/$B83)+(X83/('Optimal Choice'!$B$4*AS83))</f>
        <v>24.90645807</v>
      </c>
      <c r="L83" s="11">
        <f>(Y83/$B83)+(Y83/('Optimal Choice'!$B$9*AT83))</f>
        <v>24.71609602</v>
      </c>
      <c r="M83" s="11">
        <f>(Z83/$B83)+(Z83/('Optimal Choice'!$B$14*AU83))</f>
        <v>27.47786829</v>
      </c>
      <c r="N83" s="11">
        <f>(AA83/$B83)+(AA83/('Optimal Choice'!$B$19*AV83))</f>
        <v>33.21742693</v>
      </c>
      <c r="O83" s="11">
        <f>(AB83/$B83)+(AB83/('Optimal Choice'!$B$24*AW83))</f>
        <v>126.2816088</v>
      </c>
      <c r="R83" s="12">
        <f t="shared" ref="R83:V83" si="93">if(min($K82:$O82)=K82,R82+1,R82)</f>
        <v>60</v>
      </c>
      <c r="S83" s="12">
        <f t="shared" si="93"/>
        <v>14</v>
      </c>
      <c r="T83" s="12">
        <f t="shared" si="93"/>
        <v>8</v>
      </c>
      <c r="U83" s="12">
        <f t="shared" si="93"/>
        <v>0</v>
      </c>
      <c r="V83" s="12">
        <f t="shared" si="93"/>
        <v>0</v>
      </c>
      <c r="X83" s="13">
        <f> 'Optimal Choice'!$B$5*'Optimal Choice'!$B$6^(R83+1)</f>
        <v>248.0107069</v>
      </c>
      <c r="Y83" s="13">
        <f> 'Optimal Choice'!$B$10*'Optimal Choice'!$B$11^(S83+1)</f>
        <v>488.2236977</v>
      </c>
      <c r="Z83" s="13">
        <f> 'Optimal Choice'!$B$15*'Optimal Choice'!$B$16^(T83+1)</f>
        <v>2341.402935</v>
      </c>
      <c r="AA83" s="13">
        <f> 'Optimal Choice'!$B$20*'Optimal Choice'!$B$21^(U83+1)</f>
        <v>9763.2</v>
      </c>
      <c r="AB83" s="13">
        <f> 'Optimal Choice'!$B$25*'Optimal Choice'!$B$26^(V83+1)</f>
        <v>116121.6</v>
      </c>
      <c r="AE83" s="12">
        <f t="shared" si="4"/>
        <v>6</v>
      </c>
      <c r="AF83" s="14">
        <f t="shared" si="5"/>
        <v>1</v>
      </c>
      <c r="AG83" s="14">
        <f t="shared" si="6"/>
        <v>1</v>
      </c>
      <c r="AH83" s="14">
        <f t="shared" si="7"/>
        <v>1</v>
      </c>
      <c r="AI83" s="14">
        <f t="shared" si="8"/>
        <v>1</v>
      </c>
      <c r="AL83" s="14">
        <f>R83*'Optimal Choice'!$B$4*AE83</f>
        <v>601.2</v>
      </c>
      <c r="AM83" s="14">
        <f>S83*'Optimal Choice'!$B$9*AF83</f>
        <v>280</v>
      </c>
      <c r="AN83" s="14">
        <f>T83*'Optimal Choice'!$B$14*AG83</f>
        <v>720</v>
      </c>
      <c r="AO83" s="14">
        <f>U83*'Optimal Choice'!$B$19*AH83</f>
        <v>0</v>
      </c>
      <c r="AP83" s="14">
        <f>V83*'Optimal Choice'!$B$24*AI83</f>
        <v>0</v>
      </c>
      <c r="AS83" s="12">
        <f t="shared" si="9"/>
        <v>6</v>
      </c>
      <c r="AT83" s="14">
        <f t="shared" si="10"/>
        <v>1</v>
      </c>
      <c r="AU83" s="14">
        <f t="shared" si="11"/>
        <v>1</v>
      </c>
      <c r="AV83" s="14">
        <f t="shared" si="12"/>
        <v>1</v>
      </c>
      <c r="AW83" s="14">
        <f t="shared" si="13"/>
        <v>1</v>
      </c>
      <c r="AY83" s="11">
        <f t="shared" si="14"/>
        <v>0.02265155973</v>
      </c>
    </row>
    <row r="84" ht="15.75" customHeight="1">
      <c r="A84" s="15">
        <f t="shared" si="2"/>
        <v>0.7556792985</v>
      </c>
      <c r="B84" s="7">
        <f>(sum(AL84:AP84))*'Optimal Choice'!$B$28</f>
        <v>1621.2</v>
      </c>
      <c r="C84" s="11"/>
      <c r="D84" s="12"/>
      <c r="E84" s="12"/>
      <c r="F84" s="11"/>
      <c r="G84" s="11"/>
      <c r="H84" s="11"/>
      <c r="I84" s="11"/>
      <c r="J84" s="11"/>
      <c r="K84" s="11">
        <f>(X84/$B84)+(X84/('Optimal Choice'!$B$4*AS84))</f>
        <v>24.90454726</v>
      </c>
      <c r="L84" s="11">
        <f>(Y84/$B84)+(Y84/('Optimal Choice'!$B$9*AT84))</f>
        <v>28.41918464</v>
      </c>
      <c r="M84" s="11">
        <f>(Z84/$B84)+(Z84/('Optimal Choice'!$B$14*AU84))</f>
        <v>27.45982882</v>
      </c>
      <c r="N84" s="11">
        <f>(AA84/$B84)+(AA84/('Optimal Choice'!$B$19*AV84))</f>
        <v>33.14220577</v>
      </c>
      <c r="O84" s="11">
        <f>(AB84/$B84)+(AB84/('Optimal Choice'!$B$24*AW84))</f>
        <v>125.386943</v>
      </c>
      <c r="R84" s="12">
        <f t="shared" ref="R84:V84" si="94">if(min($K83:$O83)=K83,R83+1,R83)</f>
        <v>60</v>
      </c>
      <c r="S84" s="12">
        <f t="shared" si="94"/>
        <v>15</v>
      </c>
      <c r="T84" s="12">
        <f t="shared" si="94"/>
        <v>8</v>
      </c>
      <c r="U84" s="12">
        <f t="shared" si="94"/>
        <v>0</v>
      </c>
      <c r="V84" s="12">
        <f t="shared" si="94"/>
        <v>0</v>
      </c>
      <c r="X84" s="13">
        <f> 'Optimal Choice'!$B$5*'Optimal Choice'!$B$6^(R84+1)</f>
        <v>248.0107069</v>
      </c>
      <c r="Y84" s="13">
        <f> 'Optimal Choice'!$B$10*'Optimal Choice'!$B$11^(S84+1)</f>
        <v>561.4572524</v>
      </c>
      <c r="Z84" s="13">
        <f> 'Optimal Choice'!$B$15*'Optimal Choice'!$B$16^(T84+1)</f>
        <v>2341.402935</v>
      </c>
      <c r="AA84" s="13">
        <f> 'Optimal Choice'!$B$20*'Optimal Choice'!$B$21^(U84+1)</f>
        <v>9763.2</v>
      </c>
      <c r="AB84" s="13">
        <f> 'Optimal Choice'!$B$25*'Optimal Choice'!$B$26^(V84+1)</f>
        <v>116121.6</v>
      </c>
      <c r="AE84" s="12">
        <f t="shared" si="4"/>
        <v>6</v>
      </c>
      <c r="AF84" s="14">
        <f t="shared" si="5"/>
        <v>1</v>
      </c>
      <c r="AG84" s="14">
        <f t="shared" si="6"/>
        <v>1</v>
      </c>
      <c r="AH84" s="14">
        <f t="shared" si="7"/>
        <v>1</v>
      </c>
      <c r="AI84" s="14">
        <f t="shared" si="8"/>
        <v>1</v>
      </c>
      <c r="AL84" s="14">
        <f>R84*'Optimal Choice'!$B$4*AE84</f>
        <v>601.2</v>
      </c>
      <c r="AM84" s="14">
        <f>S84*'Optimal Choice'!$B$9*AF84</f>
        <v>300</v>
      </c>
      <c r="AN84" s="14">
        <f>T84*'Optimal Choice'!$B$14*AG84</f>
        <v>720</v>
      </c>
      <c r="AO84" s="14">
        <f>U84*'Optimal Choice'!$B$19*AH84</f>
        <v>0</v>
      </c>
      <c r="AP84" s="14">
        <f>V84*'Optimal Choice'!$B$24*AI84</f>
        <v>0</v>
      </c>
      <c r="AS84" s="12">
        <f t="shared" si="9"/>
        <v>6</v>
      </c>
      <c r="AT84" s="14">
        <f t="shared" si="10"/>
        <v>1</v>
      </c>
      <c r="AU84" s="14">
        <f t="shared" si="11"/>
        <v>1</v>
      </c>
      <c r="AV84" s="14">
        <f t="shared" si="12"/>
        <v>1</v>
      </c>
      <c r="AW84" s="14">
        <f t="shared" si="13"/>
        <v>1</v>
      </c>
      <c r="AY84" s="11">
        <f t="shared" si="14"/>
        <v>0.005081852129</v>
      </c>
    </row>
    <row r="85" ht="15.75" customHeight="1">
      <c r="A85" s="15">
        <f t="shared" si="2"/>
        <v>0.7582289604</v>
      </c>
      <c r="B85" s="7">
        <f>(sum(AL85:AP85))*'Optimal Choice'!$B$28</f>
        <v>1631.22</v>
      </c>
      <c r="C85" s="11"/>
      <c r="D85" s="12"/>
      <c r="E85" s="12"/>
      <c r="F85" s="11"/>
      <c r="G85" s="11"/>
      <c r="H85" s="11"/>
      <c r="I85" s="11"/>
      <c r="J85" s="11"/>
      <c r="K85" s="11">
        <f>(X85/$B85)+(X85/('Optimal Choice'!$B$4*AS85))</f>
        <v>26.64686009</v>
      </c>
      <c r="L85" s="11">
        <f>(Y85/$B85)+(Y85/('Optimal Choice'!$B$9*AT85))</f>
        <v>28.4170573</v>
      </c>
      <c r="M85" s="11">
        <f>(Z85/$B85)+(Z85/('Optimal Choice'!$B$14*AU85))</f>
        <v>27.45095736</v>
      </c>
      <c r="N85" s="11">
        <f>(AA85/$B85)+(AA85/('Optimal Choice'!$B$19*AV85))</f>
        <v>33.10521352</v>
      </c>
      <c r="O85" s="11">
        <f>(AB85/$B85)+(AB85/('Optimal Choice'!$B$24*AW85))</f>
        <v>124.9469644</v>
      </c>
      <c r="R85" s="12">
        <f t="shared" ref="R85:V85" si="95">if(min($K84:$O84)=K84,R84+1,R84)</f>
        <v>61</v>
      </c>
      <c r="S85" s="12">
        <f t="shared" si="95"/>
        <v>15</v>
      </c>
      <c r="T85" s="12">
        <f t="shared" si="95"/>
        <v>8</v>
      </c>
      <c r="U85" s="12">
        <f t="shared" si="95"/>
        <v>0</v>
      </c>
      <c r="V85" s="12">
        <f t="shared" si="95"/>
        <v>0</v>
      </c>
      <c r="X85" s="13">
        <f> 'Optimal Choice'!$B$5*'Optimal Choice'!$B$6^(R85+1)</f>
        <v>265.3714563</v>
      </c>
      <c r="Y85" s="13">
        <f> 'Optimal Choice'!$B$10*'Optimal Choice'!$B$11^(S85+1)</f>
        <v>561.4572524</v>
      </c>
      <c r="Z85" s="13">
        <f> 'Optimal Choice'!$B$15*'Optimal Choice'!$B$16^(T85+1)</f>
        <v>2341.402935</v>
      </c>
      <c r="AA85" s="13">
        <f> 'Optimal Choice'!$B$20*'Optimal Choice'!$B$21^(U85+1)</f>
        <v>9763.2</v>
      </c>
      <c r="AB85" s="13">
        <f> 'Optimal Choice'!$B$25*'Optimal Choice'!$B$26^(V85+1)</f>
        <v>116121.6</v>
      </c>
      <c r="AE85" s="12">
        <f t="shared" si="4"/>
        <v>6</v>
      </c>
      <c r="AF85" s="14">
        <f t="shared" si="5"/>
        <v>1</v>
      </c>
      <c r="AG85" s="14">
        <f t="shared" si="6"/>
        <v>1</v>
      </c>
      <c r="AH85" s="14">
        <f t="shared" si="7"/>
        <v>1</v>
      </c>
      <c r="AI85" s="14">
        <f t="shared" si="8"/>
        <v>1</v>
      </c>
      <c r="AL85" s="14">
        <f>R85*'Optimal Choice'!$B$4*AE85</f>
        <v>611.22</v>
      </c>
      <c r="AM85" s="14">
        <f>S85*'Optimal Choice'!$B$9*AF85</f>
        <v>300</v>
      </c>
      <c r="AN85" s="14">
        <f>T85*'Optimal Choice'!$B$14*AG85</f>
        <v>720</v>
      </c>
      <c r="AO85" s="14">
        <f>U85*'Optimal Choice'!$B$19*AH85</f>
        <v>0</v>
      </c>
      <c r="AP85" s="14">
        <f>V85*'Optimal Choice'!$B$24*AI85</f>
        <v>0</v>
      </c>
      <c r="AS85" s="12">
        <f t="shared" si="9"/>
        <v>6</v>
      </c>
      <c r="AT85" s="14">
        <f t="shared" si="10"/>
        <v>1</v>
      </c>
      <c r="AU85" s="14">
        <f t="shared" si="11"/>
        <v>1</v>
      </c>
      <c r="AV85" s="14">
        <f t="shared" si="12"/>
        <v>1</v>
      </c>
      <c r="AW85" s="14">
        <f t="shared" si="13"/>
        <v>1</v>
      </c>
      <c r="AY85" s="11">
        <f t="shared" si="14"/>
        <v>0.002549661844</v>
      </c>
    </row>
    <row r="86" ht="15.75" customHeight="1">
      <c r="A86" s="15">
        <f t="shared" si="2"/>
        <v>0.7609403406</v>
      </c>
      <c r="B86" s="7">
        <f>(sum(AL86:AP86))*'Optimal Choice'!$B$28</f>
        <v>1641.24</v>
      </c>
      <c r="C86" s="11"/>
      <c r="D86" s="12"/>
      <c r="E86" s="12"/>
      <c r="F86" s="11"/>
      <c r="G86" s="11"/>
      <c r="H86" s="11"/>
      <c r="I86" s="11"/>
      <c r="J86" s="11"/>
      <c r="K86" s="11">
        <f>(X86/$B86)+(X86/('Optimal Choice'!$B$4*AS86))</f>
        <v>28.51107757</v>
      </c>
      <c r="L86" s="11">
        <f>(Y86/$B86)+(Y86/('Optimal Choice'!$B$9*AT86))</f>
        <v>28.41495595</v>
      </c>
      <c r="M86" s="11">
        <f>(Z86/$B86)+(Z86/('Optimal Choice'!$B$14*AU86))</f>
        <v>27.44219423</v>
      </c>
      <c r="N86" s="11">
        <f>(AA86/$B86)+(AA86/('Optimal Choice'!$B$19*AV86))</f>
        <v>33.06867295</v>
      </c>
      <c r="O86" s="11">
        <f>(AB86/$B86)+(AB86/('Optimal Choice'!$B$24*AW86))</f>
        <v>124.512358</v>
      </c>
      <c r="R86" s="12">
        <f t="shared" ref="R86:V86" si="96">if(min($K85:$O85)=K85,R85+1,R85)</f>
        <v>62</v>
      </c>
      <c r="S86" s="12">
        <f t="shared" si="96"/>
        <v>15</v>
      </c>
      <c r="T86" s="12">
        <f t="shared" si="96"/>
        <v>8</v>
      </c>
      <c r="U86" s="12">
        <f t="shared" si="96"/>
        <v>0</v>
      </c>
      <c r="V86" s="12">
        <f t="shared" si="96"/>
        <v>0</v>
      </c>
      <c r="X86" s="13">
        <f> 'Optimal Choice'!$B$5*'Optimal Choice'!$B$6^(R86+1)</f>
        <v>283.9474583</v>
      </c>
      <c r="Y86" s="13">
        <f> 'Optimal Choice'!$B$10*'Optimal Choice'!$B$11^(S86+1)</f>
        <v>561.4572524</v>
      </c>
      <c r="Z86" s="13">
        <f> 'Optimal Choice'!$B$15*'Optimal Choice'!$B$16^(T86+1)</f>
        <v>2341.402935</v>
      </c>
      <c r="AA86" s="13">
        <f> 'Optimal Choice'!$B$20*'Optimal Choice'!$B$21^(U86+1)</f>
        <v>9763.2</v>
      </c>
      <c r="AB86" s="13">
        <f> 'Optimal Choice'!$B$25*'Optimal Choice'!$B$26^(V86+1)</f>
        <v>116121.6</v>
      </c>
      <c r="AE86" s="12">
        <f t="shared" si="4"/>
        <v>6</v>
      </c>
      <c r="AF86" s="14">
        <f t="shared" si="5"/>
        <v>1</v>
      </c>
      <c r="AG86" s="14">
        <f t="shared" si="6"/>
        <v>1</v>
      </c>
      <c r="AH86" s="14">
        <f t="shared" si="7"/>
        <v>1</v>
      </c>
      <c r="AI86" s="14">
        <f t="shared" si="8"/>
        <v>1</v>
      </c>
      <c r="AL86" s="14">
        <f>R86*'Optimal Choice'!$B$4*AE86</f>
        <v>621.24</v>
      </c>
      <c r="AM86" s="14">
        <f>S86*'Optimal Choice'!$B$9*AF86</f>
        <v>300</v>
      </c>
      <c r="AN86" s="14">
        <f>T86*'Optimal Choice'!$B$14*AG86</f>
        <v>720</v>
      </c>
      <c r="AO86" s="14">
        <f>U86*'Optimal Choice'!$B$19*AH86</f>
        <v>0</v>
      </c>
      <c r="AP86" s="14">
        <f>V86*'Optimal Choice'!$B$24*AI86</f>
        <v>0</v>
      </c>
      <c r="AS86" s="12">
        <f t="shared" si="9"/>
        <v>6</v>
      </c>
      <c r="AT86" s="14">
        <f t="shared" si="10"/>
        <v>1</v>
      </c>
      <c r="AU86" s="14">
        <f t="shared" si="11"/>
        <v>1</v>
      </c>
      <c r="AV86" s="14">
        <f t="shared" si="12"/>
        <v>1</v>
      </c>
      <c r="AW86" s="14">
        <f t="shared" si="13"/>
        <v>1</v>
      </c>
      <c r="AY86" s="11">
        <f t="shared" si="14"/>
        <v>0.002711380197</v>
      </c>
    </row>
    <row r="87" ht="15.75" customHeight="1">
      <c r="A87" s="15">
        <f t="shared" si="2"/>
        <v>0.7847171083</v>
      </c>
      <c r="B87" s="7">
        <f>(sum(AL87:AP87))*'Optimal Choice'!$B$28</f>
        <v>1731.24</v>
      </c>
      <c r="C87" s="11"/>
      <c r="D87" s="12"/>
      <c r="E87" s="12"/>
      <c r="F87" s="11"/>
      <c r="G87" s="11"/>
      <c r="H87" s="11"/>
      <c r="I87" s="11"/>
      <c r="J87" s="11"/>
      <c r="K87" s="11">
        <f>(X87/$B87)+(X87/('Optimal Choice'!$B$4*AS87))</f>
        <v>28.50208361</v>
      </c>
      <c r="L87" s="11">
        <f>(Y87/$B87)+(Y87/('Optimal Choice'!$B$9*AT87))</f>
        <v>28.39717193</v>
      </c>
      <c r="M87" s="11">
        <f>(Z87/$B87)+(Z87/('Optimal Choice'!$B$14*AU87))</f>
        <v>31.19955521</v>
      </c>
      <c r="N87" s="11">
        <f>(AA87/$B87)+(AA87/('Optimal Choice'!$B$19*AV87))</f>
        <v>32.75942608</v>
      </c>
      <c r="O87" s="11">
        <f>(AB87/$B87)+(AB87/('Optimal Choice'!$B$24*AW87))</f>
        <v>120.8342358</v>
      </c>
      <c r="R87" s="12">
        <f t="shared" ref="R87:V87" si="97">if(min($K86:$O86)=K86,R86+1,R86)</f>
        <v>62</v>
      </c>
      <c r="S87" s="12">
        <f t="shared" si="97"/>
        <v>15</v>
      </c>
      <c r="T87" s="12">
        <f t="shared" si="97"/>
        <v>9</v>
      </c>
      <c r="U87" s="12">
        <f t="shared" si="97"/>
        <v>0</v>
      </c>
      <c r="V87" s="12">
        <f t="shared" si="97"/>
        <v>0</v>
      </c>
      <c r="X87" s="13">
        <f> 'Optimal Choice'!$B$5*'Optimal Choice'!$B$6^(R87+1)</f>
        <v>283.9474583</v>
      </c>
      <c r="Y87" s="13">
        <f> 'Optimal Choice'!$B$10*'Optimal Choice'!$B$11^(S87+1)</f>
        <v>561.4572524</v>
      </c>
      <c r="Z87" s="13">
        <f> 'Optimal Choice'!$B$15*'Optimal Choice'!$B$16^(T87+1)</f>
        <v>2669.199346</v>
      </c>
      <c r="AA87" s="13">
        <f> 'Optimal Choice'!$B$20*'Optimal Choice'!$B$21^(U87+1)</f>
        <v>9763.2</v>
      </c>
      <c r="AB87" s="13">
        <f> 'Optimal Choice'!$B$25*'Optimal Choice'!$B$26^(V87+1)</f>
        <v>116121.6</v>
      </c>
      <c r="AE87" s="12">
        <f t="shared" si="4"/>
        <v>6</v>
      </c>
      <c r="AF87" s="14">
        <f t="shared" si="5"/>
        <v>1</v>
      </c>
      <c r="AG87" s="14">
        <f t="shared" si="6"/>
        <v>1</v>
      </c>
      <c r="AH87" s="14">
        <f t="shared" si="7"/>
        <v>1</v>
      </c>
      <c r="AI87" s="14">
        <f t="shared" si="8"/>
        <v>1</v>
      </c>
      <c r="AL87" s="14">
        <f>R87*'Optimal Choice'!$B$4*AE87</f>
        <v>621.24</v>
      </c>
      <c r="AM87" s="14">
        <f>S87*'Optimal Choice'!$B$9*AF87</f>
        <v>300</v>
      </c>
      <c r="AN87" s="14">
        <f>T87*'Optimal Choice'!$B$14*AG87</f>
        <v>810</v>
      </c>
      <c r="AO87" s="14">
        <f>U87*'Optimal Choice'!$B$19*AH87</f>
        <v>0</v>
      </c>
      <c r="AP87" s="14">
        <f>V87*'Optimal Choice'!$B$24*AI87</f>
        <v>0</v>
      </c>
      <c r="AS87" s="12">
        <f t="shared" si="9"/>
        <v>6</v>
      </c>
      <c r="AT87" s="14">
        <f t="shared" si="10"/>
        <v>1</v>
      </c>
      <c r="AU87" s="14">
        <f t="shared" si="11"/>
        <v>1</v>
      </c>
      <c r="AV87" s="14">
        <f t="shared" si="12"/>
        <v>1</v>
      </c>
      <c r="AW87" s="14">
        <f t="shared" si="13"/>
        <v>1</v>
      </c>
      <c r="AY87" s="11">
        <f t="shared" si="14"/>
        <v>0.02377676772</v>
      </c>
    </row>
    <row r="88" ht="15.75" customHeight="1">
      <c r="A88" s="15">
        <f t="shared" si="2"/>
        <v>0.7901222635</v>
      </c>
      <c r="B88" s="7">
        <f>(sum(AL88:AP88))*'Optimal Choice'!$B$28</f>
        <v>1751.24</v>
      </c>
      <c r="C88" s="11"/>
      <c r="D88" s="12"/>
      <c r="E88" s="12"/>
      <c r="F88" s="11"/>
      <c r="G88" s="11"/>
      <c r="H88" s="11"/>
      <c r="I88" s="11"/>
      <c r="J88" s="11"/>
      <c r="K88" s="11">
        <f>(X88/$B88)+(X88/('Optimal Choice'!$B$4*AS88))</f>
        <v>28.50021049</v>
      </c>
      <c r="L88" s="11">
        <f>(Y88/$B88)+(Y88/('Optimal Choice'!$B$9*AT88))</f>
        <v>32.65248839</v>
      </c>
      <c r="M88" s="11">
        <f>(Z88/$B88)+(Z88/('Optimal Choice'!$B$14*AU88))</f>
        <v>31.18194729</v>
      </c>
      <c r="N88" s="11">
        <f>(AA88/$B88)+(AA88/('Optimal Choice'!$B$19*AV88))</f>
        <v>32.69502113</v>
      </c>
      <c r="O88" s="11">
        <f>(AB88/$B88)+(AB88/('Optimal Choice'!$B$24*AW88))</f>
        <v>120.0682159</v>
      </c>
      <c r="R88" s="12">
        <f t="shared" ref="R88:V88" si="98">if(min($K87:$O87)=K87,R87+1,R87)</f>
        <v>62</v>
      </c>
      <c r="S88" s="12">
        <f t="shared" si="98"/>
        <v>16</v>
      </c>
      <c r="T88" s="12">
        <f t="shared" si="98"/>
        <v>9</v>
      </c>
      <c r="U88" s="12">
        <f t="shared" si="98"/>
        <v>0</v>
      </c>
      <c r="V88" s="12">
        <f t="shared" si="98"/>
        <v>0</v>
      </c>
      <c r="X88" s="13">
        <f> 'Optimal Choice'!$B$5*'Optimal Choice'!$B$6^(R88+1)</f>
        <v>283.9474583</v>
      </c>
      <c r="Y88" s="13">
        <f> 'Optimal Choice'!$B$10*'Optimal Choice'!$B$11^(S88+1)</f>
        <v>645.6758403</v>
      </c>
      <c r="Z88" s="13">
        <f> 'Optimal Choice'!$B$15*'Optimal Choice'!$B$16^(T88+1)</f>
        <v>2669.199346</v>
      </c>
      <c r="AA88" s="13">
        <f> 'Optimal Choice'!$B$20*'Optimal Choice'!$B$21^(U88+1)</f>
        <v>9763.2</v>
      </c>
      <c r="AB88" s="13">
        <f> 'Optimal Choice'!$B$25*'Optimal Choice'!$B$26^(V88+1)</f>
        <v>116121.6</v>
      </c>
      <c r="AE88" s="12">
        <f t="shared" si="4"/>
        <v>6</v>
      </c>
      <c r="AF88" s="14">
        <f t="shared" si="5"/>
        <v>1</v>
      </c>
      <c r="AG88" s="14">
        <f t="shared" si="6"/>
        <v>1</v>
      </c>
      <c r="AH88" s="14">
        <f t="shared" si="7"/>
        <v>1</v>
      </c>
      <c r="AI88" s="14">
        <f t="shared" si="8"/>
        <v>1</v>
      </c>
      <c r="AL88" s="14">
        <f>R88*'Optimal Choice'!$B$4*AE88</f>
        <v>621.24</v>
      </c>
      <c r="AM88" s="14">
        <f>S88*'Optimal Choice'!$B$9*AF88</f>
        <v>320</v>
      </c>
      <c r="AN88" s="14">
        <f>T88*'Optimal Choice'!$B$14*AG88</f>
        <v>810</v>
      </c>
      <c r="AO88" s="14">
        <f>U88*'Optimal Choice'!$B$19*AH88</f>
        <v>0</v>
      </c>
      <c r="AP88" s="14">
        <f>V88*'Optimal Choice'!$B$24*AI88</f>
        <v>0</v>
      </c>
      <c r="AS88" s="12">
        <f t="shared" si="9"/>
        <v>6</v>
      </c>
      <c r="AT88" s="14">
        <f t="shared" si="10"/>
        <v>1</v>
      </c>
      <c r="AU88" s="14">
        <f t="shared" si="11"/>
        <v>1</v>
      </c>
      <c r="AV88" s="14">
        <f t="shared" si="12"/>
        <v>1</v>
      </c>
      <c r="AW88" s="14">
        <f t="shared" si="13"/>
        <v>1</v>
      </c>
      <c r="AY88" s="11">
        <f t="shared" si="14"/>
        <v>0.005405155191</v>
      </c>
    </row>
    <row r="89" ht="15.75" customHeight="1">
      <c r="A89" s="15">
        <f t="shared" si="2"/>
        <v>0.7928246102</v>
      </c>
      <c r="B89" s="7">
        <f>(sum(AL89:AP89))*'Optimal Choice'!$B$28</f>
        <v>1761.26</v>
      </c>
      <c r="C89" s="11"/>
      <c r="D89" s="12"/>
      <c r="E89" s="12"/>
      <c r="F89" s="11"/>
      <c r="G89" s="11"/>
      <c r="H89" s="11"/>
      <c r="I89" s="11"/>
      <c r="J89" s="11"/>
      <c r="K89" s="11">
        <f>(X89/$B89)+(X89/('Optimal Choice'!$B$4*AS89))</f>
        <v>30.49423822</v>
      </c>
      <c r="L89" s="11">
        <f>(Y89/$B89)+(Y89/('Optimal Choice'!$B$9*AT89))</f>
        <v>32.65039084</v>
      </c>
      <c r="M89" s="11">
        <f>(Z89/$B89)+(Z89/('Optimal Choice'!$B$14*AU89))</f>
        <v>31.17327609</v>
      </c>
      <c r="N89" s="11">
        <f>(AA89/$B89)+(AA89/('Optimal Choice'!$B$19*AV89))</f>
        <v>32.66330423</v>
      </c>
      <c r="O89" s="11">
        <f>(AB89/$B89)+(AB89/('Optimal Choice'!$B$24*AW89))</f>
        <v>119.6909812</v>
      </c>
      <c r="R89" s="12">
        <f t="shared" ref="R89:V89" si="99">if(min($K88:$O88)=K88,R88+1,R88)</f>
        <v>63</v>
      </c>
      <c r="S89" s="12">
        <f t="shared" si="99"/>
        <v>16</v>
      </c>
      <c r="T89" s="12">
        <f t="shared" si="99"/>
        <v>9</v>
      </c>
      <c r="U89" s="12">
        <f t="shared" si="99"/>
        <v>0</v>
      </c>
      <c r="V89" s="12">
        <f t="shared" si="99"/>
        <v>0</v>
      </c>
      <c r="X89" s="13">
        <f> 'Optimal Choice'!$B$5*'Optimal Choice'!$B$6^(R89+1)</f>
        <v>303.8237804</v>
      </c>
      <c r="Y89" s="13">
        <f> 'Optimal Choice'!$B$10*'Optimal Choice'!$B$11^(S89+1)</f>
        <v>645.6758403</v>
      </c>
      <c r="Z89" s="13">
        <f> 'Optimal Choice'!$B$15*'Optimal Choice'!$B$16^(T89+1)</f>
        <v>2669.199346</v>
      </c>
      <c r="AA89" s="13">
        <f> 'Optimal Choice'!$B$20*'Optimal Choice'!$B$21^(U89+1)</f>
        <v>9763.2</v>
      </c>
      <c r="AB89" s="13">
        <f> 'Optimal Choice'!$B$25*'Optimal Choice'!$B$26^(V89+1)</f>
        <v>116121.6</v>
      </c>
      <c r="AE89" s="12">
        <f t="shared" si="4"/>
        <v>6</v>
      </c>
      <c r="AF89" s="14">
        <f t="shared" si="5"/>
        <v>1</v>
      </c>
      <c r="AG89" s="14">
        <f t="shared" si="6"/>
        <v>1</v>
      </c>
      <c r="AH89" s="14">
        <f t="shared" si="7"/>
        <v>1</v>
      </c>
      <c r="AI89" s="14">
        <f t="shared" si="8"/>
        <v>1</v>
      </c>
      <c r="AL89" s="14">
        <f>R89*'Optimal Choice'!$B$4*AE89</f>
        <v>631.26</v>
      </c>
      <c r="AM89" s="14">
        <f>S89*'Optimal Choice'!$B$9*AF89</f>
        <v>320</v>
      </c>
      <c r="AN89" s="14">
        <f>T89*'Optimal Choice'!$B$14*AG89</f>
        <v>810</v>
      </c>
      <c r="AO89" s="14">
        <f>U89*'Optimal Choice'!$B$19*AH89</f>
        <v>0</v>
      </c>
      <c r="AP89" s="14">
        <f>V89*'Optimal Choice'!$B$24*AI89</f>
        <v>0</v>
      </c>
      <c r="AS89" s="12">
        <f t="shared" si="9"/>
        <v>6</v>
      </c>
      <c r="AT89" s="14">
        <f t="shared" si="10"/>
        <v>1</v>
      </c>
      <c r="AU89" s="14">
        <f t="shared" si="11"/>
        <v>1</v>
      </c>
      <c r="AV89" s="14">
        <f t="shared" si="12"/>
        <v>1</v>
      </c>
      <c r="AW89" s="14">
        <f t="shared" si="13"/>
        <v>1</v>
      </c>
      <c r="AY89" s="11">
        <f t="shared" si="14"/>
        <v>0.002702346702</v>
      </c>
    </row>
    <row r="90" ht="15.75" customHeight="1">
      <c r="A90" s="15">
        <f t="shared" si="2"/>
        <v>0.795699671</v>
      </c>
      <c r="B90" s="7">
        <f>(sum(AL90:AP90))*'Optimal Choice'!$B$28</f>
        <v>1771.28</v>
      </c>
      <c r="C90" s="11"/>
      <c r="D90" s="12"/>
      <c r="E90" s="12"/>
      <c r="F90" s="11"/>
      <c r="G90" s="11"/>
      <c r="H90" s="11"/>
      <c r="I90" s="11"/>
      <c r="J90" s="11"/>
      <c r="K90" s="11">
        <f>(X90/$B90)+(X90/('Optimal Choice'!$B$4*AS90))</f>
        <v>32.62779074</v>
      </c>
      <c r="L90" s="11">
        <f>(Y90/$B90)+(Y90/('Optimal Choice'!$B$9*AT90))</f>
        <v>32.64831701</v>
      </c>
      <c r="M90" s="11">
        <f>(Z90/$B90)+(Z90/('Optimal Choice'!$B$14*AU90))</f>
        <v>31.16470298</v>
      </c>
      <c r="N90" s="11">
        <f>(AA90/$B90)+(AA90/('Optimal Choice'!$B$19*AV90))</f>
        <v>32.63194616</v>
      </c>
      <c r="O90" s="11">
        <f>(AB90/$B90)+(AB90/('Optimal Choice'!$B$24*AW90))</f>
        <v>119.3180145</v>
      </c>
      <c r="R90" s="12">
        <f t="shared" ref="R90:V90" si="100">if(min($K89:$O89)=K89,R89+1,R89)</f>
        <v>64</v>
      </c>
      <c r="S90" s="12">
        <f t="shared" si="100"/>
        <v>16</v>
      </c>
      <c r="T90" s="12">
        <f t="shared" si="100"/>
        <v>9</v>
      </c>
      <c r="U90" s="12">
        <f t="shared" si="100"/>
        <v>0</v>
      </c>
      <c r="V90" s="12">
        <f t="shared" si="100"/>
        <v>0</v>
      </c>
      <c r="X90" s="13">
        <f> 'Optimal Choice'!$B$5*'Optimal Choice'!$B$6^(R90+1)</f>
        <v>325.091445</v>
      </c>
      <c r="Y90" s="13">
        <f> 'Optimal Choice'!$B$10*'Optimal Choice'!$B$11^(S90+1)</f>
        <v>645.6758403</v>
      </c>
      <c r="Z90" s="13">
        <f> 'Optimal Choice'!$B$15*'Optimal Choice'!$B$16^(T90+1)</f>
        <v>2669.199346</v>
      </c>
      <c r="AA90" s="13">
        <f> 'Optimal Choice'!$B$20*'Optimal Choice'!$B$21^(U90+1)</f>
        <v>9763.2</v>
      </c>
      <c r="AB90" s="13">
        <f> 'Optimal Choice'!$B$25*'Optimal Choice'!$B$26^(V90+1)</f>
        <v>116121.6</v>
      </c>
      <c r="AE90" s="12">
        <f t="shared" si="4"/>
        <v>6</v>
      </c>
      <c r="AF90" s="14">
        <f t="shared" si="5"/>
        <v>1</v>
      </c>
      <c r="AG90" s="14">
        <f t="shared" si="6"/>
        <v>1</v>
      </c>
      <c r="AH90" s="14">
        <f t="shared" si="7"/>
        <v>1</v>
      </c>
      <c r="AI90" s="14">
        <f t="shared" si="8"/>
        <v>1</v>
      </c>
      <c r="AL90" s="14">
        <f>R90*'Optimal Choice'!$B$4*AE90</f>
        <v>641.28</v>
      </c>
      <c r="AM90" s="14">
        <f>S90*'Optimal Choice'!$B$9*AF90</f>
        <v>320</v>
      </c>
      <c r="AN90" s="14">
        <f>T90*'Optimal Choice'!$B$14*AG90</f>
        <v>810</v>
      </c>
      <c r="AO90" s="14">
        <f>U90*'Optimal Choice'!$B$19*AH90</f>
        <v>0</v>
      </c>
      <c r="AP90" s="14">
        <f>V90*'Optimal Choice'!$B$24*AI90</f>
        <v>0</v>
      </c>
      <c r="AS90" s="12">
        <f t="shared" si="9"/>
        <v>6</v>
      </c>
      <c r="AT90" s="14">
        <f t="shared" si="10"/>
        <v>1</v>
      </c>
      <c r="AU90" s="14">
        <f t="shared" si="11"/>
        <v>1</v>
      </c>
      <c r="AV90" s="14">
        <f t="shared" si="12"/>
        <v>1</v>
      </c>
      <c r="AW90" s="14">
        <f t="shared" si="13"/>
        <v>1</v>
      </c>
      <c r="AY90" s="11">
        <f t="shared" si="14"/>
        <v>0.00287506085</v>
      </c>
    </row>
    <row r="91" ht="15.75" customHeight="1">
      <c r="A91" s="15">
        <f t="shared" si="2"/>
        <v>0.8208152122</v>
      </c>
      <c r="B91" s="7">
        <f>(sum(AL91:AP91))*'Optimal Choice'!$B$28</f>
        <v>1861.28</v>
      </c>
      <c r="C91" s="11"/>
      <c r="D91" s="12"/>
      <c r="E91" s="12"/>
      <c r="F91" s="11"/>
      <c r="G91" s="11"/>
      <c r="H91" s="11"/>
      <c r="I91" s="11"/>
      <c r="J91" s="11"/>
      <c r="K91" s="11">
        <f>(X91/$B91)+(X91/('Optimal Choice'!$B$4*AS91))</f>
        <v>32.61891614</v>
      </c>
      <c r="L91" s="11">
        <f>(Y91/$B91)+(Y91/('Optimal Choice'!$B$9*AT91))</f>
        <v>32.63069084</v>
      </c>
      <c r="M91" s="11">
        <f>(Z91/$B91)+(Z91/('Optimal Choice'!$B$14*AU91))</f>
        <v>35.44469423</v>
      </c>
      <c r="N91" s="11">
        <f>(AA91/$B91)+(AA91/('Optimal Choice'!$B$19*AV91))</f>
        <v>32.3654225</v>
      </c>
      <c r="O91" s="11">
        <f>(AB91/$B91)+(AB91/('Optimal Choice'!$B$24*AW91))</f>
        <v>116.148034</v>
      </c>
      <c r="R91" s="12">
        <f t="shared" ref="R91:V91" si="101">if(min($K90:$O90)=K90,R90+1,R90)</f>
        <v>64</v>
      </c>
      <c r="S91" s="12">
        <f t="shared" si="101"/>
        <v>16</v>
      </c>
      <c r="T91" s="12">
        <f t="shared" si="101"/>
        <v>10</v>
      </c>
      <c r="U91" s="12">
        <f t="shared" si="101"/>
        <v>0</v>
      </c>
      <c r="V91" s="12">
        <f t="shared" si="101"/>
        <v>0</v>
      </c>
      <c r="X91" s="13">
        <f> 'Optimal Choice'!$B$5*'Optimal Choice'!$B$6^(R91+1)</f>
        <v>325.091445</v>
      </c>
      <c r="Y91" s="13">
        <f> 'Optimal Choice'!$B$10*'Optimal Choice'!$B$11^(S91+1)</f>
        <v>645.6758403</v>
      </c>
      <c r="Z91" s="13">
        <f> 'Optimal Choice'!$B$15*'Optimal Choice'!$B$16^(T91+1)</f>
        <v>3042.887255</v>
      </c>
      <c r="AA91" s="13">
        <f> 'Optimal Choice'!$B$20*'Optimal Choice'!$B$21^(U91+1)</f>
        <v>9763.2</v>
      </c>
      <c r="AB91" s="13">
        <f> 'Optimal Choice'!$B$25*'Optimal Choice'!$B$26^(V91+1)</f>
        <v>116121.6</v>
      </c>
      <c r="AE91" s="12">
        <f t="shared" si="4"/>
        <v>6</v>
      </c>
      <c r="AF91" s="14">
        <f t="shared" si="5"/>
        <v>1</v>
      </c>
      <c r="AG91" s="14">
        <f t="shared" si="6"/>
        <v>1</v>
      </c>
      <c r="AH91" s="14">
        <f t="shared" si="7"/>
        <v>1</v>
      </c>
      <c r="AI91" s="14">
        <f t="shared" si="8"/>
        <v>1</v>
      </c>
      <c r="AL91" s="14">
        <f>R91*'Optimal Choice'!$B$4*AE91</f>
        <v>641.28</v>
      </c>
      <c r="AM91" s="14">
        <f>S91*'Optimal Choice'!$B$9*AF91</f>
        <v>320</v>
      </c>
      <c r="AN91" s="14">
        <f>T91*'Optimal Choice'!$B$14*AG91</f>
        <v>900</v>
      </c>
      <c r="AO91" s="14">
        <f>U91*'Optimal Choice'!$B$19*AH91</f>
        <v>0</v>
      </c>
      <c r="AP91" s="14">
        <f>V91*'Optimal Choice'!$B$24*AI91</f>
        <v>0</v>
      </c>
      <c r="AS91" s="12">
        <f t="shared" si="9"/>
        <v>6</v>
      </c>
      <c r="AT91" s="14">
        <f t="shared" si="10"/>
        <v>1</v>
      </c>
      <c r="AU91" s="14">
        <f t="shared" si="11"/>
        <v>1</v>
      </c>
      <c r="AV91" s="14">
        <f t="shared" si="12"/>
        <v>1</v>
      </c>
      <c r="AW91" s="14">
        <f t="shared" si="13"/>
        <v>1</v>
      </c>
      <c r="AY91" s="11">
        <f t="shared" si="14"/>
        <v>0.02511554117</v>
      </c>
    </row>
    <row r="92" ht="15.75" customHeight="1">
      <c r="A92" s="15">
        <f t="shared" si="2"/>
        <v>0.9082389206</v>
      </c>
      <c r="B92" s="7">
        <f>(sum(AL92:AP92))*'Optimal Choice'!$B$28</f>
        <v>2221.28</v>
      </c>
      <c r="C92" s="11"/>
      <c r="D92" s="12"/>
      <c r="E92" s="12"/>
      <c r="F92" s="11"/>
      <c r="G92" s="11"/>
      <c r="H92" s="11"/>
      <c r="I92" s="11"/>
      <c r="J92" s="11"/>
      <c r="K92" s="11">
        <f>(X92/$B92)+(X92/('Optimal Choice'!$B$4*AS92))</f>
        <v>32.59060919</v>
      </c>
      <c r="L92" s="11">
        <f>(Y92/$B92)+(Y92/('Optimal Choice'!$B$9*AT92))</f>
        <v>32.57446939</v>
      </c>
      <c r="M92" s="11">
        <f>(Z92/$B92)+(Z92/('Optimal Choice'!$B$14*AU92))</f>
        <v>35.17973848</v>
      </c>
      <c r="N92" s="11">
        <f>(AA92/$B92)+(AA92/('Optimal Choice'!$B$19*AV92))</f>
        <v>35.61229308</v>
      </c>
      <c r="O92" s="11">
        <f>(AB92/$B92)+(AB92/('Optimal Choice'!$B$24*AW92))</f>
        <v>106.0368854</v>
      </c>
      <c r="R92" s="12">
        <f t="shared" ref="R92:V92" si="102">if(min($K91:$O91)=K91,R91+1,R91)</f>
        <v>64</v>
      </c>
      <c r="S92" s="12">
        <f t="shared" si="102"/>
        <v>16</v>
      </c>
      <c r="T92" s="12">
        <f t="shared" si="102"/>
        <v>10</v>
      </c>
      <c r="U92" s="12">
        <f t="shared" si="102"/>
        <v>1</v>
      </c>
      <c r="V92" s="12">
        <f t="shared" si="102"/>
        <v>0</v>
      </c>
      <c r="X92" s="13">
        <f> 'Optimal Choice'!$B$5*'Optimal Choice'!$B$6^(R92+1)</f>
        <v>325.091445</v>
      </c>
      <c r="Y92" s="13">
        <f> 'Optimal Choice'!$B$10*'Optimal Choice'!$B$11^(S92+1)</f>
        <v>645.6758403</v>
      </c>
      <c r="Z92" s="13">
        <f> 'Optimal Choice'!$B$15*'Optimal Choice'!$B$16^(T92+1)</f>
        <v>3042.887255</v>
      </c>
      <c r="AA92" s="13">
        <f> 'Optimal Choice'!$B$20*'Optimal Choice'!$B$21^(U92+1)</f>
        <v>11032.416</v>
      </c>
      <c r="AB92" s="13">
        <f> 'Optimal Choice'!$B$25*'Optimal Choice'!$B$26^(V92+1)</f>
        <v>116121.6</v>
      </c>
      <c r="AE92" s="12">
        <f t="shared" si="4"/>
        <v>6</v>
      </c>
      <c r="AF92" s="14">
        <f t="shared" si="5"/>
        <v>1</v>
      </c>
      <c r="AG92" s="14">
        <f t="shared" si="6"/>
        <v>1</v>
      </c>
      <c r="AH92" s="14">
        <f t="shared" si="7"/>
        <v>1</v>
      </c>
      <c r="AI92" s="14">
        <f t="shared" si="8"/>
        <v>1</v>
      </c>
      <c r="AL92" s="14">
        <f>R92*'Optimal Choice'!$B$4*AE92</f>
        <v>641.28</v>
      </c>
      <c r="AM92" s="14">
        <f>S92*'Optimal Choice'!$B$9*AF92</f>
        <v>320</v>
      </c>
      <c r="AN92" s="14">
        <f>T92*'Optimal Choice'!$B$14*AG92</f>
        <v>900</v>
      </c>
      <c r="AO92" s="14">
        <f>U92*'Optimal Choice'!$B$19*AH92</f>
        <v>360</v>
      </c>
      <c r="AP92" s="14">
        <f>V92*'Optimal Choice'!$B$24*AI92</f>
        <v>0</v>
      </c>
      <c r="AS92" s="12">
        <f t="shared" si="9"/>
        <v>6</v>
      </c>
      <c r="AT92" s="14">
        <f t="shared" si="10"/>
        <v>1</v>
      </c>
      <c r="AU92" s="14">
        <f t="shared" si="11"/>
        <v>1</v>
      </c>
      <c r="AV92" s="14">
        <f t="shared" si="12"/>
        <v>1</v>
      </c>
      <c r="AW92" s="14">
        <f t="shared" si="13"/>
        <v>1</v>
      </c>
      <c r="AY92" s="11">
        <f t="shared" si="14"/>
        <v>0.08742370842</v>
      </c>
    </row>
    <row r="93" ht="15.75" customHeight="1">
      <c r="A93" s="15">
        <f t="shared" si="2"/>
        <v>0.9130835435</v>
      </c>
      <c r="B93" s="7">
        <f>(sum(AL93:AP93))*'Optimal Choice'!$B$28</f>
        <v>2241.28</v>
      </c>
      <c r="C93" s="11"/>
      <c r="D93" s="12"/>
      <c r="E93" s="12"/>
      <c r="F93" s="11"/>
      <c r="G93" s="11"/>
      <c r="H93" s="11"/>
      <c r="I93" s="11"/>
      <c r="J93" s="11"/>
      <c r="K93" s="11">
        <f>(X93/$B93)+(X93/('Optimal Choice'!$B$4*AS93))</f>
        <v>32.58930321</v>
      </c>
      <c r="L93" s="11">
        <f>(Y93/$B93)+(Y93/('Optimal Choice'!$B$9*AT93))</f>
        <v>37.45765687</v>
      </c>
      <c r="M93" s="11">
        <f>(Z93/$B93)+(Z93/('Optimal Choice'!$B$14*AU93))</f>
        <v>35.16751439</v>
      </c>
      <c r="N93" s="11">
        <f>(AA93/$B93)+(AA93/('Optimal Choice'!$B$19*AV93))</f>
        <v>35.56797293</v>
      </c>
      <c r="O93" s="11">
        <f>(AB93/$B93)+(AB93/('Optimal Choice'!$B$24*AW93))</f>
        <v>105.5703941</v>
      </c>
      <c r="R93" s="12">
        <f t="shared" ref="R93:V93" si="103">if(min($K92:$O92)=K92,R92+1,R92)</f>
        <v>64</v>
      </c>
      <c r="S93" s="12">
        <f t="shared" si="103"/>
        <v>17</v>
      </c>
      <c r="T93" s="12">
        <f t="shared" si="103"/>
        <v>10</v>
      </c>
      <c r="U93" s="12">
        <f t="shared" si="103"/>
        <v>1</v>
      </c>
      <c r="V93" s="12">
        <f t="shared" si="103"/>
        <v>0</v>
      </c>
      <c r="X93" s="13">
        <f> 'Optimal Choice'!$B$5*'Optimal Choice'!$B$6^(R93+1)</f>
        <v>325.091445</v>
      </c>
      <c r="Y93" s="13">
        <f> 'Optimal Choice'!$B$10*'Optimal Choice'!$B$11^(S93+1)</f>
        <v>742.5272163</v>
      </c>
      <c r="Z93" s="13">
        <f> 'Optimal Choice'!$B$15*'Optimal Choice'!$B$16^(T93+1)</f>
        <v>3042.887255</v>
      </c>
      <c r="AA93" s="13">
        <f> 'Optimal Choice'!$B$20*'Optimal Choice'!$B$21^(U93+1)</f>
        <v>11032.416</v>
      </c>
      <c r="AB93" s="13">
        <f> 'Optimal Choice'!$B$25*'Optimal Choice'!$B$26^(V93+1)</f>
        <v>116121.6</v>
      </c>
      <c r="AE93" s="12">
        <f t="shared" si="4"/>
        <v>6</v>
      </c>
      <c r="AF93" s="14">
        <f t="shared" si="5"/>
        <v>1</v>
      </c>
      <c r="AG93" s="14">
        <f t="shared" si="6"/>
        <v>1</v>
      </c>
      <c r="AH93" s="14">
        <f t="shared" si="7"/>
        <v>1</v>
      </c>
      <c r="AI93" s="14">
        <f t="shared" si="8"/>
        <v>1</v>
      </c>
      <c r="AL93" s="14">
        <f>R93*'Optimal Choice'!$B$4*AE93</f>
        <v>641.28</v>
      </c>
      <c r="AM93" s="14">
        <f>S93*'Optimal Choice'!$B$9*AF93</f>
        <v>340</v>
      </c>
      <c r="AN93" s="14">
        <f>T93*'Optimal Choice'!$B$14*AG93</f>
        <v>900</v>
      </c>
      <c r="AO93" s="14">
        <f>U93*'Optimal Choice'!$B$19*AH93</f>
        <v>360</v>
      </c>
      <c r="AP93" s="14">
        <f>V93*'Optimal Choice'!$B$24*AI93</f>
        <v>0</v>
      </c>
      <c r="AS93" s="12">
        <f t="shared" si="9"/>
        <v>6</v>
      </c>
      <c r="AT93" s="14">
        <f t="shared" si="10"/>
        <v>1</v>
      </c>
      <c r="AU93" s="14">
        <f t="shared" si="11"/>
        <v>1</v>
      </c>
      <c r="AV93" s="14">
        <f t="shared" si="12"/>
        <v>1</v>
      </c>
      <c r="AW93" s="14">
        <f t="shared" si="13"/>
        <v>1</v>
      </c>
      <c r="AY93" s="11">
        <f t="shared" si="14"/>
        <v>0.004844622922</v>
      </c>
    </row>
    <row r="94" ht="15.75" customHeight="1">
      <c r="A94" s="15">
        <f t="shared" si="2"/>
        <v>0.9155009973</v>
      </c>
      <c r="B94" s="7">
        <f>(sum(AL94:AP94))*'Optimal Choice'!$B$28</f>
        <v>2251.3</v>
      </c>
      <c r="C94" s="11"/>
      <c r="D94" s="12"/>
      <c r="E94" s="12"/>
      <c r="F94" s="11"/>
      <c r="G94" s="11"/>
      <c r="H94" s="11"/>
      <c r="I94" s="11"/>
      <c r="J94" s="11"/>
      <c r="K94" s="11">
        <f>(X94/$B94)+(X94/('Optimal Choice'!$B$4*AS94))</f>
        <v>34.86986368</v>
      </c>
      <c r="L94" s="11">
        <f>(Y94/$B94)+(Y94/('Optimal Choice'!$B$9*AT94))</f>
        <v>37.45618235</v>
      </c>
      <c r="M94" s="11">
        <f>(Z94/$B94)+(Z94/('Optimal Choice'!$B$14*AU94))</f>
        <v>35.16147179</v>
      </c>
      <c r="N94" s="11">
        <f>(AA94/$B94)+(AA94/('Optimal Choice'!$B$19*AV94))</f>
        <v>35.54606462</v>
      </c>
      <c r="O94" s="11">
        <f>(AB94/$B94)+(AB94/('Optimal Choice'!$B$24*AW94))</f>
        <v>105.3397983</v>
      </c>
      <c r="R94" s="12">
        <f t="shared" ref="R94:V94" si="104">if(min($K93:$O93)=K93,R93+1,R93)</f>
        <v>65</v>
      </c>
      <c r="S94" s="12">
        <f t="shared" si="104"/>
        <v>17</v>
      </c>
      <c r="T94" s="12">
        <f t="shared" si="104"/>
        <v>10</v>
      </c>
      <c r="U94" s="12">
        <f t="shared" si="104"/>
        <v>1</v>
      </c>
      <c r="V94" s="12">
        <f t="shared" si="104"/>
        <v>0</v>
      </c>
      <c r="X94" s="13">
        <f> 'Optimal Choice'!$B$5*'Optimal Choice'!$B$6^(R94+1)</f>
        <v>347.8478461</v>
      </c>
      <c r="Y94" s="13">
        <f> 'Optimal Choice'!$B$10*'Optimal Choice'!$B$11^(S94+1)</f>
        <v>742.5272163</v>
      </c>
      <c r="Z94" s="13">
        <f> 'Optimal Choice'!$B$15*'Optimal Choice'!$B$16^(T94+1)</f>
        <v>3042.887255</v>
      </c>
      <c r="AA94" s="13">
        <f> 'Optimal Choice'!$B$20*'Optimal Choice'!$B$21^(U94+1)</f>
        <v>11032.416</v>
      </c>
      <c r="AB94" s="13">
        <f> 'Optimal Choice'!$B$25*'Optimal Choice'!$B$26^(V94+1)</f>
        <v>116121.6</v>
      </c>
      <c r="AE94" s="12">
        <f t="shared" si="4"/>
        <v>6</v>
      </c>
      <c r="AF94" s="14">
        <f t="shared" si="5"/>
        <v>1</v>
      </c>
      <c r="AG94" s="14">
        <f t="shared" si="6"/>
        <v>1</v>
      </c>
      <c r="AH94" s="14">
        <f t="shared" si="7"/>
        <v>1</v>
      </c>
      <c r="AI94" s="14">
        <f t="shared" si="8"/>
        <v>1</v>
      </c>
      <c r="AL94" s="14">
        <f>R94*'Optimal Choice'!$B$4*AE94</f>
        <v>651.3</v>
      </c>
      <c r="AM94" s="14">
        <f>S94*'Optimal Choice'!$B$9*AF94</f>
        <v>340</v>
      </c>
      <c r="AN94" s="14">
        <f>T94*'Optimal Choice'!$B$14*AG94</f>
        <v>900</v>
      </c>
      <c r="AO94" s="14">
        <f>U94*'Optimal Choice'!$B$19*AH94</f>
        <v>360</v>
      </c>
      <c r="AP94" s="14">
        <f>V94*'Optimal Choice'!$B$24*AI94</f>
        <v>0</v>
      </c>
      <c r="AS94" s="12">
        <f t="shared" si="9"/>
        <v>6</v>
      </c>
      <c r="AT94" s="14">
        <f t="shared" si="10"/>
        <v>1</v>
      </c>
      <c r="AU94" s="14">
        <f t="shared" si="11"/>
        <v>1</v>
      </c>
      <c r="AV94" s="14">
        <f t="shared" si="12"/>
        <v>1</v>
      </c>
      <c r="AW94" s="14">
        <f t="shared" si="13"/>
        <v>1</v>
      </c>
      <c r="AY94" s="11">
        <f t="shared" si="14"/>
        <v>0.002417453754</v>
      </c>
    </row>
    <row r="95" ht="15.75" customHeight="1">
      <c r="A95" s="15">
        <f t="shared" si="2"/>
        <v>0.9180761601</v>
      </c>
      <c r="B95" s="7">
        <f>(sum(AL95:AP95))*'Optimal Choice'!$B$28</f>
        <v>2261.32</v>
      </c>
      <c r="C95" s="11"/>
      <c r="D95" s="12"/>
      <c r="E95" s="12"/>
      <c r="F95" s="11"/>
      <c r="G95" s="11"/>
      <c r="H95" s="11"/>
      <c r="I95" s="11"/>
      <c r="J95" s="11"/>
      <c r="K95" s="11">
        <f>(X95/$B95)+(X95/('Optimal Choice'!$B$4*AS95))</f>
        <v>37.31002157</v>
      </c>
      <c r="L95" s="11">
        <f>(Y95/$B95)+(Y95/('Optimal Choice'!$B$9*AT95))</f>
        <v>37.4547209</v>
      </c>
      <c r="M95" s="11">
        <f>(Z95/$B95)+(Z95/('Optimal Choice'!$B$14*AU95))</f>
        <v>35.15548273</v>
      </c>
      <c r="N95" s="11">
        <f>(AA95/$B95)+(AA95/('Optimal Choice'!$B$19*AV95))</f>
        <v>35.52435046</v>
      </c>
      <c r="O95" s="11">
        <f>(AB95/$B95)+(AB95/('Optimal Choice'!$B$24*AW95))</f>
        <v>105.1112462</v>
      </c>
      <c r="R95" s="12">
        <f t="shared" ref="R95:V95" si="105">if(min($K94:$O94)=K94,R94+1,R94)</f>
        <v>66</v>
      </c>
      <c r="S95" s="12">
        <f t="shared" si="105"/>
        <v>17</v>
      </c>
      <c r="T95" s="12">
        <f t="shared" si="105"/>
        <v>10</v>
      </c>
      <c r="U95" s="12">
        <f t="shared" si="105"/>
        <v>1</v>
      </c>
      <c r="V95" s="12">
        <f t="shared" si="105"/>
        <v>0</v>
      </c>
      <c r="X95" s="13">
        <f> 'Optimal Choice'!$B$5*'Optimal Choice'!$B$6^(R95+1)</f>
        <v>372.1971954</v>
      </c>
      <c r="Y95" s="13">
        <f> 'Optimal Choice'!$B$10*'Optimal Choice'!$B$11^(S95+1)</f>
        <v>742.5272163</v>
      </c>
      <c r="Z95" s="13">
        <f> 'Optimal Choice'!$B$15*'Optimal Choice'!$B$16^(T95+1)</f>
        <v>3042.887255</v>
      </c>
      <c r="AA95" s="13">
        <f> 'Optimal Choice'!$B$20*'Optimal Choice'!$B$21^(U95+1)</f>
        <v>11032.416</v>
      </c>
      <c r="AB95" s="13">
        <f> 'Optimal Choice'!$B$25*'Optimal Choice'!$B$26^(V95+1)</f>
        <v>116121.6</v>
      </c>
      <c r="AE95" s="12">
        <f t="shared" si="4"/>
        <v>6</v>
      </c>
      <c r="AF95" s="14">
        <f t="shared" si="5"/>
        <v>1</v>
      </c>
      <c r="AG95" s="14">
        <f t="shared" si="6"/>
        <v>1</v>
      </c>
      <c r="AH95" s="14">
        <f t="shared" si="7"/>
        <v>1</v>
      </c>
      <c r="AI95" s="14">
        <f t="shared" si="8"/>
        <v>1</v>
      </c>
      <c r="AL95" s="14">
        <f>R95*'Optimal Choice'!$B$4*AE95</f>
        <v>661.32</v>
      </c>
      <c r="AM95" s="14">
        <f>S95*'Optimal Choice'!$B$9*AF95</f>
        <v>340</v>
      </c>
      <c r="AN95" s="14">
        <f>T95*'Optimal Choice'!$B$14*AG95</f>
        <v>900</v>
      </c>
      <c r="AO95" s="14">
        <f>U95*'Optimal Choice'!$B$19*AH95</f>
        <v>360</v>
      </c>
      <c r="AP95" s="14">
        <f>V95*'Optimal Choice'!$B$24*AI95</f>
        <v>0</v>
      </c>
      <c r="AS95" s="12">
        <f t="shared" si="9"/>
        <v>6</v>
      </c>
      <c r="AT95" s="14">
        <f t="shared" si="10"/>
        <v>1</v>
      </c>
      <c r="AU95" s="14">
        <f t="shared" si="11"/>
        <v>1</v>
      </c>
      <c r="AV95" s="14">
        <f t="shared" si="12"/>
        <v>1</v>
      </c>
      <c r="AW95" s="14">
        <f t="shared" si="13"/>
        <v>1</v>
      </c>
      <c r="AY95" s="11">
        <f t="shared" si="14"/>
        <v>0.00257516284</v>
      </c>
    </row>
    <row r="96" ht="15.75" customHeight="1">
      <c r="A96" s="15">
        <f t="shared" si="2"/>
        <v>0.9405032326</v>
      </c>
      <c r="B96" s="7">
        <f>(sum(AL96:AP96))*'Optimal Choice'!$B$28</f>
        <v>2351.32</v>
      </c>
      <c r="C96" s="11"/>
      <c r="D96" s="12"/>
      <c r="E96" s="12"/>
      <c r="F96" s="11"/>
      <c r="G96" s="11"/>
      <c r="H96" s="11"/>
      <c r="I96" s="11"/>
      <c r="J96" s="11"/>
      <c r="K96" s="11">
        <f>(X96/$B96)+(X96/('Optimal Choice'!$B$4*AS96))</f>
        <v>37.30372155</v>
      </c>
      <c r="L96" s="11">
        <f>(Y96/$B96)+(Y96/('Optimal Choice'!$B$9*AT96))</f>
        <v>37.44215246</v>
      </c>
      <c r="M96" s="11">
        <f>(Z96/$B96)+(Z96/('Optimal Choice'!$B$14*AU96))</f>
        <v>40.01853391</v>
      </c>
      <c r="N96" s="11">
        <f>(AA96/$B96)+(AA96/('Optimal Choice'!$B$19*AV96))</f>
        <v>35.33760959</v>
      </c>
      <c r="O96" s="11">
        <f>(AB96/$B96)+(AB96/('Optimal Choice'!$B$24*AW96))</f>
        <v>103.1457068</v>
      </c>
      <c r="R96" s="12">
        <f t="shared" ref="R96:V96" si="106">if(min($K95:$O95)=K95,R95+1,R95)</f>
        <v>66</v>
      </c>
      <c r="S96" s="12">
        <f t="shared" si="106"/>
        <v>17</v>
      </c>
      <c r="T96" s="12">
        <f t="shared" si="106"/>
        <v>11</v>
      </c>
      <c r="U96" s="12">
        <f t="shared" si="106"/>
        <v>1</v>
      </c>
      <c r="V96" s="12">
        <f t="shared" si="106"/>
        <v>0</v>
      </c>
      <c r="X96" s="13">
        <f> 'Optimal Choice'!$B$5*'Optimal Choice'!$B$6^(R96+1)</f>
        <v>372.1971954</v>
      </c>
      <c r="Y96" s="13">
        <f> 'Optimal Choice'!$B$10*'Optimal Choice'!$B$11^(S96+1)</f>
        <v>742.5272163</v>
      </c>
      <c r="Z96" s="13">
        <f> 'Optimal Choice'!$B$15*'Optimal Choice'!$B$16^(T96+1)</f>
        <v>3468.89147</v>
      </c>
      <c r="AA96" s="13">
        <f> 'Optimal Choice'!$B$20*'Optimal Choice'!$B$21^(U96+1)</f>
        <v>11032.416</v>
      </c>
      <c r="AB96" s="13">
        <f> 'Optimal Choice'!$B$25*'Optimal Choice'!$B$26^(V96+1)</f>
        <v>116121.6</v>
      </c>
      <c r="AE96" s="12">
        <f t="shared" si="4"/>
        <v>6</v>
      </c>
      <c r="AF96" s="14">
        <f t="shared" si="5"/>
        <v>1</v>
      </c>
      <c r="AG96" s="14">
        <f t="shared" si="6"/>
        <v>1</v>
      </c>
      <c r="AH96" s="14">
        <f t="shared" si="7"/>
        <v>1</v>
      </c>
      <c r="AI96" s="14">
        <f t="shared" si="8"/>
        <v>1</v>
      </c>
      <c r="AL96" s="14">
        <f>R96*'Optimal Choice'!$B$4*AE96</f>
        <v>661.32</v>
      </c>
      <c r="AM96" s="14">
        <f>S96*'Optimal Choice'!$B$9*AF96</f>
        <v>340</v>
      </c>
      <c r="AN96" s="14">
        <f>T96*'Optimal Choice'!$B$14*AG96</f>
        <v>990</v>
      </c>
      <c r="AO96" s="14">
        <f>U96*'Optimal Choice'!$B$19*AH96</f>
        <v>360</v>
      </c>
      <c r="AP96" s="14">
        <f>V96*'Optimal Choice'!$B$24*AI96</f>
        <v>0</v>
      </c>
      <c r="AS96" s="12">
        <f t="shared" si="9"/>
        <v>6</v>
      </c>
      <c r="AT96" s="14">
        <f t="shared" si="10"/>
        <v>1</v>
      </c>
      <c r="AU96" s="14">
        <f t="shared" si="11"/>
        <v>1</v>
      </c>
      <c r="AV96" s="14">
        <f t="shared" si="12"/>
        <v>1</v>
      </c>
      <c r="AW96" s="14">
        <f t="shared" si="13"/>
        <v>1</v>
      </c>
      <c r="AY96" s="11">
        <f t="shared" si="14"/>
        <v>0.0224270725</v>
      </c>
    </row>
    <row r="97" ht="15.75" customHeight="1">
      <c r="A97" s="15">
        <f t="shared" si="2"/>
        <v>1.018703393</v>
      </c>
      <c r="B97" s="7">
        <f>(sum(AL97:AP97))*'Optimal Choice'!$B$28</f>
        <v>2711.32</v>
      </c>
      <c r="C97" s="11"/>
      <c r="D97" s="12"/>
      <c r="E97" s="12"/>
      <c r="F97" s="11"/>
      <c r="G97" s="11"/>
      <c r="H97" s="11"/>
      <c r="I97" s="11"/>
      <c r="J97" s="11"/>
      <c r="K97" s="11">
        <f>(X97/$B97)+(X97/('Optimal Choice'!$B$4*AS97))</f>
        <v>37.28270395</v>
      </c>
      <c r="L97" s="11">
        <f>(Y97/$B97)+(Y97/('Optimal Choice'!$B$9*AT97))</f>
        <v>37.4002227</v>
      </c>
      <c r="M97" s="11">
        <f>(Z97/$B97)+(Z97/('Optimal Choice'!$B$14*AU97))</f>
        <v>39.82264913</v>
      </c>
      <c r="N97" s="11">
        <f>(AA97/$B97)+(AA97/('Optimal Choice'!$B$19*AV97))</f>
        <v>39.22752089</v>
      </c>
      <c r="O97" s="11">
        <f>(AB97/$B97)+(AB97/('Optimal Choice'!$B$24*AW97))</f>
        <v>96.58843781</v>
      </c>
      <c r="R97" s="12">
        <f t="shared" ref="R97:V97" si="107">if(min($K96:$O96)=K96,R96+1,R96)</f>
        <v>66</v>
      </c>
      <c r="S97" s="12">
        <f t="shared" si="107"/>
        <v>17</v>
      </c>
      <c r="T97" s="12">
        <f t="shared" si="107"/>
        <v>11</v>
      </c>
      <c r="U97" s="12">
        <f t="shared" si="107"/>
        <v>2</v>
      </c>
      <c r="V97" s="12">
        <f t="shared" si="107"/>
        <v>0</v>
      </c>
      <c r="X97" s="13">
        <f> 'Optimal Choice'!$B$5*'Optimal Choice'!$B$6^(R97+1)</f>
        <v>372.1971954</v>
      </c>
      <c r="Y97" s="13">
        <f> 'Optimal Choice'!$B$10*'Optimal Choice'!$B$11^(S97+1)</f>
        <v>742.5272163</v>
      </c>
      <c r="Z97" s="13">
        <f> 'Optimal Choice'!$B$15*'Optimal Choice'!$B$16^(T97+1)</f>
        <v>3468.89147</v>
      </c>
      <c r="AA97" s="13">
        <f> 'Optimal Choice'!$B$20*'Optimal Choice'!$B$21^(U97+1)</f>
        <v>12466.63008</v>
      </c>
      <c r="AB97" s="13">
        <f> 'Optimal Choice'!$B$25*'Optimal Choice'!$B$26^(V97+1)</f>
        <v>116121.6</v>
      </c>
      <c r="AE97" s="12">
        <f t="shared" si="4"/>
        <v>6</v>
      </c>
      <c r="AF97" s="14">
        <f t="shared" si="5"/>
        <v>1</v>
      </c>
      <c r="AG97" s="14">
        <f t="shared" si="6"/>
        <v>1</v>
      </c>
      <c r="AH97" s="14">
        <f t="shared" si="7"/>
        <v>1</v>
      </c>
      <c r="AI97" s="14">
        <f t="shared" si="8"/>
        <v>1</v>
      </c>
      <c r="AL97" s="14">
        <f>R97*'Optimal Choice'!$B$4*AE97</f>
        <v>661.32</v>
      </c>
      <c r="AM97" s="14">
        <f>S97*'Optimal Choice'!$B$9*AF97</f>
        <v>340</v>
      </c>
      <c r="AN97" s="14">
        <f>T97*'Optimal Choice'!$B$14*AG97</f>
        <v>990</v>
      </c>
      <c r="AO97" s="14">
        <f>U97*'Optimal Choice'!$B$19*AH97</f>
        <v>720</v>
      </c>
      <c r="AP97" s="14">
        <f>V97*'Optimal Choice'!$B$24*AI97</f>
        <v>0</v>
      </c>
      <c r="AS97" s="12">
        <f t="shared" si="9"/>
        <v>6</v>
      </c>
      <c r="AT97" s="14">
        <f t="shared" si="10"/>
        <v>1</v>
      </c>
      <c r="AU97" s="14">
        <f t="shared" si="11"/>
        <v>1</v>
      </c>
      <c r="AV97" s="14">
        <f t="shared" si="12"/>
        <v>1</v>
      </c>
      <c r="AW97" s="14">
        <f t="shared" si="13"/>
        <v>1</v>
      </c>
      <c r="AY97" s="11">
        <f t="shared" si="14"/>
        <v>0.07820015991</v>
      </c>
    </row>
    <row r="98" ht="15.75" customHeight="1">
      <c r="A98" s="15">
        <f t="shared" si="2"/>
        <v>1.020991314</v>
      </c>
      <c r="B98" s="7">
        <f>(sum(AL98:AP98))*'Optimal Choice'!$B$28</f>
        <v>2721.34</v>
      </c>
      <c r="C98" s="11"/>
      <c r="D98" s="12"/>
      <c r="E98" s="12"/>
      <c r="F98" s="11"/>
      <c r="G98" s="11"/>
      <c r="H98" s="11"/>
      <c r="I98" s="11"/>
      <c r="J98" s="11"/>
      <c r="K98" s="11">
        <f>(X98/$B98)+(X98/('Optimal Choice'!$B$4*AS98))</f>
        <v>39.8919524</v>
      </c>
      <c r="L98" s="11">
        <f>(Y98/$B98)+(Y98/('Optimal Choice'!$B$9*AT98))</f>
        <v>37.39921434</v>
      </c>
      <c r="M98" s="11">
        <f>(Z98/$B98)+(Z98/('Optimal Choice'!$B$14*AU98))</f>
        <v>39.81793833</v>
      </c>
      <c r="N98" s="11">
        <f>(AA98/$B98)+(AA98/('Optimal Choice'!$B$19*AV98))</f>
        <v>39.21059104</v>
      </c>
      <c r="O98" s="11">
        <f>(AB98/$B98)+(AB98/('Optimal Choice'!$B$24*AW98))</f>
        <v>96.43074309</v>
      </c>
      <c r="R98" s="12">
        <f t="shared" ref="R98:V98" si="108">if(min($K97:$O97)=K97,R97+1,R97)</f>
        <v>67</v>
      </c>
      <c r="S98" s="12">
        <f t="shared" si="108"/>
        <v>17</v>
      </c>
      <c r="T98" s="12">
        <f t="shared" si="108"/>
        <v>11</v>
      </c>
      <c r="U98" s="12">
        <f t="shared" si="108"/>
        <v>2</v>
      </c>
      <c r="V98" s="12">
        <f t="shared" si="108"/>
        <v>0</v>
      </c>
      <c r="X98" s="13">
        <f> 'Optimal Choice'!$B$5*'Optimal Choice'!$B$6^(R98+1)</f>
        <v>398.250999</v>
      </c>
      <c r="Y98" s="13">
        <f> 'Optimal Choice'!$B$10*'Optimal Choice'!$B$11^(S98+1)</f>
        <v>742.5272163</v>
      </c>
      <c r="Z98" s="13">
        <f> 'Optimal Choice'!$B$15*'Optimal Choice'!$B$16^(T98+1)</f>
        <v>3468.89147</v>
      </c>
      <c r="AA98" s="13">
        <f> 'Optimal Choice'!$B$20*'Optimal Choice'!$B$21^(U98+1)</f>
        <v>12466.63008</v>
      </c>
      <c r="AB98" s="13">
        <f> 'Optimal Choice'!$B$25*'Optimal Choice'!$B$26^(V98+1)</f>
        <v>116121.6</v>
      </c>
      <c r="AE98" s="12">
        <f t="shared" si="4"/>
        <v>6</v>
      </c>
      <c r="AF98" s="14">
        <f t="shared" si="5"/>
        <v>1</v>
      </c>
      <c r="AG98" s="14">
        <f t="shared" si="6"/>
        <v>1</v>
      </c>
      <c r="AH98" s="14">
        <f t="shared" si="7"/>
        <v>1</v>
      </c>
      <c r="AI98" s="14">
        <f t="shared" si="8"/>
        <v>1</v>
      </c>
      <c r="AL98" s="14">
        <f>R98*'Optimal Choice'!$B$4*AE98</f>
        <v>671.34</v>
      </c>
      <c r="AM98" s="14">
        <f>S98*'Optimal Choice'!$B$9*AF98</f>
        <v>340</v>
      </c>
      <c r="AN98" s="14">
        <f>T98*'Optimal Choice'!$B$14*AG98</f>
        <v>990</v>
      </c>
      <c r="AO98" s="14">
        <f>U98*'Optimal Choice'!$B$19*AH98</f>
        <v>720</v>
      </c>
      <c r="AP98" s="14">
        <f>V98*'Optimal Choice'!$B$24*AI98</f>
        <v>0</v>
      </c>
      <c r="AS98" s="12">
        <f t="shared" si="9"/>
        <v>6</v>
      </c>
      <c r="AT98" s="14">
        <f t="shared" si="10"/>
        <v>1</v>
      </c>
      <c r="AU98" s="14">
        <f t="shared" si="11"/>
        <v>1</v>
      </c>
      <c r="AV98" s="14">
        <f t="shared" si="12"/>
        <v>1</v>
      </c>
      <c r="AW98" s="14">
        <f t="shared" si="13"/>
        <v>1</v>
      </c>
      <c r="AY98" s="11">
        <f t="shared" si="14"/>
        <v>0.00228792123</v>
      </c>
    </row>
    <row r="99" ht="15.75" customHeight="1">
      <c r="A99" s="15">
        <f t="shared" si="2"/>
        <v>1.025538873</v>
      </c>
      <c r="B99" s="7">
        <f>(sum(AL99:AP99))*'Optimal Choice'!$B$28</f>
        <v>2741.34</v>
      </c>
      <c r="C99" s="11"/>
      <c r="D99" s="12"/>
      <c r="E99" s="12"/>
      <c r="F99" s="11"/>
      <c r="G99" s="11"/>
      <c r="H99" s="11"/>
      <c r="I99" s="11"/>
      <c r="J99" s="11"/>
      <c r="K99" s="11">
        <f>(X99/$B99)+(X99/('Optimal Choice'!$B$4*AS99))</f>
        <v>39.89088472</v>
      </c>
      <c r="L99" s="11">
        <f>(Y99/$B99)+(Y99/('Optimal Choice'!$B$9*AT99))</f>
        <v>43.00680724</v>
      </c>
      <c r="M99" s="11">
        <f>(Z99/$B99)+(Z99/('Optimal Choice'!$B$14*AU99))</f>
        <v>39.8086385</v>
      </c>
      <c r="N99" s="11">
        <f>(AA99/$B99)+(AA99/('Optimal Choice'!$B$19*AV99))</f>
        <v>39.17716896</v>
      </c>
      <c r="O99" s="11">
        <f>(AB99/$B99)+(AB99/('Optimal Choice'!$B$24*AW99))</f>
        <v>96.11943006</v>
      </c>
      <c r="R99" s="12">
        <f t="shared" ref="R99:V99" si="109">if(min($K98:$O98)=K98,R98+1,R98)</f>
        <v>67</v>
      </c>
      <c r="S99" s="12">
        <f t="shared" si="109"/>
        <v>18</v>
      </c>
      <c r="T99" s="12">
        <f t="shared" si="109"/>
        <v>11</v>
      </c>
      <c r="U99" s="12">
        <f t="shared" si="109"/>
        <v>2</v>
      </c>
      <c r="V99" s="12">
        <f t="shared" si="109"/>
        <v>0</v>
      </c>
      <c r="X99" s="13">
        <f> 'Optimal Choice'!$B$5*'Optimal Choice'!$B$6^(R99+1)</f>
        <v>398.250999</v>
      </c>
      <c r="Y99" s="13">
        <f> 'Optimal Choice'!$B$10*'Optimal Choice'!$B$11^(S99+1)</f>
        <v>853.9062988</v>
      </c>
      <c r="Z99" s="13">
        <f> 'Optimal Choice'!$B$15*'Optimal Choice'!$B$16^(T99+1)</f>
        <v>3468.89147</v>
      </c>
      <c r="AA99" s="13">
        <f> 'Optimal Choice'!$B$20*'Optimal Choice'!$B$21^(U99+1)</f>
        <v>12466.63008</v>
      </c>
      <c r="AB99" s="13">
        <f> 'Optimal Choice'!$B$25*'Optimal Choice'!$B$26^(V99+1)</f>
        <v>116121.6</v>
      </c>
      <c r="AE99" s="12">
        <f t="shared" si="4"/>
        <v>6</v>
      </c>
      <c r="AF99" s="14">
        <f t="shared" si="5"/>
        <v>1</v>
      </c>
      <c r="AG99" s="14">
        <f t="shared" si="6"/>
        <v>1</v>
      </c>
      <c r="AH99" s="14">
        <f t="shared" si="7"/>
        <v>1</v>
      </c>
      <c r="AI99" s="14">
        <f t="shared" si="8"/>
        <v>1</v>
      </c>
      <c r="AL99" s="14">
        <f>R99*'Optimal Choice'!$B$4*AE99</f>
        <v>671.34</v>
      </c>
      <c r="AM99" s="14">
        <f>S99*'Optimal Choice'!$B$9*AF99</f>
        <v>360</v>
      </c>
      <c r="AN99" s="14">
        <f>T99*'Optimal Choice'!$B$14*AG99</f>
        <v>990</v>
      </c>
      <c r="AO99" s="14">
        <f>U99*'Optimal Choice'!$B$19*AH99</f>
        <v>720</v>
      </c>
      <c r="AP99" s="14">
        <f>V99*'Optimal Choice'!$B$24*AI99</f>
        <v>0</v>
      </c>
      <c r="AS99" s="12">
        <f t="shared" si="9"/>
        <v>6</v>
      </c>
      <c r="AT99" s="14">
        <f t="shared" si="10"/>
        <v>1</v>
      </c>
      <c r="AU99" s="14">
        <f t="shared" si="11"/>
        <v>1</v>
      </c>
      <c r="AV99" s="14">
        <f t="shared" si="12"/>
        <v>1</v>
      </c>
      <c r="AW99" s="14">
        <f t="shared" si="13"/>
        <v>1</v>
      </c>
      <c r="AY99" s="11">
        <f t="shared" si="14"/>
        <v>0.004547558778</v>
      </c>
    </row>
    <row r="100" ht="15.75" customHeight="1">
      <c r="A100" s="15">
        <f t="shared" si="2"/>
        <v>1.101332889</v>
      </c>
      <c r="B100" s="7">
        <f>(sum(AL100:AP100))*'Optimal Choice'!$B$28</f>
        <v>3101.34</v>
      </c>
      <c r="C100" s="11"/>
      <c r="D100" s="12"/>
      <c r="E100" s="12"/>
      <c r="F100" s="11"/>
      <c r="G100" s="11"/>
      <c r="H100" s="11"/>
      <c r="I100" s="11"/>
      <c r="J100" s="11"/>
      <c r="K100" s="11">
        <f>(X100/$B100)+(X100/('Optimal Choice'!$B$4*AS100))</f>
        <v>39.87402124</v>
      </c>
      <c r="L100" s="11">
        <f>(Y100/$B100)+(Y100/('Optimal Choice'!$B$9*AT100))</f>
        <v>42.97064957</v>
      </c>
      <c r="M100" s="11">
        <f>(Z100/$B100)+(Z100/('Optimal Choice'!$B$14*AU100))</f>
        <v>39.66175232</v>
      </c>
      <c r="N100" s="11">
        <f>(AA100/$B100)+(AA100/('Optimal Choice'!$B$19*AV100))</f>
        <v>43.67369092</v>
      </c>
      <c r="O100" s="11">
        <f>(AB100/$B100)+(AB100/('Optimal Choice'!$B$24*AW100))</f>
        <v>91.20239587</v>
      </c>
      <c r="R100" s="12">
        <f t="shared" ref="R100:V100" si="110">if(min($K99:$O99)=K99,R99+1,R99)</f>
        <v>67</v>
      </c>
      <c r="S100" s="12">
        <f t="shared" si="110"/>
        <v>18</v>
      </c>
      <c r="T100" s="12">
        <f t="shared" si="110"/>
        <v>11</v>
      </c>
      <c r="U100" s="12">
        <f t="shared" si="110"/>
        <v>3</v>
      </c>
      <c r="V100" s="12">
        <f t="shared" si="110"/>
        <v>0</v>
      </c>
      <c r="X100" s="13">
        <f> 'Optimal Choice'!$B$5*'Optimal Choice'!$B$6^(R100+1)</f>
        <v>398.250999</v>
      </c>
      <c r="Y100" s="13">
        <f> 'Optimal Choice'!$B$10*'Optimal Choice'!$B$11^(S100+1)</f>
        <v>853.9062988</v>
      </c>
      <c r="Z100" s="13">
        <f> 'Optimal Choice'!$B$15*'Optimal Choice'!$B$16^(T100+1)</f>
        <v>3468.89147</v>
      </c>
      <c r="AA100" s="13">
        <f> 'Optimal Choice'!$B$20*'Optimal Choice'!$B$21^(U100+1)</f>
        <v>14087.29199</v>
      </c>
      <c r="AB100" s="13">
        <f> 'Optimal Choice'!$B$25*'Optimal Choice'!$B$26^(V100+1)</f>
        <v>116121.6</v>
      </c>
      <c r="AE100" s="12">
        <f t="shared" si="4"/>
        <v>6</v>
      </c>
      <c r="AF100" s="14">
        <f t="shared" si="5"/>
        <v>1</v>
      </c>
      <c r="AG100" s="14">
        <f t="shared" si="6"/>
        <v>1</v>
      </c>
      <c r="AH100" s="14">
        <f t="shared" si="7"/>
        <v>1</v>
      </c>
      <c r="AI100" s="14">
        <f t="shared" si="8"/>
        <v>1</v>
      </c>
      <c r="AL100" s="14">
        <f>R100*'Optimal Choice'!$B$4*AE100</f>
        <v>671.34</v>
      </c>
      <c r="AM100" s="14">
        <f>S100*'Optimal Choice'!$B$9*AF100</f>
        <v>360</v>
      </c>
      <c r="AN100" s="14">
        <f>T100*'Optimal Choice'!$B$14*AG100</f>
        <v>990</v>
      </c>
      <c r="AO100" s="14">
        <f>U100*'Optimal Choice'!$B$19*AH100</f>
        <v>1080</v>
      </c>
      <c r="AP100" s="14">
        <f>V100*'Optimal Choice'!$B$24*AI100</f>
        <v>0</v>
      </c>
      <c r="AS100" s="12">
        <f t="shared" si="9"/>
        <v>6</v>
      </c>
      <c r="AT100" s="14">
        <f t="shared" si="10"/>
        <v>1</v>
      </c>
      <c r="AU100" s="14">
        <f t="shared" si="11"/>
        <v>1</v>
      </c>
      <c r="AV100" s="14">
        <f t="shared" si="12"/>
        <v>1</v>
      </c>
      <c r="AW100" s="14">
        <f t="shared" si="13"/>
        <v>1</v>
      </c>
      <c r="AY100" s="11">
        <f t="shared" si="14"/>
        <v>0.07579401607</v>
      </c>
    </row>
    <row r="101" ht="15.75" customHeight="1">
      <c r="A101" s="15">
        <f t="shared" si="2"/>
        <v>1.119974785</v>
      </c>
      <c r="B101" s="7">
        <f>(sum(AL101:AP101))*'Optimal Choice'!$B$28</f>
        <v>3191.34</v>
      </c>
      <c r="C101" s="11"/>
      <c r="D101" s="12"/>
      <c r="E101" s="12"/>
      <c r="F101" s="11"/>
      <c r="G101" s="11"/>
      <c r="H101" s="11"/>
      <c r="I101" s="11"/>
      <c r="J101" s="11"/>
      <c r="K101" s="11">
        <f>(X101/$B101)+(X101/('Optimal Choice'!$B$4*AS101))</f>
        <v>39.87039984</v>
      </c>
      <c r="L101" s="11">
        <f>(Y101/$B101)+(Y101/('Optimal Choice'!$B$9*AT101))</f>
        <v>42.96288477</v>
      </c>
      <c r="M101" s="11">
        <f>(Z101/$B101)+(Z101/('Optimal Choice'!$B$14*AU101))</f>
        <v>45.17843798</v>
      </c>
      <c r="N101" s="11">
        <f>(AA101/$B101)+(AA101/('Optimal Choice'!$B$19*AV101))</f>
        <v>43.54559138</v>
      </c>
      <c r="O101" s="11">
        <f>(AB101/$B101)+(AB101/('Optimal Choice'!$B$24*AW101))</f>
        <v>90.14647089</v>
      </c>
      <c r="R101" s="12">
        <f t="shared" ref="R101:V101" si="111">if(min($K100:$O100)=K100,R100+1,R100)</f>
        <v>67</v>
      </c>
      <c r="S101" s="12">
        <f t="shared" si="111"/>
        <v>18</v>
      </c>
      <c r="T101" s="12">
        <f t="shared" si="111"/>
        <v>12</v>
      </c>
      <c r="U101" s="12">
        <f t="shared" si="111"/>
        <v>3</v>
      </c>
      <c r="V101" s="12">
        <f t="shared" si="111"/>
        <v>0</v>
      </c>
      <c r="X101" s="13">
        <f> 'Optimal Choice'!$B$5*'Optimal Choice'!$B$6^(R101+1)</f>
        <v>398.250999</v>
      </c>
      <c r="Y101" s="13">
        <f> 'Optimal Choice'!$B$10*'Optimal Choice'!$B$11^(S101+1)</f>
        <v>853.9062988</v>
      </c>
      <c r="Z101" s="13">
        <f> 'Optimal Choice'!$B$15*'Optimal Choice'!$B$16^(T101+1)</f>
        <v>3954.536276</v>
      </c>
      <c r="AA101" s="13">
        <f> 'Optimal Choice'!$B$20*'Optimal Choice'!$B$21^(U101+1)</f>
        <v>14087.29199</v>
      </c>
      <c r="AB101" s="13">
        <f> 'Optimal Choice'!$B$25*'Optimal Choice'!$B$26^(V101+1)</f>
        <v>116121.6</v>
      </c>
      <c r="AE101" s="12">
        <f t="shared" si="4"/>
        <v>6</v>
      </c>
      <c r="AF101" s="14">
        <f t="shared" si="5"/>
        <v>1</v>
      </c>
      <c r="AG101" s="14">
        <f t="shared" si="6"/>
        <v>1</v>
      </c>
      <c r="AH101" s="14">
        <f t="shared" si="7"/>
        <v>1</v>
      </c>
      <c r="AI101" s="14">
        <f t="shared" si="8"/>
        <v>1</v>
      </c>
      <c r="AL101" s="14">
        <f>R101*'Optimal Choice'!$B$4*AE101</f>
        <v>671.34</v>
      </c>
      <c r="AM101" s="14">
        <f>S101*'Optimal Choice'!$B$9*AF101</f>
        <v>360</v>
      </c>
      <c r="AN101" s="14">
        <f>T101*'Optimal Choice'!$B$14*AG101</f>
        <v>1080</v>
      </c>
      <c r="AO101" s="14">
        <f>U101*'Optimal Choice'!$B$19*AH101</f>
        <v>1080</v>
      </c>
      <c r="AP101" s="14">
        <f>V101*'Optimal Choice'!$B$24*AI101</f>
        <v>0</v>
      </c>
      <c r="AS101" s="12">
        <f t="shared" si="9"/>
        <v>6</v>
      </c>
      <c r="AT101" s="14">
        <f t="shared" si="10"/>
        <v>1</v>
      </c>
      <c r="AU101" s="14">
        <f t="shared" si="11"/>
        <v>1</v>
      </c>
      <c r="AV101" s="14">
        <f t="shared" si="12"/>
        <v>1</v>
      </c>
      <c r="AW101" s="14">
        <f t="shared" si="13"/>
        <v>1</v>
      </c>
      <c r="AY101" s="11">
        <f t="shared" si="14"/>
        <v>0.01864189603</v>
      </c>
    </row>
    <row r="102" ht="15.75" customHeight="1">
      <c r="A102" s="15">
        <f t="shared" si="2"/>
        <v>1.122054637</v>
      </c>
      <c r="B102" s="7">
        <f>(sum(AL102:AP102))*'Optimal Choice'!$B$28</f>
        <v>3201.36</v>
      </c>
      <c r="C102" s="11"/>
      <c r="D102" s="12"/>
      <c r="E102" s="12"/>
      <c r="F102" s="11"/>
      <c r="G102" s="11"/>
      <c r="H102" s="11"/>
      <c r="I102" s="11"/>
      <c r="J102" s="11"/>
      <c r="K102" s="11">
        <f>(X102/$B102)+(X102/('Optimal Choice'!$B$4*AS102))</f>
        <v>42.6609099</v>
      </c>
      <c r="L102" s="11">
        <f>(Y102/$B102)+(Y102/('Optimal Choice'!$B$9*AT102))</f>
        <v>42.9620473</v>
      </c>
      <c r="M102" s="11">
        <f>(Z102/$B102)+(Z102/('Optimal Choice'!$B$14*AU102))</f>
        <v>45.17455955</v>
      </c>
      <c r="N102" s="11">
        <f>(AA102/$B102)+(AA102/('Optimal Choice'!$B$19*AV102))</f>
        <v>43.53177521</v>
      </c>
      <c r="O102" s="11">
        <f>(AB102/$B102)+(AB102/('Optimal Choice'!$B$24*AW102))</f>
        <v>90.03258415</v>
      </c>
      <c r="R102" s="12">
        <f t="shared" ref="R102:V102" si="112">if(min($K101:$O101)=K101,R101+1,R101)</f>
        <v>68</v>
      </c>
      <c r="S102" s="12">
        <f t="shared" si="112"/>
        <v>18</v>
      </c>
      <c r="T102" s="12">
        <f t="shared" si="112"/>
        <v>12</v>
      </c>
      <c r="U102" s="12">
        <f t="shared" si="112"/>
        <v>3</v>
      </c>
      <c r="V102" s="12">
        <f t="shared" si="112"/>
        <v>0</v>
      </c>
      <c r="X102" s="13">
        <f> 'Optimal Choice'!$B$5*'Optimal Choice'!$B$6^(R102+1)</f>
        <v>426.128569</v>
      </c>
      <c r="Y102" s="13">
        <f> 'Optimal Choice'!$B$10*'Optimal Choice'!$B$11^(S102+1)</f>
        <v>853.9062988</v>
      </c>
      <c r="Z102" s="13">
        <f> 'Optimal Choice'!$B$15*'Optimal Choice'!$B$16^(T102+1)</f>
        <v>3954.536276</v>
      </c>
      <c r="AA102" s="13">
        <f> 'Optimal Choice'!$B$20*'Optimal Choice'!$B$21^(U102+1)</f>
        <v>14087.29199</v>
      </c>
      <c r="AB102" s="13">
        <f> 'Optimal Choice'!$B$25*'Optimal Choice'!$B$26^(V102+1)</f>
        <v>116121.6</v>
      </c>
      <c r="AE102" s="12">
        <f t="shared" si="4"/>
        <v>6</v>
      </c>
      <c r="AF102" s="14">
        <f t="shared" si="5"/>
        <v>1</v>
      </c>
      <c r="AG102" s="14">
        <f t="shared" si="6"/>
        <v>1</v>
      </c>
      <c r="AH102" s="14">
        <f t="shared" si="7"/>
        <v>1</v>
      </c>
      <c r="AI102" s="14">
        <f t="shared" si="8"/>
        <v>1</v>
      </c>
      <c r="AL102" s="14">
        <f>R102*'Optimal Choice'!$B$4*AE102</f>
        <v>681.36</v>
      </c>
      <c r="AM102" s="14">
        <f>S102*'Optimal Choice'!$B$9*AF102</f>
        <v>360</v>
      </c>
      <c r="AN102" s="14">
        <f>T102*'Optimal Choice'!$B$14*AG102</f>
        <v>1080</v>
      </c>
      <c r="AO102" s="14">
        <f>U102*'Optimal Choice'!$B$19*AH102</f>
        <v>1080</v>
      </c>
      <c r="AP102" s="14">
        <f>V102*'Optimal Choice'!$B$24*AI102</f>
        <v>0</v>
      </c>
      <c r="AS102" s="12">
        <f t="shared" si="9"/>
        <v>6</v>
      </c>
      <c r="AT102" s="14">
        <f t="shared" si="10"/>
        <v>1</v>
      </c>
      <c r="AU102" s="14">
        <f t="shared" si="11"/>
        <v>1</v>
      </c>
      <c r="AV102" s="14">
        <f t="shared" si="12"/>
        <v>1</v>
      </c>
      <c r="AW102" s="14">
        <f t="shared" si="13"/>
        <v>1</v>
      </c>
      <c r="AY102" s="11">
        <f t="shared" si="14"/>
        <v>0.002079852554</v>
      </c>
    </row>
    <row r="103" ht="15.75" customHeight="1">
      <c r="A103" s="15">
        <f t="shared" si="2"/>
        <v>1.124273114</v>
      </c>
      <c r="B103" s="7">
        <f>(sum(AL103:AP103))*'Optimal Choice'!$B$28</f>
        <v>3211.38</v>
      </c>
      <c r="C103" s="11"/>
      <c r="D103" s="12"/>
      <c r="E103" s="12"/>
      <c r="F103" s="11"/>
      <c r="G103" s="11"/>
      <c r="H103" s="11"/>
      <c r="I103" s="11"/>
      <c r="J103" s="11"/>
      <c r="K103" s="11">
        <f>(X103/$B103)+(X103/('Optimal Choice'!$B$4*AS103))</f>
        <v>45.6467292</v>
      </c>
      <c r="L103" s="11">
        <f>(Y103/$B103)+(Y103/('Optimal Choice'!$B$9*AT103))</f>
        <v>42.96121505</v>
      </c>
      <c r="M103" s="11">
        <f>(Z103/$B103)+(Z103/('Optimal Choice'!$B$14*AU103))</f>
        <v>45.17070533</v>
      </c>
      <c r="N103" s="11">
        <f>(AA103/$B103)+(AA103/('Optimal Choice'!$B$19*AV103))</f>
        <v>43.51804526</v>
      </c>
      <c r="O103" s="11">
        <f>(AB103/$B103)+(AB103/('Optimal Choice'!$B$24*AW103))</f>
        <v>89.9194081</v>
      </c>
      <c r="R103" s="12">
        <f t="shared" ref="R103:V103" si="113">if(min($K102:$O102)=K102,R102+1,R102)</f>
        <v>69</v>
      </c>
      <c r="S103" s="12">
        <f t="shared" si="113"/>
        <v>18</v>
      </c>
      <c r="T103" s="12">
        <f t="shared" si="113"/>
        <v>12</v>
      </c>
      <c r="U103" s="12">
        <f t="shared" si="113"/>
        <v>3</v>
      </c>
      <c r="V103" s="12">
        <f t="shared" si="113"/>
        <v>0</v>
      </c>
      <c r="X103" s="13">
        <f> 'Optimal Choice'!$B$5*'Optimal Choice'!$B$6^(R103+1)</f>
        <v>455.9575688</v>
      </c>
      <c r="Y103" s="13">
        <f> 'Optimal Choice'!$B$10*'Optimal Choice'!$B$11^(S103+1)</f>
        <v>853.9062988</v>
      </c>
      <c r="Z103" s="13">
        <f> 'Optimal Choice'!$B$15*'Optimal Choice'!$B$16^(T103+1)</f>
        <v>3954.536276</v>
      </c>
      <c r="AA103" s="13">
        <f> 'Optimal Choice'!$B$20*'Optimal Choice'!$B$21^(U103+1)</f>
        <v>14087.29199</v>
      </c>
      <c r="AB103" s="13">
        <f> 'Optimal Choice'!$B$25*'Optimal Choice'!$B$26^(V103+1)</f>
        <v>116121.6</v>
      </c>
      <c r="AE103" s="12">
        <f t="shared" si="4"/>
        <v>6</v>
      </c>
      <c r="AF103" s="14">
        <f t="shared" si="5"/>
        <v>1</v>
      </c>
      <c r="AG103" s="14">
        <f t="shared" si="6"/>
        <v>1</v>
      </c>
      <c r="AH103" s="14">
        <f t="shared" si="7"/>
        <v>1</v>
      </c>
      <c r="AI103" s="14">
        <f t="shared" si="8"/>
        <v>1</v>
      </c>
      <c r="AL103" s="14">
        <f>R103*'Optimal Choice'!$B$4*AE103</f>
        <v>691.38</v>
      </c>
      <c r="AM103" s="14">
        <f>S103*'Optimal Choice'!$B$9*AF103</f>
        <v>360</v>
      </c>
      <c r="AN103" s="14">
        <f>T103*'Optimal Choice'!$B$14*AG103</f>
        <v>1080</v>
      </c>
      <c r="AO103" s="14">
        <f>U103*'Optimal Choice'!$B$19*AH103</f>
        <v>1080</v>
      </c>
      <c r="AP103" s="14">
        <f>V103*'Optimal Choice'!$B$24*AI103</f>
        <v>0</v>
      </c>
      <c r="AS103" s="12">
        <f t="shared" si="9"/>
        <v>6</v>
      </c>
      <c r="AT103" s="14">
        <f t="shared" si="10"/>
        <v>1</v>
      </c>
      <c r="AU103" s="14">
        <f t="shared" si="11"/>
        <v>1</v>
      </c>
      <c r="AV103" s="14">
        <f t="shared" si="12"/>
        <v>1</v>
      </c>
      <c r="AW103" s="14">
        <f t="shared" si="13"/>
        <v>1</v>
      </c>
      <c r="AY103" s="11">
        <f t="shared" si="14"/>
        <v>0.002218476777</v>
      </c>
    </row>
    <row r="104" ht="15.75" customHeight="1">
      <c r="A104" s="15">
        <f t="shared" si="2"/>
        <v>1.128704782</v>
      </c>
      <c r="B104" s="7">
        <f>(sum(AL104:AP104))*'Optimal Choice'!$B$28</f>
        <v>3231.38</v>
      </c>
      <c r="C104" s="11"/>
      <c r="D104" s="12"/>
      <c r="E104" s="12"/>
      <c r="F104" s="11"/>
      <c r="G104" s="11"/>
      <c r="H104" s="11"/>
      <c r="I104" s="11"/>
      <c r="J104" s="11"/>
      <c r="K104" s="11">
        <f>(X104/$B104)+(X104/('Optimal Choice'!$B$4*AS104))</f>
        <v>45.64585043</v>
      </c>
      <c r="L104" s="11">
        <f>(Y104/$B104)+(Y104/('Optimal Choice'!$B$9*AT104))</f>
        <v>49.40350471</v>
      </c>
      <c r="M104" s="11">
        <f>(Z104/$B104)+(Z104/('Optimal Choice'!$B$14*AU104))</f>
        <v>45.16308373</v>
      </c>
      <c r="N104" s="11">
        <f>(AA104/$B104)+(AA104/('Optimal Choice'!$B$19*AV104))</f>
        <v>43.49089476</v>
      </c>
      <c r="O104" s="11">
        <f>(AB104/$B104)+(AB104/('Optimal Choice'!$B$24*AW104))</f>
        <v>89.69560646</v>
      </c>
      <c r="R104" s="12">
        <f t="shared" ref="R104:V104" si="114">if(min($K103:$O103)=K103,R103+1,R103)</f>
        <v>69</v>
      </c>
      <c r="S104" s="12">
        <f t="shared" si="114"/>
        <v>19</v>
      </c>
      <c r="T104" s="12">
        <f t="shared" si="114"/>
        <v>12</v>
      </c>
      <c r="U104" s="12">
        <f t="shared" si="114"/>
        <v>3</v>
      </c>
      <c r="V104" s="12">
        <f t="shared" si="114"/>
        <v>0</v>
      </c>
      <c r="X104" s="13">
        <f> 'Optimal Choice'!$B$5*'Optimal Choice'!$B$6^(R104+1)</f>
        <v>455.9575688</v>
      </c>
      <c r="Y104" s="13">
        <f> 'Optimal Choice'!$B$10*'Optimal Choice'!$B$11^(S104+1)</f>
        <v>981.9922436</v>
      </c>
      <c r="Z104" s="13">
        <f> 'Optimal Choice'!$B$15*'Optimal Choice'!$B$16^(T104+1)</f>
        <v>3954.536276</v>
      </c>
      <c r="AA104" s="13">
        <f> 'Optimal Choice'!$B$20*'Optimal Choice'!$B$21^(U104+1)</f>
        <v>14087.29199</v>
      </c>
      <c r="AB104" s="13">
        <f> 'Optimal Choice'!$B$25*'Optimal Choice'!$B$26^(V104+1)</f>
        <v>116121.6</v>
      </c>
      <c r="AE104" s="12">
        <f t="shared" si="4"/>
        <v>6</v>
      </c>
      <c r="AF104" s="14">
        <f t="shared" si="5"/>
        <v>1</v>
      </c>
      <c r="AG104" s="14">
        <f t="shared" si="6"/>
        <v>1</v>
      </c>
      <c r="AH104" s="14">
        <f t="shared" si="7"/>
        <v>1</v>
      </c>
      <c r="AI104" s="14">
        <f t="shared" si="8"/>
        <v>1</v>
      </c>
      <c r="AL104" s="14">
        <f>R104*'Optimal Choice'!$B$4*AE104</f>
        <v>691.38</v>
      </c>
      <c r="AM104" s="14">
        <f>S104*'Optimal Choice'!$B$9*AF104</f>
        <v>380</v>
      </c>
      <c r="AN104" s="14">
        <f>T104*'Optimal Choice'!$B$14*AG104</f>
        <v>1080</v>
      </c>
      <c r="AO104" s="14">
        <f>U104*'Optimal Choice'!$B$19*AH104</f>
        <v>1080</v>
      </c>
      <c r="AP104" s="14">
        <f>V104*'Optimal Choice'!$B$24*AI104</f>
        <v>0</v>
      </c>
      <c r="AS104" s="12">
        <f t="shared" si="9"/>
        <v>6</v>
      </c>
      <c r="AT104" s="14">
        <f t="shared" si="10"/>
        <v>1</v>
      </c>
      <c r="AU104" s="14">
        <f t="shared" si="11"/>
        <v>1</v>
      </c>
      <c r="AV104" s="14">
        <f t="shared" si="12"/>
        <v>1</v>
      </c>
      <c r="AW104" s="14">
        <f t="shared" si="13"/>
        <v>1</v>
      </c>
      <c r="AY104" s="11">
        <f t="shared" si="14"/>
        <v>0.004431668518</v>
      </c>
    </row>
    <row r="105" ht="15.75" customHeight="1">
      <c r="A105" s="15">
        <f t="shared" si="2"/>
        <v>1.201363585</v>
      </c>
      <c r="B105" s="7">
        <f>(sum(AL105:AP105))*'Optimal Choice'!$B$28</f>
        <v>3591.38</v>
      </c>
      <c r="C105" s="11"/>
      <c r="D105" s="12"/>
      <c r="E105" s="12"/>
      <c r="F105" s="11"/>
      <c r="G105" s="11"/>
      <c r="H105" s="11"/>
      <c r="I105" s="11"/>
      <c r="J105" s="11"/>
      <c r="K105" s="11">
        <f>(X105/$B105)+(X105/('Optimal Choice'!$B$4*AS105))</f>
        <v>45.63170626</v>
      </c>
      <c r="L105" s="11">
        <f>(Y105/$B105)+(Y105/('Optimal Choice'!$B$9*AT105))</f>
        <v>49.37304252</v>
      </c>
      <c r="M105" s="11">
        <f>(Z105/$B105)+(Z105/('Optimal Choice'!$B$14*AU105))</f>
        <v>45.04041082</v>
      </c>
      <c r="N105" s="11">
        <f>(AA105/$B105)+(AA105/('Optimal Choice'!$B$19*AV105))</f>
        <v>48.65090201</v>
      </c>
      <c r="O105" s="11">
        <f>(AB105/$B105)+(AB105/('Optimal Choice'!$B$24*AW105))</f>
        <v>86.09342058</v>
      </c>
      <c r="R105" s="12">
        <f t="shared" ref="R105:V105" si="115">if(min($K104:$O104)=K104,R104+1,R104)</f>
        <v>69</v>
      </c>
      <c r="S105" s="12">
        <f t="shared" si="115"/>
        <v>19</v>
      </c>
      <c r="T105" s="12">
        <f t="shared" si="115"/>
        <v>12</v>
      </c>
      <c r="U105" s="12">
        <f t="shared" si="115"/>
        <v>4</v>
      </c>
      <c r="V105" s="12">
        <f t="shared" si="115"/>
        <v>0</v>
      </c>
      <c r="X105" s="13">
        <f> 'Optimal Choice'!$B$5*'Optimal Choice'!$B$6^(R105+1)</f>
        <v>455.9575688</v>
      </c>
      <c r="Y105" s="13">
        <f> 'Optimal Choice'!$B$10*'Optimal Choice'!$B$11^(S105+1)</f>
        <v>981.9922436</v>
      </c>
      <c r="Z105" s="13">
        <f> 'Optimal Choice'!$B$15*'Optimal Choice'!$B$16^(T105+1)</f>
        <v>3954.536276</v>
      </c>
      <c r="AA105" s="13">
        <f> 'Optimal Choice'!$B$20*'Optimal Choice'!$B$21^(U105+1)</f>
        <v>15918.63995</v>
      </c>
      <c r="AB105" s="13">
        <f> 'Optimal Choice'!$B$25*'Optimal Choice'!$B$26^(V105+1)</f>
        <v>116121.6</v>
      </c>
      <c r="AE105" s="12">
        <f t="shared" si="4"/>
        <v>6</v>
      </c>
      <c r="AF105" s="14">
        <f t="shared" si="5"/>
        <v>1</v>
      </c>
      <c r="AG105" s="14">
        <f t="shared" si="6"/>
        <v>1</v>
      </c>
      <c r="AH105" s="14">
        <f t="shared" si="7"/>
        <v>1</v>
      </c>
      <c r="AI105" s="14">
        <f t="shared" si="8"/>
        <v>1</v>
      </c>
      <c r="AL105" s="14">
        <f>R105*'Optimal Choice'!$B$4*AE105</f>
        <v>691.38</v>
      </c>
      <c r="AM105" s="14">
        <f>S105*'Optimal Choice'!$B$9*AF105</f>
        <v>380</v>
      </c>
      <c r="AN105" s="14">
        <f>T105*'Optimal Choice'!$B$14*AG105</f>
        <v>1080</v>
      </c>
      <c r="AO105" s="14">
        <f>U105*'Optimal Choice'!$B$19*AH105</f>
        <v>1440</v>
      </c>
      <c r="AP105" s="14">
        <f>V105*'Optimal Choice'!$B$24*AI105</f>
        <v>0</v>
      </c>
      <c r="AS105" s="12">
        <f t="shared" si="9"/>
        <v>6</v>
      </c>
      <c r="AT105" s="14">
        <f t="shared" si="10"/>
        <v>1</v>
      </c>
      <c r="AU105" s="14">
        <f t="shared" si="11"/>
        <v>1</v>
      </c>
      <c r="AV105" s="14">
        <f t="shared" si="12"/>
        <v>1</v>
      </c>
      <c r="AW105" s="14">
        <f t="shared" si="13"/>
        <v>1</v>
      </c>
      <c r="AY105" s="11">
        <f t="shared" si="14"/>
        <v>0.07265880207</v>
      </c>
    </row>
    <row r="106" ht="15.75" customHeight="1">
      <c r="A106" s="15">
        <f t="shared" si="2"/>
        <v>1.219715566</v>
      </c>
      <c r="B106" s="7">
        <f>(sum(AL106:AP106))*'Optimal Choice'!$B$28</f>
        <v>3681.38</v>
      </c>
      <c r="C106" s="11"/>
      <c r="D106" s="12"/>
      <c r="E106" s="12"/>
      <c r="F106" s="11"/>
      <c r="G106" s="11"/>
      <c r="H106" s="11"/>
      <c r="I106" s="11"/>
      <c r="J106" s="11"/>
      <c r="K106" s="11">
        <f>(X106/$B106)+(X106/('Optimal Choice'!$B$4*AS106))</f>
        <v>45.62860245</v>
      </c>
      <c r="L106" s="11">
        <f>(Y106/$B106)+(Y106/('Optimal Choice'!$B$9*AT106))</f>
        <v>49.36635787</v>
      </c>
      <c r="M106" s="11">
        <f>(Z106/$B106)+(Z106/('Optimal Choice'!$B$14*AU106))</f>
        <v>51.31538017</v>
      </c>
      <c r="N106" s="11">
        <f>(AA106/$B106)+(AA106/('Optimal Choice'!$B$19*AV106))</f>
        <v>48.54254014</v>
      </c>
      <c r="O106" s="11">
        <f>(AB106/$B106)+(AB106/('Optimal Choice'!$B$24*AW106))</f>
        <v>85.302954</v>
      </c>
      <c r="R106" s="12">
        <f t="shared" ref="R106:V106" si="116">if(min($K105:$O105)=K105,R105+1,R105)</f>
        <v>69</v>
      </c>
      <c r="S106" s="12">
        <f t="shared" si="116"/>
        <v>19</v>
      </c>
      <c r="T106" s="12">
        <f t="shared" si="116"/>
        <v>13</v>
      </c>
      <c r="U106" s="12">
        <f t="shared" si="116"/>
        <v>4</v>
      </c>
      <c r="V106" s="12">
        <f t="shared" si="116"/>
        <v>0</v>
      </c>
      <c r="X106" s="13">
        <f> 'Optimal Choice'!$B$5*'Optimal Choice'!$B$6^(R106+1)</f>
        <v>455.9575688</v>
      </c>
      <c r="Y106" s="13">
        <f> 'Optimal Choice'!$B$10*'Optimal Choice'!$B$11^(S106+1)</f>
        <v>981.9922436</v>
      </c>
      <c r="Z106" s="13">
        <f> 'Optimal Choice'!$B$15*'Optimal Choice'!$B$16^(T106+1)</f>
        <v>4508.171355</v>
      </c>
      <c r="AA106" s="13">
        <f> 'Optimal Choice'!$B$20*'Optimal Choice'!$B$21^(U106+1)</f>
        <v>15918.63995</v>
      </c>
      <c r="AB106" s="13">
        <f> 'Optimal Choice'!$B$25*'Optimal Choice'!$B$26^(V106+1)</f>
        <v>116121.6</v>
      </c>
      <c r="AE106" s="12">
        <f t="shared" si="4"/>
        <v>6</v>
      </c>
      <c r="AF106" s="14">
        <f t="shared" si="5"/>
        <v>1</v>
      </c>
      <c r="AG106" s="14">
        <f t="shared" si="6"/>
        <v>1</v>
      </c>
      <c r="AH106" s="14">
        <f t="shared" si="7"/>
        <v>1</v>
      </c>
      <c r="AI106" s="14">
        <f t="shared" si="8"/>
        <v>1</v>
      </c>
      <c r="AL106" s="14">
        <f>R106*'Optimal Choice'!$B$4*AE106</f>
        <v>691.38</v>
      </c>
      <c r="AM106" s="14">
        <f>S106*'Optimal Choice'!$B$9*AF106</f>
        <v>380</v>
      </c>
      <c r="AN106" s="14">
        <f>T106*'Optimal Choice'!$B$14*AG106</f>
        <v>1170</v>
      </c>
      <c r="AO106" s="14">
        <f>U106*'Optimal Choice'!$B$19*AH106</f>
        <v>1440</v>
      </c>
      <c r="AP106" s="14">
        <f>V106*'Optimal Choice'!$B$24*AI106</f>
        <v>0</v>
      </c>
      <c r="AS106" s="12">
        <f t="shared" si="9"/>
        <v>6</v>
      </c>
      <c r="AT106" s="14">
        <f t="shared" si="10"/>
        <v>1</v>
      </c>
      <c r="AU106" s="14">
        <f t="shared" si="11"/>
        <v>1</v>
      </c>
      <c r="AV106" s="14">
        <f t="shared" si="12"/>
        <v>1</v>
      </c>
      <c r="AW106" s="14">
        <f t="shared" si="13"/>
        <v>1</v>
      </c>
      <c r="AY106" s="11">
        <f t="shared" si="14"/>
        <v>0.01835198111</v>
      </c>
    </row>
    <row r="107" ht="15.75" customHeight="1">
      <c r="A107" s="15">
        <f t="shared" si="2"/>
        <v>1.221779817</v>
      </c>
      <c r="B107" s="7">
        <f>(sum(AL107:AP107))*'Optimal Choice'!$B$28</f>
        <v>3691.4</v>
      </c>
      <c r="C107" s="11"/>
      <c r="D107" s="12"/>
      <c r="E107" s="12"/>
      <c r="F107" s="11"/>
      <c r="G107" s="11"/>
      <c r="H107" s="11"/>
      <c r="I107" s="11"/>
      <c r="J107" s="11"/>
      <c r="K107" s="11">
        <f>(X107/$B107)+(X107/('Optimal Choice'!$B$4*AS107))</f>
        <v>48.8222449</v>
      </c>
      <c r="L107" s="11">
        <f>(Y107/$B107)+(Y107/('Optimal Choice'!$B$9*AT107))</f>
        <v>49.36563381</v>
      </c>
      <c r="M107" s="11">
        <f>(Z107/$B107)+(Z107/('Optimal Choice'!$B$14*AU107))</f>
        <v>51.31205613</v>
      </c>
      <c r="N107" s="11">
        <f>(AA107/$B107)+(AA107/('Optimal Choice'!$B$19*AV107))</f>
        <v>48.53080274</v>
      </c>
      <c r="O107" s="11">
        <f>(AB107/$B107)+(AB107/('Optimal Choice'!$B$24*AW107))</f>
        <v>85.21733326</v>
      </c>
      <c r="R107" s="12">
        <f t="shared" ref="R107:V107" si="117">if(min($K106:$O106)=K106,R106+1,R106)</f>
        <v>70</v>
      </c>
      <c r="S107" s="12">
        <f t="shared" si="117"/>
        <v>19</v>
      </c>
      <c r="T107" s="12">
        <f t="shared" si="117"/>
        <v>13</v>
      </c>
      <c r="U107" s="12">
        <f t="shared" si="117"/>
        <v>4</v>
      </c>
      <c r="V107" s="12">
        <f t="shared" si="117"/>
        <v>0</v>
      </c>
      <c r="X107" s="13">
        <f> 'Optimal Choice'!$B$5*'Optimal Choice'!$B$6^(R107+1)</f>
        <v>487.8745986</v>
      </c>
      <c r="Y107" s="13">
        <f> 'Optimal Choice'!$B$10*'Optimal Choice'!$B$11^(S107+1)</f>
        <v>981.9922436</v>
      </c>
      <c r="Z107" s="13">
        <f> 'Optimal Choice'!$B$15*'Optimal Choice'!$B$16^(T107+1)</f>
        <v>4508.171355</v>
      </c>
      <c r="AA107" s="13">
        <f> 'Optimal Choice'!$B$20*'Optimal Choice'!$B$21^(U107+1)</f>
        <v>15918.63995</v>
      </c>
      <c r="AB107" s="13">
        <f> 'Optimal Choice'!$B$25*'Optimal Choice'!$B$26^(V107+1)</f>
        <v>116121.6</v>
      </c>
      <c r="AE107" s="12">
        <f t="shared" si="4"/>
        <v>6</v>
      </c>
      <c r="AF107" s="14">
        <f t="shared" si="5"/>
        <v>1</v>
      </c>
      <c r="AG107" s="14">
        <f t="shared" si="6"/>
        <v>1</v>
      </c>
      <c r="AH107" s="14">
        <f t="shared" si="7"/>
        <v>1</v>
      </c>
      <c r="AI107" s="14">
        <f t="shared" si="8"/>
        <v>1</v>
      </c>
      <c r="AL107" s="14">
        <f>R107*'Optimal Choice'!$B$4*AE107</f>
        <v>701.4</v>
      </c>
      <c r="AM107" s="14">
        <f>S107*'Optimal Choice'!$B$9*AF107</f>
        <v>380</v>
      </c>
      <c r="AN107" s="14">
        <f>T107*'Optimal Choice'!$B$14*AG107</f>
        <v>1170</v>
      </c>
      <c r="AO107" s="14">
        <f>U107*'Optimal Choice'!$B$19*AH107</f>
        <v>1440</v>
      </c>
      <c r="AP107" s="14">
        <f>V107*'Optimal Choice'!$B$24*AI107</f>
        <v>0</v>
      </c>
      <c r="AS107" s="12">
        <f t="shared" si="9"/>
        <v>6</v>
      </c>
      <c r="AT107" s="14">
        <f t="shared" si="10"/>
        <v>1</v>
      </c>
      <c r="AU107" s="14">
        <f t="shared" si="11"/>
        <v>1</v>
      </c>
      <c r="AV107" s="14">
        <f t="shared" si="12"/>
        <v>1</v>
      </c>
      <c r="AW107" s="14">
        <f t="shared" si="13"/>
        <v>1</v>
      </c>
      <c r="AY107" s="11">
        <f t="shared" si="14"/>
        <v>0.002064251127</v>
      </c>
    </row>
    <row r="108" ht="15.75" customHeight="1">
      <c r="A108" s="15">
        <f t="shared" si="2"/>
        <v>1.293652457</v>
      </c>
      <c r="B108" s="7">
        <f>(sum(AL108:AP108))*'Optimal Choice'!$B$28</f>
        <v>4051.4</v>
      </c>
      <c r="C108" s="11"/>
      <c r="D108" s="12"/>
      <c r="E108" s="12"/>
      <c r="F108" s="11"/>
      <c r="G108" s="11"/>
      <c r="H108" s="11"/>
      <c r="I108" s="11"/>
      <c r="J108" s="11"/>
      <c r="K108" s="11">
        <f>(X108/$B108)+(X108/('Optimal Choice'!$B$4*AS108))</f>
        <v>48.81050094</v>
      </c>
      <c r="L108" s="11">
        <f>(Y108/$B108)+(Y108/('Optimal Choice'!$B$9*AT108))</f>
        <v>49.34199561</v>
      </c>
      <c r="M108" s="11">
        <f>(Z108/$B108)+(Z108/('Optimal Choice'!$B$14*AU108))</f>
        <v>51.20353691</v>
      </c>
      <c r="N108" s="11">
        <f>(AA108/$B108)+(AA108/('Optimal Choice'!$B$19*AV108))</f>
        <v>54.40680433</v>
      </c>
      <c r="O108" s="11">
        <f>(AB108/$B108)+(AB108/('Optimal Choice'!$B$24*AW108))</f>
        <v>82.42209212</v>
      </c>
      <c r="R108" s="12">
        <f t="shared" ref="R108:V108" si="118">if(min($K107:$O107)=K107,R107+1,R107)</f>
        <v>70</v>
      </c>
      <c r="S108" s="12">
        <f t="shared" si="118"/>
        <v>19</v>
      </c>
      <c r="T108" s="12">
        <f t="shared" si="118"/>
        <v>13</v>
      </c>
      <c r="U108" s="12">
        <f t="shared" si="118"/>
        <v>5</v>
      </c>
      <c r="V108" s="12">
        <f t="shared" si="118"/>
        <v>0</v>
      </c>
      <c r="X108" s="13">
        <f> 'Optimal Choice'!$B$5*'Optimal Choice'!$B$6^(R108+1)</f>
        <v>487.8745986</v>
      </c>
      <c r="Y108" s="13">
        <f> 'Optimal Choice'!$B$10*'Optimal Choice'!$B$11^(S108+1)</f>
        <v>981.9922436</v>
      </c>
      <c r="Z108" s="13">
        <f> 'Optimal Choice'!$B$15*'Optimal Choice'!$B$16^(T108+1)</f>
        <v>4508.171355</v>
      </c>
      <c r="AA108" s="13">
        <f> 'Optimal Choice'!$B$20*'Optimal Choice'!$B$21^(U108+1)</f>
        <v>17988.06314</v>
      </c>
      <c r="AB108" s="13">
        <f> 'Optimal Choice'!$B$25*'Optimal Choice'!$B$26^(V108+1)</f>
        <v>116121.6</v>
      </c>
      <c r="AE108" s="12">
        <f t="shared" si="4"/>
        <v>6</v>
      </c>
      <c r="AF108" s="14">
        <f t="shared" si="5"/>
        <v>1</v>
      </c>
      <c r="AG108" s="14">
        <f t="shared" si="6"/>
        <v>1</v>
      </c>
      <c r="AH108" s="14">
        <f t="shared" si="7"/>
        <v>1</v>
      </c>
      <c r="AI108" s="14">
        <f t="shared" si="8"/>
        <v>1</v>
      </c>
      <c r="AL108" s="14">
        <f>R108*'Optimal Choice'!$B$4*AE108</f>
        <v>701.4</v>
      </c>
      <c r="AM108" s="14">
        <f>S108*'Optimal Choice'!$B$9*AF108</f>
        <v>380</v>
      </c>
      <c r="AN108" s="14">
        <f>T108*'Optimal Choice'!$B$14*AG108</f>
        <v>1170</v>
      </c>
      <c r="AO108" s="14">
        <f>U108*'Optimal Choice'!$B$19*AH108</f>
        <v>1800</v>
      </c>
      <c r="AP108" s="14">
        <f>V108*'Optimal Choice'!$B$24*AI108</f>
        <v>0</v>
      </c>
      <c r="AS108" s="12">
        <f t="shared" si="9"/>
        <v>6</v>
      </c>
      <c r="AT108" s="14">
        <f t="shared" si="10"/>
        <v>1</v>
      </c>
      <c r="AU108" s="14">
        <f t="shared" si="11"/>
        <v>1</v>
      </c>
      <c r="AV108" s="14">
        <f t="shared" si="12"/>
        <v>1</v>
      </c>
      <c r="AW108" s="14">
        <f t="shared" si="13"/>
        <v>1</v>
      </c>
      <c r="AY108" s="11">
        <f t="shared" si="14"/>
        <v>0.07187264068</v>
      </c>
    </row>
    <row r="109" ht="15.75" customHeight="1">
      <c r="A109" s="15">
        <f t="shared" si="2"/>
        <v>1.295659478</v>
      </c>
      <c r="B109" s="7">
        <f>(sum(AL109:AP109))*'Optimal Choice'!$B$28</f>
        <v>4061.42</v>
      </c>
      <c r="C109" s="11"/>
      <c r="D109" s="12"/>
      <c r="E109" s="12"/>
      <c r="F109" s="11"/>
      <c r="G109" s="11"/>
      <c r="H109" s="11"/>
      <c r="I109" s="11"/>
      <c r="J109" s="11"/>
      <c r="K109" s="11">
        <f>(X109/$B109)+(X109/('Optimal Choice'!$B$4*AS109))</f>
        <v>52.22691811</v>
      </c>
      <c r="L109" s="11">
        <f>(Y109/$B109)+(Y109/('Optimal Choice'!$B$9*AT109))</f>
        <v>49.34139762</v>
      </c>
      <c r="M109" s="11">
        <f>(Z109/$B109)+(Z109/('Optimal Choice'!$B$14*AU109))</f>
        <v>51.20079164</v>
      </c>
      <c r="N109" s="11">
        <f>(AA109/$B109)+(AA109/('Optimal Choice'!$B$19*AV109))</f>
        <v>54.39585042</v>
      </c>
      <c r="O109" s="11">
        <f>(AB109/$B109)+(AB109/('Optimal Choice'!$B$24*AW109))</f>
        <v>82.35137937</v>
      </c>
      <c r="R109" s="12">
        <f t="shared" ref="R109:V109" si="119">if(min($K108:$O108)=K108,R108+1,R108)</f>
        <v>71</v>
      </c>
      <c r="S109" s="12">
        <f t="shared" si="119"/>
        <v>19</v>
      </c>
      <c r="T109" s="12">
        <f t="shared" si="119"/>
        <v>13</v>
      </c>
      <c r="U109" s="12">
        <f t="shared" si="119"/>
        <v>5</v>
      </c>
      <c r="V109" s="12">
        <f t="shared" si="119"/>
        <v>0</v>
      </c>
      <c r="X109" s="13">
        <f> 'Optimal Choice'!$B$5*'Optimal Choice'!$B$6^(R109+1)</f>
        <v>522.0258205</v>
      </c>
      <c r="Y109" s="13">
        <f> 'Optimal Choice'!$B$10*'Optimal Choice'!$B$11^(S109+1)</f>
        <v>981.9922436</v>
      </c>
      <c r="Z109" s="13">
        <f> 'Optimal Choice'!$B$15*'Optimal Choice'!$B$16^(T109+1)</f>
        <v>4508.171355</v>
      </c>
      <c r="AA109" s="13">
        <f> 'Optimal Choice'!$B$20*'Optimal Choice'!$B$21^(U109+1)</f>
        <v>17988.06314</v>
      </c>
      <c r="AB109" s="13">
        <f> 'Optimal Choice'!$B$25*'Optimal Choice'!$B$26^(V109+1)</f>
        <v>116121.6</v>
      </c>
      <c r="AE109" s="12">
        <f t="shared" si="4"/>
        <v>6</v>
      </c>
      <c r="AF109" s="14">
        <f t="shared" si="5"/>
        <v>1</v>
      </c>
      <c r="AG109" s="14">
        <f t="shared" si="6"/>
        <v>1</v>
      </c>
      <c r="AH109" s="14">
        <f t="shared" si="7"/>
        <v>1</v>
      </c>
      <c r="AI109" s="14">
        <f t="shared" si="8"/>
        <v>1</v>
      </c>
      <c r="AL109" s="14">
        <f>R109*'Optimal Choice'!$B$4*AE109</f>
        <v>711.42</v>
      </c>
      <c r="AM109" s="14">
        <f>S109*'Optimal Choice'!$B$9*AF109</f>
        <v>380</v>
      </c>
      <c r="AN109" s="14">
        <f>T109*'Optimal Choice'!$B$14*AG109</f>
        <v>1170</v>
      </c>
      <c r="AO109" s="14">
        <f>U109*'Optimal Choice'!$B$19*AH109</f>
        <v>1800</v>
      </c>
      <c r="AP109" s="14">
        <f>V109*'Optimal Choice'!$B$24*AI109</f>
        <v>0</v>
      </c>
      <c r="AS109" s="12">
        <f t="shared" si="9"/>
        <v>6</v>
      </c>
      <c r="AT109" s="14">
        <f t="shared" si="10"/>
        <v>1</v>
      </c>
      <c r="AU109" s="14">
        <f t="shared" si="11"/>
        <v>1</v>
      </c>
      <c r="AV109" s="14">
        <f t="shared" si="12"/>
        <v>1</v>
      </c>
      <c r="AW109" s="14">
        <f t="shared" si="13"/>
        <v>1</v>
      </c>
      <c r="AY109" s="11">
        <f t="shared" si="14"/>
        <v>0.002007020613</v>
      </c>
    </row>
    <row r="110" ht="15.75" customHeight="1">
      <c r="A110" s="15">
        <f t="shared" si="2"/>
        <v>1.299689236</v>
      </c>
      <c r="B110" s="7">
        <f>(sum(AL110:AP110))*'Optimal Choice'!$B$28</f>
        <v>4081.42</v>
      </c>
      <c r="C110" s="11"/>
      <c r="D110" s="12"/>
      <c r="E110" s="12"/>
      <c r="F110" s="11"/>
      <c r="G110" s="11"/>
      <c r="H110" s="11"/>
      <c r="I110" s="11"/>
      <c r="J110" s="11"/>
      <c r="K110" s="11">
        <f>(X110/$B110)+(X110/('Optimal Choice'!$B$4*AS110))</f>
        <v>52.22628827</v>
      </c>
      <c r="L110" s="11">
        <f>(Y110/$B110)+(Y110/('Optimal Choice'!$B$9*AT110))</f>
        <v>56.74124474</v>
      </c>
      <c r="M110" s="11">
        <f>(Z110/$B110)+(Z110/('Optimal Choice'!$B$14*AU110))</f>
        <v>51.19535236</v>
      </c>
      <c r="N110" s="11">
        <f>(AA110/$B110)+(AA110/('Optimal Choice'!$B$19*AV110))</f>
        <v>54.37414715</v>
      </c>
      <c r="O110" s="11">
        <f>(AB110/$B110)+(AB110/('Optimal Choice'!$B$24*AW110))</f>
        <v>82.21127431</v>
      </c>
      <c r="R110" s="12">
        <f t="shared" ref="R110:V110" si="120">if(min($K109:$O109)=K109,R109+1,R109)</f>
        <v>71</v>
      </c>
      <c r="S110" s="12">
        <f t="shared" si="120"/>
        <v>20</v>
      </c>
      <c r="T110" s="12">
        <f t="shared" si="120"/>
        <v>13</v>
      </c>
      <c r="U110" s="12">
        <f t="shared" si="120"/>
        <v>5</v>
      </c>
      <c r="V110" s="12">
        <f t="shared" si="120"/>
        <v>0</v>
      </c>
      <c r="X110" s="13">
        <f> 'Optimal Choice'!$B$5*'Optimal Choice'!$B$6^(R110+1)</f>
        <v>522.0258205</v>
      </c>
      <c r="Y110" s="13">
        <f> 'Optimal Choice'!$B$10*'Optimal Choice'!$B$11^(S110+1)</f>
        <v>1129.29108</v>
      </c>
      <c r="Z110" s="13">
        <f> 'Optimal Choice'!$B$15*'Optimal Choice'!$B$16^(T110+1)</f>
        <v>4508.171355</v>
      </c>
      <c r="AA110" s="13">
        <f> 'Optimal Choice'!$B$20*'Optimal Choice'!$B$21^(U110+1)</f>
        <v>17988.06314</v>
      </c>
      <c r="AB110" s="13">
        <f> 'Optimal Choice'!$B$25*'Optimal Choice'!$B$26^(V110+1)</f>
        <v>116121.6</v>
      </c>
      <c r="AE110" s="12">
        <f t="shared" si="4"/>
        <v>6</v>
      </c>
      <c r="AF110" s="14">
        <f t="shared" si="5"/>
        <v>1</v>
      </c>
      <c r="AG110" s="14">
        <f t="shared" si="6"/>
        <v>1</v>
      </c>
      <c r="AH110" s="14">
        <f t="shared" si="7"/>
        <v>1</v>
      </c>
      <c r="AI110" s="14">
        <f t="shared" si="8"/>
        <v>1</v>
      </c>
      <c r="AL110" s="14">
        <f>R110*'Optimal Choice'!$B$4*AE110</f>
        <v>711.42</v>
      </c>
      <c r="AM110" s="14">
        <f>S110*'Optimal Choice'!$B$9*AF110</f>
        <v>400</v>
      </c>
      <c r="AN110" s="14">
        <f>T110*'Optimal Choice'!$B$14*AG110</f>
        <v>1170</v>
      </c>
      <c r="AO110" s="14">
        <f>U110*'Optimal Choice'!$B$19*AH110</f>
        <v>1800</v>
      </c>
      <c r="AP110" s="14">
        <f>V110*'Optimal Choice'!$B$24*AI110</f>
        <v>0</v>
      </c>
      <c r="AS110" s="12">
        <f t="shared" si="9"/>
        <v>6</v>
      </c>
      <c r="AT110" s="14">
        <f t="shared" si="10"/>
        <v>1</v>
      </c>
      <c r="AU110" s="14">
        <f t="shared" si="11"/>
        <v>1</v>
      </c>
      <c r="AV110" s="14">
        <f t="shared" si="12"/>
        <v>1</v>
      </c>
      <c r="AW110" s="14">
        <f t="shared" si="13"/>
        <v>1</v>
      </c>
      <c r="AY110" s="11">
        <f t="shared" si="14"/>
        <v>0.004029757423</v>
      </c>
    </row>
    <row r="111" ht="15.75" customHeight="1">
      <c r="A111" s="15">
        <f t="shared" si="2"/>
        <v>1.318098561</v>
      </c>
      <c r="B111" s="7">
        <f>(sum(AL111:AP111))*'Optimal Choice'!$B$28</f>
        <v>4171.42</v>
      </c>
      <c r="C111" s="11"/>
      <c r="D111" s="12"/>
      <c r="E111" s="12"/>
      <c r="F111" s="11"/>
      <c r="G111" s="11"/>
      <c r="H111" s="11"/>
      <c r="I111" s="11"/>
      <c r="J111" s="11"/>
      <c r="K111" s="11">
        <f>(X111/$B111)+(X111/('Optimal Choice'!$B$4*AS111))</f>
        <v>52.22352871</v>
      </c>
      <c r="L111" s="11">
        <f>(Y111/$B111)+(Y111/('Optimal Choice'!$B$9*AT111))</f>
        <v>56.73527503</v>
      </c>
      <c r="M111" s="11">
        <f>(Z111/$B111)+(Z111/('Optimal Choice'!$B$14*AU111))</f>
        <v>58.33553401</v>
      </c>
      <c r="N111" s="11">
        <f>(AA111/$B111)+(AA111/('Optimal Choice'!$B$19*AV111))</f>
        <v>54.27905784</v>
      </c>
      <c r="O111" s="11">
        <f>(AB111/$B111)+(AB111/('Optimal Choice'!$B$24*AW111))</f>
        <v>81.59742706</v>
      </c>
      <c r="R111" s="12">
        <f t="shared" ref="R111:V111" si="121">if(min($K110:$O110)=K110,R110+1,R110)</f>
        <v>71</v>
      </c>
      <c r="S111" s="12">
        <f t="shared" si="121"/>
        <v>20</v>
      </c>
      <c r="T111" s="12">
        <f t="shared" si="121"/>
        <v>14</v>
      </c>
      <c r="U111" s="12">
        <f t="shared" si="121"/>
        <v>5</v>
      </c>
      <c r="V111" s="12">
        <f t="shared" si="121"/>
        <v>0</v>
      </c>
      <c r="X111" s="13">
        <f> 'Optimal Choice'!$B$5*'Optimal Choice'!$B$6^(R111+1)</f>
        <v>522.0258205</v>
      </c>
      <c r="Y111" s="13">
        <f> 'Optimal Choice'!$B$10*'Optimal Choice'!$B$11^(S111+1)</f>
        <v>1129.29108</v>
      </c>
      <c r="Z111" s="13">
        <f> 'Optimal Choice'!$B$15*'Optimal Choice'!$B$16^(T111+1)</f>
        <v>5139.315344</v>
      </c>
      <c r="AA111" s="13">
        <f> 'Optimal Choice'!$B$20*'Optimal Choice'!$B$21^(U111+1)</f>
        <v>17988.06314</v>
      </c>
      <c r="AB111" s="13">
        <f> 'Optimal Choice'!$B$25*'Optimal Choice'!$B$26^(V111+1)</f>
        <v>116121.6</v>
      </c>
      <c r="AE111" s="12">
        <f t="shared" si="4"/>
        <v>6</v>
      </c>
      <c r="AF111" s="14">
        <f t="shared" si="5"/>
        <v>1</v>
      </c>
      <c r="AG111" s="14">
        <f t="shared" si="6"/>
        <v>1</v>
      </c>
      <c r="AH111" s="14">
        <f t="shared" si="7"/>
        <v>1</v>
      </c>
      <c r="AI111" s="14">
        <f t="shared" si="8"/>
        <v>1</v>
      </c>
      <c r="AL111" s="14">
        <f>R111*'Optimal Choice'!$B$4*AE111</f>
        <v>711.42</v>
      </c>
      <c r="AM111" s="14">
        <f>S111*'Optimal Choice'!$B$9*AF111</f>
        <v>400</v>
      </c>
      <c r="AN111" s="14">
        <f>T111*'Optimal Choice'!$B$14*AG111</f>
        <v>1260</v>
      </c>
      <c r="AO111" s="14">
        <f>U111*'Optimal Choice'!$B$19*AH111</f>
        <v>1800</v>
      </c>
      <c r="AP111" s="14">
        <f>V111*'Optimal Choice'!$B$24*AI111</f>
        <v>0</v>
      </c>
      <c r="AS111" s="12">
        <f t="shared" si="9"/>
        <v>6</v>
      </c>
      <c r="AT111" s="14">
        <f t="shared" si="10"/>
        <v>1</v>
      </c>
      <c r="AU111" s="14">
        <f t="shared" si="11"/>
        <v>1</v>
      </c>
      <c r="AV111" s="14">
        <f t="shared" si="12"/>
        <v>1</v>
      </c>
      <c r="AW111" s="14">
        <f t="shared" si="13"/>
        <v>1</v>
      </c>
      <c r="AY111" s="11">
        <f t="shared" si="14"/>
        <v>0.01840932549</v>
      </c>
    </row>
    <row r="112" ht="15.75" customHeight="1">
      <c r="A112" s="15">
        <f t="shared" si="2"/>
        <v>1.320184285</v>
      </c>
      <c r="B112" s="7">
        <f>(sum(AL112:AP112))*'Optimal Choice'!$B$28</f>
        <v>4181.44</v>
      </c>
      <c r="C112" s="11"/>
      <c r="D112" s="12"/>
      <c r="E112" s="12"/>
      <c r="F112" s="11"/>
      <c r="G112" s="11"/>
      <c r="H112" s="11"/>
      <c r="I112" s="11"/>
      <c r="J112" s="11"/>
      <c r="K112" s="11">
        <f>(X112/$B112)+(X112/('Optimal Choice'!$B$4*AS112))</f>
        <v>55.87885485</v>
      </c>
      <c r="L112" s="11">
        <f>(Y112/$B112)+(Y112/('Optimal Choice'!$B$9*AT112))</f>
        <v>56.7346263</v>
      </c>
      <c r="M112" s="11">
        <f>(Z112/$B112)+(Z112/('Optimal Choice'!$B$14*AU112))</f>
        <v>58.33258169</v>
      </c>
      <c r="N112" s="11">
        <f>(AA112/$B112)+(AA112/('Optimal Choice'!$B$19*AV112))</f>
        <v>54.26872446</v>
      </c>
      <c r="O112" s="11">
        <f>(AB112/$B112)+(AB112/('Optimal Choice'!$B$24*AW112))</f>
        <v>81.53072013</v>
      </c>
      <c r="R112" s="12">
        <f t="shared" ref="R112:V112" si="122">if(min($K111:$O111)=K111,R111+1,R111)</f>
        <v>72</v>
      </c>
      <c r="S112" s="12">
        <f t="shared" si="122"/>
        <v>20</v>
      </c>
      <c r="T112" s="12">
        <f t="shared" si="122"/>
        <v>14</v>
      </c>
      <c r="U112" s="12">
        <f t="shared" si="122"/>
        <v>5</v>
      </c>
      <c r="V112" s="12">
        <f t="shared" si="122"/>
        <v>0</v>
      </c>
      <c r="X112" s="13">
        <f> 'Optimal Choice'!$B$5*'Optimal Choice'!$B$6^(R112+1)</f>
        <v>558.5676279</v>
      </c>
      <c r="Y112" s="13">
        <f> 'Optimal Choice'!$B$10*'Optimal Choice'!$B$11^(S112+1)</f>
        <v>1129.29108</v>
      </c>
      <c r="Z112" s="13">
        <f> 'Optimal Choice'!$B$15*'Optimal Choice'!$B$16^(T112+1)</f>
        <v>5139.315344</v>
      </c>
      <c r="AA112" s="13">
        <f> 'Optimal Choice'!$B$20*'Optimal Choice'!$B$21^(U112+1)</f>
        <v>17988.06314</v>
      </c>
      <c r="AB112" s="13">
        <f> 'Optimal Choice'!$B$25*'Optimal Choice'!$B$26^(V112+1)</f>
        <v>116121.6</v>
      </c>
      <c r="AE112" s="12">
        <f t="shared" si="4"/>
        <v>6</v>
      </c>
      <c r="AF112" s="14">
        <f t="shared" si="5"/>
        <v>1</v>
      </c>
      <c r="AG112" s="14">
        <f t="shared" si="6"/>
        <v>1</v>
      </c>
      <c r="AH112" s="14">
        <f t="shared" si="7"/>
        <v>1</v>
      </c>
      <c r="AI112" s="14">
        <f t="shared" si="8"/>
        <v>1</v>
      </c>
      <c r="AL112" s="14">
        <f>R112*'Optimal Choice'!$B$4*AE112</f>
        <v>721.44</v>
      </c>
      <c r="AM112" s="14">
        <f>S112*'Optimal Choice'!$B$9*AF112</f>
        <v>400</v>
      </c>
      <c r="AN112" s="14">
        <f>T112*'Optimal Choice'!$B$14*AG112</f>
        <v>1260</v>
      </c>
      <c r="AO112" s="14">
        <f>U112*'Optimal Choice'!$B$19*AH112</f>
        <v>1800</v>
      </c>
      <c r="AP112" s="14">
        <f>V112*'Optimal Choice'!$B$24*AI112</f>
        <v>0</v>
      </c>
      <c r="AS112" s="12">
        <f t="shared" si="9"/>
        <v>6</v>
      </c>
      <c r="AT112" s="14">
        <f t="shared" si="10"/>
        <v>1</v>
      </c>
      <c r="AU112" s="14">
        <f t="shared" si="11"/>
        <v>1</v>
      </c>
      <c r="AV112" s="14">
        <f t="shared" si="12"/>
        <v>1</v>
      </c>
      <c r="AW112" s="14">
        <f t="shared" si="13"/>
        <v>1</v>
      </c>
      <c r="AY112" s="11">
        <f t="shared" si="14"/>
        <v>0.002085723888</v>
      </c>
    </row>
    <row r="113" ht="15.75" customHeight="1">
      <c r="A113" s="15">
        <f t="shared" si="2"/>
        <v>1.391882325</v>
      </c>
      <c r="B113" s="7">
        <f>(sum(AL113:AP113))*'Optimal Choice'!$B$28</f>
        <v>4541.44</v>
      </c>
      <c r="C113" s="11"/>
      <c r="D113" s="12"/>
      <c r="E113" s="12"/>
      <c r="F113" s="11"/>
      <c r="G113" s="11"/>
      <c r="H113" s="11"/>
      <c r="I113" s="11"/>
      <c r="J113" s="11"/>
      <c r="K113" s="11">
        <f>(X113/$B113)+(X113/('Optimal Choice'!$B$4*AS113))</f>
        <v>55.86826576</v>
      </c>
      <c r="L113" s="11">
        <f>(Y113/$B113)+(Y113/('Optimal Choice'!$B$9*AT113))</f>
        <v>56.71321766</v>
      </c>
      <c r="M113" s="11">
        <f>(Z113/$B113)+(Z113/('Optimal Choice'!$B$14*AU113))</f>
        <v>58.23515268</v>
      </c>
      <c r="N113" s="11">
        <f>(AA113/$B113)+(AA113/('Optimal Choice'!$B$19*AV113))</f>
        <v>60.93831704</v>
      </c>
      <c r="O113" s="11">
        <f>(AB113/$B113)+(AB113/('Optimal Choice'!$B$24*AW113))</f>
        <v>79.32933484</v>
      </c>
      <c r="R113" s="12">
        <f t="shared" ref="R113:V113" si="123">if(min($K112:$O112)=K112,R112+1,R112)</f>
        <v>72</v>
      </c>
      <c r="S113" s="12">
        <f t="shared" si="123"/>
        <v>20</v>
      </c>
      <c r="T113" s="12">
        <f t="shared" si="123"/>
        <v>14</v>
      </c>
      <c r="U113" s="12">
        <f t="shared" si="123"/>
        <v>6</v>
      </c>
      <c r="V113" s="12">
        <f t="shared" si="123"/>
        <v>0</v>
      </c>
      <c r="X113" s="13">
        <f> 'Optimal Choice'!$B$5*'Optimal Choice'!$B$6^(R113+1)</f>
        <v>558.5676279</v>
      </c>
      <c r="Y113" s="13">
        <f> 'Optimal Choice'!$B$10*'Optimal Choice'!$B$11^(S113+1)</f>
        <v>1129.29108</v>
      </c>
      <c r="Z113" s="13">
        <f> 'Optimal Choice'!$B$15*'Optimal Choice'!$B$16^(T113+1)</f>
        <v>5139.315344</v>
      </c>
      <c r="AA113" s="13">
        <f> 'Optimal Choice'!$B$20*'Optimal Choice'!$B$21^(U113+1)</f>
        <v>20326.51135</v>
      </c>
      <c r="AB113" s="13">
        <f> 'Optimal Choice'!$B$25*'Optimal Choice'!$B$26^(V113+1)</f>
        <v>116121.6</v>
      </c>
      <c r="AE113" s="12">
        <f t="shared" si="4"/>
        <v>6</v>
      </c>
      <c r="AF113" s="14">
        <f t="shared" si="5"/>
        <v>1</v>
      </c>
      <c r="AG113" s="14">
        <f t="shared" si="6"/>
        <v>1</v>
      </c>
      <c r="AH113" s="14">
        <f t="shared" si="7"/>
        <v>1</v>
      </c>
      <c r="AI113" s="14">
        <f t="shared" si="8"/>
        <v>1</v>
      </c>
      <c r="AL113" s="14">
        <f>R113*'Optimal Choice'!$B$4*AE113</f>
        <v>721.44</v>
      </c>
      <c r="AM113" s="14">
        <f>S113*'Optimal Choice'!$B$9*AF113</f>
        <v>400</v>
      </c>
      <c r="AN113" s="14">
        <f>T113*'Optimal Choice'!$B$14*AG113</f>
        <v>1260</v>
      </c>
      <c r="AO113" s="14">
        <f>U113*'Optimal Choice'!$B$19*AH113</f>
        <v>2160</v>
      </c>
      <c r="AP113" s="14">
        <f>V113*'Optimal Choice'!$B$24*AI113</f>
        <v>0</v>
      </c>
      <c r="AS113" s="12">
        <f t="shared" si="9"/>
        <v>6</v>
      </c>
      <c r="AT113" s="14">
        <f t="shared" si="10"/>
        <v>1</v>
      </c>
      <c r="AU113" s="14">
        <f t="shared" si="11"/>
        <v>1</v>
      </c>
      <c r="AV113" s="14">
        <f t="shared" si="12"/>
        <v>1</v>
      </c>
      <c r="AW113" s="14">
        <f t="shared" si="13"/>
        <v>1</v>
      </c>
      <c r="AY113" s="11">
        <f t="shared" si="14"/>
        <v>0.07169804</v>
      </c>
    </row>
    <row r="114" ht="15.75" customHeight="1">
      <c r="A114" s="15">
        <f t="shared" si="2"/>
        <v>1.393932217</v>
      </c>
      <c r="B114" s="7">
        <f>(sum(AL114:AP114))*'Optimal Choice'!$B$28</f>
        <v>4551.46</v>
      </c>
      <c r="C114" s="11"/>
      <c r="D114" s="12"/>
      <c r="E114" s="12"/>
      <c r="F114" s="11"/>
      <c r="G114" s="11"/>
      <c r="H114" s="11"/>
      <c r="I114" s="11"/>
      <c r="J114" s="11"/>
      <c r="K114" s="11">
        <f>(X114/$B114)+(X114/('Optimal Choice'!$B$4*AS114))</f>
        <v>59.77875464</v>
      </c>
      <c r="L114" s="11">
        <f>(Y114/$B114)+(Y114/('Optimal Choice'!$B$9*AT114))</f>
        <v>56.71267023</v>
      </c>
      <c r="M114" s="11">
        <f>(Z114/$B114)+(Z114/('Optimal Choice'!$B$14*AU114))</f>
        <v>58.23266136</v>
      </c>
      <c r="N114" s="11">
        <f>(AA114/$B114)+(AA114/('Optimal Choice'!$B$19*AV114))</f>
        <v>60.92846364</v>
      </c>
      <c r="O114" s="11">
        <f>(AB114/$B114)+(AB114/('Optimal Choice'!$B$24*AW114))</f>
        <v>79.27304417</v>
      </c>
      <c r="R114" s="12">
        <f t="shared" ref="R114:V114" si="124">if(min($K113:$O113)=K113,R113+1,R113)</f>
        <v>73</v>
      </c>
      <c r="S114" s="12">
        <f t="shared" si="124"/>
        <v>20</v>
      </c>
      <c r="T114" s="12">
        <f t="shared" si="124"/>
        <v>14</v>
      </c>
      <c r="U114" s="12">
        <f t="shared" si="124"/>
        <v>6</v>
      </c>
      <c r="V114" s="12">
        <f t="shared" si="124"/>
        <v>0</v>
      </c>
      <c r="X114" s="13">
        <f> 'Optimal Choice'!$B$5*'Optimal Choice'!$B$6^(R114+1)</f>
        <v>597.6673619</v>
      </c>
      <c r="Y114" s="13">
        <f> 'Optimal Choice'!$B$10*'Optimal Choice'!$B$11^(S114+1)</f>
        <v>1129.29108</v>
      </c>
      <c r="Z114" s="13">
        <f> 'Optimal Choice'!$B$15*'Optimal Choice'!$B$16^(T114+1)</f>
        <v>5139.315344</v>
      </c>
      <c r="AA114" s="13">
        <f> 'Optimal Choice'!$B$20*'Optimal Choice'!$B$21^(U114+1)</f>
        <v>20326.51135</v>
      </c>
      <c r="AB114" s="13">
        <f> 'Optimal Choice'!$B$25*'Optimal Choice'!$B$26^(V114+1)</f>
        <v>116121.6</v>
      </c>
      <c r="AE114" s="12">
        <f t="shared" si="4"/>
        <v>6</v>
      </c>
      <c r="AF114" s="14">
        <f t="shared" si="5"/>
        <v>1</v>
      </c>
      <c r="AG114" s="14">
        <f t="shared" si="6"/>
        <v>1</v>
      </c>
      <c r="AH114" s="14">
        <f t="shared" si="7"/>
        <v>1</v>
      </c>
      <c r="AI114" s="14">
        <f t="shared" si="8"/>
        <v>1</v>
      </c>
      <c r="AL114" s="14">
        <f>R114*'Optimal Choice'!$B$4*AE114</f>
        <v>731.46</v>
      </c>
      <c r="AM114" s="14">
        <f>S114*'Optimal Choice'!$B$9*AF114</f>
        <v>400</v>
      </c>
      <c r="AN114" s="14">
        <f>T114*'Optimal Choice'!$B$14*AG114</f>
        <v>1260</v>
      </c>
      <c r="AO114" s="14">
        <f>U114*'Optimal Choice'!$B$19*AH114</f>
        <v>2160</v>
      </c>
      <c r="AP114" s="14">
        <f>V114*'Optimal Choice'!$B$24*AI114</f>
        <v>0</v>
      </c>
      <c r="AS114" s="12">
        <f t="shared" si="9"/>
        <v>6</v>
      </c>
      <c r="AT114" s="14">
        <f t="shared" si="10"/>
        <v>1</v>
      </c>
      <c r="AU114" s="14">
        <f t="shared" si="11"/>
        <v>1</v>
      </c>
      <c r="AV114" s="14">
        <f t="shared" si="12"/>
        <v>1</v>
      </c>
      <c r="AW114" s="14">
        <f t="shared" si="13"/>
        <v>1</v>
      </c>
      <c r="AY114" s="11">
        <f t="shared" si="14"/>
        <v>0.002049891767</v>
      </c>
    </row>
    <row r="115" ht="15.75" customHeight="1">
      <c r="A115" s="15">
        <f t="shared" si="2"/>
        <v>1.398067487</v>
      </c>
      <c r="B115" s="7">
        <f>(sum(AL115:AP115))*'Optimal Choice'!$B$28</f>
        <v>4571.46</v>
      </c>
      <c r="C115" s="11"/>
      <c r="D115" s="12"/>
      <c r="E115" s="12"/>
      <c r="F115" s="11"/>
      <c r="G115" s="11"/>
      <c r="H115" s="11"/>
      <c r="I115" s="11"/>
      <c r="J115" s="11"/>
      <c r="K115" s="11">
        <f>(X115/$B115)+(X115/('Optimal Choice'!$B$4*AS115))</f>
        <v>59.77818014</v>
      </c>
      <c r="L115" s="11">
        <f>(Y115/$B115)+(Y115/('Optimal Choice'!$B$9*AT115))</f>
        <v>65.21832244</v>
      </c>
      <c r="M115" s="11">
        <f>(Z115/$B115)+(Z115/('Optimal Choice'!$B$14*AU115))</f>
        <v>58.22772133</v>
      </c>
      <c r="N115" s="11">
        <f>(AA115/$B115)+(AA115/('Optimal Choice'!$B$19*AV115))</f>
        <v>60.90892532</v>
      </c>
      <c r="O115" s="11">
        <f>(AB115/$B115)+(AB115/('Optimal Choice'!$B$24*AW115))</f>
        <v>79.16142537</v>
      </c>
      <c r="R115" s="12">
        <f t="shared" ref="R115:V115" si="125">if(min($K114:$O114)=K114,R114+1,R114)</f>
        <v>73</v>
      </c>
      <c r="S115" s="12">
        <f t="shared" si="125"/>
        <v>21</v>
      </c>
      <c r="T115" s="12">
        <f t="shared" si="125"/>
        <v>14</v>
      </c>
      <c r="U115" s="12">
        <f t="shared" si="125"/>
        <v>6</v>
      </c>
      <c r="V115" s="12">
        <f t="shared" si="125"/>
        <v>0</v>
      </c>
      <c r="X115" s="13">
        <f> 'Optimal Choice'!$B$5*'Optimal Choice'!$B$6^(R115+1)</f>
        <v>597.6673619</v>
      </c>
      <c r="Y115" s="13">
        <f> 'Optimal Choice'!$B$10*'Optimal Choice'!$B$11^(S115+1)</f>
        <v>1298.684742</v>
      </c>
      <c r="Z115" s="13">
        <f> 'Optimal Choice'!$B$15*'Optimal Choice'!$B$16^(T115+1)</f>
        <v>5139.315344</v>
      </c>
      <c r="AA115" s="13">
        <f> 'Optimal Choice'!$B$20*'Optimal Choice'!$B$21^(U115+1)</f>
        <v>20326.51135</v>
      </c>
      <c r="AB115" s="13">
        <f> 'Optimal Choice'!$B$25*'Optimal Choice'!$B$26^(V115+1)</f>
        <v>116121.6</v>
      </c>
      <c r="AE115" s="12">
        <f t="shared" si="4"/>
        <v>6</v>
      </c>
      <c r="AF115" s="14">
        <f t="shared" si="5"/>
        <v>1</v>
      </c>
      <c r="AG115" s="14">
        <f t="shared" si="6"/>
        <v>1</v>
      </c>
      <c r="AH115" s="14">
        <f t="shared" si="7"/>
        <v>1</v>
      </c>
      <c r="AI115" s="14">
        <f t="shared" si="8"/>
        <v>1</v>
      </c>
      <c r="AL115" s="14">
        <f>R115*'Optimal Choice'!$B$4*AE115</f>
        <v>731.46</v>
      </c>
      <c r="AM115" s="14">
        <f>S115*'Optimal Choice'!$B$9*AF115</f>
        <v>420</v>
      </c>
      <c r="AN115" s="14">
        <f>T115*'Optimal Choice'!$B$14*AG115</f>
        <v>1260</v>
      </c>
      <c r="AO115" s="14">
        <f>U115*'Optimal Choice'!$B$19*AH115</f>
        <v>2160</v>
      </c>
      <c r="AP115" s="14">
        <f>V115*'Optimal Choice'!$B$24*AI115</f>
        <v>0</v>
      </c>
      <c r="AS115" s="12">
        <f t="shared" si="9"/>
        <v>6</v>
      </c>
      <c r="AT115" s="14">
        <f t="shared" si="10"/>
        <v>1</v>
      </c>
      <c r="AU115" s="14">
        <f t="shared" si="11"/>
        <v>1</v>
      </c>
      <c r="AV115" s="14">
        <f t="shared" si="12"/>
        <v>1</v>
      </c>
      <c r="AW115" s="14">
        <f t="shared" si="13"/>
        <v>1</v>
      </c>
      <c r="AY115" s="11">
        <f t="shared" si="14"/>
        <v>0.004135270441</v>
      </c>
    </row>
    <row r="116" ht="15.75" customHeight="1">
      <c r="A116" s="15">
        <f t="shared" si="2"/>
        <v>1.416804445</v>
      </c>
      <c r="B116" s="7">
        <f>(sum(AL116:AP116))*'Optimal Choice'!$B$28</f>
        <v>4661.46</v>
      </c>
      <c r="C116" s="11"/>
      <c r="D116" s="12"/>
      <c r="E116" s="12"/>
      <c r="F116" s="11"/>
      <c r="G116" s="11"/>
      <c r="H116" s="11"/>
      <c r="I116" s="11"/>
      <c r="J116" s="11"/>
      <c r="K116" s="11">
        <f>(X116/$B116)+(X116/('Optimal Choice'!$B$4*AS116))</f>
        <v>59.77565594</v>
      </c>
      <c r="L116" s="11">
        <f>(Y116/$B116)+(Y116/('Optimal Choice'!$B$9*AT116))</f>
        <v>65.21283753</v>
      </c>
      <c r="M116" s="11">
        <f>(Z116/$B116)+(Z116/('Optimal Choice'!$B$14*AU116))</f>
        <v>66.35485798</v>
      </c>
      <c r="N116" s="11">
        <f>(AA116/$B116)+(AA116/('Optimal Choice'!$B$19*AV116))</f>
        <v>60.82307766</v>
      </c>
      <c r="O116" s="11">
        <f>(AB116/$B116)+(AB116/('Optimal Choice'!$B$24*AW116))</f>
        <v>78.67099355</v>
      </c>
      <c r="R116" s="12">
        <f t="shared" ref="R116:V116" si="126">if(min($K115:$O115)=K115,R115+1,R115)</f>
        <v>73</v>
      </c>
      <c r="S116" s="12">
        <f t="shared" si="126"/>
        <v>21</v>
      </c>
      <c r="T116" s="12">
        <f t="shared" si="126"/>
        <v>15</v>
      </c>
      <c r="U116" s="12">
        <f t="shared" si="126"/>
        <v>6</v>
      </c>
      <c r="V116" s="12">
        <f t="shared" si="126"/>
        <v>0</v>
      </c>
      <c r="X116" s="13">
        <f> 'Optimal Choice'!$B$5*'Optimal Choice'!$B$6^(R116+1)</f>
        <v>597.6673619</v>
      </c>
      <c r="Y116" s="13">
        <f> 'Optimal Choice'!$B$10*'Optimal Choice'!$B$11^(S116+1)</f>
        <v>1298.684742</v>
      </c>
      <c r="Z116" s="13">
        <f> 'Optimal Choice'!$B$15*'Optimal Choice'!$B$16^(T116+1)</f>
        <v>5858.819493</v>
      </c>
      <c r="AA116" s="13">
        <f> 'Optimal Choice'!$B$20*'Optimal Choice'!$B$21^(U116+1)</f>
        <v>20326.51135</v>
      </c>
      <c r="AB116" s="13">
        <f> 'Optimal Choice'!$B$25*'Optimal Choice'!$B$26^(V116+1)</f>
        <v>116121.6</v>
      </c>
      <c r="AE116" s="12">
        <f t="shared" si="4"/>
        <v>6</v>
      </c>
      <c r="AF116" s="14">
        <f t="shared" si="5"/>
        <v>1</v>
      </c>
      <c r="AG116" s="14">
        <f t="shared" si="6"/>
        <v>1</v>
      </c>
      <c r="AH116" s="14">
        <f t="shared" si="7"/>
        <v>1</v>
      </c>
      <c r="AI116" s="14">
        <f t="shared" si="8"/>
        <v>1</v>
      </c>
      <c r="AL116" s="14">
        <f>R116*'Optimal Choice'!$B$4*AE116</f>
        <v>731.46</v>
      </c>
      <c r="AM116" s="14">
        <f>S116*'Optimal Choice'!$B$9*AF116</f>
        <v>420</v>
      </c>
      <c r="AN116" s="14">
        <f>T116*'Optimal Choice'!$B$14*AG116</f>
        <v>1350</v>
      </c>
      <c r="AO116" s="14">
        <f>U116*'Optimal Choice'!$B$19*AH116</f>
        <v>2160</v>
      </c>
      <c r="AP116" s="14">
        <f>V116*'Optimal Choice'!$B$24*AI116</f>
        <v>0</v>
      </c>
      <c r="AS116" s="12">
        <f t="shared" si="9"/>
        <v>6</v>
      </c>
      <c r="AT116" s="14">
        <f t="shared" si="10"/>
        <v>1</v>
      </c>
      <c r="AU116" s="14">
        <f t="shared" si="11"/>
        <v>1</v>
      </c>
      <c r="AV116" s="14">
        <f t="shared" si="12"/>
        <v>1</v>
      </c>
      <c r="AW116" s="14">
        <f t="shared" si="13"/>
        <v>1</v>
      </c>
      <c r="AY116" s="11">
        <f t="shared" si="14"/>
        <v>0.01873695838</v>
      </c>
    </row>
    <row r="117" ht="15.75" customHeight="1">
      <c r="A117" s="15">
        <f t="shared" si="2"/>
        <v>1.418941356</v>
      </c>
      <c r="B117" s="7">
        <f>(sum(AL117:AP117))*'Optimal Choice'!$B$28</f>
        <v>4671.48</v>
      </c>
      <c r="C117" s="11"/>
      <c r="D117" s="12"/>
      <c r="E117" s="12"/>
      <c r="F117" s="11"/>
      <c r="G117" s="11"/>
      <c r="H117" s="11"/>
      <c r="I117" s="11"/>
      <c r="J117" s="11"/>
      <c r="K117" s="11">
        <f>(X117/$B117)+(X117/('Optimal Choice'!$B$4*AS117))</f>
        <v>63.95965759</v>
      </c>
      <c r="L117" s="11">
        <f>(Y117/$B117)+(Y117/('Optimal Choice'!$B$9*AT117))</f>
        <v>65.21223995</v>
      </c>
      <c r="M117" s="11">
        <f>(Z117/$B117)+(Z117/('Optimal Choice'!$B$14*AU117))</f>
        <v>66.3521621</v>
      </c>
      <c r="N117" s="11">
        <f>(AA117/$B117)+(AA117/('Optimal Choice'!$B$19*AV117))</f>
        <v>60.81372459</v>
      </c>
      <c r="O117" s="11">
        <f>(AB117/$B117)+(AB117/('Optimal Choice'!$B$24*AW117))</f>
        <v>78.6175612</v>
      </c>
      <c r="R117" s="12">
        <f t="shared" ref="R117:V117" si="127">if(min($K116:$O116)=K116,R116+1,R116)</f>
        <v>74</v>
      </c>
      <c r="S117" s="12">
        <f t="shared" si="127"/>
        <v>21</v>
      </c>
      <c r="T117" s="12">
        <f t="shared" si="127"/>
        <v>15</v>
      </c>
      <c r="U117" s="12">
        <f t="shared" si="127"/>
        <v>6</v>
      </c>
      <c r="V117" s="12">
        <f t="shared" si="127"/>
        <v>0</v>
      </c>
      <c r="X117" s="13">
        <f> 'Optimal Choice'!$B$5*'Optimal Choice'!$B$6^(R117+1)</f>
        <v>639.5040772</v>
      </c>
      <c r="Y117" s="13">
        <f> 'Optimal Choice'!$B$10*'Optimal Choice'!$B$11^(S117+1)</f>
        <v>1298.684742</v>
      </c>
      <c r="Z117" s="13">
        <f> 'Optimal Choice'!$B$15*'Optimal Choice'!$B$16^(T117+1)</f>
        <v>5858.819493</v>
      </c>
      <c r="AA117" s="13">
        <f> 'Optimal Choice'!$B$20*'Optimal Choice'!$B$21^(U117+1)</f>
        <v>20326.51135</v>
      </c>
      <c r="AB117" s="13">
        <f> 'Optimal Choice'!$B$25*'Optimal Choice'!$B$26^(V117+1)</f>
        <v>116121.6</v>
      </c>
      <c r="AE117" s="12">
        <f t="shared" si="4"/>
        <v>6</v>
      </c>
      <c r="AF117" s="14">
        <f t="shared" si="5"/>
        <v>1</v>
      </c>
      <c r="AG117" s="14">
        <f t="shared" si="6"/>
        <v>1</v>
      </c>
      <c r="AH117" s="14">
        <f t="shared" si="7"/>
        <v>1</v>
      </c>
      <c r="AI117" s="14">
        <f t="shared" si="8"/>
        <v>1</v>
      </c>
      <c r="AL117" s="14">
        <f>R117*'Optimal Choice'!$B$4*AE117</f>
        <v>741.48</v>
      </c>
      <c r="AM117" s="14">
        <f>S117*'Optimal Choice'!$B$9*AF117</f>
        <v>420</v>
      </c>
      <c r="AN117" s="14">
        <f>T117*'Optimal Choice'!$B$14*AG117</f>
        <v>1350</v>
      </c>
      <c r="AO117" s="14">
        <f>U117*'Optimal Choice'!$B$19*AH117</f>
        <v>2160</v>
      </c>
      <c r="AP117" s="14">
        <f>V117*'Optimal Choice'!$B$24*AI117</f>
        <v>0</v>
      </c>
      <c r="AS117" s="12">
        <f t="shared" si="9"/>
        <v>6</v>
      </c>
      <c r="AT117" s="14">
        <f t="shared" si="10"/>
        <v>1</v>
      </c>
      <c r="AU117" s="14">
        <f t="shared" si="11"/>
        <v>1</v>
      </c>
      <c r="AV117" s="14">
        <f t="shared" si="12"/>
        <v>1</v>
      </c>
      <c r="AW117" s="14">
        <f t="shared" si="13"/>
        <v>1</v>
      </c>
      <c r="AY117" s="11">
        <f t="shared" si="14"/>
        <v>0.002136910474</v>
      </c>
    </row>
    <row r="118" ht="15.75" customHeight="1">
      <c r="A118" s="15">
        <f t="shared" si="2"/>
        <v>1.49146124</v>
      </c>
      <c r="B118" s="7">
        <f>(sum(AL118:AP118))*'Optimal Choice'!$B$28</f>
        <v>5031.48</v>
      </c>
      <c r="C118" s="11"/>
      <c r="D118" s="12"/>
      <c r="E118" s="12"/>
      <c r="F118" s="11"/>
      <c r="G118" s="11"/>
      <c r="H118" s="11"/>
      <c r="I118" s="11"/>
      <c r="J118" s="11"/>
      <c r="K118" s="11">
        <f>(X118/$B118)+(X118/('Optimal Choice'!$B$4*AS118))</f>
        <v>63.94986279</v>
      </c>
      <c r="L118" s="11">
        <f>(Y118/$B118)+(Y118/('Optimal Choice'!$B$9*AT118))</f>
        <v>65.19234898</v>
      </c>
      <c r="M118" s="11">
        <f>(Z118/$B118)+(Z118/('Optimal Choice'!$B$14*AU118))</f>
        <v>66.26242699</v>
      </c>
      <c r="N118" s="11">
        <f>(AA118/$B118)+(AA118/('Optimal Choice'!$B$19*AV118))</f>
        <v>68.36771064</v>
      </c>
      <c r="O118" s="11">
        <f>(AB118/$B118)+(AB118/('Optimal Choice'!$B$24*AW118))</f>
        <v>76.83901452</v>
      </c>
      <c r="R118" s="12">
        <f t="shared" ref="R118:V118" si="128">if(min($K117:$O117)=K117,R117+1,R117)</f>
        <v>74</v>
      </c>
      <c r="S118" s="12">
        <f t="shared" si="128"/>
        <v>21</v>
      </c>
      <c r="T118" s="12">
        <f t="shared" si="128"/>
        <v>15</v>
      </c>
      <c r="U118" s="12">
        <f t="shared" si="128"/>
        <v>7</v>
      </c>
      <c r="V118" s="12">
        <f t="shared" si="128"/>
        <v>0</v>
      </c>
      <c r="X118" s="13">
        <f> 'Optimal Choice'!$B$5*'Optimal Choice'!$B$6^(R118+1)</f>
        <v>639.5040772</v>
      </c>
      <c r="Y118" s="13">
        <f> 'Optimal Choice'!$B$10*'Optimal Choice'!$B$11^(S118+1)</f>
        <v>1298.684742</v>
      </c>
      <c r="Z118" s="13">
        <f> 'Optimal Choice'!$B$15*'Optimal Choice'!$B$16^(T118+1)</f>
        <v>5858.819493</v>
      </c>
      <c r="AA118" s="13">
        <f> 'Optimal Choice'!$B$20*'Optimal Choice'!$B$21^(U118+1)</f>
        <v>22968.95783</v>
      </c>
      <c r="AB118" s="13">
        <f> 'Optimal Choice'!$B$25*'Optimal Choice'!$B$26^(V118+1)</f>
        <v>116121.6</v>
      </c>
      <c r="AE118" s="12">
        <f t="shared" si="4"/>
        <v>6</v>
      </c>
      <c r="AF118" s="14">
        <f t="shared" si="5"/>
        <v>1</v>
      </c>
      <c r="AG118" s="14">
        <f t="shared" si="6"/>
        <v>1</v>
      </c>
      <c r="AH118" s="14">
        <f t="shared" si="7"/>
        <v>1</v>
      </c>
      <c r="AI118" s="14">
        <f t="shared" si="8"/>
        <v>1</v>
      </c>
      <c r="AL118" s="14">
        <f>R118*'Optimal Choice'!$B$4*AE118</f>
        <v>741.48</v>
      </c>
      <c r="AM118" s="14">
        <f>S118*'Optimal Choice'!$B$9*AF118</f>
        <v>420</v>
      </c>
      <c r="AN118" s="14">
        <f>T118*'Optimal Choice'!$B$14*AG118</f>
        <v>1350</v>
      </c>
      <c r="AO118" s="14">
        <f>U118*'Optimal Choice'!$B$19*AH118</f>
        <v>2520</v>
      </c>
      <c r="AP118" s="14">
        <f>V118*'Optimal Choice'!$B$24*AI118</f>
        <v>0</v>
      </c>
      <c r="AS118" s="12">
        <f t="shared" si="9"/>
        <v>6</v>
      </c>
      <c r="AT118" s="14">
        <f t="shared" si="10"/>
        <v>1</v>
      </c>
      <c r="AU118" s="14">
        <f t="shared" si="11"/>
        <v>1</v>
      </c>
      <c r="AV118" s="14">
        <f t="shared" si="12"/>
        <v>1</v>
      </c>
      <c r="AW118" s="14">
        <f t="shared" si="13"/>
        <v>1</v>
      </c>
      <c r="AY118" s="11">
        <f t="shared" si="14"/>
        <v>0.07251988432</v>
      </c>
    </row>
    <row r="119" ht="15.75" customHeight="1">
      <c r="A119" s="15">
        <f t="shared" si="2"/>
        <v>1.493579583</v>
      </c>
      <c r="B119" s="7">
        <f>(sum(AL119:AP119))*'Optimal Choice'!$B$28</f>
        <v>5041.5</v>
      </c>
      <c r="C119" s="11"/>
      <c r="D119" s="12"/>
      <c r="E119" s="12"/>
      <c r="F119" s="11"/>
      <c r="G119" s="11"/>
      <c r="H119" s="11"/>
      <c r="I119" s="11"/>
      <c r="J119" s="11"/>
      <c r="K119" s="11">
        <f>(X119/$B119)+(X119/('Optimal Choice'!$B$4*AS119))</f>
        <v>68.42608289</v>
      </c>
      <c r="L119" s="11">
        <f>(Y119/$B119)+(Y119/('Optimal Choice'!$B$9*AT119))</f>
        <v>65.19183598</v>
      </c>
      <c r="M119" s="11">
        <f>(Z119/$B119)+(Z119/('Optimal Choice'!$B$14*AU119))</f>
        <v>66.26011268</v>
      </c>
      <c r="N119" s="11">
        <f>(AA119/$B119)+(AA119/('Optimal Choice'!$B$19*AV119))</f>
        <v>68.35863759</v>
      </c>
      <c r="O119" s="11">
        <f>(AB119/$B119)+(AB119/('Optimal Choice'!$B$24*AW119))</f>
        <v>76.7931449</v>
      </c>
      <c r="R119" s="12">
        <f t="shared" ref="R119:V119" si="129">if(min($K118:$O118)=K118,R118+1,R118)</f>
        <v>75</v>
      </c>
      <c r="S119" s="12">
        <f t="shared" si="129"/>
        <v>21</v>
      </c>
      <c r="T119" s="12">
        <f t="shared" si="129"/>
        <v>15</v>
      </c>
      <c r="U119" s="12">
        <f t="shared" si="129"/>
        <v>7</v>
      </c>
      <c r="V119" s="12">
        <f t="shared" si="129"/>
        <v>0</v>
      </c>
      <c r="X119" s="13">
        <f> 'Optimal Choice'!$B$5*'Optimal Choice'!$B$6^(R119+1)</f>
        <v>684.2693626</v>
      </c>
      <c r="Y119" s="13">
        <f> 'Optimal Choice'!$B$10*'Optimal Choice'!$B$11^(S119+1)</f>
        <v>1298.684742</v>
      </c>
      <c r="Z119" s="13">
        <f> 'Optimal Choice'!$B$15*'Optimal Choice'!$B$16^(T119+1)</f>
        <v>5858.819493</v>
      </c>
      <c r="AA119" s="13">
        <f> 'Optimal Choice'!$B$20*'Optimal Choice'!$B$21^(U119+1)</f>
        <v>22968.95783</v>
      </c>
      <c r="AB119" s="13">
        <f> 'Optimal Choice'!$B$25*'Optimal Choice'!$B$26^(V119+1)</f>
        <v>116121.6</v>
      </c>
      <c r="AE119" s="12">
        <f t="shared" si="4"/>
        <v>6</v>
      </c>
      <c r="AF119" s="14">
        <f t="shared" si="5"/>
        <v>1</v>
      </c>
      <c r="AG119" s="14">
        <f t="shared" si="6"/>
        <v>1</v>
      </c>
      <c r="AH119" s="14">
        <f t="shared" si="7"/>
        <v>1</v>
      </c>
      <c r="AI119" s="14">
        <f t="shared" si="8"/>
        <v>1</v>
      </c>
      <c r="AL119" s="14">
        <f>R119*'Optimal Choice'!$B$4*AE119</f>
        <v>751.5</v>
      </c>
      <c r="AM119" s="14">
        <f>S119*'Optimal Choice'!$B$9*AF119</f>
        <v>420</v>
      </c>
      <c r="AN119" s="14">
        <f>T119*'Optimal Choice'!$B$14*AG119</f>
        <v>1350</v>
      </c>
      <c r="AO119" s="14">
        <f>U119*'Optimal Choice'!$B$19*AH119</f>
        <v>2520</v>
      </c>
      <c r="AP119" s="14">
        <f>V119*'Optimal Choice'!$B$24*AI119</f>
        <v>0</v>
      </c>
      <c r="AS119" s="12">
        <f t="shared" si="9"/>
        <v>6</v>
      </c>
      <c r="AT119" s="14">
        <f t="shared" si="10"/>
        <v>1</v>
      </c>
      <c r="AU119" s="14">
        <f t="shared" si="11"/>
        <v>1</v>
      </c>
      <c r="AV119" s="14">
        <f t="shared" si="12"/>
        <v>1</v>
      </c>
      <c r="AW119" s="14">
        <f t="shared" si="13"/>
        <v>1</v>
      </c>
      <c r="AY119" s="11">
        <f t="shared" si="14"/>
        <v>0.002118343169</v>
      </c>
    </row>
    <row r="120" ht="15.75" customHeight="1">
      <c r="A120" s="15">
        <f t="shared" si="2"/>
        <v>1.497872898</v>
      </c>
      <c r="B120" s="7">
        <f>(sum(AL120:AP120))*'Optimal Choice'!$B$28</f>
        <v>5061.5</v>
      </c>
      <c r="C120" s="11"/>
      <c r="D120" s="12"/>
      <c r="E120" s="12"/>
      <c r="F120" s="11"/>
      <c r="G120" s="11"/>
      <c r="H120" s="11"/>
      <c r="I120" s="11"/>
      <c r="J120" s="11"/>
      <c r="K120" s="11">
        <f>(X120/$B120)+(X120/('Optimal Choice'!$B$4*AS120))</f>
        <v>68.42554658</v>
      </c>
      <c r="L120" s="11">
        <f>(Y120/$B120)+(Y120/('Optimal Choice'!$B$9*AT120))</f>
        <v>74.96944082</v>
      </c>
      <c r="M120" s="11">
        <f>(Z120/$B120)+(Z120/('Optimal Choice'!$B$14*AU120))</f>
        <v>66.25552069</v>
      </c>
      <c r="N120" s="11">
        <f>(AA120/$B120)+(AA120/('Optimal Choice'!$B$19*AV120))</f>
        <v>68.34063511</v>
      </c>
      <c r="O120" s="11">
        <f>(AB120/$B120)+(AB120/('Optimal Choice'!$B$24*AW120))</f>
        <v>76.70213178</v>
      </c>
      <c r="R120" s="12">
        <f t="shared" ref="R120:V120" si="130">if(min($K119:$O119)=K119,R119+1,R119)</f>
        <v>75</v>
      </c>
      <c r="S120" s="12">
        <f t="shared" si="130"/>
        <v>22</v>
      </c>
      <c r="T120" s="12">
        <f t="shared" si="130"/>
        <v>15</v>
      </c>
      <c r="U120" s="12">
        <f t="shared" si="130"/>
        <v>7</v>
      </c>
      <c r="V120" s="12">
        <f t="shared" si="130"/>
        <v>0</v>
      </c>
      <c r="X120" s="13">
        <f> 'Optimal Choice'!$B$5*'Optimal Choice'!$B$6^(R120+1)</f>
        <v>684.2693626</v>
      </c>
      <c r="Y120" s="13">
        <f> 'Optimal Choice'!$B$10*'Optimal Choice'!$B$11^(S120+1)</f>
        <v>1493.487453</v>
      </c>
      <c r="Z120" s="13">
        <f> 'Optimal Choice'!$B$15*'Optimal Choice'!$B$16^(T120+1)</f>
        <v>5858.819493</v>
      </c>
      <c r="AA120" s="13">
        <f> 'Optimal Choice'!$B$20*'Optimal Choice'!$B$21^(U120+1)</f>
        <v>22968.95783</v>
      </c>
      <c r="AB120" s="13">
        <f> 'Optimal Choice'!$B$25*'Optimal Choice'!$B$26^(V120+1)</f>
        <v>116121.6</v>
      </c>
      <c r="AE120" s="12">
        <f t="shared" si="4"/>
        <v>6</v>
      </c>
      <c r="AF120" s="14">
        <f t="shared" si="5"/>
        <v>1</v>
      </c>
      <c r="AG120" s="14">
        <f t="shared" si="6"/>
        <v>1</v>
      </c>
      <c r="AH120" s="14">
        <f t="shared" si="7"/>
        <v>1</v>
      </c>
      <c r="AI120" s="14">
        <f t="shared" si="8"/>
        <v>1</v>
      </c>
      <c r="AL120" s="14">
        <f>R120*'Optimal Choice'!$B$4*AE120</f>
        <v>751.5</v>
      </c>
      <c r="AM120" s="14">
        <f>S120*'Optimal Choice'!$B$9*AF120</f>
        <v>440</v>
      </c>
      <c r="AN120" s="14">
        <f>T120*'Optimal Choice'!$B$14*AG120</f>
        <v>1350</v>
      </c>
      <c r="AO120" s="14">
        <f>U120*'Optimal Choice'!$B$19*AH120</f>
        <v>2520</v>
      </c>
      <c r="AP120" s="14">
        <f>V120*'Optimal Choice'!$B$24*AI120</f>
        <v>0</v>
      </c>
      <c r="AS120" s="12">
        <f t="shared" si="9"/>
        <v>6</v>
      </c>
      <c r="AT120" s="14">
        <f t="shared" si="10"/>
        <v>1</v>
      </c>
      <c r="AU120" s="14">
        <f t="shared" si="11"/>
        <v>1</v>
      </c>
      <c r="AV120" s="14">
        <f t="shared" si="12"/>
        <v>1</v>
      </c>
      <c r="AW120" s="14">
        <f t="shared" si="13"/>
        <v>1</v>
      </c>
      <c r="AY120" s="11">
        <f t="shared" si="14"/>
        <v>0.004293314629</v>
      </c>
    </row>
    <row r="121" ht="15.75" customHeight="1">
      <c r="A121" s="15">
        <f t="shared" si="2"/>
        <v>1.517165003</v>
      </c>
      <c r="B121" s="7">
        <f>(sum(AL121:AP121))*'Optimal Choice'!$B$28</f>
        <v>5151.5</v>
      </c>
      <c r="C121" s="11"/>
      <c r="D121" s="12"/>
      <c r="E121" s="12"/>
      <c r="F121" s="11"/>
      <c r="G121" s="11"/>
      <c r="H121" s="11"/>
      <c r="I121" s="11"/>
      <c r="J121" s="11"/>
      <c r="K121" s="11">
        <f>(X121/$B121)+(X121/('Optimal Choice'!$B$4*AS121))</f>
        <v>68.4231847</v>
      </c>
      <c r="L121" s="11">
        <f>(Y121/$B121)+(Y121/('Optimal Choice'!$B$9*AT121))</f>
        <v>74.9642858</v>
      </c>
      <c r="M121" s="11">
        <f>(Z121/$B121)+(Z121/('Optimal Choice'!$B$14*AU121))</f>
        <v>75.50823968</v>
      </c>
      <c r="N121" s="11">
        <f>(AA121/$B121)+(AA121/('Optimal Choice'!$B$19*AV121))</f>
        <v>68.26135379</v>
      </c>
      <c r="O121" s="11">
        <f>(AB121/$B121)+(AB121/('Optimal Choice'!$B$24*AW121))</f>
        <v>76.30131806</v>
      </c>
      <c r="R121" s="12">
        <f t="shared" ref="R121:V121" si="131">if(min($K120:$O120)=K120,R120+1,R120)</f>
        <v>75</v>
      </c>
      <c r="S121" s="12">
        <f t="shared" si="131"/>
        <v>22</v>
      </c>
      <c r="T121" s="12">
        <f t="shared" si="131"/>
        <v>16</v>
      </c>
      <c r="U121" s="12">
        <f t="shared" si="131"/>
        <v>7</v>
      </c>
      <c r="V121" s="12">
        <f t="shared" si="131"/>
        <v>0</v>
      </c>
      <c r="X121" s="13">
        <f> 'Optimal Choice'!$B$5*'Optimal Choice'!$B$6^(R121+1)</f>
        <v>684.2693626</v>
      </c>
      <c r="Y121" s="13">
        <f> 'Optimal Choice'!$B$10*'Optimal Choice'!$B$11^(S121+1)</f>
        <v>1493.487453</v>
      </c>
      <c r="Z121" s="13">
        <f> 'Optimal Choice'!$B$15*'Optimal Choice'!$B$16^(T121+1)</f>
        <v>6679.054222</v>
      </c>
      <c r="AA121" s="13">
        <f> 'Optimal Choice'!$B$20*'Optimal Choice'!$B$21^(U121+1)</f>
        <v>22968.95783</v>
      </c>
      <c r="AB121" s="13">
        <f> 'Optimal Choice'!$B$25*'Optimal Choice'!$B$26^(V121+1)</f>
        <v>116121.6</v>
      </c>
      <c r="AE121" s="12">
        <f t="shared" si="4"/>
        <v>6</v>
      </c>
      <c r="AF121" s="14">
        <f t="shared" si="5"/>
        <v>1</v>
      </c>
      <c r="AG121" s="14">
        <f t="shared" si="6"/>
        <v>1</v>
      </c>
      <c r="AH121" s="14">
        <f t="shared" si="7"/>
        <v>1</v>
      </c>
      <c r="AI121" s="14">
        <f t="shared" si="8"/>
        <v>1</v>
      </c>
      <c r="AL121" s="14">
        <f>R121*'Optimal Choice'!$B$4*AE121</f>
        <v>751.5</v>
      </c>
      <c r="AM121" s="14">
        <f>S121*'Optimal Choice'!$B$9*AF121</f>
        <v>440</v>
      </c>
      <c r="AN121" s="14">
        <f>T121*'Optimal Choice'!$B$14*AG121</f>
        <v>1440</v>
      </c>
      <c r="AO121" s="14">
        <f>U121*'Optimal Choice'!$B$19*AH121</f>
        <v>2520</v>
      </c>
      <c r="AP121" s="14">
        <f>V121*'Optimal Choice'!$B$24*AI121</f>
        <v>0</v>
      </c>
      <c r="AS121" s="12">
        <f t="shared" si="9"/>
        <v>6</v>
      </c>
      <c r="AT121" s="14">
        <f t="shared" si="10"/>
        <v>1</v>
      </c>
      <c r="AU121" s="14">
        <f t="shared" si="11"/>
        <v>1</v>
      </c>
      <c r="AV121" s="14">
        <f t="shared" si="12"/>
        <v>1</v>
      </c>
      <c r="AW121" s="14">
        <f t="shared" si="13"/>
        <v>1</v>
      </c>
      <c r="AY121" s="11">
        <f t="shared" si="14"/>
        <v>0.01929210541</v>
      </c>
    </row>
    <row r="122" ht="15.75" customHeight="1">
      <c r="A122" s="15">
        <f t="shared" si="2"/>
        <v>1.591476556</v>
      </c>
      <c r="B122" s="7">
        <f>(sum(AL122:AP122))*'Optimal Choice'!$B$28</f>
        <v>5511.5</v>
      </c>
      <c r="C122" s="11"/>
      <c r="D122" s="12"/>
      <c r="E122" s="12"/>
      <c r="F122" s="11"/>
      <c r="G122" s="11"/>
      <c r="H122" s="11"/>
      <c r="I122" s="11"/>
      <c r="J122" s="11"/>
      <c r="K122" s="11">
        <f>(X122/$B122)+(X122/('Optimal Choice'!$B$4*AS122))</f>
        <v>68.41450857</v>
      </c>
      <c r="L122" s="11">
        <f>(Y122/$B122)+(Y122/('Optimal Choice'!$B$9*AT122))</f>
        <v>74.94534926</v>
      </c>
      <c r="M122" s="11">
        <f>(Z122/$B122)+(Z122/('Optimal Choice'!$B$14*AU122))</f>
        <v>75.42355322</v>
      </c>
      <c r="N122" s="11">
        <f>(AA122/$B122)+(AA122/('Optimal Choice'!$B$19*AV122))</f>
        <v>76.80623673</v>
      </c>
      <c r="O122" s="11">
        <f>(AB122/$B122)+(AB122/('Optimal Choice'!$B$24*AW122))</f>
        <v>74.82896489</v>
      </c>
      <c r="R122" s="12">
        <f t="shared" ref="R122:V122" si="132">if(min($K121:$O121)=K121,R121+1,R121)</f>
        <v>75</v>
      </c>
      <c r="S122" s="12">
        <f t="shared" si="132"/>
        <v>22</v>
      </c>
      <c r="T122" s="12">
        <f t="shared" si="132"/>
        <v>16</v>
      </c>
      <c r="U122" s="12">
        <f t="shared" si="132"/>
        <v>8</v>
      </c>
      <c r="V122" s="12">
        <f t="shared" si="132"/>
        <v>0</v>
      </c>
      <c r="X122" s="13">
        <f> 'Optimal Choice'!$B$5*'Optimal Choice'!$B$6^(R122+1)</f>
        <v>684.2693626</v>
      </c>
      <c r="Y122" s="13">
        <f> 'Optimal Choice'!$B$10*'Optimal Choice'!$B$11^(S122+1)</f>
        <v>1493.487453</v>
      </c>
      <c r="Z122" s="13">
        <f> 'Optimal Choice'!$B$15*'Optimal Choice'!$B$16^(T122+1)</f>
        <v>6679.054222</v>
      </c>
      <c r="AA122" s="13">
        <f> 'Optimal Choice'!$B$20*'Optimal Choice'!$B$21^(U122+1)</f>
        <v>25954.92234</v>
      </c>
      <c r="AB122" s="13">
        <f> 'Optimal Choice'!$B$25*'Optimal Choice'!$B$26^(V122+1)</f>
        <v>116121.6</v>
      </c>
      <c r="AE122" s="12">
        <f t="shared" si="4"/>
        <v>6</v>
      </c>
      <c r="AF122" s="14">
        <f t="shared" si="5"/>
        <v>1</v>
      </c>
      <c r="AG122" s="14">
        <f t="shared" si="6"/>
        <v>1</v>
      </c>
      <c r="AH122" s="14">
        <f t="shared" si="7"/>
        <v>1</v>
      </c>
      <c r="AI122" s="14">
        <f t="shared" si="8"/>
        <v>1</v>
      </c>
      <c r="AL122" s="14">
        <f>R122*'Optimal Choice'!$B$4*AE122</f>
        <v>751.5</v>
      </c>
      <c r="AM122" s="14">
        <f>S122*'Optimal Choice'!$B$9*AF122</f>
        <v>440</v>
      </c>
      <c r="AN122" s="14">
        <f>T122*'Optimal Choice'!$B$14*AG122</f>
        <v>1440</v>
      </c>
      <c r="AO122" s="14">
        <f>U122*'Optimal Choice'!$B$19*AH122</f>
        <v>2880</v>
      </c>
      <c r="AP122" s="14">
        <f>V122*'Optimal Choice'!$B$24*AI122</f>
        <v>0</v>
      </c>
      <c r="AS122" s="12">
        <f t="shared" si="9"/>
        <v>6</v>
      </c>
      <c r="AT122" s="14">
        <f t="shared" si="10"/>
        <v>1</v>
      </c>
      <c r="AU122" s="14">
        <f t="shared" si="11"/>
        <v>1</v>
      </c>
      <c r="AV122" s="14">
        <f t="shared" si="12"/>
        <v>1</v>
      </c>
      <c r="AW122" s="14">
        <f t="shared" si="13"/>
        <v>1</v>
      </c>
      <c r="AY122" s="11">
        <f t="shared" si="14"/>
        <v>0.07431155271</v>
      </c>
    </row>
    <row r="123" ht="15.75" customHeight="1">
      <c r="A123" s="15">
        <f t="shared" si="2"/>
        <v>1.593545773</v>
      </c>
      <c r="B123" s="7">
        <f>(sum(AL123:AP123))*'Optimal Choice'!$B$28</f>
        <v>5521.52</v>
      </c>
      <c r="C123" s="11"/>
      <c r="D123" s="12"/>
      <c r="E123" s="12"/>
      <c r="F123" s="11"/>
      <c r="G123" s="11"/>
      <c r="H123" s="11"/>
      <c r="I123" s="11"/>
      <c r="J123" s="11"/>
      <c r="K123" s="11">
        <f>(X123/$B123)+(X123/('Optimal Choice'!$B$4*AS123))</f>
        <v>73.2032831</v>
      </c>
      <c r="L123" s="11">
        <f>(Y123/$B123)+(Y123/('Optimal Choice'!$B$9*AT123))</f>
        <v>74.94485751</v>
      </c>
      <c r="M123" s="11">
        <f>(Z123/$B123)+(Z123/('Optimal Choice'!$B$14*AU123))</f>
        <v>75.42135408</v>
      </c>
      <c r="N123" s="11">
        <f>(AA123/$B123)+(AA123/('Optimal Choice'!$B$19*AV123))</f>
        <v>76.79769081</v>
      </c>
      <c r="O123" s="11">
        <f>(AB123/$B123)+(AB123/('Optimal Choice'!$B$24*AW123))</f>
        <v>74.79073067</v>
      </c>
      <c r="R123" s="12">
        <f t="shared" ref="R123:V123" si="133">if(min($K122:$O122)=K122,R122+1,R122)</f>
        <v>76</v>
      </c>
      <c r="S123" s="12">
        <f t="shared" si="133"/>
        <v>22</v>
      </c>
      <c r="T123" s="12">
        <f t="shared" si="133"/>
        <v>16</v>
      </c>
      <c r="U123" s="12">
        <f t="shared" si="133"/>
        <v>8</v>
      </c>
      <c r="V123" s="12">
        <f t="shared" si="133"/>
        <v>0</v>
      </c>
      <c r="X123" s="13">
        <f> 'Optimal Choice'!$B$5*'Optimal Choice'!$B$6^(R123+1)</f>
        <v>732.168218</v>
      </c>
      <c r="Y123" s="13">
        <f> 'Optimal Choice'!$B$10*'Optimal Choice'!$B$11^(S123+1)</f>
        <v>1493.487453</v>
      </c>
      <c r="Z123" s="13">
        <f> 'Optimal Choice'!$B$15*'Optimal Choice'!$B$16^(T123+1)</f>
        <v>6679.054222</v>
      </c>
      <c r="AA123" s="13">
        <f> 'Optimal Choice'!$B$20*'Optimal Choice'!$B$21^(U123+1)</f>
        <v>25954.92234</v>
      </c>
      <c r="AB123" s="13">
        <f> 'Optimal Choice'!$B$25*'Optimal Choice'!$B$26^(V123+1)</f>
        <v>116121.6</v>
      </c>
      <c r="AE123" s="12">
        <f t="shared" si="4"/>
        <v>6</v>
      </c>
      <c r="AF123" s="14">
        <f t="shared" si="5"/>
        <v>1</v>
      </c>
      <c r="AG123" s="14">
        <f t="shared" si="6"/>
        <v>1</v>
      </c>
      <c r="AH123" s="14">
        <f t="shared" si="7"/>
        <v>1</v>
      </c>
      <c r="AI123" s="14">
        <f t="shared" si="8"/>
        <v>1</v>
      </c>
      <c r="AL123" s="14">
        <f>R123*'Optimal Choice'!$B$4*AE123</f>
        <v>761.52</v>
      </c>
      <c r="AM123" s="14">
        <f>S123*'Optimal Choice'!$B$9*AF123</f>
        <v>440</v>
      </c>
      <c r="AN123" s="14">
        <f>T123*'Optimal Choice'!$B$14*AG123</f>
        <v>1440</v>
      </c>
      <c r="AO123" s="14">
        <f>U123*'Optimal Choice'!$B$19*AH123</f>
        <v>2880</v>
      </c>
      <c r="AP123" s="14">
        <f>V123*'Optimal Choice'!$B$24*AI123</f>
        <v>0</v>
      </c>
      <c r="AS123" s="12">
        <f t="shared" si="9"/>
        <v>6</v>
      </c>
      <c r="AT123" s="14">
        <f t="shared" si="10"/>
        <v>1</v>
      </c>
      <c r="AU123" s="14">
        <f t="shared" si="11"/>
        <v>1</v>
      </c>
      <c r="AV123" s="14">
        <f t="shared" si="12"/>
        <v>1</v>
      </c>
      <c r="AW123" s="14">
        <f t="shared" si="13"/>
        <v>1</v>
      </c>
      <c r="AY123" s="11">
        <f t="shared" si="14"/>
        <v>0.002069216979</v>
      </c>
    </row>
    <row r="124" ht="15.75" customHeight="1">
      <c r="A124" s="15">
        <f t="shared" si="2"/>
        <v>1.595755817</v>
      </c>
      <c r="B124" s="7">
        <f>(sum(AL124:AP124))*'Optimal Choice'!$B$28</f>
        <v>5531.54</v>
      </c>
      <c r="C124" s="11"/>
      <c r="D124" s="12"/>
      <c r="E124" s="12"/>
      <c r="F124" s="11"/>
      <c r="G124" s="11"/>
      <c r="H124" s="11"/>
      <c r="I124" s="11"/>
      <c r="J124" s="11"/>
      <c r="K124" s="11">
        <f>(X124/$B124)+(X124/('Optimal Choice'!$B$4*AS124))</f>
        <v>78.3272559</v>
      </c>
      <c r="L124" s="11">
        <f>(Y124/$B124)+(Y124/('Optimal Choice'!$B$9*AT124))</f>
        <v>74.94436755</v>
      </c>
      <c r="M124" s="11">
        <f>(Z124/$B124)+(Z124/('Optimal Choice'!$B$14*AU124))</f>
        <v>75.4191629</v>
      </c>
      <c r="N124" s="11">
        <f>(AA124/$B124)+(AA124/('Optimal Choice'!$B$19*AV124))</f>
        <v>76.78917584</v>
      </c>
      <c r="O124" s="11">
        <f>(AB124/$B124)+(AB124/('Optimal Choice'!$B$24*AW124))</f>
        <v>74.75263496</v>
      </c>
      <c r="R124" s="12">
        <f t="shared" ref="R124:V124" si="134">if(min($K123:$O123)=K123,R123+1,R123)</f>
        <v>77</v>
      </c>
      <c r="S124" s="12">
        <f t="shared" si="134"/>
        <v>22</v>
      </c>
      <c r="T124" s="12">
        <f t="shared" si="134"/>
        <v>16</v>
      </c>
      <c r="U124" s="12">
        <f t="shared" si="134"/>
        <v>8</v>
      </c>
      <c r="V124" s="12">
        <f t="shared" si="134"/>
        <v>0</v>
      </c>
      <c r="X124" s="13">
        <f> 'Optimal Choice'!$B$5*'Optimal Choice'!$B$6^(R124+1)</f>
        <v>783.4199933</v>
      </c>
      <c r="Y124" s="13">
        <f> 'Optimal Choice'!$B$10*'Optimal Choice'!$B$11^(S124+1)</f>
        <v>1493.487453</v>
      </c>
      <c r="Z124" s="13">
        <f> 'Optimal Choice'!$B$15*'Optimal Choice'!$B$16^(T124+1)</f>
        <v>6679.054222</v>
      </c>
      <c r="AA124" s="13">
        <f> 'Optimal Choice'!$B$20*'Optimal Choice'!$B$21^(U124+1)</f>
        <v>25954.92234</v>
      </c>
      <c r="AB124" s="13">
        <f> 'Optimal Choice'!$B$25*'Optimal Choice'!$B$26^(V124+1)</f>
        <v>116121.6</v>
      </c>
      <c r="AE124" s="12">
        <f t="shared" si="4"/>
        <v>6</v>
      </c>
      <c r="AF124" s="14">
        <f t="shared" si="5"/>
        <v>1</v>
      </c>
      <c r="AG124" s="14">
        <f t="shared" si="6"/>
        <v>1</v>
      </c>
      <c r="AH124" s="14">
        <f t="shared" si="7"/>
        <v>1</v>
      </c>
      <c r="AI124" s="14">
        <f t="shared" si="8"/>
        <v>1</v>
      </c>
      <c r="AL124" s="14">
        <f>R124*'Optimal Choice'!$B$4*AE124</f>
        <v>771.54</v>
      </c>
      <c r="AM124" s="14">
        <f>S124*'Optimal Choice'!$B$9*AF124</f>
        <v>440</v>
      </c>
      <c r="AN124" s="14">
        <f>T124*'Optimal Choice'!$B$14*AG124</f>
        <v>1440</v>
      </c>
      <c r="AO124" s="14">
        <f>U124*'Optimal Choice'!$B$19*AH124</f>
        <v>2880</v>
      </c>
      <c r="AP124" s="14">
        <f>V124*'Optimal Choice'!$B$24*AI124</f>
        <v>0</v>
      </c>
      <c r="AS124" s="12">
        <f t="shared" si="9"/>
        <v>6</v>
      </c>
      <c r="AT124" s="14">
        <f t="shared" si="10"/>
        <v>1</v>
      </c>
      <c r="AU124" s="14">
        <f t="shared" si="11"/>
        <v>1</v>
      </c>
      <c r="AV124" s="14">
        <f t="shared" si="12"/>
        <v>1</v>
      </c>
      <c r="AW124" s="14">
        <f t="shared" si="13"/>
        <v>1</v>
      </c>
      <c r="AY124" s="11">
        <f t="shared" si="14"/>
        <v>0.002210044269</v>
      </c>
    </row>
    <row r="125" ht="15.75" customHeight="1">
      <c r="A125" s="15">
        <f t="shared" si="2"/>
        <v>1.945633067</v>
      </c>
      <c r="B125" s="7">
        <f>(sum(AL125:AP125))*'Optimal Choice'!$B$28</f>
        <v>7691.54</v>
      </c>
      <c r="C125" s="11"/>
      <c r="D125" s="12"/>
      <c r="E125" s="12"/>
      <c r="F125" s="11"/>
      <c r="G125" s="11"/>
      <c r="H125" s="11"/>
      <c r="I125" s="11"/>
      <c r="J125" s="11"/>
      <c r="K125" s="11">
        <f>(X125/$B125)+(X125/('Optimal Choice'!$B$4*AS125))</f>
        <v>78.28748284</v>
      </c>
      <c r="L125" s="11">
        <f>(Y125/$B125)+(Y125/('Optimal Choice'!$B$9*AT125))</f>
        <v>74.86854542</v>
      </c>
      <c r="M125" s="11">
        <f>(Z125/$B125)+(Z125/('Optimal Choice'!$B$14*AU125))</f>
        <v>75.08007729</v>
      </c>
      <c r="N125" s="11">
        <f>(AA125/$B125)+(AA125/('Optimal Choice'!$B$19*AV125))</f>
        <v>75.47148319</v>
      </c>
      <c r="O125" s="11">
        <f>(AB125/$B125)+(AB125/('Optimal Choice'!$B$24*AW125))</f>
        <v>77.12019248</v>
      </c>
      <c r="R125" s="12">
        <f t="shared" ref="R125:V125" si="135">if(min($K124:$O124)=K124,R124+1,R124)</f>
        <v>77</v>
      </c>
      <c r="S125" s="12">
        <f t="shared" si="135"/>
        <v>22</v>
      </c>
      <c r="T125" s="12">
        <f t="shared" si="135"/>
        <v>16</v>
      </c>
      <c r="U125" s="12">
        <f t="shared" si="135"/>
        <v>8</v>
      </c>
      <c r="V125" s="12">
        <f t="shared" si="135"/>
        <v>1</v>
      </c>
      <c r="X125" s="13">
        <f> 'Optimal Choice'!$B$5*'Optimal Choice'!$B$6^(R125+1)</f>
        <v>783.4199933</v>
      </c>
      <c r="Y125" s="13">
        <f> 'Optimal Choice'!$B$10*'Optimal Choice'!$B$11^(S125+1)</f>
        <v>1493.487453</v>
      </c>
      <c r="Z125" s="13">
        <f> 'Optimal Choice'!$B$15*'Optimal Choice'!$B$16^(T125+1)</f>
        <v>6679.054222</v>
      </c>
      <c r="AA125" s="13">
        <f> 'Optimal Choice'!$B$20*'Optimal Choice'!$B$21^(U125+1)</f>
        <v>25954.92234</v>
      </c>
      <c r="AB125" s="13">
        <f> 'Optimal Choice'!$B$25*'Optimal Choice'!$B$26^(V125+1)</f>
        <v>130056.192</v>
      </c>
      <c r="AE125" s="12">
        <f t="shared" si="4"/>
        <v>6</v>
      </c>
      <c r="AF125" s="14">
        <f t="shared" si="5"/>
        <v>1</v>
      </c>
      <c r="AG125" s="14">
        <f t="shared" si="6"/>
        <v>1</v>
      </c>
      <c r="AH125" s="14">
        <f t="shared" si="7"/>
        <v>1</v>
      </c>
      <c r="AI125" s="14">
        <f t="shared" si="8"/>
        <v>1</v>
      </c>
      <c r="AL125" s="14">
        <f>R125*'Optimal Choice'!$B$4*AE125</f>
        <v>771.54</v>
      </c>
      <c r="AM125" s="14">
        <f>S125*'Optimal Choice'!$B$9*AF125</f>
        <v>440</v>
      </c>
      <c r="AN125" s="14">
        <f>T125*'Optimal Choice'!$B$14*AG125</f>
        <v>1440</v>
      </c>
      <c r="AO125" s="14">
        <f>U125*'Optimal Choice'!$B$19*AH125</f>
        <v>2880</v>
      </c>
      <c r="AP125" s="14">
        <f>V125*'Optimal Choice'!$B$24*AI125</f>
        <v>2160</v>
      </c>
      <c r="AS125" s="12">
        <f t="shared" si="9"/>
        <v>6</v>
      </c>
      <c r="AT125" s="14">
        <f t="shared" si="10"/>
        <v>1</v>
      </c>
      <c r="AU125" s="14">
        <f t="shared" si="11"/>
        <v>1</v>
      </c>
      <c r="AV125" s="14">
        <f t="shared" si="12"/>
        <v>1</v>
      </c>
      <c r="AW125" s="14">
        <f t="shared" si="13"/>
        <v>1</v>
      </c>
      <c r="AY125" s="11">
        <f t="shared" si="14"/>
        <v>0.3498772494</v>
      </c>
    </row>
    <row r="126" ht="15.75" customHeight="1">
      <c r="A126" s="15">
        <f t="shared" si="2"/>
        <v>1.948869279</v>
      </c>
      <c r="B126" s="7">
        <f>(sum(AL126:AP126))*'Optimal Choice'!$B$28</f>
        <v>7711.54</v>
      </c>
      <c r="C126" s="11"/>
      <c r="D126" s="12"/>
      <c r="E126" s="12"/>
      <c r="F126" s="11"/>
      <c r="G126" s="11"/>
      <c r="H126" s="11"/>
      <c r="I126" s="11"/>
      <c r="J126" s="11"/>
      <c r="K126" s="11">
        <f>(X126/$B126)+(X126/('Optimal Choice'!$B$4*AS126))</f>
        <v>78.28721867</v>
      </c>
      <c r="L126" s="11">
        <f>(Y126/$B126)+(Y126/('Optimal Choice'!$B$9*AT126))</f>
        <v>86.0982481</v>
      </c>
      <c r="M126" s="11">
        <f>(Z126/$B126)+(Z126/('Optimal Choice'!$B$14*AU126))</f>
        <v>75.07782517</v>
      </c>
      <c r="N126" s="11">
        <f>(AA126/$B126)+(AA126/('Optimal Choice'!$B$19*AV126))</f>
        <v>75.46273143</v>
      </c>
      <c r="O126" s="11">
        <f>(AB126/$B126)+(AB126/('Optimal Choice'!$B$24*AW126))</f>
        <v>77.07633874</v>
      </c>
      <c r="R126" s="12">
        <f t="shared" ref="R126:V126" si="136">if(min($K125:$O125)=K125,R125+1,R125)</f>
        <v>77</v>
      </c>
      <c r="S126" s="12">
        <f t="shared" si="136"/>
        <v>23</v>
      </c>
      <c r="T126" s="12">
        <f t="shared" si="136"/>
        <v>16</v>
      </c>
      <c r="U126" s="12">
        <f t="shared" si="136"/>
        <v>8</v>
      </c>
      <c r="V126" s="12">
        <f t="shared" si="136"/>
        <v>1</v>
      </c>
      <c r="X126" s="13">
        <f> 'Optimal Choice'!$B$5*'Optimal Choice'!$B$6^(R126+1)</f>
        <v>783.4199933</v>
      </c>
      <c r="Y126" s="13">
        <f> 'Optimal Choice'!$B$10*'Optimal Choice'!$B$11^(S126+1)</f>
        <v>1717.510571</v>
      </c>
      <c r="Z126" s="13">
        <f> 'Optimal Choice'!$B$15*'Optimal Choice'!$B$16^(T126+1)</f>
        <v>6679.054222</v>
      </c>
      <c r="AA126" s="13">
        <f> 'Optimal Choice'!$B$20*'Optimal Choice'!$B$21^(U126+1)</f>
        <v>25954.92234</v>
      </c>
      <c r="AB126" s="13">
        <f> 'Optimal Choice'!$B$25*'Optimal Choice'!$B$26^(V126+1)</f>
        <v>130056.192</v>
      </c>
      <c r="AE126" s="12">
        <f t="shared" si="4"/>
        <v>6</v>
      </c>
      <c r="AF126" s="14">
        <f t="shared" si="5"/>
        <v>1</v>
      </c>
      <c r="AG126" s="14">
        <f t="shared" si="6"/>
        <v>1</v>
      </c>
      <c r="AH126" s="14">
        <f t="shared" si="7"/>
        <v>1</v>
      </c>
      <c r="AI126" s="14">
        <f t="shared" si="8"/>
        <v>1</v>
      </c>
      <c r="AL126" s="14">
        <f>R126*'Optimal Choice'!$B$4*AE126</f>
        <v>771.54</v>
      </c>
      <c r="AM126" s="14">
        <f>S126*'Optimal Choice'!$B$9*AF126</f>
        <v>460</v>
      </c>
      <c r="AN126" s="14">
        <f>T126*'Optimal Choice'!$B$14*AG126</f>
        <v>1440</v>
      </c>
      <c r="AO126" s="14">
        <f>U126*'Optimal Choice'!$B$19*AH126</f>
        <v>2880</v>
      </c>
      <c r="AP126" s="14">
        <f>V126*'Optimal Choice'!$B$24*AI126</f>
        <v>2160</v>
      </c>
      <c r="AS126" s="12">
        <f t="shared" si="9"/>
        <v>6</v>
      </c>
      <c r="AT126" s="14">
        <f t="shared" si="10"/>
        <v>1</v>
      </c>
      <c r="AU126" s="14">
        <f t="shared" si="11"/>
        <v>1</v>
      </c>
      <c r="AV126" s="14">
        <f t="shared" si="12"/>
        <v>1</v>
      </c>
      <c r="AW126" s="14">
        <f t="shared" si="13"/>
        <v>1</v>
      </c>
      <c r="AY126" s="11">
        <f t="shared" si="14"/>
        <v>0.003236212456</v>
      </c>
    </row>
    <row r="127" ht="15.75" customHeight="1">
      <c r="A127" s="15">
        <f t="shared" si="2"/>
        <v>1.963304473</v>
      </c>
      <c r="B127" s="7">
        <f>(sum(AL127:AP127))*'Optimal Choice'!$B$28</f>
        <v>7801.54</v>
      </c>
      <c r="C127" s="11"/>
      <c r="D127" s="12"/>
      <c r="E127" s="12"/>
      <c r="F127" s="11"/>
      <c r="G127" s="11"/>
      <c r="H127" s="11"/>
      <c r="I127" s="11"/>
      <c r="J127" s="11"/>
      <c r="K127" s="11">
        <f>(X127/$B127)+(X127/('Optimal Choice'!$B$4*AS127))</f>
        <v>78.28604671</v>
      </c>
      <c r="L127" s="11">
        <f>(Y127/$B127)+(Y127/('Optimal Choice'!$B$9*AT127))</f>
        <v>86.09567877</v>
      </c>
      <c r="M127" s="11">
        <f>(Z127/$B127)+(Z127/('Optimal Choice'!$B$14*AU127))</f>
        <v>85.57733024</v>
      </c>
      <c r="N127" s="11">
        <f>(AA127/$B127)+(AA127/('Optimal Choice'!$B$19*AV127))</f>
        <v>75.42390381</v>
      </c>
      <c r="O127" s="11">
        <f>(AB127/$B127)+(AB127/('Optimal Choice'!$B$24*AW127))</f>
        <v>76.8817794</v>
      </c>
      <c r="R127" s="12">
        <f t="shared" ref="R127:V127" si="137">if(min($K126:$O126)=K126,R126+1,R126)</f>
        <v>77</v>
      </c>
      <c r="S127" s="12">
        <f t="shared" si="137"/>
        <v>23</v>
      </c>
      <c r="T127" s="12">
        <f t="shared" si="137"/>
        <v>17</v>
      </c>
      <c r="U127" s="12">
        <f t="shared" si="137"/>
        <v>8</v>
      </c>
      <c r="V127" s="12">
        <f t="shared" si="137"/>
        <v>1</v>
      </c>
      <c r="X127" s="13">
        <f> 'Optimal Choice'!$B$5*'Optimal Choice'!$B$6^(R127+1)</f>
        <v>783.4199933</v>
      </c>
      <c r="Y127" s="13">
        <f> 'Optimal Choice'!$B$10*'Optimal Choice'!$B$11^(S127+1)</f>
        <v>1717.510571</v>
      </c>
      <c r="Z127" s="13">
        <f> 'Optimal Choice'!$B$15*'Optimal Choice'!$B$16^(T127+1)</f>
        <v>7614.121813</v>
      </c>
      <c r="AA127" s="13">
        <f> 'Optimal Choice'!$B$20*'Optimal Choice'!$B$21^(U127+1)</f>
        <v>25954.92234</v>
      </c>
      <c r="AB127" s="13">
        <f> 'Optimal Choice'!$B$25*'Optimal Choice'!$B$26^(V127+1)</f>
        <v>130056.192</v>
      </c>
      <c r="AE127" s="12">
        <f t="shared" si="4"/>
        <v>6</v>
      </c>
      <c r="AF127" s="14">
        <f t="shared" si="5"/>
        <v>1</v>
      </c>
      <c r="AG127" s="14">
        <f t="shared" si="6"/>
        <v>1</v>
      </c>
      <c r="AH127" s="14">
        <f t="shared" si="7"/>
        <v>1</v>
      </c>
      <c r="AI127" s="14">
        <f t="shared" si="8"/>
        <v>1</v>
      </c>
      <c r="AL127" s="14">
        <f>R127*'Optimal Choice'!$B$4*AE127</f>
        <v>771.54</v>
      </c>
      <c r="AM127" s="14">
        <f>S127*'Optimal Choice'!$B$9*AF127</f>
        <v>460</v>
      </c>
      <c r="AN127" s="14">
        <f>T127*'Optimal Choice'!$B$14*AG127</f>
        <v>1530</v>
      </c>
      <c r="AO127" s="14">
        <f>U127*'Optimal Choice'!$B$19*AH127</f>
        <v>2880</v>
      </c>
      <c r="AP127" s="14">
        <f>V127*'Optimal Choice'!$B$24*AI127</f>
        <v>2160</v>
      </c>
      <c r="AS127" s="12">
        <f t="shared" si="9"/>
        <v>6</v>
      </c>
      <c r="AT127" s="14">
        <f t="shared" si="10"/>
        <v>1</v>
      </c>
      <c r="AU127" s="14">
        <f t="shared" si="11"/>
        <v>1</v>
      </c>
      <c r="AV127" s="14">
        <f t="shared" si="12"/>
        <v>1</v>
      </c>
      <c r="AW127" s="14">
        <f t="shared" si="13"/>
        <v>1</v>
      </c>
      <c r="AY127" s="11">
        <f t="shared" si="14"/>
        <v>0.01443519328</v>
      </c>
    </row>
    <row r="128" ht="15.75" customHeight="1">
      <c r="A128" s="15">
        <f t="shared" si="2"/>
        <v>2.018752761</v>
      </c>
      <c r="B128" s="7">
        <f>(sum(AL128:AP128))*'Optimal Choice'!$B$28</f>
        <v>8161.54</v>
      </c>
      <c r="C128" s="11"/>
      <c r="D128" s="12"/>
      <c r="E128" s="12"/>
      <c r="F128" s="11"/>
      <c r="G128" s="11"/>
      <c r="H128" s="11"/>
      <c r="I128" s="11"/>
      <c r="J128" s="11"/>
      <c r="K128" s="11">
        <f>(X128/$B128)+(X128/('Optimal Choice'!$B$4*AS128))</f>
        <v>78.28161731</v>
      </c>
      <c r="L128" s="11">
        <f>(Y128/$B128)+(Y128/('Optimal Choice'!$B$9*AT128))</f>
        <v>86.08596809</v>
      </c>
      <c r="M128" s="11">
        <f>(Z128/$B128)+(Z128/('Optimal Choice'!$B$14*AU128))</f>
        <v>85.53428057</v>
      </c>
      <c r="N128" s="11">
        <f>(AA128/$B128)+(AA128/('Optimal Choice'!$B$19*AV128))</f>
        <v>85.06318698</v>
      </c>
      <c r="O128" s="11">
        <f>(AB128/$B128)+(AB128/('Optimal Choice'!$B$24*AW128))</f>
        <v>76.14645144</v>
      </c>
      <c r="R128" s="12">
        <f t="shared" ref="R128:V128" si="138">if(min($K127:$O127)=K127,R127+1,R127)</f>
        <v>77</v>
      </c>
      <c r="S128" s="12">
        <f t="shared" si="138"/>
        <v>23</v>
      </c>
      <c r="T128" s="12">
        <f t="shared" si="138"/>
        <v>17</v>
      </c>
      <c r="U128" s="12">
        <f t="shared" si="138"/>
        <v>9</v>
      </c>
      <c r="V128" s="12">
        <f t="shared" si="138"/>
        <v>1</v>
      </c>
      <c r="X128" s="13">
        <f> 'Optimal Choice'!$B$5*'Optimal Choice'!$B$6^(R128+1)</f>
        <v>783.4199933</v>
      </c>
      <c r="Y128" s="13">
        <f> 'Optimal Choice'!$B$10*'Optimal Choice'!$B$11^(S128+1)</f>
        <v>1717.510571</v>
      </c>
      <c r="Z128" s="13">
        <f> 'Optimal Choice'!$B$15*'Optimal Choice'!$B$16^(T128+1)</f>
        <v>7614.121813</v>
      </c>
      <c r="AA128" s="13">
        <f> 'Optimal Choice'!$B$20*'Optimal Choice'!$B$21^(U128+1)</f>
        <v>29329.06225</v>
      </c>
      <c r="AB128" s="13">
        <f> 'Optimal Choice'!$B$25*'Optimal Choice'!$B$26^(V128+1)</f>
        <v>130056.192</v>
      </c>
      <c r="AE128" s="12">
        <f t="shared" si="4"/>
        <v>6</v>
      </c>
      <c r="AF128" s="14">
        <f t="shared" si="5"/>
        <v>1</v>
      </c>
      <c r="AG128" s="14">
        <f t="shared" si="6"/>
        <v>1</v>
      </c>
      <c r="AH128" s="14">
        <f t="shared" si="7"/>
        <v>1</v>
      </c>
      <c r="AI128" s="14">
        <f t="shared" si="8"/>
        <v>1</v>
      </c>
      <c r="AL128" s="14">
        <f>R128*'Optimal Choice'!$B$4*AE128</f>
        <v>771.54</v>
      </c>
      <c r="AM128" s="14">
        <f>S128*'Optimal Choice'!$B$9*AF128</f>
        <v>460</v>
      </c>
      <c r="AN128" s="14">
        <f>T128*'Optimal Choice'!$B$14*AG128</f>
        <v>1530</v>
      </c>
      <c r="AO128" s="14">
        <f>U128*'Optimal Choice'!$B$19*AH128</f>
        <v>3240</v>
      </c>
      <c r="AP128" s="14">
        <f>V128*'Optimal Choice'!$B$24*AI128</f>
        <v>2160</v>
      </c>
      <c r="AS128" s="12">
        <f t="shared" si="9"/>
        <v>6</v>
      </c>
      <c r="AT128" s="14">
        <f t="shared" si="10"/>
        <v>1</v>
      </c>
      <c r="AU128" s="14">
        <f t="shared" si="11"/>
        <v>1</v>
      </c>
      <c r="AV128" s="14">
        <f t="shared" si="12"/>
        <v>1</v>
      </c>
      <c r="AW128" s="14">
        <f t="shared" si="13"/>
        <v>1</v>
      </c>
      <c r="AY128" s="11">
        <f t="shared" si="14"/>
        <v>0.0554482883</v>
      </c>
    </row>
    <row r="129" ht="15.75" customHeight="1">
      <c r="A129" s="15">
        <f t="shared" si="2"/>
        <v>2.284340285</v>
      </c>
      <c r="B129" s="7">
        <f>(sum(AL129:AP129))*'Optimal Choice'!$B$28</f>
        <v>10321.54</v>
      </c>
      <c r="C129" s="11"/>
      <c r="D129" s="12"/>
      <c r="E129" s="12"/>
      <c r="F129" s="11"/>
      <c r="G129" s="11"/>
      <c r="H129" s="11"/>
      <c r="I129" s="11"/>
      <c r="J129" s="11"/>
      <c r="K129" s="11">
        <f>(X129/$B129)+(X129/('Optimal Choice'!$B$4*AS129))</f>
        <v>78.26152954</v>
      </c>
      <c r="L129" s="11">
        <f>(Y129/$B129)+(Y129/('Optimal Choice'!$B$9*AT129))</f>
        <v>86.04192919</v>
      </c>
      <c r="M129" s="11">
        <f>(Z129/$B129)+(Z129/('Optimal Choice'!$B$14*AU129))</f>
        <v>85.33904589</v>
      </c>
      <c r="N129" s="11">
        <f>(AA129/$B129)+(AA129/('Optimal Choice'!$B$19*AV129))</f>
        <v>84.31115673</v>
      </c>
      <c r="O129" s="11">
        <f>(AB129/$B129)+(AB129/('Optimal Choice'!$B$24*AW129))</f>
        <v>81.54906355</v>
      </c>
      <c r="R129" s="12">
        <f t="shared" ref="R129:V129" si="139">if(min($K128:$O128)=K128,R128+1,R128)</f>
        <v>77</v>
      </c>
      <c r="S129" s="12">
        <f t="shared" si="139"/>
        <v>23</v>
      </c>
      <c r="T129" s="12">
        <f t="shared" si="139"/>
        <v>17</v>
      </c>
      <c r="U129" s="12">
        <f t="shared" si="139"/>
        <v>9</v>
      </c>
      <c r="V129" s="12">
        <f t="shared" si="139"/>
        <v>2</v>
      </c>
      <c r="X129" s="13">
        <f> 'Optimal Choice'!$B$5*'Optimal Choice'!$B$6^(R129+1)</f>
        <v>783.4199933</v>
      </c>
      <c r="Y129" s="13">
        <f> 'Optimal Choice'!$B$10*'Optimal Choice'!$B$11^(S129+1)</f>
        <v>1717.510571</v>
      </c>
      <c r="Z129" s="13">
        <f> 'Optimal Choice'!$B$15*'Optimal Choice'!$B$16^(T129+1)</f>
        <v>7614.121813</v>
      </c>
      <c r="AA129" s="13">
        <f> 'Optimal Choice'!$B$20*'Optimal Choice'!$B$21^(U129+1)</f>
        <v>29329.06225</v>
      </c>
      <c r="AB129" s="13">
        <f> 'Optimal Choice'!$B$25*'Optimal Choice'!$B$26^(V129+1)</f>
        <v>145662.935</v>
      </c>
      <c r="AE129" s="12">
        <f t="shared" si="4"/>
        <v>6</v>
      </c>
      <c r="AF129" s="14">
        <f t="shared" si="5"/>
        <v>1</v>
      </c>
      <c r="AG129" s="14">
        <f t="shared" si="6"/>
        <v>1</v>
      </c>
      <c r="AH129" s="14">
        <f t="shared" si="7"/>
        <v>1</v>
      </c>
      <c r="AI129" s="14">
        <f t="shared" si="8"/>
        <v>1</v>
      </c>
      <c r="AL129" s="14">
        <f>R129*'Optimal Choice'!$B$4*AE129</f>
        <v>771.54</v>
      </c>
      <c r="AM129" s="14">
        <f>S129*'Optimal Choice'!$B$9*AF129</f>
        <v>460</v>
      </c>
      <c r="AN129" s="14">
        <f>T129*'Optimal Choice'!$B$14*AG129</f>
        <v>1530</v>
      </c>
      <c r="AO129" s="14">
        <f>U129*'Optimal Choice'!$B$19*AH129</f>
        <v>3240</v>
      </c>
      <c r="AP129" s="14">
        <f>V129*'Optimal Choice'!$B$24*AI129</f>
        <v>4320</v>
      </c>
      <c r="AS129" s="12">
        <f t="shared" si="9"/>
        <v>6</v>
      </c>
      <c r="AT129" s="14">
        <f t="shared" si="10"/>
        <v>1</v>
      </c>
      <c r="AU129" s="14">
        <f t="shared" si="11"/>
        <v>1</v>
      </c>
      <c r="AV129" s="14">
        <f t="shared" si="12"/>
        <v>1</v>
      </c>
      <c r="AW129" s="14">
        <f t="shared" si="13"/>
        <v>1</v>
      </c>
      <c r="AY129" s="11">
        <f t="shared" si="14"/>
        <v>0.2655875239</v>
      </c>
    </row>
    <row r="130" ht="15.75" customHeight="1">
      <c r="A130" s="15">
        <f t="shared" si="2"/>
        <v>2.285605309</v>
      </c>
      <c r="B130" s="7">
        <f>(sum(AL130:AP130))*'Optimal Choice'!$B$28</f>
        <v>10331.56</v>
      </c>
      <c r="C130" s="11"/>
      <c r="D130" s="12"/>
      <c r="E130" s="12"/>
      <c r="F130" s="11"/>
      <c r="G130" s="11"/>
      <c r="H130" s="11"/>
      <c r="I130" s="11"/>
      <c r="J130" s="11"/>
      <c r="K130" s="11">
        <f>(X130/$B130)+(X130/('Optimal Choice'!$B$4*AS130))</f>
        <v>83.73975784</v>
      </c>
      <c r="L130" s="11">
        <f>(Y130/$B130)+(Y130/('Optimal Choice'!$B$9*AT130))</f>
        <v>86.0417678</v>
      </c>
      <c r="M130" s="11">
        <f>(Z130/$B130)+(Z130/('Optimal Choice'!$B$14*AU130))</f>
        <v>85.33833045</v>
      </c>
      <c r="N130" s="11">
        <f>(AA130/$B130)+(AA130/('Optimal Choice'!$B$19*AV130))</f>
        <v>84.30840088</v>
      </c>
      <c r="O130" s="11">
        <f>(AB130/$B130)+(AB130/('Optimal Choice'!$B$24*AW130))</f>
        <v>81.53537661</v>
      </c>
      <c r="R130" s="12">
        <f t="shared" ref="R130:V130" si="140">if(min($K129:$O129)=K129,R129+1,R129)</f>
        <v>78</v>
      </c>
      <c r="S130" s="12">
        <f t="shared" si="140"/>
        <v>23</v>
      </c>
      <c r="T130" s="12">
        <f t="shared" si="140"/>
        <v>17</v>
      </c>
      <c r="U130" s="12">
        <f t="shared" si="140"/>
        <v>9</v>
      </c>
      <c r="V130" s="12">
        <f t="shared" si="140"/>
        <v>2</v>
      </c>
      <c r="X130" s="13">
        <f> 'Optimal Choice'!$B$5*'Optimal Choice'!$B$6^(R130+1)</f>
        <v>838.2593928</v>
      </c>
      <c r="Y130" s="13">
        <f> 'Optimal Choice'!$B$10*'Optimal Choice'!$B$11^(S130+1)</f>
        <v>1717.510571</v>
      </c>
      <c r="Z130" s="13">
        <f> 'Optimal Choice'!$B$15*'Optimal Choice'!$B$16^(T130+1)</f>
        <v>7614.121813</v>
      </c>
      <c r="AA130" s="13">
        <f> 'Optimal Choice'!$B$20*'Optimal Choice'!$B$21^(U130+1)</f>
        <v>29329.06225</v>
      </c>
      <c r="AB130" s="13">
        <f> 'Optimal Choice'!$B$25*'Optimal Choice'!$B$26^(V130+1)</f>
        <v>145662.935</v>
      </c>
      <c r="AE130" s="12">
        <f t="shared" si="4"/>
        <v>6</v>
      </c>
      <c r="AF130" s="14">
        <f t="shared" si="5"/>
        <v>1</v>
      </c>
      <c r="AG130" s="14">
        <f t="shared" si="6"/>
        <v>1</v>
      </c>
      <c r="AH130" s="14">
        <f t="shared" si="7"/>
        <v>1</v>
      </c>
      <c r="AI130" s="14">
        <f t="shared" si="8"/>
        <v>1</v>
      </c>
      <c r="AL130" s="14">
        <f>R130*'Optimal Choice'!$B$4*AE130</f>
        <v>781.56</v>
      </c>
      <c r="AM130" s="14">
        <f>S130*'Optimal Choice'!$B$9*AF130</f>
        <v>460</v>
      </c>
      <c r="AN130" s="14">
        <f>T130*'Optimal Choice'!$B$14*AG130</f>
        <v>1530</v>
      </c>
      <c r="AO130" s="14">
        <f>U130*'Optimal Choice'!$B$19*AH130</f>
        <v>3240</v>
      </c>
      <c r="AP130" s="14">
        <f>V130*'Optimal Choice'!$B$24*AI130</f>
        <v>4320</v>
      </c>
      <c r="AS130" s="12">
        <f t="shared" si="9"/>
        <v>6</v>
      </c>
      <c r="AT130" s="14">
        <f t="shared" si="10"/>
        <v>1</v>
      </c>
      <c r="AU130" s="14">
        <f t="shared" si="11"/>
        <v>1</v>
      </c>
      <c r="AV130" s="14">
        <f t="shared" si="12"/>
        <v>1</v>
      </c>
      <c r="AW130" s="14">
        <f t="shared" si="13"/>
        <v>1</v>
      </c>
      <c r="AY130" s="11">
        <f t="shared" si="14"/>
        <v>0.001265024394</v>
      </c>
    </row>
    <row r="131" ht="15.75" customHeight="1">
      <c r="A131" s="15">
        <f t="shared" si="2"/>
        <v>2.520585853</v>
      </c>
      <c r="B131" s="7">
        <f>(sum(AL131:AP131))*'Optimal Choice'!$B$28</f>
        <v>12491.56</v>
      </c>
      <c r="C131" s="11"/>
      <c r="D131" s="12"/>
      <c r="E131" s="12"/>
      <c r="F131" s="11"/>
      <c r="G131" s="11"/>
      <c r="H131" s="11"/>
      <c r="I131" s="11"/>
      <c r="J131" s="11"/>
      <c r="K131" s="11">
        <f>(X131/$B131)+(X131/('Optimal Choice'!$B$4*AS131))</f>
        <v>83.7257281</v>
      </c>
      <c r="L131" s="11">
        <f>(Y131/$B131)+(Y131/('Optimal Choice'!$B$9*AT131))</f>
        <v>86.01302225</v>
      </c>
      <c r="M131" s="11">
        <f>(Z131/$B131)+(Z131/('Optimal Choice'!$B$14*AU131))</f>
        <v>85.21089478</v>
      </c>
      <c r="N131" s="11">
        <f>(AA131/$B131)+(AA131/('Optimal Choice'!$B$19*AV131))</f>
        <v>83.81752765</v>
      </c>
      <c r="O131" s="11">
        <f>(AB131/$B131)+(AB131/('Optimal Choice'!$B$24*AW131))</f>
        <v>88.58914652</v>
      </c>
      <c r="R131" s="12">
        <f t="shared" ref="R131:V131" si="141">if(min($K130:$O130)=K130,R130+1,R130)</f>
        <v>78</v>
      </c>
      <c r="S131" s="12">
        <f t="shared" si="141"/>
        <v>23</v>
      </c>
      <c r="T131" s="12">
        <f t="shared" si="141"/>
        <v>17</v>
      </c>
      <c r="U131" s="12">
        <f t="shared" si="141"/>
        <v>9</v>
      </c>
      <c r="V131" s="12">
        <f t="shared" si="141"/>
        <v>3</v>
      </c>
      <c r="X131" s="13">
        <f> 'Optimal Choice'!$B$5*'Optimal Choice'!$B$6^(R131+1)</f>
        <v>838.2593928</v>
      </c>
      <c r="Y131" s="13">
        <f> 'Optimal Choice'!$B$10*'Optimal Choice'!$B$11^(S131+1)</f>
        <v>1717.510571</v>
      </c>
      <c r="Z131" s="13">
        <f> 'Optimal Choice'!$B$15*'Optimal Choice'!$B$16^(T131+1)</f>
        <v>7614.121813</v>
      </c>
      <c r="AA131" s="13">
        <f> 'Optimal Choice'!$B$20*'Optimal Choice'!$B$21^(U131+1)</f>
        <v>29329.06225</v>
      </c>
      <c r="AB131" s="13">
        <f> 'Optimal Choice'!$B$25*'Optimal Choice'!$B$26^(V131+1)</f>
        <v>163142.4872</v>
      </c>
      <c r="AE131" s="12">
        <f t="shared" si="4"/>
        <v>6</v>
      </c>
      <c r="AF131" s="14">
        <f t="shared" si="5"/>
        <v>1</v>
      </c>
      <c r="AG131" s="14">
        <f t="shared" si="6"/>
        <v>1</v>
      </c>
      <c r="AH131" s="14">
        <f t="shared" si="7"/>
        <v>1</v>
      </c>
      <c r="AI131" s="14">
        <f t="shared" si="8"/>
        <v>1</v>
      </c>
      <c r="AL131" s="14">
        <f>R131*'Optimal Choice'!$B$4*AE131</f>
        <v>781.56</v>
      </c>
      <c r="AM131" s="14">
        <f>S131*'Optimal Choice'!$B$9*AF131</f>
        <v>460</v>
      </c>
      <c r="AN131" s="14">
        <f>T131*'Optimal Choice'!$B$14*AG131</f>
        <v>1530</v>
      </c>
      <c r="AO131" s="14">
        <f>U131*'Optimal Choice'!$B$19*AH131</f>
        <v>3240</v>
      </c>
      <c r="AP131" s="14">
        <f>V131*'Optimal Choice'!$B$24*AI131</f>
        <v>6480</v>
      </c>
      <c r="AS131" s="12">
        <f t="shared" si="9"/>
        <v>6</v>
      </c>
      <c r="AT131" s="14">
        <f t="shared" si="10"/>
        <v>1</v>
      </c>
      <c r="AU131" s="14">
        <f t="shared" si="11"/>
        <v>1</v>
      </c>
      <c r="AV131" s="14">
        <f t="shared" si="12"/>
        <v>1</v>
      </c>
      <c r="AW131" s="14">
        <f t="shared" si="13"/>
        <v>1</v>
      </c>
      <c r="AY131" s="11">
        <f t="shared" si="14"/>
        <v>0.2349805435</v>
      </c>
    </row>
    <row r="132" ht="15.75" customHeight="1">
      <c r="A132" s="15">
        <f t="shared" si="2"/>
        <v>2.521704287</v>
      </c>
      <c r="B132" s="7">
        <f>(sum(AL132:AP132))*'Optimal Choice'!$B$28</f>
        <v>12501.58</v>
      </c>
      <c r="C132" s="11"/>
      <c r="D132" s="12"/>
      <c r="E132" s="12"/>
      <c r="F132" s="11"/>
      <c r="G132" s="11"/>
      <c r="H132" s="11"/>
      <c r="I132" s="11"/>
      <c r="J132" s="11"/>
      <c r="K132" s="11">
        <f>(X132/$B132)+(X132/('Optimal Choice'!$B$4*AS132))</f>
        <v>89.58647152</v>
      </c>
      <c r="L132" s="11">
        <f>(Y132/$B132)+(Y132/('Optimal Choice'!$B$9*AT132))</f>
        <v>86.01291205</v>
      </c>
      <c r="M132" s="11">
        <f>(Z132/$B132)+(Z132/('Optimal Choice'!$B$14*AU132))</f>
        <v>85.21040623</v>
      </c>
      <c r="N132" s="11">
        <f>(AA132/$B132)+(AA132/('Optimal Choice'!$B$19*AV132))</f>
        <v>83.8156458</v>
      </c>
      <c r="O132" s="11">
        <f>(AB132/$B132)+(AB132/('Optimal Choice'!$B$24*AW132))</f>
        <v>88.57867877</v>
      </c>
      <c r="R132" s="12">
        <f t="shared" ref="R132:V132" si="142">if(min($K131:$O131)=K131,R131+1,R131)</f>
        <v>79</v>
      </c>
      <c r="S132" s="12">
        <f t="shared" si="142"/>
        <v>23</v>
      </c>
      <c r="T132" s="12">
        <f t="shared" si="142"/>
        <v>17</v>
      </c>
      <c r="U132" s="12">
        <f t="shared" si="142"/>
        <v>9</v>
      </c>
      <c r="V132" s="12">
        <f t="shared" si="142"/>
        <v>3</v>
      </c>
      <c r="X132" s="13">
        <f> 'Optimal Choice'!$B$5*'Optimal Choice'!$B$6^(R132+1)</f>
        <v>896.9375503</v>
      </c>
      <c r="Y132" s="13">
        <f> 'Optimal Choice'!$B$10*'Optimal Choice'!$B$11^(S132+1)</f>
        <v>1717.510571</v>
      </c>
      <c r="Z132" s="13">
        <f> 'Optimal Choice'!$B$15*'Optimal Choice'!$B$16^(T132+1)</f>
        <v>7614.121813</v>
      </c>
      <c r="AA132" s="13">
        <f> 'Optimal Choice'!$B$20*'Optimal Choice'!$B$21^(U132+1)</f>
        <v>29329.06225</v>
      </c>
      <c r="AB132" s="13">
        <f> 'Optimal Choice'!$B$25*'Optimal Choice'!$B$26^(V132+1)</f>
        <v>163142.4872</v>
      </c>
      <c r="AE132" s="12">
        <f t="shared" si="4"/>
        <v>6</v>
      </c>
      <c r="AF132" s="14">
        <f t="shared" si="5"/>
        <v>1</v>
      </c>
      <c r="AG132" s="14">
        <f t="shared" si="6"/>
        <v>1</v>
      </c>
      <c r="AH132" s="14">
        <f t="shared" si="7"/>
        <v>1</v>
      </c>
      <c r="AI132" s="14">
        <f t="shared" si="8"/>
        <v>1</v>
      </c>
      <c r="AL132" s="14">
        <f>R132*'Optimal Choice'!$B$4*AE132</f>
        <v>791.58</v>
      </c>
      <c r="AM132" s="14">
        <f>S132*'Optimal Choice'!$B$9*AF132</f>
        <v>460</v>
      </c>
      <c r="AN132" s="14">
        <f>T132*'Optimal Choice'!$B$14*AG132</f>
        <v>1530</v>
      </c>
      <c r="AO132" s="14">
        <f>U132*'Optimal Choice'!$B$19*AH132</f>
        <v>3240</v>
      </c>
      <c r="AP132" s="14">
        <f>V132*'Optimal Choice'!$B$24*AI132</f>
        <v>6480</v>
      </c>
      <c r="AS132" s="12">
        <f t="shared" si="9"/>
        <v>6</v>
      </c>
      <c r="AT132" s="14">
        <f t="shared" si="10"/>
        <v>1</v>
      </c>
      <c r="AU132" s="14">
        <f t="shared" si="11"/>
        <v>1</v>
      </c>
      <c r="AV132" s="14">
        <f t="shared" si="12"/>
        <v>1</v>
      </c>
      <c r="AW132" s="14">
        <f t="shared" si="13"/>
        <v>1</v>
      </c>
      <c r="AY132" s="11">
        <f t="shared" si="14"/>
        <v>0.001118434357</v>
      </c>
    </row>
    <row r="133" ht="15.75" customHeight="1">
      <c r="A133" s="15">
        <f t="shared" si="2"/>
        <v>2.560804761</v>
      </c>
      <c r="B133" s="7">
        <f>(sum(AL133:AP133))*'Optimal Choice'!$B$28</f>
        <v>12861.58</v>
      </c>
      <c r="C133" s="11"/>
      <c r="D133" s="12"/>
      <c r="E133" s="12"/>
      <c r="F133" s="11"/>
      <c r="G133" s="11"/>
      <c r="H133" s="11"/>
      <c r="I133" s="11"/>
      <c r="J133" s="11"/>
      <c r="K133" s="11">
        <f>(X133/$B133)+(X133/('Optimal Choice'!$B$4*AS133))</f>
        <v>89.58446332</v>
      </c>
      <c r="L133" s="11">
        <f>(Y133/$B133)+(Y133/('Optimal Choice'!$B$9*AT133))</f>
        <v>86.00906664</v>
      </c>
      <c r="M133" s="11">
        <f>(Z133/$B133)+(Z133/('Optimal Choice'!$B$14*AU133))</f>
        <v>85.19335864</v>
      </c>
      <c r="N133" s="11">
        <f>(AA133/$B133)+(AA133/('Optimal Choice'!$B$19*AV133))</f>
        <v>94.63747702</v>
      </c>
      <c r="O133" s="11">
        <f>(AB133/$B133)+(AB133/('Optimal Choice'!$B$24*AW133))</f>
        <v>88.21341184</v>
      </c>
      <c r="R133" s="12">
        <f t="shared" ref="R133:V133" si="143">if(min($K132:$O132)=K132,R132+1,R132)</f>
        <v>79</v>
      </c>
      <c r="S133" s="12">
        <f t="shared" si="143"/>
        <v>23</v>
      </c>
      <c r="T133" s="12">
        <f t="shared" si="143"/>
        <v>17</v>
      </c>
      <c r="U133" s="12">
        <f t="shared" si="143"/>
        <v>10</v>
      </c>
      <c r="V133" s="12">
        <f t="shared" si="143"/>
        <v>3</v>
      </c>
      <c r="X133" s="13">
        <f> 'Optimal Choice'!$B$5*'Optimal Choice'!$B$6^(R133+1)</f>
        <v>896.9375503</v>
      </c>
      <c r="Y133" s="13">
        <f> 'Optimal Choice'!$B$10*'Optimal Choice'!$B$11^(S133+1)</f>
        <v>1717.510571</v>
      </c>
      <c r="Z133" s="13">
        <f> 'Optimal Choice'!$B$15*'Optimal Choice'!$B$16^(T133+1)</f>
        <v>7614.121813</v>
      </c>
      <c r="AA133" s="13">
        <f> 'Optimal Choice'!$B$20*'Optimal Choice'!$B$21^(U133+1)</f>
        <v>33141.84034</v>
      </c>
      <c r="AB133" s="13">
        <f> 'Optimal Choice'!$B$25*'Optimal Choice'!$B$26^(V133+1)</f>
        <v>163142.4872</v>
      </c>
      <c r="AE133" s="12">
        <f t="shared" si="4"/>
        <v>6</v>
      </c>
      <c r="AF133" s="14">
        <f t="shared" si="5"/>
        <v>1</v>
      </c>
      <c r="AG133" s="14">
        <f t="shared" si="6"/>
        <v>1</v>
      </c>
      <c r="AH133" s="14">
        <f t="shared" si="7"/>
        <v>1</v>
      </c>
      <c r="AI133" s="14">
        <f t="shared" si="8"/>
        <v>1</v>
      </c>
      <c r="AL133" s="14">
        <f>R133*'Optimal Choice'!$B$4*AE133</f>
        <v>791.58</v>
      </c>
      <c r="AM133" s="14">
        <f>S133*'Optimal Choice'!$B$9*AF133</f>
        <v>460</v>
      </c>
      <c r="AN133" s="14">
        <f>T133*'Optimal Choice'!$B$14*AG133</f>
        <v>1530</v>
      </c>
      <c r="AO133" s="14">
        <f>U133*'Optimal Choice'!$B$19*AH133</f>
        <v>3600</v>
      </c>
      <c r="AP133" s="14">
        <f>V133*'Optimal Choice'!$B$24*AI133</f>
        <v>6480</v>
      </c>
      <c r="AS133" s="12">
        <f t="shared" si="9"/>
        <v>6</v>
      </c>
      <c r="AT133" s="14">
        <f t="shared" si="10"/>
        <v>1</v>
      </c>
      <c r="AU133" s="14">
        <f t="shared" si="11"/>
        <v>1</v>
      </c>
      <c r="AV133" s="14">
        <f t="shared" si="12"/>
        <v>1</v>
      </c>
      <c r="AW133" s="14">
        <f t="shared" si="13"/>
        <v>1</v>
      </c>
      <c r="AY133" s="11">
        <f t="shared" si="14"/>
        <v>0.03910047403</v>
      </c>
    </row>
    <row r="134" ht="15.75" customHeight="1">
      <c r="A134" s="15">
        <f t="shared" si="2"/>
        <v>2.570671514</v>
      </c>
      <c r="B134" s="7">
        <f>(sum(AL134:AP134))*'Optimal Choice'!$B$28</f>
        <v>12951.58</v>
      </c>
      <c r="C134" s="11"/>
      <c r="D134" s="12"/>
      <c r="E134" s="12"/>
      <c r="F134" s="11"/>
      <c r="G134" s="11"/>
      <c r="H134" s="11"/>
      <c r="I134" s="11"/>
      <c r="J134" s="11"/>
      <c r="K134" s="11">
        <f>(X134/$B134)+(X134/('Optimal Choice'!$B$4*AS134))</f>
        <v>89.58397872</v>
      </c>
      <c r="L134" s="11">
        <f>(Y134/$B134)+(Y134/('Optimal Choice'!$B$9*AT134))</f>
        <v>86.00813869</v>
      </c>
      <c r="M134" s="11">
        <f>(Z134/$B134)+(Z134/('Optimal Choice'!$B$14*AU134))</f>
        <v>97.1157391</v>
      </c>
      <c r="N134" s="11">
        <f>(AA134/$B134)+(AA134/('Optimal Choice'!$B$19*AV134))</f>
        <v>94.61957088</v>
      </c>
      <c r="O134" s="11">
        <f>(AB134/$B134)+(AB134/('Optimal Choice'!$B$24*AW134))</f>
        <v>88.12526789</v>
      </c>
      <c r="R134" s="12">
        <f t="shared" ref="R134:V134" si="144">if(min($K133:$O133)=K133,R133+1,R133)</f>
        <v>79</v>
      </c>
      <c r="S134" s="12">
        <f t="shared" si="144"/>
        <v>23</v>
      </c>
      <c r="T134" s="12">
        <f t="shared" si="144"/>
        <v>18</v>
      </c>
      <c r="U134" s="12">
        <f t="shared" si="144"/>
        <v>10</v>
      </c>
      <c r="V134" s="12">
        <f t="shared" si="144"/>
        <v>3</v>
      </c>
      <c r="X134" s="13">
        <f> 'Optimal Choice'!$B$5*'Optimal Choice'!$B$6^(R134+1)</f>
        <v>896.9375503</v>
      </c>
      <c r="Y134" s="13">
        <f> 'Optimal Choice'!$B$10*'Optimal Choice'!$B$11^(S134+1)</f>
        <v>1717.510571</v>
      </c>
      <c r="Z134" s="13">
        <f> 'Optimal Choice'!$B$15*'Optimal Choice'!$B$16^(T134+1)</f>
        <v>8680.098866</v>
      </c>
      <c r="AA134" s="13">
        <f> 'Optimal Choice'!$B$20*'Optimal Choice'!$B$21^(U134+1)</f>
        <v>33141.84034</v>
      </c>
      <c r="AB134" s="13">
        <f> 'Optimal Choice'!$B$25*'Optimal Choice'!$B$26^(V134+1)</f>
        <v>163142.4872</v>
      </c>
      <c r="AE134" s="12">
        <f t="shared" si="4"/>
        <v>6</v>
      </c>
      <c r="AF134" s="14">
        <f t="shared" si="5"/>
        <v>1</v>
      </c>
      <c r="AG134" s="14">
        <f t="shared" si="6"/>
        <v>1</v>
      </c>
      <c r="AH134" s="14">
        <f t="shared" si="7"/>
        <v>1</v>
      </c>
      <c r="AI134" s="14">
        <f t="shared" si="8"/>
        <v>1</v>
      </c>
      <c r="AL134" s="14">
        <f>R134*'Optimal Choice'!$B$4*AE134</f>
        <v>791.58</v>
      </c>
      <c r="AM134" s="14">
        <f>S134*'Optimal Choice'!$B$9*AF134</f>
        <v>460</v>
      </c>
      <c r="AN134" s="14">
        <f>T134*'Optimal Choice'!$B$14*AG134</f>
        <v>1620</v>
      </c>
      <c r="AO134" s="14">
        <f>U134*'Optimal Choice'!$B$19*AH134</f>
        <v>3600</v>
      </c>
      <c r="AP134" s="14">
        <f>V134*'Optimal Choice'!$B$24*AI134</f>
        <v>6480</v>
      </c>
      <c r="AS134" s="12">
        <f t="shared" si="9"/>
        <v>6</v>
      </c>
      <c r="AT134" s="14">
        <f t="shared" si="10"/>
        <v>1</v>
      </c>
      <c r="AU134" s="14">
        <f t="shared" si="11"/>
        <v>1</v>
      </c>
      <c r="AV134" s="14">
        <f t="shared" si="12"/>
        <v>1</v>
      </c>
      <c r="AW134" s="14">
        <f t="shared" si="13"/>
        <v>1</v>
      </c>
      <c r="AY134" s="11">
        <f t="shared" si="14"/>
        <v>0.009866752779</v>
      </c>
    </row>
    <row r="135" ht="15.75" customHeight="1">
      <c r="A135" s="15">
        <f t="shared" si="2"/>
        <v>2.572881682</v>
      </c>
      <c r="B135" s="7">
        <f>(sum(AL135:AP135))*'Optimal Choice'!$B$28</f>
        <v>12971.58</v>
      </c>
      <c r="C135" s="11"/>
      <c r="D135" s="12"/>
      <c r="E135" s="12"/>
      <c r="F135" s="11"/>
      <c r="G135" s="11"/>
      <c r="H135" s="11"/>
      <c r="I135" s="11"/>
      <c r="J135" s="11"/>
      <c r="K135" s="11">
        <f>(X135/$B135)+(X135/('Optimal Choice'!$B$4*AS135))</f>
        <v>89.58387194</v>
      </c>
      <c r="L135" s="11">
        <f>(Y135/$B135)+(Y135/('Optimal Choice'!$B$9*AT135))</f>
        <v>19.90363808</v>
      </c>
      <c r="M135" s="11">
        <f>(Z135/$B135)+(Z135/('Optimal Choice'!$B$14*AU135))</f>
        <v>97.11470577</v>
      </c>
      <c r="N135" s="11">
        <f>(AA135/$B135)+(AA135/('Optimal Choice'!$B$19*AV135))</f>
        <v>94.61562548</v>
      </c>
      <c r="O135" s="11">
        <f>(AB135/$B135)+(AB135/('Optimal Choice'!$B$24*AW135))</f>
        <v>88.10584645</v>
      </c>
      <c r="R135" s="12">
        <f t="shared" ref="R135:V135" si="145">if(min($K134:$O134)=K134,R134+1,R134)</f>
        <v>79</v>
      </c>
      <c r="S135" s="12">
        <f t="shared" si="145"/>
        <v>24</v>
      </c>
      <c r="T135" s="12">
        <f t="shared" si="145"/>
        <v>18</v>
      </c>
      <c r="U135" s="12">
        <f t="shared" si="145"/>
        <v>10</v>
      </c>
      <c r="V135" s="12">
        <f t="shared" si="145"/>
        <v>3</v>
      </c>
      <c r="X135" s="13">
        <f> 'Optimal Choice'!$B$5*'Optimal Choice'!$B$6^(R135+1)</f>
        <v>896.9375503</v>
      </c>
      <c r="Y135" s="13">
        <f> 'Optimal Choice'!$B$10*'Optimal Choice'!$B$11^(S135+1)</f>
        <v>1975.137157</v>
      </c>
      <c r="Z135" s="13">
        <f> 'Optimal Choice'!$B$15*'Optimal Choice'!$B$16^(T135+1)</f>
        <v>8680.098866</v>
      </c>
      <c r="AA135" s="13">
        <f> 'Optimal Choice'!$B$20*'Optimal Choice'!$B$21^(U135+1)</f>
        <v>33141.84034</v>
      </c>
      <c r="AB135" s="13">
        <f> 'Optimal Choice'!$B$25*'Optimal Choice'!$B$26^(V135+1)</f>
        <v>163142.4872</v>
      </c>
      <c r="AE135" s="12">
        <f t="shared" si="4"/>
        <v>6</v>
      </c>
      <c r="AF135" s="14">
        <f t="shared" si="5"/>
        <v>1</v>
      </c>
      <c r="AG135" s="14">
        <f t="shared" si="6"/>
        <v>1</v>
      </c>
      <c r="AH135" s="14">
        <f t="shared" si="7"/>
        <v>1</v>
      </c>
      <c r="AI135" s="14">
        <f t="shared" si="8"/>
        <v>1</v>
      </c>
      <c r="AL135" s="14">
        <f>R135*'Optimal Choice'!$B$4*AE135</f>
        <v>791.58</v>
      </c>
      <c r="AM135" s="14">
        <f>S135*'Optimal Choice'!$B$9*AF135</f>
        <v>480</v>
      </c>
      <c r="AN135" s="14">
        <f>T135*'Optimal Choice'!$B$14*AG135</f>
        <v>1620</v>
      </c>
      <c r="AO135" s="14">
        <f>U135*'Optimal Choice'!$B$19*AH135</f>
        <v>3600</v>
      </c>
      <c r="AP135" s="14">
        <f>V135*'Optimal Choice'!$B$24*AI135</f>
        <v>6480</v>
      </c>
      <c r="AS135" s="12">
        <f t="shared" si="9"/>
        <v>6</v>
      </c>
      <c r="AT135" s="12">
        <f t="shared" si="10"/>
        <v>5</v>
      </c>
      <c r="AU135" s="14">
        <f t="shared" si="11"/>
        <v>1</v>
      </c>
      <c r="AV135" s="14">
        <f t="shared" si="12"/>
        <v>1</v>
      </c>
      <c r="AW135" s="14">
        <f t="shared" si="13"/>
        <v>1</v>
      </c>
      <c r="AY135" s="11">
        <f t="shared" si="14"/>
        <v>0.002210168658</v>
      </c>
    </row>
    <row r="136" ht="15.75" customHeight="1">
      <c r="A136" s="15">
        <f t="shared" si="2"/>
        <v>2.575419458</v>
      </c>
      <c r="B136" s="7">
        <f>(sum(AL136:AP136))*'Optimal Choice'!$B$28</f>
        <v>14991.58</v>
      </c>
      <c r="C136" s="11"/>
      <c r="D136" s="12"/>
      <c r="E136" s="12"/>
      <c r="F136" s="11"/>
      <c r="G136" s="11"/>
      <c r="H136" s="11"/>
      <c r="I136" s="11"/>
      <c r="J136" s="11"/>
      <c r="K136" s="11">
        <f>(X136/$B136)+(X136/('Optimal Choice'!$B$4*AS136))</f>
        <v>89.574555</v>
      </c>
      <c r="L136" s="11">
        <f>(Y136/$B136)+(Y136/('Optimal Choice'!$B$9*AT136))</f>
        <v>22.86558954</v>
      </c>
      <c r="M136" s="11">
        <f>(Z136/$B136)+(Z136/('Optimal Choice'!$B$14*AU136))</f>
        <v>97.02454123</v>
      </c>
      <c r="N136" s="11">
        <f>(AA136/$B136)+(AA136/('Optimal Choice'!$B$19*AV136))</f>
        <v>94.27136458</v>
      </c>
      <c r="O136" s="11">
        <f>(AB136/$B136)+(AB136/('Optimal Choice'!$B$24*AW136))</f>
        <v>86.41120368</v>
      </c>
      <c r="R136" s="12">
        <f t="shared" ref="R136:V136" si="146">if(min($K135:$O135)=K135,R135+1,R135)</f>
        <v>79</v>
      </c>
      <c r="S136" s="12">
        <f t="shared" si="146"/>
        <v>25</v>
      </c>
      <c r="T136" s="12">
        <f t="shared" si="146"/>
        <v>18</v>
      </c>
      <c r="U136" s="12">
        <f t="shared" si="146"/>
        <v>10</v>
      </c>
      <c r="V136" s="12">
        <f t="shared" si="146"/>
        <v>3</v>
      </c>
      <c r="X136" s="13">
        <f> 'Optimal Choice'!$B$5*'Optimal Choice'!$B$6^(R136+1)</f>
        <v>896.9375503</v>
      </c>
      <c r="Y136" s="13">
        <f> 'Optimal Choice'!$B$10*'Optimal Choice'!$B$11^(S136+1)</f>
        <v>2271.407731</v>
      </c>
      <c r="Z136" s="13">
        <f> 'Optimal Choice'!$B$15*'Optimal Choice'!$B$16^(T136+1)</f>
        <v>8680.098866</v>
      </c>
      <c r="AA136" s="13">
        <f> 'Optimal Choice'!$B$20*'Optimal Choice'!$B$21^(U136+1)</f>
        <v>33141.84034</v>
      </c>
      <c r="AB136" s="13">
        <f> 'Optimal Choice'!$B$25*'Optimal Choice'!$B$26^(V136+1)</f>
        <v>163142.4872</v>
      </c>
      <c r="AE136" s="12">
        <f t="shared" si="4"/>
        <v>6</v>
      </c>
      <c r="AF136" s="12">
        <f t="shared" si="5"/>
        <v>5</v>
      </c>
      <c r="AG136" s="14">
        <f t="shared" si="6"/>
        <v>1</v>
      </c>
      <c r="AH136" s="14">
        <f t="shared" si="7"/>
        <v>1</v>
      </c>
      <c r="AI136" s="14">
        <f t="shared" si="8"/>
        <v>1</v>
      </c>
      <c r="AL136" s="14">
        <f>R136*'Optimal Choice'!$B$4*AE136</f>
        <v>791.58</v>
      </c>
      <c r="AM136" s="14">
        <f>S136*'Optimal Choice'!$B$9*AF136</f>
        <v>2500</v>
      </c>
      <c r="AN136" s="14">
        <f>T136*'Optimal Choice'!$B$14*AG136</f>
        <v>1620</v>
      </c>
      <c r="AO136" s="14">
        <f>U136*'Optimal Choice'!$B$19*AH136</f>
        <v>3600</v>
      </c>
      <c r="AP136" s="14">
        <f>V136*'Optimal Choice'!$B$24*AI136</f>
        <v>6480</v>
      </c>
      <c r="AS136" s="12">
        <f t="shared" si="9"/>
        <v>6</v>
      </c>
      <c r="AT136" s="12">
        <f t="shared" si="10"/>
        <v>5</v>
      </c>
      <c r="AU136" s="14">
        <f t="shared" si="11"/>
        <v>1</v>
      </c>
      <c r="AV136" s="14">
        <f t="shared" si="12"/>
        <v>1</v>
      </c>
      <c r="AW136" s="14">
        <f t="shared" si="13"/>
        <v>1</v>
      </c>
      <c r="AY136" s="11">
        <f t="shared" si="14"/>
        <v>0.002537775091</v>
      </c>
    </row>
    <row r="137" ht="15.75" customHeight="1">
      <c r="A137" s="15">
        <f t="shared" si="2"/>
        <v>2.577944661</v>
      </c>
      <c r="B137" s="7">
        <f>(sum(AL137:AP137))*'Optimal Choice'!$B$28</f>
        <v>15091.58</v>
      </c>
      <c r="C137" s="11"/>
      <c r="D137" s="12"/>
      <c r="E137" s="12"/>
      <c r="F137" s="11"/>
      <c r="G137" s="11"/>
      <c r="H137" s="11"/>
      <c r="I137" s="11"/>
      <c r="J137" s="11"/>
      <c r="K137" s="11">
        <f>(X137/$B137)+(X137/('Optimal Choice'!$B$4*AS137))</f>
        <v>89.57415856</v>
      </c>
      <c r="L137" s="11">
        <f>(Y137/$B137)+(Y137/('Optimal Choice'!$B$9*AT137))</f>
        <v>26.29427342</v>
      </c>
      <c r="M137" s="11">
        <f>(Z137/$B137)+(Z137/('Optimal Choice'!$B$14*AU137))</f>
        <v>97.02070466</v>
      </c>
      <c r="N137" s="11">
        <f>(AA137/$B137)+(AA137/('Optimal Choice'!$B$19*AV137))</f>
        <v>94.25671603</v>
      </c>
      <c r="O137" s="11">
        <f>(AB137/$B137)+(AB137/('Optimal Choice'!$B$24*AW137))</f>
        <v>86.33909543</v>
      </c>
      <c r="R137" s="12">
        <f t="shared" ref="R137:V137" si="147">if(min($K136:$O136)=K136,R136+1,R136)</f>
        <v>79</v>
      </c>
      <c r="S137" s="12">
        <f t="shared" si="147"/>
        <v>26</v>
      </c>
      <c r="T137" s="12">
        <f t="shared" si="147"/>
        <v>18</v>
      </c>
      <c r="U137" s="12">
        <f t="shared" si="147"/>
        <v>10</v>
      </c>
      <c r="V137" s="12">
        <f t="shared" si="147"/>
        <v>3</v>
      </c>
      <c r="X137" s="13">
        <f> 'Optimal Choice'!$B$5*'Optimal Choice'!$B$6^(R137+1)</f>
        <v>896.9375503</v>
      </c>
      <c r="Y137" s="13">
        <f> 'Optimal Choice'!$B$10*'Optimal Choice'!$B$11^(S137+1)</f>
        <v>2612.11889</v>
      </c>
      <c r="Z137" s="13">
        <f> 'Optimal Choice'!$B$15*'Optimal Choice'!$B$16^(T137+1)</f>
        <v>8680.098866</v>
      </c>
      <c r="AA137" s="13">
        <f> 'Optimal Choice'!$B$20*'Optimal Choice'!$B$21^(U137+1)</f>
        <v>33141.84034</v>
      </c>
      <c r="AB137" s="13">
        <f> 'Optimal Choice'!$B$25*'Optimal Choice'!$B$26^(V137+1)</f>
        <v>163142.4872</v>
      </c>
      <c r="AE137" s="12">
        <f t="shared" si="4"/>
        <v>6</v>
      </c>
      <c r="AF137" s="12">
        <f t="shared" si="5"/>
        <v>5</v>
      </c>
      <c r="AG137" s="14">
        <f t="shared" si="6"/>
        <v>1</v>
      </c>
      <c r="AH137" s="14">
        <f t="shared" si="7"/>
        <v>1</v>
      </c>
      <c r="AI137" s="14">
        <f t="shared" si="8"/>
        <v>1</v>
      </c>
      <c r="AL137" s="14">
        <f>R137*'Optimal Choice'!$B$4*AE137</f>
        <v>791.58</v>
      </c>
      <c r="AM137" s="14">
        <f>S137*'Optimal Choice'!$B$9*AF137</f>
        <v>2600</v>
      </c>
      <c r="AN137" s="14">
        <f>T137*'Optimal Choice'!$B$14*AG137</f>
        <v>1620</v>
      </c>
      <c r="AO137" s="14">
        <f>U137*'Optimal Choice'!$B$19*AH137</f>
        <v>3600</v>
      </c>
      <c r="AP137" s="14">
        <f>V137*'Optimal Choice'!$B$24*AI137</f>
        <v>6480</v>
      </c>
      <c r="AS137" s="12">
        <f t="shared" si="9"/>
        <v>6</v>
      </c>
      <c r="AT137" s="12">
        <f t="shared" si="10"/>
        <v>5</v>
      </c>
      <c r="AU137" s="14">
        <f t="shared" si="11"/>
        <v>1</v>
      </c>
      <c r="AV137" s="14">
        <f t="shared" si="12"/>
        <v>1</v>
      </c>
      <c r="AW137" s="14">
        <f t="shared" si="13"/>
        <v>1</v>
      </c>
      <c r="AY137" s="11">
        <f t="shared" si="14"/>
        <v>0.002525203849</v>
      </c>
    </row>
    <row r="138" ht="15.75" customHeight="1">
      <c r="A138" s="15">
        <f t="shared" si="2"/>
        <v>2.580829403</v>
      </c>
      <c r="B138" s="7">
        <f>(sum(AL138:AP138))*'Optimal Choice'!$B$28</f>
        <v>15191.58</v>
      </c>
      <c r="C138" s="11"/>
      <c r="D138" s="12"/>
      <c r="E138" s="12"/>
      <c r="F138" s="11"/>
      <c r="G138" s="11"/>
      <c r="H138" s="11"/>
      <c r="I138" s="11"/>
      <c r="J138" s="11"/>
      <c r="K138" s="11">
        <f>(X138/$B138)+(X138/('Optimal Choice'!$B$4*AS138))</f>
        <v>89.57376734</v>
      </c>
      <c r="L138" s="11">
        <f>(Y138/$B138)+(Y138/('Optimal Choice'!$B$9*AT138))</f>
        <v>30.23710419</v>
      </c>
      <c r="M138" s="11">
        <f>(Z138/$B138)+(Z138/('Optimal Choice'!$B$14*AU138))</f>
        <v>97.01691861</v>
      </c>
      <c r="N138" s="11">
        <f>(AA138/$B138)+(AA138/('Optimal Choice'!$B$19*AV138))</f>
        <v>94.24226034</v>
      </c>
      <c r="O138" s="11">
        <f>(AB138/$B138)+(AB138/('Optimal Choice'!$B$24*AW138))</f>
        <v>86.2679365</v>
      </c>
      <c r="R138" s="12">
        <f t="shared" ref="R138:V138" si="148">if(min($K137:$O137)=K137,R137+1,R137)</f>
        <v>79</v>
      </c>
      <c r="S138" s="12">
        <f t="shared" si="148"/>
        <v>27</v>
      </c>
      <c r="T138" s="12">
        <f t="shared" si="148"/>
        <v>18</v>
      </c>
      <c r="U138" s="12">
        <f t="shared" si="148"/>
        <v>10</v>
      </c>
      <c r="V138" s="12">
        <f t="shared" si="148"/>
        <v>3</v>
      </c>
      <c r="X138" s="13">
        <f> 'Optimal Choice'!$B$5*'Optimal Choice'!$B$6^(R138+1)</f>
        <v>896.9375503</v>
      </c>
      <c r="Y138" s="13">
        <f> 'Optimal Choice'!$B$10*'Optimal Choice'!$B$11^(S138+1)</f>
        <v>3003.936724</v>
      </c>
      <c r="Z138" s="13">
        <f> 'Optimal Choice'!$B$15*'Optimal Choice'!$B$16^(T138+1)</f>
        <v>8680.098866</v>
      </c>
      <c r="AA138" s="13">
        <f> 'Optimal Choice'!$B$20*'Optimal Choice'!$B$21^(U138+1)</f>
        <v>33141.84034</v>
      </c>
      <c r="AB138" s="13">
        <f> 'Optimal Choice'!$B$25*'Optimal Choice'!$B$26^(V138+1)</f>
        <v>163142.4872</v>
      </c>
      <c r="AE138" s="12">
        <f t="shared" si="4"/>
        <v>6</v>
      </c>
      <c r="AF138" s="12">
        <f t="shared" si="5"/>
        <v>5</v>
      </c>
      <c r="AG138" s="14">
        <f t="shared" si="6"/>
        <v>1</v>
      </c>
      <c r="AH138" s="14">
        <f t="shared" si="7"/>
        <v>1</v>
      </c>
      <c r="AI138" s="14">
        <f t="shared" si="8"/>
        <v>1</v>
      </c>
      <c r="AL138" s="14">
        <f>R138*'Optimal Choice'!$B$4*AE138</f>
        <v>791.58</v>
      </c>
      <c r="AM138" s="14">
        <f>S138*'Optimal Choice'!$B$9*AF138</f>
        <v>2700</v>
      </c>
      <c r="AN138" s="14">
        <f>T138*'Optimal Choice'!$B$14*AG138</f>
        <v>1620</v>
      </c>
      <c r="AO138" s="14">
        <f>U138*'Optimal Choice'!$B$19*AH138</f>
        <v>3600</v>
      </c>
      <c r="AP138" s="14">
        <f>V138*'Optimal Choice'!$B$24*AI138</f>
        <v>6480</v>
      </c>
      <c r="AS138" s="12">
        <f t="shared" si="9"/>
        <v>6</v>
      </c>
      <c r="AT138" s="12">
        <f t="shared" si="10"/>
        <v>5</v>
      </c>
      <c r="AU138" s="14">
        <f t="shared" si="11"/>
        <v>1</v>
      </c>
      <c r="AV138" s="14">
        <f t="shared" si="12"/>
        <v>1</v>
      </c>
      <c r="AW138" s="14">
        <f t="shared" si="13"/>
        <v>1</v>
      </c>
      <c r="AY138" s="11">
        <f t="shared" si="14"/>
        <v>0.002884742011</v>
      </c>
    </row>
    <row r="139" ht="15.75" customHeight="1">
      <c r="A139" s="15">
        <f t="shared" si="2"/>
        <v>2.584125019</v>
      </c>
      <c r="B139" s="7">
        <f>(sum(AL139:AP139))*'Optimal Choice'!$B$28</f>
        <v>15291.58</v>
      </c>
      <c r="C139" s="11"/>
      <c r="D139" s="12"/>
      <c r="E139" s="12"/>
      <c r="F139" s="11"/>
      <c r="G139" s="11"/>
      <c r="H139" s="11"/>
      <c r="I139" s="11"/>
      <c r="J139" s="11"/>
      <c r="K139" s="11">
        <f>(X139/$B139)+(X139/('Optimal Choice'!$B$4*AS139))</f>
        <v>89.57338123</v>
      </c>
      <c r="L139" s="11">
        <f>(Y139/$B139)+(Y139/('Optimal Choice'!$B$9*AT139))</f>
        <v>34.77118274</v>
      </c>
      <c r="M139" s="11">
        <f>(Z139/$B139)+(Z139/('Optimal Choice'!$B$14*AU139))</f>
        <v>97.01318207</v>
      </c>
      <c r="N139" s="11">
        <f>(AA139/$B139)+(AA139/('Optimal Choice'!$B$19*AV139))</f>
        <v>94.22799371</v>
      </c>
      <c r="O139" s="11">
        <f>(AB139/$B139)+(AB139/('Optimal Choice'!$B$24*AW139))</f>
        <v>86.19770826</v>
      </c>
      <c r="R139" s="12">
        <f t="shared" ref="R139:V139" si="149">if(min($K138:$O138)=K138,R138+1,R138)</f>
        <v>79</v>
      </c>
      <c r="S139" s="12">
        <f t="shared" si="149"/>
        <v>28</v>
      </c>
      <c r="T139" s="12">
        <f t="shared" si="149"/>
        <v>18</v>
      </c>
      <c r="U139" s="12">
        <f t="shared" si="149"/>
        <v>10</v>
      </c>
      <c r="V139" s="12">
        <f t="shared" si="149"/>
        <v>3</v>
      </c>
      <c r="X139" s="13">
        <f> 'Optimal Choice'!$B$5*'Optimal Choice'!$B$6^(R139+1)</f>
        <v>896.9375503</v>
      </c>
      <c r="Y139" s="13">
        <f> 'Optimal Choice'!$B$10*'Optimal Choice'!$B$11^(S139+1)</f>
        <v>3454.527233</v>
      </c>
      <c r="Z139" s="13">
        <f> 'Optimal Choice'!$B$15*'Optimal Choice'!$B$16^(T139+1)</f>
        <v>8680.098866</v>
      </c>
      <c r="AA139" s="13">
        <f> 'Optimal Choice'!$B$20*'Optimal Choice'!$B$21^(U139+1)</f>
        <v>33141.84034</v>
      </c>
      <c r="AB139" s="13">
        <f> 'Optimal Choice'!$B$25*'Optimal Choice'!$B$26^(V139+1)</f>
        <v>163142.4872</v>
      </c>
      <c r="AE139" s="12">
        <f t="shared" si="4"/>
        <v>6</v>
      </c>
      <c r="AF139" s="12">
        <f t="shared" si="5"/>
        <v>5</v>
      </c>
      <c r="AG139" s="14">
        <f t="shared" si="6"/>
        <v>1</v>
      </c>
      <c r="AH139" s="14">
        <f t="shared" si="7"/>
        <v>1</v>
      </c>
      <c r="AI139" s="14">
        <f t="shared" si="8"/>
        <v>1</v>
      </c>
      <c r="AL139" s="14">
        <f>R139*'Optimal Choice'!$B$4*AE139</f>
        <v>791.58</v>
      </c>
      <c r="AM139" s="14">
        <f>S139*'Optimal Choice'!$B$9*AF139</f>
        <v>2800</v>
      </c>
      <c r="AN139" s="14">
        <f>T139*'Optimal Choice'!$B$14*AG139</f>
        <v>1620</v>
      </c>
      <c r="AO139" s="14">
        <f>U139*'Optimal Choice'!$B$19*AH139</f>
        <v>3600</v>
      </c>
      <c r="AP139" s="14">
        <f>V139*'Optimal Choice'!$B$24*AI139</f>
        <v>6480</v>
      </c>
      <c r="AS139" s="12">
        <f t="shared" si="9"/>
        <v>6</v>
      </c>
      <c r="AT139" s="12">
        <f t="shared" si="10"/>
        <v>5</v>
      </c>
      <c r="AU139" s="14">
        <f t="shared" si="11"/>
        <v>1</v>
      </c>
      <c r="AV139" s="14">
        <f t="shared" si="12"/>
        <v>1</v>
      </c>
      <c r="AW139" s="14">
        <f t="shared" si="13"/>
        <v>1</v>
      </c>
      <c r="AY139" s="11">
        <f t="shared" si="14"/>
        <v>0.003295615865</v>
      </c>
    </row>
    <row r="140" ht="15.75" customHeight="1">
      <c r="A140" s="15">
        <f t="shared" si="2"/>
        <v>2.587890193</v>
      </c>
      <c r="B140" s="7">
        <f>(sum(AL140:AP140))*'Optimal Choice'!$B$28</f>
        <v>15391.58</v>
      </c>
      <c r="C140" s="11"/>
      <c r="D140" s="12"/>
      <c r="E140" s="12"/>
      <c r="F140" s="11"/>
      <c r="G140" s="11"/>
      <c r="H140" s="11"/>
      <c r="I140" s="11"/>
      <c r="J140" s="11"/>
      <c r="K140" s="11">
        <f>(X140/$B140)+(X140/('Optimal Choice'!$B$4*AS140))</f>
        <v>89.57300014</v>
      </c>
      <c r="L140" s="11">
        <f>(Y140/$B140)+(Y140/('Optimal Choice'!$B$9*AT140))</f>
        <v>39.98517224</v>
      </c>
      <c r="M140" s="11">
        <f>(Z140/$B140)+(Z140/('Optimal Choice'!$B$14*AU140))</f>
        <v>97.00949409</v>
      </c>
      <c r="N140" s="11">
        <f>(AA140/$B140)+(AA140/('Optimal Choice'!$B$19*AV140))</f>
        <v>94.21391246</v>
      </c>
      <c r="O140" s="11">
        <f>(AB140/$B140)+(AB140/('Optimal Choice'!$B$24*AW140))</f>
        <v>86.12839257</v>
      </c>
      <c r="R140" s="12">
        <f t="shared" ref="R140:V140" si="150">if(min($K139:$O139)=K139,R139+1,R139)</f>
        <v>79</v>
      </c>
      <c r="S140" s="12">
        <f t="shared" si="150"/>
        <v>29</v>
      </c>
      <c r="T140" s="12">
        <f t="shared" si="150"/>
        <v>18</v>
      </c>
      <c r="U140" s="12">
        <f t="shared" si="150"/>
        <v>10</v>
      </c>
      <c r="V140" s="12">
        <f t="shared" si="150"/>
        <v>3</v>
      </c>
      <c r="X140" s="13">
        <f> 'Optimal Choice'!$B$5*'Optimal Choice'!$B$6^(R140+1)</f>
        <v>896.9375503</v>
      </c>
      <c r="Y140" s="13">
        <f> 'Optimal Choice'!$B$10*'Optimal Choice'!$B$11^(S140+1)</f>
        <v>3972.706317</v>
      </c>
      <c r="Z140" s="13">
        <f> 'Optimal Choice'!$B$15*'Optimal Choice'!$B$16^(T140+1)</f>
        <v>8680.098866</v>
      </c>
      <c r="AA140" s="13">
        <f> 'Optimal Choice'!$B$20*'Optimal Choice'!$B$21^(U140+1)</f>
        <v>33141.84034</v>
      </c>
      <c r="AB140" s="13">
        <f> 'Optimal Choice'!$B$25*'Optimal Choice'!$B$26^(V140+1)</f>
        <v>163142.4872</v>
      </c>
      <c r="AE140" s="12">
        <f t="shared" si="4"/>
        <v>6</v>
      </c>
      <c r="AF140" s="12">
        <f t="shared" si="5"/>
        <v>5</v>
      </c>
      <c r="AG140" s="14">
        <f t="shared" si="6"/>
        <v>1</v>
      </c>
      <c r="AH140" s="14">
        <f t="shared" si="7"/>
        <v>1</v>
      </c>
      <c r="AI140" s="14">
        <f t="shared" si="8"/>
        <v>1</v>
      </c>
      <c r="AL140" s="14">
        <f>R140*'Optimal Choice'!$B$4*AE140</f>
        <v>791.58</v>
      </c>
      <c r="AM140" s="14">
        <f>S140*'Optimal Choice'!$B$9*AF140</f>
        <v>2900</v>
      </c>
      <c r="AN140" s="14">
        <f>T140*'Optimal Choice'!$B$14*AG140</f>
        <v>1620</v>
      </c>
      <c r="AO140" s="14">
        <f>U140*'Optimal Choice'!$B$19*AH140</f>
        <v>3600</v>
      </c>
      <c r="AP140" s="14">
        <f>V140*'Optimal Choice'!$B$24*AI140</f>
        <v>6480</v>
      </c>
      <c r="AS140" s="12">
        <f t="shared" si="9"/>
        <v>6</v>
      </c>
      <c r="AT140" s="12">
        <f t="shared" si="10"/>
        <v>5</v>
      </c>
      <c r="AU140" s="14">
        <f t="shared" si="11"/>
        <v>1</v>
      </c>
      <c r="AV140" s="14">
        <f t="shared" si="12"/>
        <v>1</v>
      </c>
      <c r="AW140" s="14">
        <f t="shared" si="13"/>
        <v>1</v>
      </c>
      <c r="AY140" s="11">
        <f t="shared" si="14"/>
        <v>0.003765173636</v>
      </c>
    </row>
    <row r="141" ht="15.75" customHeight="1">
      <c r="A141" s="15">
        <f t="shared" si="2"/>
        <v>2.592192011</v>
      </c>
      <c r="B141" s="7">
        <f>(sum(AL141:AP141))*'Optimal Choice'!$B$28</f>
        <v>15491.58</v>
      </c>
      <c r="C141" s="11"/>
      <c r="D141" s="12"/>
      <c r="E141" s="12"/>
      <c r="F141" s="11"/>
      <c r="G141" s="11"/>
      <c r="H141" s="11"/>
      <c r="I141" s="11"/>
      <c r="J141" s="11"/>
      <c r="K141" s="11">
        <f>(X141/$B141)+(X141/('Optimal Choice'!$B$4*AS141))</f>
        <v>89.57262397</v>
      </c>
      <c r="L141" s="11">
        <f>(Y141/$B141)+(Y141/('Optimal Choice'!$B$9*AT141))</f>
        <v>45.98103203</v>
      </c>
      <c r="M141" s="11">
        <f>(Z141/$B141)+(Z141/('Optimal Choice'!$B$14*AU141))</f>
        <v>97.00585371</v>
      </c>
      <c r="N141" s="11">
        <f>(AA141/$B141)+(AA141/('Optimal Choice'!$B$19*AV141))</f>
        <v>94.20001301</v>
      </c>
      <c r="O141" s="11">
        <f>(AB141/$B141)+(AB141/('Optimal Choice'!$B$24*AW141))</f>
        <v>86.05997177</v>
      </c>
      <c r="R141" s="12">
        <f t="shared" ref="R141:V141" si="151">if(min($K140:$O140)=K140,R140+1,R140)</f>
        <v>79</v>
      </c>
      <c r="S141" s="12">
        <f t="shared" si="151"/>
        <v>30</v>
      </c>
      <c r="T141" s="12">
        <f t="shared" si="151"/>
        <v>18</v>
      </c>
      <c r="U141" s="12">
        <f t="shared" si="151"/>
        <v>10</v>
      </c>
      <c r="V141" s="12">
        <f t="shared" si="151"/>
        <v>3</v>
      </c>
      <c r="X141" s="13">
        <f> 'Optimal Choice'!$B$5*'Optimal Choice'!$B$6^(R141+1)</f>
        <v>896.9375503</v>
      </c>
      <c r="Y141" s="13">
        <f> 'Optimal Choice'!$B$10*'Optimal Choice'!$B$11^(S141+1)</f>
        <v>4568.612265</v>
      </c>
      <c r="Z141" s="13">
        <f> 'Optimal Choice'!$B$15*'Optimal Choice'!$B$16^(T141+1)</f>
        <v>8680.098866</v>
      </c>
      <c r="AA141" s="13">
        <f> 'Optimal Choice'!$B$20*'Optimal Choice'!$B$21^(U141+1)</f>
        <v>33141.84034</v>
      </c>
      <c r="AB141" s="13">
        <f> 'Optimal Choice'!$B$25*'Optimal Choice'!$B$26^(V141+1)</f>
        <v>163142.4872</v>
      </c>
      <c r="AE141" s="12">
        <f t="shared" si="4"/>
        <v>6</v>
      </c>
      <c r="AF141" s="12">
        <f t="shared" si="5"/>
        <v>5</v>
      </c>
      <c r="AG141" s="14">
        <f t="shared" si="6"/>
        <v>1</v>
      </c>
      <c r="AH141" s="14">
        <f t="shared" si="7"/>
        <v>1</v>
      </c>
      <c r="AI141" s="14">
        <f t="shared" si="8"/>
        <v>1</v>
      </c>
      <c r="AL141" s="14">
        <f>R141*'Optimal Choice'!$B$4*AE141</f>
        <v>791.58</v>
      </c>
      <c r="AM141" s="14">
        <f>S141*'Optimal Choice'!$B$9*AF141</f>
        <v>3000</v>
      </c>
      <c r="AN141" s="14">
        <f>T141*'Optimal Choice'!$B$14*AG141</f>
        <v>1620</v>
      </c>
      <c r="AO141" s="14">
        <f>U141*'Optimal Choice'!$B$19*AH141</f>
        <v>3600</v>
      </c>
      <c r="AP141" s="14">
        <f>V141*'Optimal Choice'!$B$24*AI141</f>
        <v>6480</v>
      </c>
      <c r="AS141" s="12">
        <f t="shared" si="9"/>
        <v>6</v>
      </c>
      <c r="AT141" s="12">
        <f t="shared" si="10"/>
        <v>5</v>
      </c>
      <c r="AU141" s="14">
        <f t="shared" si="11"/>
        <v>1</v>
      </c>
      <c r="AV141" s="14">
        <f t="shared" si="12"/>
        <v>1</v>
      </c>
      <c r="AW141" s="14">
        <f t="shared" si="13"/>
        <v>1</v>
      </c>
      <c r="AY141" s="11">
        <f t="shared" si="14"/>
        <v>0.004301817744</v>
      </c>
    </row>
    <row r="142" ht="15.75" customHeight="1">
      <c r="A142" s="15">
        <f t="shared" si="2"/>
        <v>2.597107167</v>
      </c>
      <c r="B142" s="7">
        <f>(sum(AL142:AP142))*'Optimal Choice'!$B$28</f>
        <v>15591.58</v>
      </c>
      <c r="C142" s="11"/>
      <c r="D142" s="12"/>
      <c r="E142" s="12"/>
      <c r="F142" s="11"/>
      <c r="G142" s="11"/>
      <c r="H142" s="11"/>
      <c r="I142" s="11"/>
      <c r="J142" s="11"/>
      <c r="K142" s="11">
        <f>(X142/$B142)+(X142/('Optimal Choice'!$B$4*AS142))</f>
        <v>89.57225263</v>
      </c>
      <c r="L142" s="11">
        <f>(Y142/$B142)+(Y142/('Optimal Choice'!$B$9*AT142))</f>
        <v>52.87601165</v>
      </c>
      <c r="M142" s="11">
        <f>(Z142/$B142)+(Z142/('Optimal Choice'!$B$14*AU142))</f>
        <v>97.00226004</v>
      </c>
      <c r="N142" s="11">
        <f>(AA142/$B142)+(AA142/('Optimal Choice'!$B$19*AV142))</f>
        <v>94.18629185</v>
      </c>
      <c r="O142" s="11">
        <f>(AB142/$B142)+(AB142/('Optimal Choice'!$B$24*AW142))</f>
        <v>85.99242863</v>
      </c>
      <c r="R142" s="12">
        <f t="shared" ref="R142:V142" si="152">if(min($K141:$O141)=K141,R141+1,R141)</f>
        <v>79</v>
      </c>
      <c r="S142" s="12">
        <f t="shared" si="152"/>
        <v>31</v>
      </c>
      <c r="T142" s="12">
        <f t="shared" si="152"/>
        <v>18</v>
      </c>
      <c r="U142" s="12">
        <f t="shared" si="152"/>
        <v>10</v>
      </c>
      <c r="V142" s="12">
        <f t="shared" si="152"/>
        <v>3</v>
      </c>
      <c r="X142" s="13">
        <f> 'Optimal Choice'!$B$5*'Optimal Choice'!$B$6^(R142+1)</f>
        <v>896.9375503</v>
      </c>
      <c r="Y142" s="13">
        <f> 'Optimal Choice'!$B$10*'Optimal Choice'!$B$11^(S142+1)</f>
        <v>5253.904105</v>
      </c>
      <c r="Z142" s="13">
        <f> 'Optimal Choice'!$B$15*'Optimal Choice'!$B$16^(T142+1)</f>
        <v>8680.098866</v>
      </c>
      <c r="AA142" s="13">
        <f> 'Optimal Choice'!$B$20*'Optimal Choice'!$B$21^(U142+1)</f>
        <v>33141.84034</v>
      </c>
      <c r="AB142" s="13">
        <f> 'Optimal Choice'!$B$25*'Optimal Choice'!$B$26^(V142+1)</f>
        <v>163142.4872</v>
      </c>
      <c r="AE142" s="12">
        <f t="shared" si="4"/>
        <v>6</v>
      </c>
      <c r="AF142" s="12">
        <f t="shared" si="5"/>
        <v>5</v>
      </c>
      <c r="AG142" s="14">
        <f t="shared" si="6"/>
        <v>1</v>
      </c>
      <c r="AH142" s="14">
        <f t="shared" si="7"/>
        <v>1</v>
      </c>
      <c r="AI142" s="14">
        <f t="shared" si="8"/>
        <v>1</v>
      </c>
      <c r="AL142" s="14">
        <f>R142*'Optimal Choice'!$B$4*AE142</f>
        <v>791.58</v>
      </c>
      <c r="AM142" s="14">
        <f>S142*'Optimal Choice'!$B$9*AF142</f>
        <v>3100</v>
      </c>
      <c r="AN142" s="14">
        <f>T142*'Optimal Choice'!$B$14*AG142</f>
        <v>1620</v>
      </c>
      <c r="AO142" s="14">
        <f>U142*'Optimal Choice'!$B$19*AH142</f>
        <v>3600</v>
      </c>
      <c r="AP142" s="14">
        <f>V142*'Optimal Choice'!$B$24*AI142</f>
        <v>6480</v>
      </c>
      <c r="AS142" s="12">
        <f t="shared" si="9"/>
        <v>6</v>
      </c>
      <c r="AT142" s="12">
        <f t="shared" si="10"/>
        <v>5</v>
      </c>
      <c r="AU142" s="14">
        <f t="shared" si="11"/>
        <v>1</v>
      </c>
      <c r="AV142" s="14">
        <f t="shared" si="12"/>
        <v>1</v>
      </c>
      <c r="AW142" s="14">
        <f t="shared" si="13"/>
        <v>1</v>
      </c>
      <c r="AY142" s="11">
        <f t="shared" si="14"/>
        <v>0.004915156346</v>
      </c>
    </row>
    <row r="143" ht="15.75" customHeight="1">
      <c r="A143" s="15">
        <f t="shared" si="2"/>
        <v>2.602723344</v>
      </c>
      <c r="B143" s="7">
        <f>(sum(AL143:AP143))*'Optimal Choice'!$B$28</f>
        <v>15691.58</v>
      </c>
      <c r="C143" s="11"/>
      <c r="D143" s="12"/>
      <c r="E143" s="12"/>
      <c r="F143" s="11"/>
      <c r="G143" s="11"/>
      <c r="H143" s="11"/>
      <c r="I143" s="11"/>
      <c r="J143" s="11"/>
      <c r="K143" s="11">
        <f>(X143/$B143)+(X143/('Optimal Choice'!$B$4*AS143))</f>
        <v>89.57188602</v>
      </c>
      <c r="L143" s="11">
        <f>(Y143/$B143)+(Y143/('Optimal Choice'!$B$9*AT143))</f>
        <v>60.80494382</v>
      </c>
      <c r="M143" s="11">
        <f>(Z143/$B143)+(Z143/('Optimal Choice'!$B$14*AU143))</f>
        <v>96.99871217</v>
      </c>
      <c r="N143" s="11">
        <f>(AA143/$B143)+(AA143/('Optimal Choice'!$B$19*AV143))</f>
        <v>94.17274558</v>
      </c>
      <c r="O143" s="11">
        <f>(AB143/$B143)+(AB143/('Optimal Choice'!$B$24*AW143))</f>
        <v>85.92574638</v>
      </c>
      <c r="R143" s="12">
        <f t="shared" ref="R143:V143" si="153">if(min($K142:$O142)=K142,R142+1,R142)</f>
        <v>79</v>
      </c>
      <c r="S143" s="12">
        <f t="shared" si="153"/>
        <v>32</v>
      </c>
      <c r="T143" s="12">
        <f t="shared" si="153"/>
        <v>18</v>
      </c>
      <c r="U143" s="12">
        <f t="shared" si="153"/>
        <v>10</v>
      </c>
      <c r="V143" s="12">
        <f t="shared" si="153"/>
        <v>3</v>
      </c>
      <c r="X143" s="13">
        <f> 'Optimal Choice'!$B$5*'Optimal Choice'!$B$6^(R143+1)</f>
        <v>896.9375503</v>
      </c>
      <c r="Y143" s="13">
        <f> 'Optimal Choice'!$B$10*'Optimal Choice'!$B$11^(S143+1)</f>
        <v>6041.98972</v>
      </c>
      <c r="Z143" s="13">
        <f> 'Optimal Choice'!$B$15*'Optimal Choice'!$B$16^(T143+1)</f>
        <v>8680.098866</v>
      </c>
      <c r="AA143" s="13">
        <f> 'Optimal Choice'!$B$20*'Optimal Choice'!$B$21^(U143+1)</f>
        <v>33141.84034</v>
      </c>
      <c r="AB143" s="13">
        <f> 'Optimal Choice'!$B$25*'Optimal Choice'!$B$26^(V143+1)</f>
        <v>163142.4872</v>
      </c>
      <c r="AE143" s="12">
        <f t="shared" si="4"/>
        <v>6</v>
      </c>
      <c r="AF143" s="12">
        <f t="shared" si="5"/>
        <v>5</v>
      </c>
      <c r="AG143" s="14">
        <f t="shared" si="6"/>
        <v>1</v>
      </c>
      <c r="AH143" s="14">
        <f t="shared" si="7"/>
        <v>1</v>
      </c>
      <c r="AI143" s="14">
        <f t="shared" si="8"/>
        <v>1</v>
      </c>
      <c r="AL143" s="14">
        <f>R143*'Optimal Choice'!$B$4*AE143</f>
        <v>791.58</v>
      </c>
      <c r="AM143" s="14">
        <f>S143*'Optimal Choice'!$B$9*AF143</f>
        <v>3200</v>
      </c>
      <c r="AN143" s="14">
        <f>T143*'Optimal Choice'!$B$14*AG143</f>
        <v>1620</v>
      </c>
      <c r="AO143" s="14">
        <f>U143*'Optimal Choice'!$B$19*AH143</f>
        <v>3600</v>
      </c>
      <c r="AP143" s="14">
        <f>V143*'Optimal Choice'!$B$24*AI143</f>
        <v>6480</v>
      </c>
      <c r="AS143" s="12">
        <f t="shared" si="9"/>
        <v>6</v>
      </c>
      <c r="AT143" s="12">
        <f t="shared" si="10"/>
        <v>5</v>
      </c>
      <c r="AU143" s="14">
        <f t="shared" si="11"/>
        <v>1</v>
      </c>
      <c r="AV143" s="14">
        <f t="shared" si="12"/>
        <v>1</v>
      </c>
      <c r="AW143" s="14">
        <f t="shared" si="13"/>
        <v>1</v>
      </c>
      <c r="AY143" s="11">
        <f t="shared" si="14"/>
        <v>0.005616176706</v>
      </c>
    </row>
    <row r="144" ht="15.75" customHeight="1">
      <c r="A144" s="15">
        <f t="shared" si="2"/>
        <v>2.609140787</v>
      </c>
      <c r="B144" s="7">
        <f>(sum(AL144:AP144))*'Optimal Choice'!$B$28</f>
        <v>15791.58</v>
      </c>
      <c r="C144" s="11"/>
      <c r="D144" s="12"/>
      <c r="E144" s="12"/>
      <c r="F144" s="11"/>
      <c r="G144" s="11"/>
      <c r="H144" s="11"/>
      <c r="I144" s="11"/>
      <c r="J144" s="11"/>
      <c r="K144" s="11">
        <f>(X144/$B144)+(X144/('Optimal Choice'!$B$4*AS144))</f>
        <v>89.57152405</v>
      </c>
      <c r="L144" s="11">
        <f>(Y144/$B144)+(Y144/('Optimal Choice'!$B$9*AT144))</f>
        <v>69.92288134</v>
      </c>
      <c r="M144" s="11">
        <f>(Z144/$B144)+(Z144/('Optimal Choice'!$B$14*AU144))</f>
        <v>96.99520923</v>
      </c>
      <c r="N144" s="11">
        <f>(AA144/$B144)+(AA144/('Optimal Choice'!$B$19*AV144))</f>
        <v>94.15937087</v>
      </c>
      <c r="O144" s="11">
        <f>(AB144/$B144)+(AB144/('Optimal Choice'!$B$24*AW144))</f>
        <v>85.85990865</v>
      </c>
      <c r="R144" s="12">
        <f t="shared" ref="R144:V144" si="154">if(min($K143:$O143)=K143,R143+1,R143)</f>
        <v>79</v>
      </c>
      <c r="S144" s="12">
        <f t="shared" si="154"/>
        <v>33</v>
      </c>
      <c r="T144" s="12">
        <f t="shared" si="154"/>
        <v>18</v>
      </c>
      <c r="U144" s="12">
        <f t="shared" si="154"/>
        <v>10</v>
      </c>
      <c r="V144" s="12">
        <f t="shared" si="154"/>
        <v>3</v>
      </c>
      <c r="X144" s="13">
        <f> 'Optimal Choice'!$B$5*'Optimal Choice'!$B$6^(R144+1)</f>
        <v>896.9375503</v>
      </c>
      <c r="Y144" s="13">
        <f> 'Optimal Choice'!$B$10*'Optimal Choice'!$B$11^(S144+1)</f>
        <v>6948.288179</v>
      </c>
      <c r="Z144" s="13">
        <f> 'Optimal Choice'!$B$15*'Optimal Choice'!$B$16^(T144+1)</f>
        <v>8680.098866</v>
      </c>
      <c r="AA144" s="13">
        <f> 'Optimal Choice'!$B$20*'Optimal Choice'!$B$21^(U144+1)</f>
        <v>33141.84034</v>
      </c>
      <c r="AB144" s="13">
        <f> 'Optimal Choice'!$B$25*'Optimal Choice'!$B$26^(V144+1)</f>
        <v>163142.4872</v>
      </c>
      <c r="AE144" s="12">
        <f t="shared" si="4"/>
        <v>6</v>
      </c>
      <c r="AF144" s="12">
        <f t="shared" si="5"/>
        <v>5</v>
      </c>
      <c r="AG144" s="14">
        <f t="shared" si="6"/>
        <v>1</v>
      </c>
      <c r="AH144" s="14">
        <f t="shared" si="7"/>
        <v>1</v>
      </c>
      <c r="AI144" s="14">
        <f t="shared" si="8"/>
        <v>1</v>
      </c>
      <c r="AL144" s="14">
        <f>R144*'Optimal Choice'!$B$4*AE144</f>
        <v>791.58</v>
      </c>
      <c r="AM144" s="14">
        <f>S144*'Optimal Choice'!$B$9*AF144</f>
        <v>3300</v>
      </c>
      <c r="AN144" s="14">
        <f>T144*'Optimal Choice'!$B$14*AG144</f>
        <v>1620</v>
      </c>
      <c r="AO144" s="14">
        <f>U144*'Optimal Choice'!$B$19*AH144</f>
        <v>3600</v>
      </c>
      <c r="AP144" s="14">
        <f>V144*'Optimal Choice'!$B$24*AI144</f>
        <v>6480</v>
      </c>
      <c r="AS144" s="12">
        <f t="shared" si="9"/>
        <v>6</v>
      </c>
      <c r="AT144" s="12">
        <f t="shared" si="10"/>
        <v>5</v>
      </c>
      <c r="AU144" s="14">
        <f t="shared" si="11"/>
        <v>1</v>
      </c>
      <c r="AV144" s="14">
        <f t="shared" si="12"/>
        <v>1</v>
      </c>
      <c r="AW144" s="14">
        <f t="shared" si="13"/>
        <v>1</v>
      </c>
      <c r="AY144" s="11">
        <f t="shared" si="14"/>
        <v>0.006417443538</v>
      </c>
    </row>
    <row r="145" ht="15.75" customHeight="1">
      <c r="A145" s="15">
        <f t="shared" si="2"/>
        <v>2.616474113</v>
      </c>
      <c r="B145" s="7">
        <f>(sum(AL145:AP145))*'Optimal Choice'!$B$28</f>
        <v>15891.58</v>
      </c>
      <c r="C145" s="11"/>
      <c r="D145" s="12"/>
      <c r="E145" s="12"/>
      <c r="F145" s="11"/>
      <c r="G145" s="11"/>
      <c r="H145" s="11"/>
      <c r="I145" s="11"/>
      <c r="J145" s="11"/>
      <c r="K145" s="11">
        <f>(X145/$B145)+(X145/('Optimal Choice'!$B$4*AS145))</f>
        <v>89.57116664</v>
      </c>
      <c r="L145" s="11">
        <f>(Y145/$B145)+(Y145/('Optimal Choice'!$B$9*AT145))</f>
        <v>80.40812947</v>
      </c>
      <c r="M145" s="11">
        <f>(Z145/$B145)+(Z145/('Optimal Choice'!$B$14*AU145))</f>
        <v>96.99175038</v>
      </c>
      <c r="N145" s="11">
        <f>(AA145/$B145)+(AA145/('Optimal Choice'!$B$19*AV145))</f>
        <v>94.14616448</v>
      </c>
      <c r="O145" s="11">
        <f>(AB145/$B145)+(AB145/('Optimal Choice'!$B$24*AW145))</f>
        <v>85.79489951</v>
      </c>
      <c r="R145" s="12">
        <f t="shared" ref="R145:V145" si="155">if(min($K144:$O144)=K144,R144+1,R144)</f>
        <v>79</v>
      </c>
      <c r="S145" s="12">
        <f t="shared" si="155"/>
        <v>34</v>
      </c>
      <c r="T145" s="12">
        <f t="shared" si="155"/>
        <v>18</v>
      </c>
      <c r="U145" s="12">
        <f t="shared" si="155"/>
        <v>10</v>
      </c>
      <c r="V145" s="12">
        <f t="shared" si="155"/>
        <v>3</v>
      </c>
      <c r="X145" s="13">
        <f> 'Optimal Choice'!$B$5*'Optimal Choice'!$B$6^(R145+1)</f>
        <v>896.9375503</v>
      </c>
      <c r="Y145" s="13">
        <f> 'Optimal Choice'!$B$10*'Optimal Choice'!$B$11^(S145+1)</f>
        <v>7990.531405</v>
      </c>
      <c r="Z145" s="13">
        <f> 'Optimal Choice'!$B$15*'Optimal Choice'!$B$16^(T145+1)</f>
        <v>8680.098866</v>
      </c>
      <c r="AA145" s="13">
        <f> 'Optimal Choice'!$B$20*'Optimal Choice'!$B$21^(U145+1)</f>
        <v>33141.84034</v>
      </c>
      <c r="AB145" s="13">
        <f> 'Optimal Choice'!$B$25*'Optimal Choice'!$B$26^(V145+1)</f>
        <v>163142.4872</v>
      </c>
      <c r="AE145" s="12">
        <f t="shared" si="4"/>
        <v>6</v>
      </c>
      <c r="AF145" s="12">
        <f t="shared" si="5"/>
        <v>5</v>
      </c>
      <c r="AG145" s="14">
        <f t="shared" si="6"/>
        <v>1</v>
      </c>
      <c r="AH145" s="14">
        <f t="shared" si="7"/>
        <v>1</v>
      </c>
      <c r="AI145" s="14">
        <f t="shared" si="8"/>
        <v>1</v>
      </c>
      <c r="AL145" s="14">
        <f>R145*'Optimal Choice'!$B$4*AE145</f>
        <v>791.58</v>
      </c>
      <c r="AM145" s="14">
        <f>S145*'Optimal Choice'!$B$9*AF145</f>
        <v>3400</v>
      </c>
      <c r="AN145" s="14">
        <f>T145*'Optimal Choice'!$B$14*AG145</f>
        <v>1620</v>
      </c>
      <c r="AO145" s="14">
        <f>U145*'Optimal Choice'!$B$19*AH145</f>
        <v>3600</v>
      </c>
      <c r="AP145" s="14">
        <f>V145*'Optimal Choice'!$B$24*AI145</f>
        <v>6480</v>
      </c>
      <c r="AS145" s="12">
        <f t="shared" si="9"/>
        <v>6</v>
      </c>
      <c r="AT145" s="12">
        <f t="shared" si="10"/>
        <v>5</v>
      </c>
      <c r="AU145" s="14">
        <f t="shared" si="11"/>
        <v>1</v>
      </c>
      <c r="AV145" s="14">
        <f t="shared" si="12"/>
        <v>1</v>
      </c>
      <c r="AW145" s="14">
        <f t="shared" si="13"/>
        <v>1</v>
      </c>
      <c r="AY145" s="11">
        <f t="shared" si="14"/>
        <v>0.007333325923</v>
      </c>
    </row>
    <row r="146" ht="15.75" customHeight="1">
      <c r="A146" s="15">
        <f t="shared" si="2"/>
        <v>2.62485437</v>
      </c>
      <c r="B146" s="7">
        <f>(sum(AL146:AP146))*'Optimal Choice'!$B$28</f>
        <v>15991.58</v>
      </c>
      <c r="C146" s="11"/>
      <c r="D146" s="12"/>
      <c r="E146" s="12"/>
      <c r="F146" s="11"/>
      <c r="G146" s="11"/>
      <c r="H146" s="11"/>
      <c r="I146" s="11"/>
      <c r="J146" s="11"/>
      <c r="K146" s="11">
        <f>(X146/$B146)+(X146/('Optimal Choice'!$B$4*AS146))</f>
        <v>89.57081369</v>
      </c>
      <c r="L146" s="11">
        <f>(Y146/$B146)+(Y146/('Optimal Choice'!$B$9*AT146))</f>
        <v>92.465733</v>
      </c>
      <c r="M146" s="11">
        <f>(Z146/$B146)+(Z146/('Optimal Choice'!$B$14*AU146))</f>
        <v>96.98833478</v>
      </c>
      <c r="N146" s="11">
        <f>(AA146/$B146)+(AA146/('Optimal Choice'!$B$19*AV146))</f>
        <v>94.13312327</v>
      </c>
      <c r="O146" s="11">
        <f>(AB146/$B146)+(AB146/('Optimal Choice'!$B$24*AW146))</f>
        <v>85.73070342</v>
      </c>
      <c r="R146" s="12">
        <f t="shared" ref="R146:V146" si="156">if(min($K145:$O145)=K145,R145+1,R145)</f>
        <v>79</v>
      </c>
      <c r="S146" s="12">
        <f t="shared" si="156"/>
        <v>35</v>
      </c>
      <c r="T146" s="12">
        <f t="shared" si="156"/>
        <v>18</v>
      </c>
      <c r="U146" s="12">
        <f t="shared" si="156"/>
        <v>10</v>
      </c>
      <c r="V146" s="12">
        <f t="shared" si="156"/>
        <v>3</v>
      </c>
      <c r="X146" s="13">
        <f> 'Optimal Choice'!$B$5*'Optimal Choice'!$B$6^(R146+1)</f>
        <v>896.9375503</v>
      </c>
      <c r="Y146" s="13">
        <f> 'Optimal Choice'!$B$10*'Optimal Choice'!$B$11^(S146+1)</f>
        <v>9189.111116</v>
      </c>
      <c r="Z146" s="13">
        <f> 'Optimal Choice'!$B$15*'Optimal Choice'!$B$16^(T146+1)</f>
        <v>8680.098866</v>
      </c>
      <c r="AA146" s="13">
        <f> 'Optimal Choice'!$B$20*'Optimal Choice'!$B$21^(U146+1)</f>
        <v>33141.84034</v>
      </c>
      <c r="AB146" s="13">
        <f> 'Optimal Choice'!$B$25*'Optimal Choice'!$B$26^(V146+1)</f>
        <v>163142.4872</v>
      </c>
      <c r="AE146" s="12">
        <f t="shared" si="4"/>
        <v>6</v>
      </c>
      <c r="AF146" s="12">
        <f t="shared" si="5"/>
        <v>5</v>
      </c>
      <c r="AG146" s="14">
        <f t="shared" si="6"/>
        <v>1</v>
      </c>
      <c r="AH146" s="14">
        <f t="shared" si="7"/>
        <v>1</v>
      </c>
      <c r="AI146" s="14">
        <f t="shared" si="8"/>
        <v>1</v>
      </c>
      <c r="AL146" s="14">
        <f>R146*'Optimal Choice'!$B$4*AE146</f>
        <v>791.58</v>
      </c>
      <c r="AM146" s="14">
        <f>S146*'Optimal Choice'!$B$9*AF146</f>
        <v>3500</v>
      </c>
      <c r="AN146" s="14">
        <f>T146*'Optimal Choice'!$B$14*AG146</f>
        <v>1620</v>
      </c>
      <c r="AO146" s="14">
        <f>U146*'Optimal Choice'!$B$19*AH146</f>
        <v>3600</v>
      </c>
      <c r="AP146" s="14">
        <f>V146*'Optimal Choice'!$B$24*AI146</f>
        <v>6480</v>
      </c>
      <c r="AS146" s="12">
        <f t="shared" si="9"/>
        <v>6</v>
      </c>
      <c r="AT146" s="12">
        <f t="shared" si="10"/>
        <v>5</v>
      </c>
      <c r="AU146" s="14">
        <f t="shared" si="11"/>
        <v>1</v>
      </c>
      <c r="AV146" s="14">
        <f t="shared" si="12"/>
        <v>1</v>
      </c>
      <c r="AW146" s="14">
        <f t="shared" si="13"/>
        <v>1</v>
      </c>
      <c r="AY146" s="11">
        <f t="shared" si="14"/>
        <v>0.00838025693</v>
      </c>
    </row>
    <row r="147" ht="15.75" customHeight="1">
      <c r="A147" s="15">
        <f t="shared" si="2"/>
        <v>2.794883939</v>
      </c>
      <c r="B147" s="7">
        <f>(sum(AL147:AP147))*'Optimal Choice'!$B$28</f>
        <v>18151.58</v>
      </c>
      <c r="C147" s="11"/>
      <c r="D147" s="12"/>
      <c r="E147" s="12"/>
      <c r="F147" s="11"/>
      <c r="G147" s="11"/>
      <c r="H147" s="11"/>
      <c r="I147" s="11"/>
      <c r="J147" s="11"/>
      <c r="K147" s="11">
        <f>(X147/$B147)+(X147/('Optimal Choice'!$B$4*AS147))</f>
        <v>89.56413933</v>
      </c>
      <c r="L147" s="11">
        <f>(Y147/$B147)+(Y147/('Optimal Choice'!$B$9*AT147))</f>
        <v>92.39735421</v>
      </c>
      <c r="M147" s="11">
        <f>(Z147/$B147)+(Z147/('Optimal Choice'!$B$14*AU147))</f>
        <v>96.92374369</v>
      </c>
      <c r="N147" s="11">
        <f>(AA147/$B147)+(AA147/('Optimal Choice'!$B$19*AV147))</f>
        <v>93.88650538</v>
      </c>
      <c r="O147" s="11">
        <f>(AB147/$B147)+(AB147/('Optimal Choice'!$B$24*AW147))</f>
        <v>94.6587193</v>
      </c>
      <c r="R147" s="12">
        <f t="shared" ref="R147:V147" si="157">if(min($K146:$O146)=K146,R146+1,R146)</f>
        <v>79</v>
      </c>
      <c r="S147" s="12">
        <f t="shared" si="157"/>
        <v>35</v>
      </c>
      <c r="T147" s="12">
        <f t="shared" si="157"/>
        <v>18</v>
      </c>
      <c r="U147" s="12">
        <f t="shared" si="157"/>
        <v>10</v>
      </c>
      <c r="V147" s="12">
        <f t="shared" si="157"/>
        <v>4</v>
      </c>
      <c r="X147" s="13">
        <f> 'Optimal Choice'!$B$5*'Optimal Choice'!$B$6^(R147+1)</f>
        <v>896.9375503</v>
      </c>
      <c r="Y147" s="13">
        <f> 'Optimal Choice'!$B$10*'Optimal Choice'!$B$11^(S147+1)</f>
        <v>9189.111116</v>
      </c>
      <c r="Z147" s="13">
        <f> 'Optimal Choice'!$B$15*'Optimal Choice'!$B$16^(T147+1)</f>
        <v>8680.098866</v>
      </c>
      <c r="AA147" s="13">
        <f> 'Optimal Choice'!$B$20*'Optimal Choice'!$B$21^(U147+1)</f>
        <v>33141.84034</v>
      </c>
      <c r="AB147" s="13">
        <f> 'Optimal Choice'!$B$25*'Optimal Choice'!$B$26^(V147+1)</f>
        <v>182719.5857</v>
      </c>
      <c r="AE147" s="12">
        <f t="shared" si="4"/>
        <v>6</v>
      </c>
      <c r="AF147" s="12">
        <f t="shared" si="5"/>
        <v>5</v>
      </c>
      <c r="AG147" s="14">
        <f t="shared" si="6"/>
        <v>1</v>
      </c>
      <c r="AH147" s="14">
        <f t="shared" si="7"/>
        <v>1</v>
      </c>
      <c r="AI147" s="14">
        <f t="shared" si="8"/>
        <v>1</v>
      </c>
      <c r="AL147" s="14">
        <f>R147*'Optimal Choice'!$B$4*AE147</f>
        <v>791.58</v>
      </c>
      <c r="AM147" s="14">
        <f>S147*'Optimal Choice'!$B$9*AF147</f>
        <v>3500</v>
      </c>
      <c r="AN147" s="14">
        <f>T147*'Optimal Choice'!$B$14*AG147</f>
        <v>1620</v>
      </c>
      <c r="AO147" s="14">
        <f>U147*'Optimal Choice'!$B$19*AH147</f>
        <v>3600</v>
      </c>
      <c r="AP147" s="14">
        <f>V147*'Optimal Choice'!$B$24*AI147</f>
        <v>8640</v>
      </c>
      <c r="AS147" s="12">
        <f t="shared" si="9"/>
        <v>6</v>
      </c>
      <c r="AT147" s="12">
        <f t="shared" si="10"/>
        <v>5</v>
      </c>
      <c r="AU147" s="14">
        <f t="shared" si="11"/>
        <v>1</v>
      </c>
      <c r="AV147" s="14">
        <f t="shared" si="12"/>
        <v>1</v>
      </c>
      <c r="AW147" s="14">
        <f t="shared" si="13"/>
        <v>1</v>
      </c>
      <c r="AY147" s="11">
        <f t="shared" si="14"/>
        <v>0.1700295689</v>
      </c>
    </row>
    <row r="148" ht="15.75" customHeight="1">
      <c r="A148" s="15">
        <f t="shared" si="2"/>
        <v>2.795707501</v>
      </c>
      <c r="B148" s="7">
        <f>(sum(AL148:AP148))*'Optimal Choice'!$B$28</f>
        <v>18161.6</v>
      </c>
      <c r="C148" s="11"/>
      <c r="D148" s="12"/>
      <c r="E148" s="12"/>
      <c r="F148" s="11"/>
      <c r="G148" s="11"/>
      <c r="H148" s="11"/>
      <c r="I148" s="11"/>
      <c r="J148" s="11"/>
      <c r="K148" s="11">
        <f>(X148/$B148)+(X148/('Optimal Choice'!$B$4*AS148))</f>
        <v>95.83359991</v>
      </c>
      <c r="L148" s="11">
        <f>(Y148/$B148)+(Y148/('Optimal Choice'!$B$9*AT148))</f>
        <v>92.3970749</v>
      </c>
      <c r="M148" s="11">
        <f>(Z148/$B148)+(Z148/('Optimal Choice'!$B$14*AU148))</f>
        <v>96.92347986</v>
      </c>
      <c r="N148" s="11">
        <f>(AA148/$B148)+(AA148/('Optimal Choice'!$B$19*AV148))</f>
        <v>93.88549804</v>
      </c>
      <c r="O148" s="11">
        <f>(AB148/$B148)+(AB148/('Optimal Choice'!$B$24*AW148))</f>
        <v>94.65316558</v>
      </c>
      <c r="R148" s="12">
        <f t="shared" ref="R148:V148" si="158">if(min($K147:$O147)=K147,R147+1,R147)</f>
        <v>80</v>
      </c>
      <c r="S148" s="12">
        <f t="shared" si="158"/>
        <v>35</v>
      </c>
      <c r="T148" s="12">
        <f t="shared" si="158"/>
        <v>18</v>
      </c>
      <c r="U148" s="12">
        <f t="shared" si="158"/>
        <v>10</v>
      </c>
      <c r="V148" s="12">
        <f t="shared" si="158"/>
        <v>4</v>
      </c>
      <c r="X148" s="13">
        <f> 'Optimal Choice'!$B$5*'Optimal Choice'!$B$6^(R148+1)</f>
        <v>959.7231788</v>
      </c>
      <c r="Y148" s="13">
        <f> 'Optimal Choice'!$B$10*'Optimal Choice'!$B$11^(S148+1)</f>
        <v>9189.111116</v>
      </c>
      <c r="Z148" s="13">
        <f> 'Optimal Choice'!$B$15*'Optimal Choice'!$B$16^(T148+1)</f>
        <v>8680.098866</v>
      </c>
      <c r="AA148" s="13">
        <f> 'Optimal Choice'!$B$20*'Optimal Choice'!$B$21^(U148+1)</f>
        <v>33141.84034</v>
      </c>
      <c r="AB148" s="13">
        <f> 'Optimal Choice'!$B$25*'Optimal Choice'!$B$26^(V148+1)</f>
        <v>182719.5857</v>
      </c>
      <c r="AE148" s="12">
        <f t="shared" si="4"/>
        <v>6</v>
      </c>
      <c r="AF148" s="12">
        <f t="shared" si="5"/>
        <v>5</v>
      </c>
      <c r="AG148" s="14">
        <f t="shared" si="6"/>
        <v>1</v>
      </c>
      <c r="AH148" s="14">
        <f t="shared" si="7"/>
        <v>1</v>
      </c>
      <c r="AI148" s="14">
        <f t="shared" si="8"/>
        <v>1</v>
      </c>
      <c r="AL148" s="14">
        <f>R148*'Optimal Choice'!$B$4*AE148</f>
        <v>801.6</v>
      </c>
      <c r="AM148" s="14">
        <f>S148*'Optimal Choice'!$B$9*AF148</f>
        <v>3500</v>
      </c>
      <c r="AN148" s="14">
        <f>T148*'Optimal Choice'!$B$14*AG148</f>
        <v>1620</v>
      </c>
      <c r="AO148" s="14">
        <f>U148*'Optimal Choice'!$B$19*AH148</f>
        <v>3600</v>
      </c>
      <c r="AP148" s="14">
        <f>V148*'Optimal Choice'!$B$24*AI148</f>
        <v>8640</v>
      </c>
      <c r="AS148" s="12">
        <f t="shared" si="9"/>
        <v>6</v>
      </c>
      <c r="AT148" s="12">
        <f t="shared" si="10"/>
        <v>5</v>
      </c>
      <c r="AU148" s="14">
        <f t="shared" si="11"/>
        <v>1</v>
      </c>
      <c r="AV148" s="14">
        <f t="shared" si="12"/>
        <v>1</v>
      </c>
      <c r="AW148" s="14">
        <f t="shared" si="13"/>
        <v>1</v>
      </c>
      <c r="AY148" s="11">
        <f t="shared" si="14"/>
        <v>0.0008235624211</v>
      </c>
    </row>
    <row r="149" ht="15.75" customHeight="1">
      <c r="A149" s="15">
        <f t="shared" si="2"/>
        <v>2.804140231</v>
      </c>
      <c r="B149" s="7">
        <f>(sum(AL149:AP149))*'Optimal Choice'!$B$28</f>
        <v>18261.6</v>
      </c>
      <c r="C149" s="11"/>
      <c r="D149" s="12"/>
      <c r="E149" s="12"/>
      <c r="F149" s="11"/>
      <c r="G149" s="11"/>
      <c r="H149" s="11"/>
      <c r="I149" s="11"/>
      <c r="J149" s="11"/>
      <c r="K149" s="11">
        <f>(X149/$B149)+(X149/('Optimal Choice'!$B$4*AS149))</f>
        <v>95.83331054</v>
      </c>
      <c r="L149" s="11">
        <f>(Y149/$B149)+(Y149/('Optimal Choice'!$B$9*AT149))</f>
        <v>106.2534499</v>
      </c>
      <c r="M149" s="11">
        <f>(Z149/$B149)+(Z149/('Optimal Choice'!$B$14*AU149))</f>
        <v>96.9208627</v>
      </c>
      <c r="N149" s="11">
        <f>(AA149/$B149)+(AA149/('Optimal Choice'!$B$19*AV149))</f>
        <v>93.87550533</v>
      </c>
      <c r="O149" s="11">
        <f>(AB149/$B149)+(AB149/('Optimal Choice'!$B$24*AW149))</f>
        <v>94.59807312</v>
      </c>
      <c r="R149" s="12">
        <f t="shared" ref="R149:V149" si="159">if(min($K148:$O148)=K148,R148+1,R148)</f>
        <v>80</v>
      </c>
      <c r="S149" s="12">
        <f t="shared" si="159"/>
        <v>36</v>
      </c>
      <c r="T149" s="12">
        <f t="shared" si="159"/>
        <v>18</v>
      </c>
      <c r="U149" s="12">
        <f t="shared" si="159"/>
        <v>10</v>
      </c>
      <c r="V149" s="12">
        <f t="shared" si="159"/>
        <v>4</v>
      </c>
      <c r="X149" s="13">
        <f> 'Optimal Choice'!$B$5*'Optimal Choice'!$B$6^(R149+1)</f>
        <v>959.7231788</v>
      </c>
      <c r="Y149" s="13">
        <f> 'Optimal Choice'!$B$10*'Optimal Choice'!$B$11^(S149+1)</f>
        <v>10567.47778</v>
      </c>
      <c r="Z149" s="13">
        <f> 'Optimal Choice'!$B$15*'Optimal Choice'!$B$16^(T149+1)</f>
        <v>8680.098866</v>
      </c>
      <c r="AA149" s="13">
        <f> 'Optimal Choice'!$B$20*'Optimal Choice'!$B$21^(U149+1)</f>
        <v>33141.84034</v>
      </c>
      <c r="AB149" s="13">
        <f> 'Optimal Choice'!$B$25*'Optimal Choice'!$B$26^(V149+1)</f>
        <v>182719.5857</v>
      </c>
      <c r="AE149" s="12">
        <f t="shared" si="4"/>
        <v>6</v>
      </c>
      <c r="AF149" s="12">
        <f t="shared" si="5"/>
        <v>5</v>
      </c>
      <c r="AG149" s="14">
        <f t="shared" si="6"/>
        <v>1</v>
      </c>
      <c r="AH149" s="14">
        <f t="shared" si="7"/>
        <v>1</v>
      </c>
      <c r="AI149" s="14">
        <f t="shared" si="8"/>
        <v>1</v>
      </c>
      <c r="AL149" s="14">
        <f>R149*'Optimal Choice'!$B$4*AE149</f>
        <v>801.6</v>
      </c>
      <c r="AM149" s="14">
        <f>S149*'Optimal Choice'!$B$9*AF149</f>
        <v>3600</v>
      </c>
      <c r="AN149" s="14">
        <f>T149*'Optimal Choice'!$B$14*AG149</f>
        <v>1620</v>
      </c>
      <c r="AO149" s="14">
        <f>U149*'Optimal Choice'!$B$19*AH149</f>
        <v>3600</v>
      </c>
      <c r="AP149" s="14">
        <f>V149*'Optimal Choice'!$B$24*AI149</f>
        <v>8640</v>
      </c>
      <c r="AS149" s="12">
        <f t="shared" si="9"/>
        <v>6</v>
      </c>
      <c r="AT149" s="12">
        <f t="shared" si="10"/>
        <v>5</v>
      </c>
      <c r="AU149" s="14">
        <f t="shared" si="11"/>
        <v>1</v>
      </c>
      <c r="AV149" s="14">
        <f t="shared" si="12"/>
        <v>1</v>
      </c>
      <c r="AW149" s="14">
        <f t="shared" si="13"/>
        <v>1</v>
      </c>
      <c r="AY149" s="11">
        <f t="shared" si="14"/>
        <v>0.008432729051</v>
      </c>
    </row>
    <row r="150" ht="15.75" customHeight="1">
      <c r="A150" s="15">
        <f t="shared" si="2"/>
        <v>2.834387526</v>
      </c>
      <c r="B150" s="7">
        <f>(sum(AL150:AP150))*'Optimal Choice'!$B$28</f>
        <v>18621.6</v>
      </c>
      <c r="C150" s="11"/>
      <c r="D150" s="12"/>
      <c r="E150" s="12"/>
      <c r="F150" s="11"/>
      <c r="G150" s="11"/>
      <c r="H150" s="11"/>
      <c r="I150" s="11"/>
      <c r="J150" s="11"/>
      <c r="K150" s="11">
        <f>(X150/$B150)+(X150/('Optimal Choice'!$B$4*AS150))</f>
        <v>95.83229454</v>
      </c>
      <c r="L150" s="11">
        <f>(Y150/$B150)+(Y150/('Optimal Choice'!$B$9*AT150))</f>
        <v>106.2422628</v>
      </c>
      <c r="M150" s="11">
        <f>(Z150/$B150)+(Z150/('Optimal Choice'!$B$14*AU150))</f>
        <v>96.91167363</v>
      </c>
      <c r="N150" s="11">
        <f>(AA150/$B150)+(AA150/('Optimal Choice'!$B$19*AV150))</f>
        <v>106.0396748</v>
      </c>
      <c r="O150" s="11">
        <f>(AB150/$B150)+(AB150/('Optimal Choice'!$B$24*AW150))</f>
        <v>94.40463958</v>
      </c>
      <c r="R150" s="12">
        <f t="shared" ref="R150:V150" si="160">if(min($K149:$O149)=K149,R149+1,R149)</f>
        <v>80</v>
      </c>
      <c r="S150" s="12">
        <f t="shared" si="160"/>
        <v>36</v>
      </c>
      <c r="T150" s="12">
        <f t="shared" si="160"/>
        <v>18</v>
      </c>
      <c r="U150" s="12">
        <f t="shared" si="160"/>
        <v>11</v>
      </c>
      <c r="V150" s="12">
        <f t="shared" si="160"/>
        <v>4</v>
      </c>
      <c r="X150" s="13">
        <f> 'Optimal Choice'!$B$5*'Optimal Choice'!$B$6^(R150+1)</f>
        <v>959.7231788</v>
      </c>
      <c r="Y150" s="13">
        <f> 'Optimal Choice'!$B$10*'Optimal Choice'!$B$11^(S150+1)</f>
        <v>10567.47778</v>
      </c>
      <c r="Z150" s="13">
        <f> 'Optimal Choice'!$B$15*'Optimal Choice'!$B$16^(T150+1)</f>
        <v>8680.098866</v>
      </c>
      <c r="AA150" s="13">
        <f> 'Optimal Choice'!$B$20*'Optimal Choice'!$B$21^(U150+1)</f>
        <v>37450.27959</v>
      </c>
      <c r="AB150" s="13">
        <f> 'Optimal Choice'!$B$25*'Optimal Choice'!$B$26^(V150+1)</f>
        <v>182719.5857</v>
      </c>
      <c r="AE150" s="12">
        <f t="shared" si="4"/>
        <v>6</v>
      </c>
      <c r="AF150" s="12">
        <f t="shared" si="5"/>
        <v>5</v>
      </c>
      <c r="AG150" s="14">
        <f t="shared" si="6"/>
        <v>1</v>
      </c>
      <c r="AH150" s="14">
        <f t="shared" si="7"/>
        <v>1</v>
      </c>
      <c r="AI150" s="14">
        <f t="shared" si="8"/>
        <v>1</v>
      </c>
      <c r="AL150" s="14">
        <f>R150*'Optimal Choice'!$B$4*AE150</f>
        <v>801.6</v>
      </c>
      <c r="AM150" s="14">
        <f>S150*'Optimal Choice'!$B$9*AF150</f>
        <v>3600</v>
      </c>
      <c r="AN150" s="14">
        <f>T150*'Optimal Choice'!$B$14*AG150</f>
        <v>1620</v>
      </c>
      <c r="AO150" s="14">
        <f>U150*'Optimal Choice'!$B$19*AH150</f>
        <v>3960</v>
      </c>
      <c r="AP150" s="14">
        <f>V150*'Optimal Choice'!$B$24*AI150</f>
        <v>8640</v>
      </c>
      <c r="AS150" s="12">
        <f t="shared" si="9"/>
        <v>6</v>
      </c>
      <c r="AT150" s="12">
        <f t="shared" si="10"/>
        <v>5</v>
      </c>
      <c r="AU150" s="14">
        <f t="shared" si="11"/>
        <v>1</v>
      </c>
      <c r="AV150" s="14">
        <f t="shared" si="12"/>
        <v>1</v>
      </c>
      <c r="AW150" s="14">
        <f t="shared" si="13"/>
        <v>1</v>
      </c>
      <c r="AY150" s="11">
        <f t="shared" si="14"/>
        <v>0.03024729518</v>
      </c>
    </row>
    <row r="151" ht="15.75" customHeight="1">
      <c r="A151" s="15">
        <f t="shared" si="2"/>
        <v>2.997924839</v>
      </c>
      <c r="B151" s="7">
        <f>(sum(AL151:AP151))*'Optimal Choice'!$B$28</f>
        <v>20781.6</v>
      </c>
      <c r="C151" s="11"/>
      <c r="D151" s="12"/>
      <c r="E151" s="12"/>
      <c r="F151" s="11"/>
      <c r="G151" s="11"/>
      <c r="H151" s="11"/>
      <c r="I151" s="11"/>
      <c r="J151" s="11"/>
      <c r="K151" s="11">
        <f>(X151/$B151)+(X151/('Optimal Choice'!$B$4*AS151))</f>
        <v>95.82693776</v>
      </c>
      <c r="L151" s="11">
        <f>(Y151/$B151)+(Y151/('Optimal Choice'!$B$9*AT151))</f>
        <v>106.1832795</v>
      </c>
      <c r="M151" s="11">
        <f>(Z151/$B151)+(Z151/('Optimal Choice'!$B$14*AU151))</f>
        <v>96.86322489</v>
      </c>
      <c r="N151" s="11">
        <f>(AA151/$B151)+(AA151/('Optimal Choice'!$B$19*AV151))</f>
        <v>105.8306428</v>
      </c>
      <c r="O151" s="11">
        <f>(AB151/$B151)+(AB151/('Optimal Choice'!$B$24*AW151))</f>
        <v>104.590947</v>
      </c>
      <c r="R151" s="12">
        <f t="shared" ref="R151:V151" si="161">if(min($K150:$O150)=K150,R150+1,R150)</f>
        <v>80</v>
      </c>
      <c r="S151" s="12">
        <f t="shared" si="161"/>
        <v>36</v>
      </c>
      <c r="T151" s="12">
        <f t="shared" si="161"/>
        <v>18</v>
      </c>
      <c r="U151" s="12">
        <f t="shared" si="161"/>
        <v>11</v>
      </c>
      <c r="V151" s="12">
        <f t="shared" si="161"/>
        <v>5</v>
      </c>
      <c r="X151" s="13">
        <f> 'Optimal Choice'!$B$5*'Optimal Choice'!$B$6^(R151+1)</f>
        <v>959.7231788</v>
      </c>
      <c r="Y151" s="13">
        <f> 'Optimal Choice'!$B$10*'Optimal Choice'!$B$11^(S151+1)</f>
        <v>10567.47778</v>
      </c>
      <c r="Z151" s="13">
        <f> 'Optimal Choice'!$B$15*'Optimal Choice'!$B$16^(T151+1)</f>
        <v>8680.098866</v>
      </c>
      <c r="AA151" s="13">
        <f> 'Optimal Choice'!$B$20*'Optimal Choice'!$B$21^(U151+1)</f>
        <v>37450.27959</v>
      </c>
      <c r="AB151" s="13">
        <f> 'Optimal Choice'!$B$25*'Optimal Choice'!$B$26^(V151+1)</f>
        <v>204645.936</v>
      </c>
      <c r="AE151" s="12">
        <f t="shared" si="4"/>
        <v>6</v>
      </c>
      <c r="AF151" s="12">
        <f t="shared" si="5"/>
        <v>5</v>
      </c>
      <c r="AG151" s="14">
        <f t="shared" si="6"/>
        <v>1</v>
      </c>
      <c r="AH151" s="14">
        <f t="shared" si="7"/>
        <v>1</v>
      </c>
      <c r="AI151" s="14">
        <f t="shared" si="8"/>
        <v>1</v>
      </c>
      <c r="AL151" s="14">
        <f>R151*'Optimal Choice'!$B$4*AE151</f>
        <v>801.6</v>
      </c>
      <c r="AM151" s="14">
        <f>S151*'Optimal Choice'!$B$9*AF151</f>
        <v>3600</v>
      </c>
      <c r="AN151" s="14">
        <f>T151*'Optimal Choice'!$B$14*AG151</f>
        <v>1620</v>
      </c>
      <c r="AO151" s="14">
        <f>U151*'Optimal Choice'!$B$19*AH151</f>
        <v>3960</v>
      </c>
      <c r="AP151" s="14">
        <f>V151*'Optimal Choice'!$B$24*AI151</f>
        <v>10800</v>
      </c>
      <c r="AS151" s="12">
        <f t="shared" si="9"/>
        <v>6</v>
      </c>
      <c r="AT151" s="12">
        <f t="shared" si="10"/>
        <v>5</v>
      </c>
      <c r="AU151" s="14">
        <f t="shared" si="11"/>
        <v>1</v>
      </c>
      <c r="AV151" s="14">
        <f t="shared" si="12"/>
        <v>1</v>
      </c>
      <c r="AW151" s="14">
        <f t="shared" si="13"/>
        <v>1</v>
      </c>
      <c r="AY151" s="11">
        <f t="shared" si="14"/>
        <v>0.163537313</v>
      </c>
    </row>
    <row r="152" ht="15.75" customHeight="1">
      <c r="A152" s="15">
        <f t="shared" si="2"/>
        <v>2.998694529</v>
      </c>
      <c r="B152" s="7">
        <f>(sum(AL152:AP152))*'Optimal Choice'!$B$28</f>
        <v>20791.62</v>
      </c>
      <c r="C152" s="11"/>
      <c r="D152" s="12"/>
      <c r="E152" s="12"/>
      <c r="F152" s="11"/>
      <c r="G152" s="11"/>
      <c r="H152" s="11"/>
      <c r="I152" s="11"/>
      <c r="J152" s="11"/>
      <c r="K152" s="11">
        <f>(X152/$B152)+(X152/('Optimal Choice'!$B$4*AS152))</f>
        <v>102.5347996</v>
      </c>
      <c r="L152" s="11">
        <f>(Y152/$B152)+(Y152/('Optimal Choice'!$B$9*AT152))</f>
        <v>106.1830344</v>
      </c>
      <c r="M152" s="11">
        <f>(Z152/$B152)+(Z152/('Optimal Choice'!$B$14*AU152))</f>
        <v>96.8630236</v>
      </c>
      <c r="N152" s="11">
        <f>(AA152/$B152)+(AA152/('Optimal Choice'!$B$19*AV152))</f>
        <v>105.8297743</v>
      </c>
      <c r="O152" s="11">
        <f>(AB152/$B152)+(AB152/('Optimal Choice'!$B$24*AW152))</f>
        <v>104.5862013</v>
      </c>
      <c r="R152" s="12">
        <f t="shared" ref="R152:V152" si="162">if(min($K151:$O151)=K151,R151+1,R151)</f>
        <v>81</v>
      </c>
      <c r="S152" s="12">
        <f t="shared" si="162"/>
        <v>36</v>
      </c>
      <c r="T152" s="12">
        <f t="shared" si="162"/>
        <v>18</v>
      </c>
      <c r="U152" s="12">
        <f t="shared" si="162"/>
        <v>11</v>
      </c>
      <c r="V152" s="12">
        <f t="shared" si="162"/>
        <v>5</v>
      </c>
      <c r="X152" s="13">
        <f> 'Optimal Choice'!$B$5*'Optimal Choice'!$B$6^(R152+1)</f>
        <v>1026.903801</v>
      </c>
      <c r="Y152" s="13">
        <f> 'Optimal Choice'!$B$10*'Optimal Choice'!$B$11^(S152+1)</f>
        <v>10567.47778</v>
      </c>
      <c r="Z152" s="13">
        <f> 'Optimal Choice'!$B$15*'Optimal Choice'!$B$16^(T152+1)</f>
        <v>8680.098866</v>
      </c>
      <c r="AA152" s="13">
        <f> 'Optimal Choice'!$B$20*'Optimal Choice'!$B$21^(U152+1)</f>
        <v>37450.27959</v>
      </c>
      <c r="AB152" s="13">
        <f> 'Optimal Choice'!$B$25*'Optimal Choice'!$B$26^(V152+1)</f>
        <v>204645.936</v>
      </c>
      <c r="AE152" s="12">
        <f t="shared" si="4"/>
        <v>6</v>
      </c>
      <c r="AF152" s="12">
        <f t="shared" si="5"/>
        <v>5</v>
      </c>
      <c r="AG152" s="14">
        <f t="shared" si="6"/>
        <v>1</v>
      </c>
      <c r="AH152" s="14">
        <f t="shared" si="7"/>
        <v>1</v>
      </c>
      <c r="AI152" s="14">
        <f t="shared" si="8"/>
        <v>1</v>
      </c>
      <c r="AL152" s="14">
        <f>R152*'Optimal Choice'!$B$4*AE152</f>
        <v>811.62</v>
      </c>
      <c r="AM152" s="14">
        <f>S152*'Optimal Choice'!$B$9*AF152</f>
        <v>3600</v>
      </c>
      <c r="AN152" s="14">
        <f>T152*'Optimal Choice'!$B$14*AG152</f>
        <v>1620</v>
      </c>
      <c r="AO152" s="14">
        <f>U152*'Optimal Choice'!$B$19*AH152</f>
        <v>3960</v>
      </c>
      <c r="AP152" s="14">
        <f>V152*'Optimal Choice'!$B$24*AI152</f>
        <v>10800</v>
      </c>
      <c r="AS152" s="12">
        <f t="shared" si="9"/>
        <v>6</v>
      </c>
      <c r="AT152" s="12">
        <f t="shared" si="10"/>
        <v>5</v>
      </c>
      <c r="AU152" s="14">
        <f t="shared" si="11"/>
        <v>1</v>
      </c>
      <c r="AV152" s="14">
        <f t="shared" si="12"/>
        <v>1</v>
      </c>
      <c r="AW152" s="14">
        <f t="shared" si="13"/>
        <v>1</v>
      </c>
      <c r="AY152" s="11">
        <f t="shared" si="14"/>
        <v>0.0007696898369</v>
      </c>
    </row>
    <row r="153" ht="15.75" customHeight="1">
      <c r="A153" s="15">
        <f t="shared" si="2"/>
        <v>3.005652539</v>
      </c>
      <c r="B153" s="7">
        <f>(sum(AL153:AP153))*'Optimal Choice'!$B$28</f>
        <v>20881.62</v>
      </c>
      <c r="C153" s="11"/>
      <c r="D153" s="12"/>
      <c r="E153" s="12"/>
      <c r="F153" s="11"/>
      <c r="G153" s="11"/>
      <c r="H153" s="11"/>
      <c r="I153" s="11"/>
      <c r="J153" s="11"/>
      <c r="K153" s="11">
        <f>(X153/$B153)+(X153/('Optimal Choice'!$B$4*AS153))</f>
        <v>102.5345867</v>
      </c>
      <c r="L153" s="11">
        <f>(Y153/$B153)+(Y153/('Optimal Choice'!$B$9*AT153))</f>
        <v>106.1808438</v>
      </c>
      <c r="M153" s="11">
        <f>(Z153/$B153)+(Z153/('Optimal Choice'!$B$14*AU153))</f>
        <v>110.4217957</v>
      </c>
      <c r="N153" s="11">
        <f>(AA153/$B153)+(AA153/('Optimal Choice'!$B$19*AV153))</f>
        <v>105.822011</v>
      </c>
      <c r="O153" s="11">
        <f>(AB153/$B153)+(AB153/('Optimal Choice'!$B$24*AW153))</f>
        <v>104.5437791</v>
      </c>
      <c r="R153" s="12">
        <f t="shared" ref="R153:V153" si="163">if(min($K152:$O152)=K152,R152+1,R152)</f>
        <v>81</v>
      </c>
      <c r="S153" s="12">
        <f t="shared" si="163"/>
        <v>36</v>
      </c>
      <c r="T153" s="12">
        <f t="shared" si="163"/>
        <v>19</v>
      </c>
      <c r="U153" s="12">
        <f t="shared" si="163"/>
        <v>11</v>
      </c>
      <c r="V153" s="12">
        <f t="shared" si="163"/>
        <v>5</v>
      </c>
      <c r="X153" s="13">
        <f> 'Optimal Choice'!$B$5*'Optimal Choice'!$B$6^(R153+1)</f>
        <v>1026.903801</v>
      </c>
      <c r="Y153" s="13">
        <f> 'Optimal Choice'!$B$10*'Optimal Choice'!$B$11^(S153+1)</f>
        <v>10567.47778</v>
      </c>
      <c r="Z153" s="13">
        <f> 'Optimal Choice'!$B$15*'Optimal Choice'!$B$16^(T153+1)</f>
        <v>9895.312708</v>
      </c>
      <c r="AA153" s="13">
        <f> 'Optimal Choice'!$B$20*'Optimal Choice'!$B$21^(U153+1)</f>
        <v>37450.27959</v>
      </c>
      <c r="AB153" s="13">
        <f> 'Optimal Choice'!$B$25*'Optimal Choice'!$B$26^(V153+1)</f>
        <v>204645.936</v>
      </c>
      <c r="AE153" s="12">
        <f t="shared" si="4"/>
        <v>6</v>
      </c>
      <c r="AF153" s="12">
        <f t="shared" si="5"/>
        <v>5</v>
      </c>
      <c r="AG153" s="14">
        <f t="shared" si="6"/>
        <v>1</v>
      </c>
      <c r="AH153" s="14">
        <f t="shared" si="7"/>
        <v>1</v>
      </c>
      <c r="AI153" s="14">
        <f t="shared" si="8"/>
        <v>1</v>
      </c>
      <c r="AL153" s="14">
        <f>R153*'Optimal Choice'!$B$4*AE153</f>
        <v>811.62</v>
      </c>
      <c r="AM153" s="14">
        <f>S153*'Optimal Choice'!$B$9*AF153</f>
        <v>3600</v>
      </c>
      <c r="AN153" s="14">
        <f>T153*'Optimal Choice'!$B$14*AG153</f>
        <v>1710</v>
      </c>
      <c r="AO153" s="14">
        <f>U153*'Optimal Choice'!$B$19*AH153</f>
        <v>3960</v>
      </c>
      <c r="AP153" s="14">
        <f>V153*'Optimal Choice'!$B$24*AI153</f>
        <v>10800</v>
      </c>
      <c r="AS153" s="12">
        <f t="shared" si="9"/>
        <v>6</v>
      </c>
      <c r="AT153" s="12">
        <f t="shared" si="10"/>
        <v>5</v>
      </c>
      <c r="AU153" s="14">
        <f t="shared" si="11"/>
        <v>1</v>
      </c>
      <c r="AV153" s="14">
        <f t="shared" si="12"/>
        <v>1</v>
      </c>
      <c r="AW153" s="14">
        <f t="shared" si="13"/>
        <v>1</v>
      </c>
      <c r="AY153" s="11">
        <f t="shared" si="14"/>
        <v>0.0069580107</v>
      </c>
    </row>
    <row r="154" ht="15.75" customHeight="1">
      <c r="A154" s="15">
        <f t="shared" si="2"/>
        <v>3.006472163</v>
      </c>
      <c r="B154" s="7">
        <f>(sum(AL154:AP154))*'Optimal Choice'!$B$28</f>
        <v>20891.64</v>
      </c>
      <c r="C154" s="11"/>
      <c r="D154" s="12"/>
      <c r="E154" s="12"/>
      <c r="F154" s="11"/>
      <c r="G154" s="11"/>
      <c r="H154" s="11"/>
      <c r="I154" s="11"/>
      <c r="J154" s="11"/>
      <c r="K154" s="11">
        <f>(X154/$B154)+(X154/('Optimal Choice'!$B$4*AS154))</f>
        <v>109.7119826</v>
      </c>
      <c r="L154" s="11">
        <f>(Y154/$B154)+(Y154/('Optimal Choice'!$B$9*AT154))</f>
        <v>106.1806011</v>
      </c>
      <c r="M154" s="11">
        <f>(Z154/$B154)+(Z154/('Optimal Choice'!$B$14*AU154))</f>
        <v>110.4215684</v>
      </c>
      <c r="N154" s="11">
        <f>(AA154/$B154)+(AA154/('Optimal Choice'!$B$19*AV154))</f>
        <v>105.8211508</v>
      </c>
      <c r="O154" s="11">
        <f>(AB154/$B154)+(AB154/('Optimal Choice'!$B$24*AW154))</f>
        <v>104.5390787</v>
      </c>
      <c r="R154" s="12">
        <f t="shared" ref="R154:V154" si="164">if(min($K153:$O153)=K153,R153+1,R153)</f>
        <v>82</v>
      </c>
      <c r="S154" s="12">
        <f t="shared" si="164"/>
        <v>36</v>
      </c>
      <c r="T154" s="12">
        <f t="shared" si="164"/>
        <v>19</v>
      </c>
      <c r="U154" s="12">
        <f t="shared" si="164"/>
        <v>11</v>
      </c>
      <c r="V154" s="12">
        <f t="shared" si="164"/>
        <v>5</v>
      </c>
      <c r="X154" s="13">
        <f> 'Optimal Choice'!$B$5*'Optimal Choice'!$B$6^(R154+1)</f>
        <v>1098.787067</v>
      </c>
      <c r="Y154" s="13">
        <f> 'Optimal Choice'!$B$10*'Optimal Choice'!$B$11^(S154+1)</f>
        <v>10567.47778</v>
      </c>
      <c r="Z154" s="13">
        <f> 'Optimal Choice'!$B$15*'Optimal Choice'!$B$16^(T154+1)</f>
        <v>9895.312708</v>
      </c>
      <c r="AA154" s="13">
        <f> 'Optimal Choice'!$B$20*'Optimal Choice'!$B$21^(U154+1)</f>
        <v>37450.27959</v>
      </c>
      <c r="AB154" s="13">
        <f> 'Optimal Choice'!$B$25*'Optimal Choice'!$B$26^(V154+1)</f>
        <v>204645.936</v>
      </c>
      <c r="AE154" s="12">
        <f t="shared" si="4"/>
        <v>6</v>
      </c>
      <c r="AF154" s="12">
        <f t="shared" si="5"/>
        <v>5</v>
      </c>
      <c r="AG154" s="14">
        <f t="shared" si="6"/>
        <v>1</v>
      </c>
      <c r="AH154" s="14">
        <f t="shared" si="7"/>
        <v>1</v>
      </c>
      <c r="AI154" s="14">
        <f t="shared" si="8"/>
        <v>1</v>
      </c>
      <c r="AL154" s="14">
        <f>R154*'Optimal Choice'!$B$4*AE154</f>
        <v>821.64</v>
      </c>
      <c r="AM154" s="14">
        <f>S154*'Optimal Choice'!$B$9*AF154</f>
        <v>3600</v>
      </c>
      <c r="AN154" s="14">
        <f>T154*'Optimal Choice'!$B$14*AG154</f>
        <v>1710</v>
      </c>
      <c r="AO154" s="14">
        <f>U154*'Optimal Choice'!$B$19*AH154</f>
        <v>3960</v>
      </c>
      <c r="AP154" s="14">
        <f>V154*'Optimal Choice'!$B$24*AI154</f>
        <v>10800</v>
      </c>
      <c r="AS154" s="12">
        <f t="shared" si="9"/>
        <v>6</v>
      </c>
      <c r="AT154" s="12">
        <f t="shared" si="10"/>
        <v>5</v>
      </c>
      <c r="AU154" s="14">
        <f t="shared" si="11"/>
        <v>1</v>
      </c>
      <c r="AV154" s="14">
        <f t="shared" si="12"/>
        <v>1</v>
      </c>
      <c r="AW154" s="14">
        <f t="shared" si="13"/>
        <v>1</v>
      </c>
      <c r="AY154" s="11">
        <f t="shared" si="14"/>
        <v>0.0008196233509</v>
      </c>
    </row>
    <row r="155" ht="15.75" customHeight="1">
      <c r="A155" s="15">
        <f t="shared" si="2"/>
        <v>3.169731993</v>
      </c>
      <c r="B155" s="7">
        <f>(sum(AL155:AP155))*'Optimal Choice'!$B$28</f>
        <v>23051.64</v>
      </c>
      <c r="C155" s="11"/>
      <c r="D155" s="12"/>
      <c r="E155" s="12"/>
      <c r="F155" s="11"/>
      <c r="G155" s="11"/>
      <c r="H155" s="11"/>
      <c r="I155" s="11"/>
      <c r="J155" s="11"/>
      <c r="K155" s="11">
        <f>(X155/$B155)+(X155/('Optimal Choice'!$B$4*AS155))</f>
        <v>109.7070543</v>
      </c>
      <c r="L155" s="11">
        <f>(Y155/$B155)+(Y155/('Optimal Choice'!$B$9*AT155))</f>
        <v>106.1332041</v>
      </c>
      <c r="M155" s="11">
        <f>(Z155/$B155)+(Z155/('Optimal Choice'!$B$14*AU155))</f>
        <v>110.3771862</v>
      </c>
      <c r="N155" s="11">
        <f>(AA155/$B155)+(AA155/('Optimal Choice'!$B$19*AV155))</f>
        <v>105.6531798</v>
      </c>
      <c r="O155" s="11">
        <f>(AB155/$B155)+(AB155/('Optimal Choice'!$B$24*AW155))</f>
        <v>116.0557506</v>
      </c>
      <c r="R155" s="12">
        <f t="shared" ref="R155:V155" si="165">if(min($K154:$O154)=K154,R154+1,R154)</f>
        <v>82</v>
      </c>
      <c r="S155" s="12">
        <f t="shared" si="165"/>
        <v>36</v>
      </c>
      <c r="T155" s="12">
        <f t="shared" si="165"/>
        <v>19</v>
      </c>
      <c r="U155" s="12">
        <f t="shared" si="165"/>
        <v>11</v>
      </c>
      <c r="V155" s="12">
        <f t="shared" si="165"/>
        <v>6</v>
      </c>
      <c r="X155" s="13">
        <f> 'Optimal Choice'!$B$5*'Optimal Choice'!$B$6^(R155+1)</f>
        <v>1098.787067</v>
      </c>
      <c r="Y155" s="13">
        <f> 'Optimal Choice'!$B$10*'Optimal Choice'!$B$11^(S155+1)</f>
        <v>10567.47778</v>
      </c>
      <c r="Z155" s="13">
        <f> 'Optimal Choice'!$B$15*'Optimal Choice'!$B$16^(T155+1)</f>
        <v>9895.312708</v>
      </c>
      <c r="AA155" s="13">
        <f> 'Optimal Choice'!$B$20*'Optimal Choice'!$B$21^(U155+1)</f>
        <v>37450.27959</v>
      </c>
      <c r="AB155" s="13">
        <f> 'Optimal Choice'!$B$25*'Optimal Choice'!$B$26^(V155+1)</f>
        <v>229203.4483</v>
      </c>
      <c r="AE155" s="12">
        <f t="shared" si="4"/>
        <v>6</v>
      </c>
      <c r="AF155" s="12">
        <f t="shared" si="5"/>
        <v>5</v>
      </c>
      <c r="AG155" s="14">
        <f t="shared" si="6"/>
        <v>1</v>
      </c>
      <c r="AH155" s="14">
        <f t="shared" si="7"/>
        <v>1</v>
      </c>
      <c r="AI155" s="14">
        <f t="shared" si="8"/>
        <v>1</v>
      </c>
      <c r="AL155" s="14">
        <f>R155*'Optimal Choice'!$B$4*AE155</f>
        <v>821.64</v>
      </c>
      <c r="AM155" s="14">
        <f>S155*'Optimal Choice'!$B$9*AF155</f>
        <v>3600</v>
      </c>
      <c r="AN155" s="14">
        <f>T155*'Optimal Choice'!$B$14*AG155</f>
        <v>1710</v>
      </c>
      <c r="AO155" s="14">
        <f>U155*'Optimal Choice'!$B$19*AH155</f>
        <v>3960</v>
      </c>
      <c r="AP155" s="14">
        <f>V155*'Optimal Choice'!$B$24*AI155</f>
        <v>12960</v>
      </c>
      <c r="AS155" s="12">
        <f t="shared" si="9"/>
        <v>6</v>
      </c>
      <c r="AT155" s="12">
        <f t="shared" si="10"/>
        <v>5</v>
      </c>
      <c r="AU155" s="14">
        <f t="shared" si="11"/>
        <v>1</v>
      </c>
      <c r="AV155" s="14">
        <f t="shared" si="12"/>
        <v>1</v>
      </c>
      <c r="AW155" s="14">
        <f t="shared" si="13"/>
        <v>1</v>
      </c>
      <c r="AY155" s="11">
        <f t="shared" si="14"/>
        <v>0.1632598302</v>
      </c>
    </row>
    <row r="156" ht="15.75" customHeight="1">
      <c r="A156" s="15">
        <f t="shared" si="2"/>
        <v>3.196809083</v>
      </c>
      <c r="B156" s="7">
        <f>(sum(AL156:AP156))*'Optimal Choice'!$B$28</f>
        <v>23411.64</v>
      </c>
      <c r="C156" s="11"/>
      <c r="D156" s="12"/>
      <c r="E156" s="12"/>
      <c r="F156" s="11"/>
      <c r="G156" s="11"/>
      <c r="H156" s="11"/>
      <c r="I156" s="11"/>
      <c r="J156" s="11"/>
      <c r="K156" s="11">
        <f>(X156/$B156)+(X156/('Optimal Choice'!$B$4*AS156))</f>
        <v>109.7063213</v>
      </c>
      <c r="L156" s="11">
        <f>(Y156/$B156)+(Y156/('Optimal Choice'!$B$9*AT156))</f>
        <v>106.1261549</v>
      </c>
      <c r="M156" s="11">
        <f>(Z156/$B156)+(Z156/('Optimal Choice'!$B$14*AU156))</f>
        <v>110.3705853</v>
      </c>
      <c r="N156" s="11">
        <f>(AA156/$B156)+(AA156/('Optimal Choice'!$B$19*AV156))</f>
        <v>119.3598637</v>
      </c>
      <c r="O156" s="11">
        <f>(AB156/$B156)+(AB156/('Optimal Choice'!$B$24*AW156))</f>
        <v>115.9028567</v>
      </c>
      <c r="R156" s="12">
        <f t="shared" ref="R156:V156" si="166">if(min($K155:$O155)=K155,R155+1,R155)</f>
        <v>82</v>
      </c>
      <c r="S156" s="12">
        <f t="shared" si="166"/>
        <v>36</v>
      </c>
      <c r="T156" s="12">
        <f t="shared" si="166"/>
        <v>19</v>
      </c>
      <c r="U156" s="12">
        <f t="shared" si="166"/>
        <v>12</v>
      </c>
      <c r="V156" s="12">
        <f t="shared" si="166"/>
        <v>6</v>
      </c>
      <c r="X156" s="13">
        <f> 'Optimal Choice'!$B$5*'Optimal Choice'!$B$6^(R156+1)</f>
        <v>1098.787067</v>
      </c>
      <c r="Y156" s="13">
        <f> 'Optimal Choice'!$B$10*'Optimal Choice'!$B$11^(S156+1)</f>
        <v>10567.47778</v>
      </c>
      <c r="Z156" s="13">
        <f> 'Optimal Choice'!$B$15*'Optimal Choice'!$B$16^(T156+1)</f>
        <v>9895.312708</v>
      </c>
      <c r="AA156" s="13">
        <f> 'Optimal Choice'!$B$20*'Optimal Choice'!$B$21^(U156+1)</f>
        <v>42318.81593</v>
      </c>
      <c r="AB156" s="13">
        <f> 'Optimal Choice'!$B$25*'Optimal Choice'!$B$26^(V156+1)</f>
        <v>229203.4483</v>
      </c>
      <c r="AE156" s="12">
        <f t="shared" si="4"/>
        <v>6</v>
      </c>
      <c r="AF156" s="12">
        <f t="shared" si="5"/>
        <v>5</v>
      </c>
      <c r="AG156" s="14">
        <f t="shared" si="6"/>
        <v>1</v>
      </c>
      <c r="AH156" s="14">
        <f t="shared" si="7"/>
        <v>1</v>
      </c>
      <c r="AI156" s="14">
        <f t="shared" si="8"/>
        <v>1</v>
      </c>
      <c r="AL156" s="14">
        <f>R156*'Optimal Choice'!$B$4*AE156</f>
        <v>821.64</v>
      </c>
      <c r="AM156" s="14">
        <f>S156*'Optimal Choice'!$B$9*AF156</f>
        <v>3600</v>
      </c>
      <c r="AN156" s="14">
        <f>T156*'Optimal Choice'!$B$14*AG156</f>
        <v>1710</v>
      </c>
      <c r="AO156" s="14">
        <f>U156*'Optimal Choice'!$B$19*AH156</f>
        <v>4320</v>
      </c>
      <c r="AP156" s="14">
        <f>V156*'Optimal Choice'!$B$24*AI156</f>
        <v>12960</v>
      </c>
      <c r="AS156" s="12">
        <f t="shared" si="9"/>
        <v>6</v>
      </c>
      <c r="AT156" s="12">
        <f t="shared" si="10"/>
        <v>5</v>
      </c>
      <c r="AU156" s="14">
        <f t="shared" si="11"/>
        <v>1</v>
      </c>
      <c r="AV156" s="14">
        <f t="shared" si="12"/>
        <v>1</v>
      </c>
      <c r="AW156" s="14">
        <f t="shared" si="13"/>
        <v>1</v>
      </c>
      <c r="AY156" s="11">
        <f t="shared" si="14"/>
        <v>0.0270770898</v>
      </c>
    </row>
    <row r="157" ht="15.75" customHeight="1">
      <c r="A157" s="15">
        <f t="shared" si="2"/>
        <v>3.204332034</v>
      </c>
      <c r="B157" s="7">
        <f>(sum(AL157:AP157))*'Optimal Choice'!$B$28</f>
        <v>23511.64</v>
      </c>
      <c r="C157" s="11"/>
      <c r="D157" s="12"/>
      <c r="E157" s="12"/>
      <c r="F157" s="11"/>
      <c r="G157" s="11"/>
      <c r="H157" s="11"/>
      <c r="I157" s="11"/>
      <c r="J157" s="11"/>
      <c r="K157" s="11">
        <f>(X157/$B157)+(X157/('Optimal Choice'!$B$4*AS157))</f>
        <v>109.7061217</v>
      </c>
      <c r="L157" s="11">
        <f>(Y157/$B157)+(Y157/('Optimal Choice'!$B$9*AT157))</f>
        <v>122.0428704</v>
      </c>
      <c r="M157" s="11">
        <f>(Z157/$B157)+(Z157/('Optimal Choice'!$B$14*AU157))</f>
        <v>110.3687876</v>
      </c>
      <c r="N157" s="11">
        <f>(AA157/$B157)+(AA157/('Optimal Choice'!$B$19*AV157))</f>
        <v>119.3521756</v>
      </c>
      <c r="O157" s="11">
        <f>(AB157/$B157)+(AB157/('Optimal Choice'!$B$24*AW157))</f>
        <v>115.8612172</v>
      </c>
      <c r="R157" s="12">
        <f t="shared" ref="R157:V157" si="167">if(min($K156:$O156)=K156,R156+1,R156)</f>
        <v>82</v>
      </c>
      <c r="S157" s="12">
        <f t="shared" si="167"/>
        <v>37</v>
      </c>
      <c r="T157" s="12">
        <f t="shared" si="167"/>
        <v>19</v>
      </c>
      <c r="U157" s="12">
        <f t="shared" si="167"/>
        <v>12</v>
      </c>
      <c r="V157" s="12">
        <f t="shared" si="167"/>
        <v>6</v>
      </c>
      <c r="X157" s="13">
        <f> 'Optimal Choice'!$B$5*'Optimal Choice'!$B$6^(R157+1)</f>
        <v>1098.787067</v>
      </c>
      <c r="Y157" s="13">
        <f> 'Optimal Choice'!$B$10*'Optimal Choice'!$B$11^(S157+1)</f>
        <v>12152.59945</v>
      </c>
      <c r="Z157" s="13">
        <f> 'Optimal Choice'!$B$15*'Optimal Choice'!$B$16^(T157+1)</f>
        <v>9895.312708</v>
      </c>
      <c r="AA157" s="13">
        <f> 'Optimal Choice'!$B$20*'Optimal Choice'!$B$21^(U157+1)</f>
        <v>42318.81593</v>
      </c>
      <c r="AB157" s="13">
        <f> 'Optimal Choice'!$B$25*'Optimal Choice'!$B$26^(V157+1)</f>
        <v>229203.4483</v>
      </c>
      <c r="AE157" s="12">
        <f t="shared" si="4"/>
        <v>6</v>
      </c>
      <c r="AF157" s="12">
        <f t="shared" si="5"/>
        <v>5</v>
      </c>
      <c r="AG157" s="14">
        <f t="shared" si="6"/>
        <v>1</v>
      </c>
      <c r="AH157" s="14">
        <f t="shared" si="7"/>
        <v>1</v>
      </c>
      <c r="AI157" s="14">
        <f t="shared" si="8"/>
        <v>1</v>
      </c>
      <c r="AL157" s="14">
        <f>R157*'Optimal Choice'!$B$4*AE157</f>
        <v>821.64</v>
      </c>
      <c r="AM157" s="14">
        <f>S157*'Optimal Choice'!$B$9*AF157</f>
        <v>3700</v>
      </c>
      <c r="AN157" s="14">
        <f>T157*'Optimal Choice'!$B$14*AG157</f>
        <v>1710</v>
      </c>
      <c r="AO157" s="14">
        <f>U157*'Optimal Choice'!$B$19*AH157</f>
        <v>4320</v>
      </c>
      <c r="AP157" s="14">
        <f>V157*'Optimal Choice'!$B$24*AI157</f>
        <v>12960</v>
      </c>
      <c r="AS157" s="12">
        <f t="shared" si="9"/>
        <v>6</v>
      </c>
      <c r="AT157" s="12">
        <f t="shared" si="10"/>
        <v>5</v>
      </c>
      <c r="AU157" s="14">
        <f t="shared" si="11"/>
        <v>1</v>
      </c>
      <c r="AV157" s="14">
        <f t="shared" si="12"/>
        <v>1</v>
      </c>
      <c r="AW157" s="14">
        <f t="shared" si="13"/>
        <v>1</v>
      </c>
      <c r="AY157" s="11">
        <f t="shared" si="14"/>
        <v>0.007522951392</v>
      </c>
    </row>
    <row r="158" ht="15.75" customHeight="1">
      <c r="A158" s="15">
        <f t="shared" si="2"/>
        <v>3.20511093</v>
      </c>
      <c r="B158" s="7">
        <f>(sum(AL158:AP158))*'Optimal Choice'!$B$28</f>
        <v>23521.66</v>
      </c>
      <c r="C158" s="11"/>
      <c r="D158" s="12"/>
      <c r="E158" s="12"/>
      <c r="F158" s="11"/>
      <c r="G158" s="11"/>
      <c r="H158" s="11"/>
      <c r="I158" s="11"/>
      <c r="J158" s="11"/>
      <c r="K158" s="11">
        <f>(X158/$B158)+(X158/('Optimal Choice'!$B$4*AS158))</f>
        <v>117.3855289</v>
      </c>
      <c r="L158" s="11">
        <f>(Y158/$B158)+(Y158/('Optimal Choice'!$B$9*AT158))</f>
        <v>122.0426502</v>
      </c>
      <c r="M158" s="11">
        <f>(Z158/$B158)+(Z158/('Optimal Choice'!$B$14*AU158))</f>
        <v>110.3686084</v>
      </c>
      <c r="N158" s="11">
        <f>(AA158/$B158)+(AA158/('Optimal Choice'!$B$19*AV158))</f>
        <v>119.3514089</v>
      </c>
      <c r="O158" s="11">
        <f>(AB158/$B158)+(AB158/('Optimal Choice'!$B$24*AW158))</f>
        <v>115.8570644</v>
      </c>
      <c r="R158" s="12">
        <f t="shared" ref="R158:V158" si="168">if(min($K157:$O157)=K157,R157+1,R157)</f>
        <v>83</v>
      </c>
      <c r="S158" s="12">
        <f t="shared" si="168"/>
        <v>37</v>
      </c>
      <c r="T158" s="12">
        <f t="shared" si="168"/>
        <v>19</v>
      </c>
      <c r="U158" s="12">
        <f t="shared" si="168"/>
        <v>12</v>
      </c>
      <c r="V158" s="12">
        <f t="shared" si="168"/>
        <v>6</v>
      </c>
      <c r="X158" s="13">
        <f> 'Optimal Choice'!$B$5*'Optimal Choice'!$B$6^(R158+1)</f>
        <v>1175.702162</v>
      </c>
      <c r="Y158" s="13">
        <f> 'Optimal Choice'!$B$10*'Optimal Choice'!$B$11^(S158+1)</f>
        <v>12152.59945</v>
      </c>
      <c r="Z158" s="13">
        <f> 'Optimal Choice'!$B$15*'Optimal Choice'!$B$16^(T158+1)</f>
        <v>9895.312708</v>
      </c>
      <c r="AA158" s="13">
        <f> 'Optimal Choice'!$B$20*'Optimal Choice'!$B$21^(U158+1)</f>
        <v>42318.81593</v>
      </c>
      <c r="AB158" s="13">
        <f> 'Optimal Choice'!$B$25*'Optimal Choice'!$B$26^(V158+1)</f>
        <v>229203.4483</v>
      </c>
      <c r="AE158" s="12">
        <f t="shared" si="4"/>
        <v>6</v>
      </c>
      <c r="AF158" s="12">
        <f t="shared" si="5"/>
        <v>5</v>
      </c>
      <c r="AG158" s="14">
        <f t="shared" si="6"/>
        <v>1</v>
      </c>
      <c r="AH158" s="14">
        <f t="shared" si="7"/>
        <v>1</v>
      </c>
      <c r="AI158" s="14">
        <f t="shared" si="8"/>
        <v>1</v>
      </c>
      <c r="AL158" s="14">
        <f>R158*'Optimal Choice'!$B$4*AE158</f>
        <v>831.66</v>
      </c>
      <c r="AM158" s="14">
        <f>S158*'Optimal Choice'!$B$9*AF158</f>
        <v>3700</v>
      </c>
      <c r="AN158" s="14">
        <f>T158*'Optimal Choice'!$B$14*AG158</f>
        <v>1710</v>
      </c>
      <c r="AO158" s="14">
        <f>U158*'Optimal Choice'!$B$19*AH158</f>
        <v>4320</v>
      </c>
      <c r="AP158" s="14">
        <f>V158*'Optimal Choice'!$B$24*AI158</f>
        <v>12960</v>
      </c>
      <c r="AS158" s="12">
        <f t="shared" si="9"/>
        <v>6</v>
      </c>
      <c r="AT158" s="12">
        <f t="shared" si="10"/>
        <v>5</v>
      </c>
      <c r="AU158" s="14">
        <f t="shared" si="11"/>
        <v>1</v>
      </c>
      <c r="AV158" s="14">
        <f t="shared" si="12"/>
        <v>1</v>
      </c>
      <c r="AW158" s="14">
        <f t="shared" si="13"/>
        <v>1</v>
      </c>
      <c r="AY158" s="11">
        <f t="shared" si="14"/>
        <v>0.0007788958061</v>
      </c>
    </row>
    <row r="159" ht="15.75" customHeight="1">
      <c r="A159" s="15">
        <f t="shared" si="2"/>
        <v>3.21212242</v>
      </c>
      <c r="B159" s="7">
        <f>(sum(AL159:AP159))*'Optimal Choice'!$B$28</f>
        <v>23611.66</v>
      </c>
      <c r="C159" s="11"/>
      <c r="D159" s="12"/>
      <c r="E159" s="12"/>
      <c r="F159" s="11"/>
      <c r="G159" s="11"/>
      <c r="H159" s="11"/>
      <c r="I159" s="11"/>
      <c r="J159" s="11"/>
      <c r="K159" s="11">
        <f>(X159/$B159)+(X159/('Optimal Choice'!$B$4*AS159))</f>
        <v>117.3853384</v>
      </c>
      <c r="L159" s="11">
        <f>(Y159/$B159)+(Y159/('Optimal Choice'!$B$9*AT159))</f>
        <v>122.0406809</v>
      </c>
      <c r="M159" s="11">
        <f>(Z159/$B159)+(Z159/('Optimal Choice'!$B$14*AU159))</f>
        <v>125.8183855</v>
      </c>
      <c r="N159" s="11">
        <f>(AA159/$B159)+(AA159/('Optimal Choice'!$B$19*AV159))</f>
        <v>119.3445511</v>
      </c>
      <c r="O159" s="11">
        <f>(AB159/$B159)+(AB159/('Optimal Choice'!$B$24*AW159))</f>
        <v>115.8199221</v>
      </c>
      <c r="R159" s="12">
        <f t="shared" ref="R159:V159" si="169">if(min($K158:$O158)=K158,R158+1,R158)</f>
        <v>83</v>
      </c>
      <c r="S159" s="12">
        <f t="shared" si="169"/>
        <v>37</v>
      </c>
      <c r="T159" s="12">
        <f t="shared" si="169"/>
        <v>20</v>
      </c>
      <c r="U159" s="12">
        <f t="shared" si="169"/>
        <v>12</v>
      </c>
      <c r="V159" s="12">
        <f t="shared" si="169"/>
        <v>6</v>
      </c>
      <c r="X159" s="13">
        <f> 'Optimal Choice'!$B$5*'Optimal Choice'!$B$6^(R159+1)</f>
        <v>1175.702162</v>
      </c>
      <c r="Y159" s="13">
        <f> 'Optimal Choice'!$B$10*'Optimal Choice'!$B$11^(S159+1)</f>
        <v>12152.59945</v>
      </c>
      <c r="Z159" s="13">
        <f> 'Optimal Choice'!$B$15*'Optimal Choice'!$B$16^(T159+1)</f>
        <v>11280.65649</v>
      </c>
      <c r="AA159" s="13">
        <f> 'Optimal Choice'!$B$20*'Optimal Choice'!$B$21^(U159+1)</f>
        <v>42318.81593</v>
      </c>
      <c r="AB159" s="13">
        <f> 'Optimal Choice'!$B$25*'Optimal Choice'!$B$26^(V159+1)</f>
        <v>229203.4483</v>
      </c>
      <c r="AE159" s="12">
        <f t="shared" si="4"/>
        <v>6</v>
      </c>
      <c r="AF159" s="12">
        <f t="shared" si="5"/>
        <v>5</v>
      </c>
      <c r="AG159" s="14">
        <f t="shared" si="6"/>
        <v>1</v>
      </c>
      <c r="AH159" s="14">
        <f t="shared" si="7"/>
        <v>1</v>
      </c>
      <c r="AI159" s="14">
        <f t="shared" si="8"/>
        <v>1</v>
      </c>
      <c r="AL159" s="14">
        <f>R159*'Optimal Choice'!$B$4*AE159</f>
        <v>831.66</v>
      </c>
      <c r="AM159" s="14">
        <f>S159*'Optimal Choice'!$B$9*AF159</f>
        <v>3700</v>
      </c>
      <c r="AN159" s="14">
        <f>T159*'Optimal Choice'!$B$14*AG159</f>
        <v>1800</v>
      </c>
      <c r="AO159" s="14">
        <f>U159*'Optimal Choice'!$B$19*AH159</f>
        <v>4320</v>
      </c>
      <c r="AP159" s="14">
        <f>V159*'Optimal Choice'!$B$24*AI159</f>
        <v>12960</v>
      </c>
      <c r="AS159" s="12">
        <f t="shared" si="9"/>
        <v>6</v>
      </c>
      <c r="AT159" s="12">
        <f t="shared" si="10"/>
        <v>5</v>
      </c>
      <c r="AU159" s="14">
        <f t="shared" si="11"/>
        <v>1</v>
      </c>
      <c r="AV159" s="14">
        <f t="shared" si="12"/>
        <v>1</v>
      </c>
      <c r="AW159" s="14">
        <f t="shared" si="13"/>
        <v>1</v>
      </c>
      <c r="AY159" s="11">
        <f t="shared" si="14"/>
        <v>0.00701148977</v>
      </c>
    </row>
    <row r="160" ht="15.75" customHeight="1">
      <c r="A160" s="15">
        <f t="shared" si="2"/>
        <v>3.373909328</v>
      </c>
      <c r="B160" s="7">
        <f>(sum(AL160:AP160))*'Optimal Choice'!$B$28</f>
        <v>25771.66</v>
      </c>
      <c r="C160" s="11"/>
      <c r="D160" s="12"/>
      <c r="E160" s="12"/>
      <c r="F160" s="11"/>
      <c r="G160" s="11"/>
      <c r="H160" s="11"/>
      <c r="I160" s="11"/>
      <c r="J160" s="11"/>
      <c r="K160" s="11">
        <f>(X160/$B160)+(X160/('Optimal Choice'!$B$4*AS160))</f>
        <v>117.3811651</v>
      </c>
      <c r="L160" s="11">
        <f>(Y160/$B160)+(Y160/('Optimal Choice'!$B$9*AT160))</f>
        <v>121.9975435</v>
      </c>
      <c r="M160" s="11">
        <f>(Z160/$B160)+(Z160/('Optimal Choice'!$B$14*AU160))</f>
        <v>125.7783432</v>
      </c>
      <c r="N160" s="11">
        <f>(AA160/$B160)+(AA160/('Optimal Choice'!$B$19*AV160))</f>
        <v>119.1943344</v>
      </c>
      <c r="O160" s="11">
        <f>(AB160/$B160)+(AB160/('Optimal Choice'!$B$24*AW160))</f>
        <v>128.8070911</v>
      </c>
      <c r="R160" s="12">
        <f t="shared" ref="R160:V160" si="170">if(min($K159:$O159)=K159,R159+1,R159)</f>
        <v>83</v>
      </c>
      <c r="S160" s="12">
        <f t="shared" si="170"/>
        <v>37</v>
      </c>
      <c r="T160" s="12">
        <f t="shared" si="170"/>
        <v>20</v>
      </c>
      <c r="U160" s="12">
        <f t="shared" si="170"/>
        <v>12</v>
      </c>
      <c r="V160" s="12">
        <f t="shared" si="170"/>
        <v>7</v>
      </c>
      <c r="X160" s="13">
        <f> 'Optimal Choice'!$B$5*'Optimal Choice'!$B$6^(R160+1)</f>
        <v>1175.702162</v>
      </c>
      <c r="Y160" s="13">
        <f> 'Optimal Choice'!$B$10*'Optimal Choice'!$B$11^(S160+1)</f>
        <v>12152.59945</v>
      </c>
      <c r="Z160" s="13">
        <f> 'Optimal Choice'!$B$15*'Optimal Choice'!$B$16^(T160+1)</f>
        <v>11280.65649</v>
      </c>
      <c r="AA160" s="13">
        <f> 'Optimal Choice'!$B$20*'Optimal Choice'!$B$21^(U160+1)</f>
        <v>42318.81593</v>
      </c>
      <c r="AB160" s="13">
        <f> 'Optimal Choice'!$B$25*'Optimal Choice'!$B$26^(V160+1)</f>
        <v>256707.8621</v>
      </c>
      <c r="AE160" s="12">
        <f t="shared" si="4"/>
        <v>6</v>
      </c>
      <c r="AF160" s="12">
        <f t="shared" si="5"/>
        <v>5</v>
      </c>
      <c r="AG160" s="14">
        <f t="shared" si="6"/>
        <v>1</v>
      </c>
      <c r="AH160" s="14">
        <f t="shared" si="7"/>
        <v>1</v>
      </c>
      <c r="AI160" s="14">
        <f t="shared" si="8"/>
        <v>1</v>
      </c>
      <c r="AL160" s="14">
        <f>R160*'Optimal Choice'!$B$4*AE160</f>
        <v>831.66</v>
      </c>
      <c r="AM160" s="14">
        <f>S160*'Optimal Choice'!$B$9*AF160</f>
        <v>3700</v>
      </c>
      <c r="AN160" s="14">
        <f>T160*'Optimal Choice'!$B$14*AG160</f>
        <v>1800</v>
      </c>
      <c r="AO160" s="14">
        <f>U160*'Optimal Choice'!$B$19*AH160</f>
        <v>4320</v>
      </c>
      <c r="AP160" s="14">
        <f>V160*'Optimal Choice'!$B$24*AI160</f>
        <v>15120</v>
      </c>
      <c r="AS160" s="12">
        <f t="shared" si="9"/>
        <v>6</v>
      </c>
      <c r="AT160" s="12">
        <f t="shared" si="10"/>
        <v>5</v>
      </c>
      <c r="AU160" s="14">
        <f t="shared" si="11"/>
        <v>1</v>
      </c>
      <c r="AV160" s="14">
        <f t="shared" si="12"/>
        <v>1</v>
      </c>
      <c r="AW160" s="14">
        <f t="shared" si="13"/>
        <v>1</v>
      </c>
      <c r="AY160" s="11">
        <f t="shared" si="14"/>
        <v>0.1617869083</v>
      </c>
    </row>
    <row r="161" ht="15.75" customHeight="1">
      <c r="A161" s="15">
        <f t="shared" si="2"/>
        <v>3.374669661</v>
      </c>
      <c r="B161" s="7">
        <f>(sum(AL161:AP161))*'Optimal Choice'!$B$28</f>
        <v>25781.68</v>
      </c>
      <c r="C161" s="11"/>
      <c r="D161" s="12"/>
      <c r="E161" s="12"/>
      <c r="F161" s="11"/>
      <c r="G161" s="11"/>
      <c r="H161" s="11"/>
      <c r="I161" s="11"/>
      <c r="J161" s="11"/>
      <c r="K161" s="11">
        <f>(X161/$B161)+(X161/('Optimal Choice'!$B$4*AS161))</f>
        <v>125.5978277</v>
      </c>
      <c r="L161" s="11">
        <f>(Y161/$B161)+(Y161/('Optimal Choice'!$B$9*AT161))</f>
        <v>121.9973602</v>
      </c>
      <c r="M161" s="11">
        <f>(Z161/$B161)+(Z161/('Optimal Choice'!$B$14*AU161))</f>
        <v>125.7781731</v>
      </c>
      <c r="N161" s="11">
        <f>(AA161/$B161)+(AA161/('Optimal Choice'!$B$19*AV161))</f>
        <v>119.1936962</v>
      </c>
      <c r="O161" s="11">
        <f>(AB161/$B161)+(AB161/('Optimal Choice'!$B$24*AW161))</f>
        <v>128.8032198</v>
      </c>
      <c r="R161" s="12">
        <f t="shared" ref="R161:V161" si="171">if(min($K160:$O160)=K160,R160+1,R160)</f>
        <v>84</v>
      </c>
      <c r="S161" s="12">
        <f t="shared" si="171"/>
        <v>37</v>
      </c>
      <c r="T161" s="12">
        <f t="shared" si="171"/>
        <v>20</v>
      </c>
      <c r="U161" s="12">
        <f t="shared" si="171"/>
        <v>12</v>
      </c>
      <c r="V161" s="12">
        <f t="shared" si="171"/>
        <v>7</v>
      </c>
      <c r="X161" s="13">
        <f> 'Optimal Choice'!$B$5*'Optimal Choice'!$B$6^(R161+1)</f>
        <v>1258.001314</v>
      </c>
      <c r="Y161" s="13">
        <f> 'Optimal Choice'!$B$10*'Optimal Choice'!$B$11^(S161+1)</f>
        <v>12152.59945</v>
      </c>
      <c r="Z161" s="13">
        <f> 'Optimal Choice'!$B$15*'Optimal Choice'!$B$16^(T161+1)</f>
        <v>11280.65649</v>
      </c>
      <c r="AA161" s="13">
        <f> 'Optimal Choice'!$B$20*'Optimal Choice'!$B$21^(U161+1)</f>
        <v>42318.81593</v>
      </c>
      <c r="AB161" s="13">
        <f> 'Optimal Choice'!$B$25*'Optimal Choice'!$B$26^(V161+1)</f>
        <v>256707.8621</v>
      </c>
      <c r="AE161" s="12">
        <f t="shared" si="4"/>
        <v>6</v>
      </c>
      <c r="AF161" s="12">
        <f t="shared" si="5"/>
        <v>5</v>
      </c>
      <c r="AG161" s="14">
        <f t="shared" si="6"/>
        <v>1</v>
      </c>
      <c r="AH161" s="14">
        <f t="shared" si="7"/>
        <v>1</v>
      </c>
      <c r="AI161" s="14">
        <f t="shared" si="8"/>
        <v>1</v>
      </c>
      <c r="AL161" s="14">
        <f>R161*'Optimal Choice'!$B$4*AE161</f>
        <v>841.68</v>
      </c>
      <c r="AM161" s="14">
        <f>S161*'Optimal Choice'!$B$9*AF161</f>
        <v>3700</v>
      </c>
      <c r="AN161" s="14">
        <f>T161*'Optimal Choice'!$B$14*AG161</f>
        <v>1800</v>
      </c>
      <c r="AO161" s="14">
        <f>U161*'Optimal Choice'!$B$19*AH161</f>
        <v>4320</v>
      </c>
      <c r="AP161" s="14">
        <f>V161*'Optimal Choice'!$B$24*AI161</f>
        <v>15120</v>
      </c>
      <c r="AS161" s="12">
        <f t="shared" si="9"/>
        <v>6</v>
      </c>
      <c r="AT161" s="12">
        <f t="shared" si="10"/>
        <v>5</v>
      </c>
      <c r="AU161" s="14">
        <f t="shared" si="11"/>
        <v>1</v>
      </c>
      <c r="AV161" s="14">
        <f t="shared" si="12"/>
        <v>1</v>
      </c>
      <c r="AW161" s="14">
        <f t="shared" si="13"/>
        <v>1</v>
      </c>
      <c r="AY161" s="11">
        <f t="shared" si="14"/>
        <v>0.0007603327079</v>
      </c>
    </row>
    <row r="162" ht="15.75" customHeight="1">
      <c r="A162" s="15">
        <f t="shared" si="2"/>
        <v>3.402026823</v>
      </c>
      <c r="B162" s="7">
        <f>(sum(AL162:AP162))*'Optimal Choice'!$B$28</f>
        <v>26141.68</v>
      </c>
      <c r="C162" s="11"/>
      <c r="D162" s="12"/>
      <c r="E162" s="12"/>
      <c r="F162" s="11"/>
      <c r="G162" s="11"/>
      <c r="H162" s="11"/>
      <c r="I162" s="11"/>
      <c r="J162" s="11"/>
      <c r="K162" s="11">
        <f>(X162/$B162)+(X162/('Optimal Choice'!$B$4*AS162))</f>
        <v>125.5971557</v>
      </c>
      <c r="L162" s="11">
        <f>(Y162/$B162)+(Y162/('Optimal Choice'!$B$9*AT162))</f>
        <v>121.990869</v>
      </c>
      <c r="M162" s="11">
        <f>(Z162/$B162)+(Z162/('Optimal Choice'!$B$14*AU162))</f>
        <v>125.7721476</v>
      </c>
      <c r="N162" s="11">
        <f>(AA162/$B162)+(AA162/('Optimal Choice'!$B$19*AV162))</f>
        <v>134.6633338</v>
      </c>
      <c r="O162" s="11">
        <f>(AB162/$B162)+(AB162/('Optimal Choice'!$B$24*AW162))</f>
        <v>128.666101</v>
      </c>
      <c r="R162" s="12">
        <f t="shared" ref="R162:V162" si="172">if(min($K161:$O161)=K161,R161+1,R161)</f>
        <v>84</v>
      </c>
      <c r="S162" s="12">
        <f t="shared" si="172"/>
        <v>37</v>
      </c>
      <c r="T162" s="12">
        <f t="shared" si="172"/>
        <v>20</v>
      </c>
      <c r="U162" s="12">
        <f t="shared" si="172"/>
        <v>13</v>
      </c>
      <c r="V162" s="12">
        <f t="shared" si="172"/>
        <v>7</v>
      </c>
      <c r="X162" s="13">
        <f> 'Optimal Choice'!$B$5*'Optimal Choice'!$B$6^(R162+1)</f>
        <v>1258.001314</v>
      </c>
      <c r="Y162" s="13">
        <f> 'Optimal Choice'!$B$10*'Optimal Choice'!$B$11^(S162+1)</f>
        <v>12152.59945</v>
      </c>
      <c r="Z162" s="13">
        <f> 'Optimal Choice'!$B$15*'Optimal Choice'!$B$16^(T162+1)</f>
        <v>11280.65649</v>
      </c>
      <c r="AA162" s="13">
        <f> 'Optimal Choice'!$B$20*'Optimal Choice'!$B$21^(U162+1)</f>
        <v>47820.262</v>
      </c>
      <c r="AB162" s="13">
        <f> 'Optimal Choice'!$B$25*'Optimal Choice'!$B$26^(V162+1)</f>
        <v>256707.8621</v>
      </c>
      <c r="AE162" s="12">
        <f t="shared" si="4"/>
        <v>6</v>
      </c>
      <c r="AF162" s="12">
        <f t="shared" si="5"/>
        <v>5</v>
      </c>
      <c r="AG162" s="14">
        <f t="shared" si="6"/>
        <v>1</v>
      </c>
      <c r="AH162" s="14">
        <f t="shared" si="7"/>
        <v>1</v>
      </c>
      <c r="AI162" s="14">
        <f t="shared" si="8"/>
        <v>1</v>
      </c>
      <c r="AL162" s="14">
        <f>R162*'Optimal Choice'!$B$4*AE162</f>
        <v>841.68</v>
      </c>
      <c r="AM162" s="14">
        <f>S162*'Optimal Choice'!$B$9*AF162</f>
        <v>3700</v>
      </c>
      <c r="AN162" s="14">
        <f>T162*'Optimal Choice'!$B$14*AG162</f>
        <v>1800</v>
      </c>
      <c r="AO162" s="14">
        <f>U162*'Optimal Choice'!$B$19*AH162</f>
        <v>4680</v>
      </c>
      <c r="AP162" s="14">
        <f>V162*'Optimal Choice'!$B$24*AI162</f>
        <v>15120</v>
      </c>
      <c r="AS162" s="12">
        <f t="shared" si="9"/>
        <v>6</v>
      </c>
      <c r="AT162" s="12">
        <f t="shared" si="10"/>
        <v>5</v>
      </c>
      <c r="AU162" s="14">
        <f t="shared" si="11"/>
        <v>1</v>
      </c>
      <c r="AV162" s="14">
        <f t="shared" si="12"/>
        <v>1</v>
      </c>
      <c r="AW162" s="14">
        <f t="shared" si="13"/>
        <v>1</v>
      </c>
      <c r="AY162" s="11">
        <f t="shared" si="14"/>
        <v>0.0273571621</v>
      </c>
    </row>
    <row r="163" ht="15.75" customHeight="1">
      <c r="A163" s="15">
        <f t="shared" si="2"/>
        <v>3.409774731</v>
      </c>
      <c r="B163" s="7">
        <f>(sum(AL163:AP163))*'Optimal Choice'!$B$28</f>
        <v>26241.68</v>
      </c>
      <c r="C163" s="11"/>
      <c r="D163" s="12"/>
      <c r="E163" s="12"/>
      <c r="F163" s="11"/>
      <c r="G163" s="11"/>
      <c r="H163" s="11"/>
      <c r="I163" s="11"/>
      <c r="J163" s="11"/>
      <c r="K163" s="11">
        <f>(X163/$B163)+(X163/('Optimal Choice'!$B$4*AS163))</f>
        <v>125.5969723</v>
      </c>
      <c r="L163" s="11">
        <f>(Y163/$B163)+(Y163/('Optimal Choice'!$B$9*AT163))</f>
        <v>140.2874621</v>
      </c>
      <c r="M163" s="11">
        <f>(Z163/$B163)+(Z163/('Optimal Choice'!$B$14*AU163))</f>
        <v>125.7705032</v>
      </c>
      <c r="N163" s="11">
        <f>(AA163/$B163)+(AA163/('Optimal Choice'!$B$19*AV163))</f>
        <v>134.656363</v>
      </c>
      <c r="O163" s="11">
        <f>(AB163/$B163)+(AB163/('Optimal Choice'!$B$24*AW163))</f>
        <v>128.6286802</v>
      </c>
      <c r="R163" s="12">
        <f t="shared" ref="R163:V163" si="173">if(min($K162:$O162)=K162,R162+1,R162)</f>
        <v>84</v>
      </c>
      <c r="S163" s="12">
        <f t="shared" si="173"/>
        <v>38</v>
      </c>
      <c r="T163" s="12">
        <f t="shared" si="173"/>
        <v>20</v>
      </c>
      <c r="U163" s="12">
        <f t="shared" si="173"/>
        <v>13</v>
      </c>
      <c r="V163" s="12">
        <f t="shared" si="173"/>
        <v>7</v>
      </c>
      <c r="X163" s="13">
        <f> 'Optimal Choice'!$B$5*'Optimal Choice'!$B$6^(R163+1)</f>
        <v>1258.001314</v>
      </c>
      <c r="Y163" s="13">
        <f> 'Optimal Choice'!$B$10*'Optimal Choice'!$B$11^(S163+1)</f>
        <v>13975.48937</v>
      </c>
      <c r="Z163" s="13">
        <f> 'Optimal Choice'!$B$15*'Optimal Choice'!$B$16^(T163+1)</f>
        <v>11280.65649</v>
      </c>
      <c r="AA163" s="13">
        <f> 'Optimal Choice'!$B$20*'Optimal Choice'!$B$21^(U163+1)</f>
        <v>47820.262</v>
      </c>
      <c r="AB163" s="13">
        <f> 'Optimal Choice'!$B$25*'Optimal Choice'!$B$26^(V163+1)</f>
        <v>256707.8621</v>
      </c>
      <c r="AE163" s="12">
        <f t="shared" si="4"/>
        <v>6</v>
      </c>
      <c r="AF163" s="12">
        <f t="shared" si="5"/>
        <v>5</v>
      </c>
      <c r="AG163" s="14">
        <f t="shared" si="6"/>
        <v>1</v>
      </c>
      <c r="AH163" s="14">
        <f t="shared" si="7"/>
        <v>1</v>
      </c>
      <c r="AI163" s="14">
        <f t="shared" si="8"/>
        <v>1</v>
      </c>
      <c r="AL163" s="14">
        <f>R163*'Optimal Choice'!$B$4*AE163</f>
        <v>841.68</v>
      </c>
      <c r="AM163" s="14">
        <f>S163*'Optimal Choice'!$B$9*AF163</f>
        <v>3800</v>
      </c>
      <c r="AN163" s="14">
        <f>T163*'Optimal Choice'!$B$14*AG163</f>
        <v>1800</v>
      </c>
      <c r="AO163" s="14">
        <f>U163*'Optimal Choice'!$B$19*AH163</f>
        <v>4680</v>
      </c>
      <c r="AP163" s="14">
        <f>V163*'Optimal Choice'!$B$24*AI163</f>
        <v>15120</v>
      </c>
      <c r="AS163" s="12">
        <f t="shared" si="9"/>
        <v>6</v>
      </c>
      <c r="AT163" s="12">
        <f t="shared" si="10"/>
        <v>5</v>
      </c>
      <c r="AU163" s="14">
        <f t="shared" si="11"/>
        <v>1</v>
      </c>
      <c r="AV163" s="14">
        <f t="shared" si="12"/>
        <v>1</v>
      </c>
      <c r="AW163" s="14">
        <f t="shared" si="13"/>
        <v>1</v>
      </c>
      <c r="AY163" s="11">
        <f t="shared" si="14"/>
        <v>0.007747907716</v>
      </c>
    </row>
    <row r="164" ht="15.75" customHeight="1">
      <c r="A164" s="15">
        <f t="shared" si="2"/>
        <v>3.410573715</v>
      </c>
      <c r="B164" s="7">
        <f>(sum(AL164:AP164))*'Optimal Choice'!$B$28</f>
        <v>26251.7</v>
      </c>
      <c r="C164" s="11"/>
      <c r="D164" s="12"/>
      <c r="E164" s="12"/>
      <c r="F164" s="11"/>
      <c r="G164" s="11"/>
      <c r="H164" s="11"/>
      <c r="I164" s="11"/>
      <c r="J164" s="11"/>
      <c r="K164" s="11">
        <f>(X164/$B164)+(X164/('Optimal Choice'!$B$4*AS164))</f>
        <v>134.3887408</v>
      </c>
      <c r="L164" s="11">
        <f>(Y164/$B164)+(Y164/('Optimal Choice'!$B$9*AT164))</f>
        <v>140.2872588</v>
      </c>
      <c r="M164" s="11">
        <f>(Z164/$B164)+(Z164/('Optimal Choice'!$B$14*AU164))</f>
        <v>125.7703391</v>
      </c>
      <c r="N164" s="11">
        <f>(AA164/$B164)+(AA164/('Optimal Choice'!$B$19*AV164))</f>
        <v>134.6556674</v>
      </c>
      <c r="O164" s="11">
        <f>(AB164/$B164)+(AB164/('Optimal Choice'!$B$24*AW164))</f>
        <v>128.6249463</v>
      </c>
      <c r="R164" s="12">
        <f t="shared" ref="R164:V164" si="174">if(min($K163:$O163)=K163,R163+1,R163)</f>
        <v>85</v>
      </c>
      <c r="S164" s="12">
        <f t="shared" si="174"/>
        <v>38</v>
      </c>
      <c r="T164" s="12">
        <f t="shared" si="174"/>
        <v>20</v>
      </c>
      <c r="U164" s="12">
        <f t="shared" si="174"/>
        <v>13</v>
      </c>
      <c r="V164" s="12">
        <f t="shared" si="174"/>
        <v>7</v>
      </c>
      <c r="X164" s="13">
        <f> 'Optimal Choice'!$B$5*'Optimal Choice'!$B$6^(R164+1)</f>
        <v>1346.061405</v>
      </c>
      <c r="Y164" s="13">
        <f> 'Optimal Choice'!$B$10*'Optimal Choice'!$B$11^(S164+1)</f>
        <v>13975.48937</v>
      </c>
      <c r="Z164" s="13">
        <f> 'Optimal Choice'!$B$15*'Optimal Choice'!$B$16^(T164+1)</f>
        <v>11280.65649</v>
      </c>
      <c r="AA164" s="13">
        <f> 'Optimal Choice'!$B$20*'Optimal Choice'!$B$21^(U164+1)</f>
        <v>47820.262</v>
      </c>
      <c r="AB164" s="13">
        <f> 'Optimal Choice'!$B$25*'Optimal Choice'!$B$26^(V164+1)</f>
        <v>256707.8621</v>
      </c>
      <c r="AE164" s="12">
        <f t="shared" si="4"/>
        <v>6</v>
      </c>
      <c r="AF164" s="12">
        <f t="shared" si="5"/>
        <v>5</v>
      </c>
      <c r="AG164" s="14">
        <f t="shared" si="6"/>
        <v>1</v>
      </c>
      <c r="AH164" s="14">
        <f t="shared" si="7"/>
        <v>1</v>
      </c>
      <c r="AI164" s="14">
        <f t="shared" si="8"/>
        <v>1</v>
      </c>
      <c r="AL164" s="14">
        <f>R164*'Optimal Choice'!$B$4*AE164</f>
        <v>851.7</v>
      </c>
      <c r="AM164" s="14">
        <f>S164*'Optimal Choice'!$B$9*AF164</f>
        <v>3800</v>
      </c>
      <c r="AN164" s="14">
        <f>T164*'Optimal Choice'!$B$14*AG164</f>
        <v>1800</v>
      </c>
      <c r="AO164" s="14">
        <f>U164*'Optimal Choice'!$B$19*AH164</f>
        <v>4680</v>
      </c>
      <c r="AP164" s="14">
        <f>V164*'Optimal Choice'!$B$24*AI164</f>
        <v>15120</v>
      </c>
      <c r="AS164" s="12">
        <f t="shared" si="9"/>
        <v>6</v>
      </c>
      <c r="AT164" s="12">
        <f t="shared" si="10"/>
        <v>5</v>
      </c>
      <c r="AU164" s="14">
        <f t="shared" si="11"/>
        <v>1</v>
      </c>
      <c r="AV164" s="14">
        <f t="shared" si="12"/>
        <v>1</v>
      </c>
      <c r="AW164" s="14">
        <f t="shared" si="13"/>
        <v>1</v>
      </c>
      <c r="AY164" s="11">
        <f t="shared" si="14"/>
        <v>0.0007989842327</v>
      </c>
    </row>
    <row r="165" ht="15.75" customHeight="1">
      <c r="A165" s="15">
        <f t="shared" si="2"/>
        <v>3.417735573</v>
      </c>
      <c r="B165" s="7">
        <f>(sum(AL165:AP165))*'Optimal Choice'!$B$28</f>
        <v>26341.7</v>
      </c>
      <c r="C165" s="11"/>
      <c r="D165" s="12"/>
      <c r="E165" s="12"/>
      <c r="F165" s="11"/>
      <c r="G165" s="11"/>
      <c r="H165" s="11"/>
      <c r="I165" s="11"/>
      <c r="J165" s="11"/>
      <c r="K165" s="11">
        <f>(X165/$B165)+(X165/('Optimal Choice'!$B$4*AS165))</f>
        <v>134.3885656</v>
      </c>
      <c r="L165" s="11">
        <f>(Y165/$B165)+(Y165/('Optimal Choice'!$B$9*AT165))</f>
        <v>140.2854399</v>
      </c>
      <c r="M165" s="11">
        <f>(Z165/$B165)+(Z165/('Optimal Choice'!$B$14*AU165))</f>
        <v>143.3765129</v>
      </c>
      <c r="N165" s="11">
        <f>(AA165/$B165)+(AA165/('Optimal Choice'!$B$19*AV165))</f>
        <v>134.6494436</v>
      </c>
      <c r="O165" s="11">
        <f>(AB165/$B165)+(AB165/('Optimal Choice'!$B$24*AW165))</f>
        <v>128.591536</v>
      </c>
      <c r="R165" s="12">
        <f t="shared" ref="R165:V165" si="175">if(min($K164:$O164)=K164,R164+1,R164)</f>
        <v>85</v>
      </c>
      <c r="S165" s="12">
        <f t="shared" si="175"/>
        <v>38</v>
      </c>
      <c r="T165" s="12">
        <f t="shared" si="175"/>
        <v>21</v>
      </c>
      <c r="U165" s="12">
        <f t="shared" si="175"/>
        <v>13</v>
      </c>
      <c r="V165" s="12">
        <f t="shared" si="175"/>
        <v>7</v>
      </c>
      <c r="X165" s="13">
        <f> 'Optimal Choice'!$B$5*'Optimal Choice'!$B$6^(R165+1)</f>
        <v>1346.061405</v>
      </c>
      <c r="Y165" s="13">
        <f> 'Optimal Choice'!$B$10*'Optimal Choice'!$B$11^(S165+1)</f>
        <v>13975.48937</v>
      </c>
      <c r="Z165" s="13">
        <f> 'Optimal Choice'!$B$15*'Optimal Choice'!$B$16^(T165+1)</f>
        <v>12859.94839</v>
      </c>
      <c r="AA165" s="13">
        <f> 'Optimal Choice'!$B$20*'Optimal Choice'!$B$21^(U165+1)</f>
        <v>47820.262</v>
      </c>
      <c r="AB165" s="13">
        <f> 'Optimal Choice'!$B$25*'Optimal Choice'!$B$26^(V165+1)</f>
        <v>256707.8621</v>
      </c>
      <c r="AE165" s="12">
        <f t="shared" si="4"/>
        <v>6</v>
      </c>
      <c r="AF165" s="12">
        <f t="shared" si="5"/>
        <v>5</v>
      </c>
      <c r="AG165" s="14">
        <f t="shared" si="6"/>
        <v>1</v>
      </c>
      <c r="AH165" s="14">
        <f t="shared" si="7"/>
        <v>1</v>
      </c>
      <c r="AI165" s="14">
        <f t="shared" si="8"/>
        <v>1</v>
      </c>
      <c r="AL165" s="14">
        <f>R165*'Optimal Choice'!$B$4*AE165</f>
        <v>851.7</v>
      </c>
      <c r="AM165" s="14">
        <f>S165*'Optimal Choice'!$B$9*AF165</f>
        <v>3800</v>
      </c>
      <c r="AN165" s="14">
        <f>T165*'Optimal Choice'!$B$14*AG165</f>
        <v>1890</v>
      </c>
      <c r="AO165" s="14">
        <f>U165*'Optimal Choice'!$B$19*AH165</f>
        <v>4680</v>
      </c>
      <c r="AP165" s="14">
        <f>V165*'Optimal Choice'!$B$24*AI165</f>
        <v>15120</v>
      </c>
      <c r="AS165" s="12">
        <f t="shared" si="9"/>
        <v>6</v>
      </c>
      <c r="AT165" s="12">
        <f t="shared" si="10"/>
        <v>5</v>
      </c>
      <c r="AU165" s="14">
        <f t="shared" si="11"/>
        <v>1</v>
      </c>
      <c r="AV165" s="14">
        <f t="shared" si="12"/>
        <v>1</v>
      </c>
      <c r="AW165" s="14">
        <f t="shared" si="13"/>
        <v>1</v>
      </c>
      <c r="AY165" s="11">
        <f t="shared" si="14"/>
        <v>0.007161857763</v>
      </c>
    </row>
    <row r="166" ht="15.75" customHeight="1">
      <c r="A166" s="15">
        <f t="shared" si="2"/>
        <v>3.580157298</v>
      </c>
      <c r="B166" s="7">
        <f>(sum(AL166:AP166))*'Optimal Choice'!$B$28</f>
        <v>28501.7</v>
      </c>
      <c r="C166" s="11"/>
      <c r="D166" s="12"/>
      <c r="E166" s="12"/>
      <c r="F166" s="11"/>
      <c r="G166" s="11"/>
      <c r="H166" s="11"/>
      <c r="I166" s="11"/>
      <c r="J166" s="11"/>
      <c r="K166" s="11">
        <f>(X166/$B166)+(X166/('Optimal Choice'!$B$4*AS166))</f>
        <v>134.384693</v>
      </c>
      <c r="L166" s="11">
        <f>(Y166/$B166)+(Y166/('Optimal Choice'!$B$9*AT166))</f>
        <v>140.2452325</v>
      </c>
      <c r="M166" s="11">
        <f>(Z166/$B166)+(Z166/('Optimal Choice'!$B$14*AU166))</f>
        <v>143.3395148</v>
      </c>
      <c r="N166" s="11">
        <f>(AA166/$B166)+(AA166/('Optimal Choice'!$B$19*AV166))</f>
        <v>134.511865</v>
      </c>
      <c r="O166" s="11">
        <f>(AB166/$B166)+(AB166/('Optimal Choice'!$B$24*AW166))</f>
        <v>143.1953473</v>
      </c>
      <c r="R166" s="12">
        <f t="shared" ref="R166:V166" si="176">if(min($K165:$O165)=K165,R165+1,R165)</f>
        <v>85</v>
      </c>
      <c r="S166" s="12">
        <f t="shared" si="176"/>
        <v>38</v>
      </c>
      <c r="T166" s="12">
        <f t="shared" si="176"/>
        <v>21</v>
      </c>
      <c r="U166" s="12">
        <f t="shared" si="176"/>
        <v>13</v>
      </c>
      <c r="V166" s="12">
        <f t="shared" si="176"/>
        <v>8</v>
      </c>
      <c r="X166" s="13">
        <f> 'Optimal Choice'!$B$5*'Optimal Choice'!$B$6^(R166+1)</f>
        <v>1346.061405</v>
      </c>
      <c r="Y166" s="13">
        <f> 'Optimal Choice'!$B$10*'Optimal Choice'!$B$11^(S166+1)</f>
        <v>13975.48937</v>
      </c>
      <c r="Z166" s="13">
        <f> 'Optimal Choice'!$B$15*'Optimal Choice'!$B$16^(T166+1)</f>
        <v>12859.94839</v>
      </c>
      <c r="AA166" s="13">
        <f> 'Optimal Choice'!$B$20*'Optimal Choice'!$B$21^(U166+1)</f>
        <v>47820.262</v>
      </c>
      <c r="AB166" s="13">
        <f> 'Optimal Choice'!$B$25*'Optimal Choice'!$B$26^(V166+1)</f>
        <v>287512.8056</v>
      </c>
      <c r="AE166" s="12">
        <f t="shared" si="4"/>
        <v>6</v>
      </c>
      <c r="AF166" s="12">
        <f t="shared" si="5"/>
        <v>5</v>
      </c>
      <c r="AG166" s="14">
        <f t="shared" si="6"/>
        <v>1</v>
      </c>
      <c r="AH166" s="14">
        <f t="shared" si="7"/>
        <v>1</v>
      </c>
      <c r="AI166" s="14">
        <f t="shared" si="8"/>
        <v>1</v>
      </c>
      <c r="AL166" s="14">
        <f>R166*'Optimal Choice'!$B$4*AE166</f>
        <v>851.7</v>
      </c>
      <c r="AM166" s="14">
        <f>S166*'Optimal Choice'!$B$9*AF166</f>
        <v>3800</v>
      </c>
      <c r="AN166" s="14">
        <f>T166*'Optimal Choice'!$B$14*AG166</f>
        <v>1890</v>
      </c>
      <c r="AO166" s="14">
        <f>U166*'Optimal Choice'!$B$19*AH166</f>
        <v>4680</v>
      </c>
      <c r="AP166" s="14">
        <f>V166*'Optimal Choice'!$B$24*AI166</f>
        <v>17280</v>
      </c>
      <c r="AS166" s="12">
        <f t="shared" si="9"/>
        <v>6</v>
      </c>
      <c r="AT166" s="12">
        <f t="shared" si="10"/>
        <v>5</v>
      </c>
      <c r="AU166" s="14">
        <f t="shared" si="11"/>
        <v>1</v>
      </c>
      <c r="AV166" s="14">
        <f t="shared" si="12"/>
        <v>1</v>
      </c>
      <c r="AW166" s="14">
        <f t="shared" si="13"/>
        <v>1</v>
      </c>
      <c r="AY166" s="11">
        <f t="shared" si="14"/>
        <v>0.1624217256</v>
      </c>
    </row>
    <row r="167" ht="15.75" customHeight="1">
      <c r="A167" s="15">
        <f t="shared" si="2"/>
        <v>3.580944422</v>
      </c>
      <c r="B167" s="7">
        <f>(sum(AL167:AP167))*'Optimal Choice'!$B$28</f>
        <v>28511.72</v>
      </c>
      <c r="C167" s="11"/>
      <c r="D167" s="12"/>
      <c r="E167" s="12"/>
      <c r="F167" s="11"/>
      <c r="G167" s="11"/>
      <c r="H167" s="11"/>
      <c r="I167" s="11"/>
      <c r="J167" s="11"/>
      <c r="K167" s="11">
        <f>(X167/$B167)+(X167/('Optimal Choice'!$B$4*AS167))</f>
        <v>143.7916038</v>
      </c>
      <c r="L167" s="11">
        <f>(Y167/$B167)+(Y167/('Optimal Choice'!$B$9*AT167))</f>
        <v>140.2450602</v>
      </c>
      <c r="M167" s="11">
        <f>(Z167/$B167)+(Z167/('Optimal Choice'!$B$14*AU167))</f>
        <v>143.3393563</v>
      </c>
      <c r="N167" s="11">
        <f>(AA167/$B167)+(AA167/('Optimal Choice'!$B$19*AV167))</f>
        <v>134.5112753</v>
      </c>
      <c r="O167" s="11">
        <f>(AB167/$B167)+(AB167/('Optimal Choice'!$B$24*AW167))</f>
        <v>143.1918021</v>
      </c>
      <c r="R167" s="12">
        <f t="shared" ref="R167:V167" si="177">if(min($K166:$O166)=K166,R166+1,R166)</f>
        <v>86</v>
      </c>
      <c r="S167" s="12">
        <f t="shared" si="177"/>
        <v>38</v>
      </c>
      <c r="T167" s="12">
        <f t="shared" si="177"/>
        <v>21</v>
      </c>
      <c r="U167" s="12">
        <f t="shared" si="177"/>
        <v>13</v>
      </c>
      <c r="V167" s="12">
        <f t="shared" si="177"/>
        <v>8</v>
      </c>
      <c r="X167" s="13">
        <f> 'Optimal Choice'!$B$5*'Optimal Choice'!$B$6^(R167+1)</f>
        <v>1440.285704</v>
      </c>
      <c r="Y167" s="13">
        <f> 'Optimal Choice'!$B$10*'Optimal Choice'!$B$11^(S167+1)</f>
        <v>13975.48937</v>
      </c>
      <c r="Z167" s="13">
        <f> 'Optimal Choice'!$B$15*'Optimal Choice'!$B$16^(T167+1)</f>
        <v>12859.94839</v>
      </c>
      <c r="AA167" s="13">
        <f> 'Optimal Choice'!$B$20*'Optimal Choice'!$B$21^(U167+1)</f>
        <v>47820.262</v>
      </c>
      <c r="AB167" s="13">
        <f> 'Optimal Choice'!$B$25*'Optimal Choice'!$B$26^(V167+1)</f>
        <v>287512.8056</v>
      </c>
      <c r="AE167" s="12">
        <f t="shared" si="4"/>
        <v>6</v>
      </c>
      <c r="AF167" s="12">
        <f t="shared" si="5"/>
        <v>5</v>
      </c>
      <c r="AG167" s="14">
        <f t="shared" si="6"/>
        <v>1</v>
      </c>
      <c r="AH167" s="14">
        <f t="shared" si="7"/>
        <v>1</v>
      </c>
      <c r="AI167" s="14">
        <f t="shared" si="8"/>
        <v>1</v>
      </c>
      <c r="AL167" s="14">
        <f>R167*'Optimal Choice'!$B$4*AE167</f>
        <v>861.72</v>
      </c>
      <c r="AM167" s="14">
        <f>S167*'Optimal Choice'!$B$9*AF167</f>
        <v>3800</v>
      </c>
      <c r="AN167" s="14">
        <f>T167*'Optimal Choice'!$B$14*AG167</f>
        <v>1890</v>
      </c>
      <c r="AO167" s="14">
        <f>U167*'Optimal Choice'!$B$19*AH167</f>
        <v>4680</v>
      </c>
      <c r="AP167" s="14">
        <f>V167*'Optimal Choice'!$B$24*AI167</f>
        <v>17280</v>
      </c>
      <c r="AS167" s="12">
        <f t="shared" si="9"/>
        <v>6</v>
      </c>
      <c r="AT167" s="12">
        <f t="shared" si="10"/>
        <v>5</v>
      </c>
      <c r="AU167" s="14">
        <f t="shared" si="11"/>
        <v>1</v>
      </c>
      <c r="AV167" s="14">
        <f t="shared" si="12"/>
        <v>1</v>
      </c>
      <c r="AW167" s="14">
        <f t="shared" si="13"/>
        <v>1</v>
      </c>
      <c r="AY167" s="11">
        <f t="shared" si="14"/>
        <v>0.0007871234613</v>
      </c>
    </row>
    <row r="168" ht="15.75" customHeight="1">
      <c r="A168" s="15">
        <f t="shared" si="2"/>
        <v>3.608897992</v>
      </c>
      <c r="B168" s="7">
        <f>(sum(AL168:AP168))*'Optimal Choice'!$B$28</f>
        <v>28871.72</v>
      </c>
      <c r="C168" s="11"/>
      <c r="D168" s="12"/>
      <c r="E168" s="12"/>
      <c r="F168" s="11"/>
      <c r="G168" s="11"/>
      <c r="H168" s="11"/>
      <c r="I168" s="11"/>
      <c r="J168" s="11"/>
      <c r="K168" s="11">
        <f>(X168/$B168)+(X168/('Optimal Choice'!$B$4*AS168))</f>
        <v>143.7909739</v>
      </c>
      <c r="L168" s="11">
        <f>(Y168/$B168)+(Y168/('Optimal Choice'!$B$9*AT168))</f>
        <v>140.2389483</v>
      </c>
      <c r="M168" s="11">
        <f>(Z168/$B168)+(Z168/('Optimal Choice'!$B$14*AU168))</f>
        <v>143.3337323</v>
      </c>
      <c r="N168" s="11">
        <f>(AA168/$B168)+(AA168/('Optimal Choice'!$B$19*AV168))</f>
        <v>151.9741093</v>
      </c>
      <c r="O168" s="11">
        <f>(AB168/$B168)+(AB168/('Optimal Choice'!$B$24*AW168))</f>
        <v>143.066065</v>
      </c>
      <c r="R168" s="12">
        <f t="shared" ref="R168:V168" si="178">if(min($K167:$O167)=K167,R167+1,R167)</f>
        <v>86</v>
      </c>
      <c r="S168" s="12">
        <f t="shared" si="178"/>
        <v>38</v>
      </c>
      <c r="T168" s="12">
        <f t="shared" si="178"/>
        <v>21</v>
      </c>
      <c r="U168" s="12">
        <f t="shared" si="178"/>
        <v>14</v>
      </c>
      <c r="V168" s="12">
        <f t="shared" si="178"/>
        <v>8</v>
      </c>
      <c r="X168" s="13">
        <f> 'Optimal Choice'!$B$5*'Optimal Choice'!$B$6^(R168+1)</f>
        <v>1440.285704</v>
      </c>
      <c r="Y168" s="13">
        <f> 'Optimal Choice'!$B$10*'Optimal Choice'!$B$11^(S168+1)</f>
        <v>13975.48937</v>
      </c>
      <c r="Z168" s="13">
        <f> 'Optimal Choice'!$B$15*'Optimal Choice'!$B$16^(T168+1)</f>
        <v>12859.94839</v>
      </c>
      <c r="AA168" s="13">
        <f> 'Optimal Choice'!$B$20*'Optimal Choice'!$B$21^(U168+1)</f>
        <v>54036.89606</v>
      </c>
      <c r="AB168" s="13">
        <f> 'Optimal Choice'!$B$25*'Optimal Choice'!$B$26^(V168+1)</f>
        <v>287512.8056</v>
      </c>
      <c r="AE168" s="12">
        <f t="shared" si="4"/>
        <v>6</v>
      </c>
      <c r="AF168" s="12">
        <f t="shared" si="5"/>
        <v>5</v>
      </c>
      <c r="AG168" s="14">
        <f t="shared" si="6"/>
        <v>1</v>
      </c>
      <c r="AH168" s="14">
        <f t="shared" si="7"/>
        <v>1</v>
      </c>
      <c r="AI168" s="14">
        <f t="shared" si="8"/>
        <v>1</v>
      </c>
      <c r="AL168" s="14">
        <f>R168*'Optimal Choice'!$B$4*AE168</f>
        <v>861.72</v>
      </c>
      <c r="AM168" s="14">
        <f>S168*'Optimal Choice'!$B$9*AF168</f>
        <v>3800</v>
      </c>
      <c r="AN168" s="14">
        <f>T168*'Optimal Choice'!$B$14*AG168</f>
        <v>1890</v>
      </c>
      <c r="AO168" s="14">
        <f>U168*'Optimal Choice'!$B$19*AH168</f>
        <v>5040</v>
      </c>
      <c r="AP168" s="14">
        <f>V168*'Optimal Choice'!$B$24*AI168</f>
        <v>17280</v>
      </c>
      <c r="AS168" s="12">
        <f t="shared" si="9"/>
        <v>6</v>
      </c>
      <c r="AT168" s="12">
        <f t="shared" si="10"/>
        <v>5</v>
      </c>
      <c r="AU168" s="14">
        <f t="shared" si="11"/>
        <v>1</v>
      </c>
      <c r="AV168" s="14">
        <f t="shared" si="12"/>
        <v>1</v>
      </c>
      <c r="AW168" s="14">
        <f t="shared" si="13"/>
        <v>1</v>
      </c>
      <c r="AY168" s="11">
        <f t="shared" si="14"/>
        <v>0.02795357021</v>
      </c>
    </row>
    <row r="169" ht="15.75" customHeight="1">
      <c r="A169" s="15">
        <f t="shared" si="2"/>
        <v>3.616965569</v>
      </c>
      <c r="B169" s="7">
        <f>(sum(AL169:AP169))*'Optimal Choice'!$B$28</f>
        <v>28971.72</v>
      </c>
      <c r="C169" s="11"/>
      <c r="D169" s="12"/>
      <c r="E169" s="12"/>
      <c r="F169" s="11"/>
      <c r="G169" s="11"/>
      <c r="H169" s="11"/>
      <c r="I169" s="11"/>
      <c r="J169" s="11"/>
      <c r="K169" s="11">
        <f>(X169/$B169)+(X169/('Optimal Choice'!$B$4*AS169))</f>
        <v>143.7908017</v>
      </c>
      <c r="L169" s="11">
        <f>(Y169/$B169)+(Y169/('Optimal Choice'!$B$9*AT169))</f>
        <v>161.2728691</v>
      </c>
      <c r="M169" s="11">
        <f>(Z169/$B169)+(Z169/('Optimal Choice'!$B$14*AU169))</f>
        <v>143.3321949</v>
      </c>
      <c r="N169" s="11">
        <f>(AA169/$B169)+(AA169/('Optimal Choice'!$B$19*AV169))</f>
        <v>151.9676492</v>
      </c>
      <c r="O169" s="11">
        <f>(AB169/$B169)+(AB169/('Optimal Choice'!$B$24*AW169))</f>
        <v>143.0316926</v>
      </c>
      <c r="R169" s="12">
        <f t="shared" ref="R169:V169" si="179">if(min($K168:$O168)=K168,R168+1,R168)</f>
        <v>86</v>
      </c>
      <c r="S169" s="12">
        <f t="shared" si="179"/>
        <v>39</v>
      </c>
      <c r="T169" s="12">
        <f t="shared" si="179"/>
        <v>21</v>
      </c>
      <c r="U169" s="12">
        <f t="shared" si="179"/>
        <v>14</v>
      </c>
      <c r="V169" s="12">
        <f t="shared" si="179"/>
        <v>8</v>
      </c>
      <c r="X169" s="13">
        <f> 'Optimal Choice'!$B$5*'Optimal Choice'!$B$6^(R169+1)</f>
        <v>1440.285704</v>
      </c>
      <c r="Y169" s="13">
        <f> 'Optimal Choice'!$B$10*'Optimal Choice'!$B$11^(S169+1)</f>
        <v>16071.81277</v>
      </c>
      <c r="Z169" s="13">
        <f> 'Optimal Choice'!$B$15*'Optimal Choice'!$B$16^(T169+1)</f>
        <v>12859.94839</v>
      </c>
      <c r="AA169" s="13">
        <f> 'Optimal Choice'!$B$20*'Optimal Choice'!$B$21^(U169+1)</f>
        <v>54036.89606</v>
      </c>
      <c r="AB169" s="13">
        <f> 'Optimal Choice'!$B$25*'Optimal Choice'!$B$26^(V169+1)</f>
        <v>287512.8056</v>
      </c>
      <c r="AE169" s="12">
        <f t="shared" si="4"/>
        <v>6</v>
      </c>
      <c r="AF169" s="12">
        <f t="shared" si="5"/>
        <v>5</v>
      </c>
      <c r="AG169" s="14">
        <f t="shared" si="6"/>
        <v>1</v>
      </c>
      <c r="AH169" s="14">
        <f t="shared" si="7"/>
        <v>1</v>
      </c>
      <c r="AI169" s="14">
        <f t="shared" si="8"/>
        <v>1</v>
      </c>
      <c r="AL169" s="14">
        <f>R169*'Optimal Choice'!$B$4*AE169</f>
        <v>861.72</v>
      </c>
      <c r="AM169" s="14">
        <f>S169*'Optimal Choice'!$B$9*AF169</f>
        <v>3900</v>
      </c>
      <c r="AN169" s="14">
        <f>T169*'Optimal Choice'!$B$14*AG169</f>
        <v>1890</v>
      </c>
      <c r="AO169" s="14">
        <f>U169*'Optimal Choice'!$B$19*AH169</f>
        <v>5040</v>
      </c>
      <c r="AP169" s="14">
        <f>V169*'Optimal Choice'!$B$24*AI169</f>
        <v>17280</v>
      </c>
      <c r="AS169" s="12">
        <f t="shared" si="9"/>
        <v>6</v>
      </c>
      <c r="AT169" s="12">
        <f t="shared" si="10"/>
        <v>5</v>
      </c>
      <c r="AU169" s="14">
        <f t="shared" si="11"/>
        <v>1</v>
      </c>
      <c r="AV169" s="14">
        <f t="shared" si="12"/>
        <v>1</v>
      </c>
      <c r="AW169" s="14">
        <f t="shared" si="13"/>
        <v>1</v>
      </c>
      <c r="AY169" s="11">
        <f t="shared" si="14"/>
        <v>0.008067576951</v>
      </c>
    </row>
    <row r="170" ht="15.75" customHeight="1">
      <c r="A170" s="15">
        <f t="shared" si="2"/>
        <v>3.782364105</v>
      </c>
      <c r="B170" s="7">
        <f>(sum(AL170:AP170))*'Optimal Choice'!$B$28</f>
        <v>31131.72</v>
      </c>
      <c r="C170" s="11"/>
      <c r="D170" s="12"/>
      <c r="E170" s="12"/>
      <c r="F170" s="11"/>
      <c r="G170" s="11"/>
      <c r="H170" s="11"/>
      <c r="I170" s="11"/>
      <c r="J170" s="11"/>
      <c r="K170" s="11">
        <f>(X170/$B170)+(X170/('Optimal Choice'!$B$4*AS170))</f>
        <v>143.7873525</v>
      </c>
      <c r="L170" s="11">
        <f>(Y170/$B170)+(Y170/('Optimal Choice'!$B$9*AT170))</f>
        <v>161.2343797</v>
      </c>
      <c r="M170" s="11">
        <f>(Z170/$B170)+(Z170/('Optimal Choice'!$B$14*AU170))</f>
        <v>143.3013973</v>
      </c>
      <c r="N170" s="11">
        <f>(AA170/$B170)+(AA170/('Optimal Choice'!$B$19*AV170))</f>
        <v>151.8382395</v>
      </c>
      <c r="O170" s="11">
        <f>(AB170/$B170)+(AB170/('Optimal Choice'!$B$24*AW170))</f>
        <v>159.4243231</v>
      </c>
      <c r="R170" s="12">
        <f t="shared" ref="R170:V170" si="180">if(min($K169:$O169)=K169,R169+1,R169)</f>
        <v>86</v>
      </c>
      <c r="S170" s="12">
        <f t="shared" si="180"/>
        <v>39</v>
      </c>
      <c r="T170" s="12">
        <f t="shared" si="180"/>
        <v>21</v>
      </c>
      <c r="U170" s="12">
        <f t="shared" si="180"/>
        <v>14</v>
      </c>
      <c r="V170" s="12">
        <f t="shared" si="180"/>
        <v>9</v>
      </c>
      <c r="X170" s="13">
        <f> 'Optimal Choice'!$B$5*'Optimal Choice'!$B$6^(R170+1)</f>
        <v>1440.285704</v>
      </c>
      <c r="Y170" s="13">
        <f> 'Optimal Choice'!$B$10*'Optimal Choice'!$B$11^(S170+1)</f>
        <v>16071.81277</v>
      </c>
      <c r="Z170" s="13">
        <f> 'Optimal Choice'!$B$15*'Optimal Choice'!$B$16^(T170+1)</f>
        <v>12859.94839</v>
      </c>
      <c r="AA170" s="13">
        <f> 'Optimal Choice'!$B$20*'Optimal Choice'!$B$21^(U170+1)</f>
        <v>54036.89606</v>
      </c>
      <c r="AB170" s="13">
        <f> 'Optimal Choice'!$B$25*'Optimal Choice'!$B$26^(V170+1)</f>
        <v>322014.3422</v>
      </c>
      <c r="AE170" s="12">
        <f t="shared" si="4"/>
        <v>6</v>
      </c>
      <c r="AF170" s="12">
        <f t="shared" si="5"/>
        <v>5</v>
      </c>
      <c r="AG170" s="14">
        <f t="shared" si="6"/>
        <v>1</v>
      </c>
      <c r="AH170" s="14">
        <f t="shared" si="7"/>
        <v>1</v>
      </c>
      <c r="AI170" s="14">
        <f t="shared" si="8"/>
        <v>1</v>
      </c>
      <c r="AL170" s="14">
        <f>R170*'Optimal Choice'!$B$4*AE170</f>
        <v>861.72</v>
      </c>
      <c r="AM170" s="14">
        <f>S170*'Optimal Choice'!$B$9*AF170</f>
        <v>3900</v>
      </c>
      <c r="AN170" s="14">
        <f>T170*'Optimal Choice'!$B$14*AG170</f>
        <v>1890</v>
      </c>
      <c r="AO170" s="14">
        <f>U170*'Optimal Choice'!$B$19*AH170</f>
        <v>5040</v>
      </c>
      <c r="AP170" s="14">
        <f>V170*'Optimal Choice'!$B$24*AI170</f>
        <v>19440</v>
      </c>
      <c r="AS170" s="12">
        <f t="shared" si="9"/>
        <v>6</v>
      </c>
      <c r="AT170" s="12">
        <f t="shared" si="10"/>
        <v>5</v>
      </c>
      <c r="AU170" s="14">
        <f t="shared" si="11"/>
        <v>1</v>
      </c>
      <c r="AV170" s="14">
        <f t="shared" si="12"/>
        <v>1</v>
      </c>
      <c r="AW170" s="14">
        <f t="shared" si="13"/>
        <v>1</v>
      </c>
      <c r="AY170" s="11">
        <f t="shared" si="14"/>
        <v>0.1653985367</v>
      </c>
    </row>
    <row r="171" ht="15.75" customHeight="1">
      <c r="A171" s="15">
        <f t="shared" si="2"/>
        <v>3.789248803</v>
      </c>
      <c r="B171" s="7">
        <f>(sum(AL171:AP171))*'Optimal Choice'!$B$28</f>
        <v>31221.72</v>
      </c>
      <c r="C171" s="11"/>
      <c r="D171" s="12"/>
      <c r="E171" s="12"/>
      <c r="F171" s="11"/>
      <c r="G171" s="11"/>
      <c r="H171" s="11"/>
      <c r="I171" s="11"/>
      <c r="J171" s="11"/>
      <c r="K171" s="11">
        <f>(X171/$B171)+(X171/('Optimal Choice'!$B$4*AS171))</f>
        <v>143.7872191</v>
      </c>
      <c r="L171" s="11">
        <f>(Y171/$B171)+(Y171/('Optimal Choice'!$B$9*AT171))</f>
        <v>161.2328916</v>
      </c>
      <c r="M171" s="11">
        <f>(Z171/$B171)+(Z171/('Optimal Choice'!$B$14*AU171))</f>
        <v>163.3622355</v>
      </c>
      <c r="N171" s="11">
        <f>(AA171/$B171)+(AA171/('Optimal Choice'!$B$19*AV171))</f>
        <v>151.833236</v>
      </c>
      <c r="O171" s="11">
        <f>(AB171/$B171)+(AB171/('Optimal Choice'!$B$24*AW171))</f>
        <v>159.3945065</v>
      </c>
      <c r="R171" s="12">
        <f t="shared" ref="R171:V171" si="181">if(min($K170:$O170)=K170,R170+1,R170)</f>
        <v>86</v>
      </c>
      <c r="S171" s="12">
        <f t="shared" si="181"/>
        <v>39</v>
      </c>
      <c r="T171" s="12">
        <f t="shared" si="181"/>
        <v>22</v>
      </c>
      <c r="U171" s="12">
        <f t="shared" si="181"/>
        <v>14</v>
      </c>
      <c r="V171" s="12">
        <f t="shared" si="181"/>
        <v>9</v>
      </c>
      <c r="X171" s="13">
        <f> 'Optimal Choice'!$B$5*'Optimal Choice'!$B$6^(R171+1)</f>
        <v>1440.285704</v>
      </c>
      <c r="Y171" s="13">
        <f> 'Optimal Choice'!$B$10*'Optimal Choice'!$B$11^(S171+1)</f>
        <v>16071.81277</v>
      </c>
      <c r="Z171" s="13">
        <f> 'Optimal Choice'!$B$15*'Optimal Choice'!$B$16^(T171+1)</f>
        <v>14660.34117</v>
      </c>
      <c r="AA171" s="13">
        <f> 'Optimal Choice'!$B$20*'Optimal Choice'!$B$21^(U171+1)</f>
        <v>54036.89606</v>
      </c>
      <c r="AB171" s="13">
        <f> 'Optimal Choice'!$B$25*'Optimal Choice'!$B$26^(V171+1)</f>
        <v>322014.3422</v>
      </c>
      <c r="AE171" s="12">
        <f t="shared" si="4"/>
        <v>6</v>
      </c>
      <c r="AF171" s="12">
        <f t="shared" si="5"/>
        <v>5</v>
      </c>
      <c r="AG171" s="14">
        <f t="shared" si="6"/>
        <v>1</v>
      </c>
      <c r="AH171" s="14">
        <f t="shared" si="7"/>
        <v>1</v>
      </c>
      <c r="AI171" s="14">
        <f t="shared" si="8"/>
        <v>1</v>
      </c>
      <c r="AL171" s="14">
        <f>R171*'Optimal Choice'!$B$4*AE171</f>
        <v>861.72</v>
      </c>
      <c r="AM171" s="14">
        <f>S171*'Optimal Choice'!$B$9*AF171</f>
        <v>3900</v>
      </c>
      <c r="AN171" s="14">
        <f>T171*'Optimal Choice'!$B$14*AG171</f>
        <v>1980</v>
      </c>
      <c r="AO171" s="14">
        <f>U171*'Optimal Choice'!$B$19*AH171</f>
        <v>5040</v>
      </c>
      <c r="AP171" s="14">
        <f>V171*'Optimal Choice'!$B$24*AI171</f>
        <v>19440</v>
      </c>
      <c r="AS171" s="12">
        <f t="shared" si="9"/>
        <v>6</v>
      </c>
      <c r="AT171" s="12">
        <f t="shared" si="10"/>
        <v>5</v>
      </c>
      <c r="AU171" s="14">
        <f t="shared" si="11"/>
        <v>1</v>
      </c>
      <c r="AV171" s="14">
        <f t="shared" si="12"/>
        <v>1</v>
      </c>
      <c r="AW171" s="14">
        <f t="shared" si="13"/>
        <v>1</v>
      </c>
      <c r="AY171" s="11">
        <f t="shared" si="14"/>
        <v>0.006884697448</v>
      </c>
    </row>
    <row r="172" ht="15.75" customHeight="1">
      <c r="A172" s="15">
        <f t="shared" si="2"/>
        <v>3.790017651</v>
      </c>
      <c r="B172" s="7">
        <f>(sum(AL172:AP172))*'Optimal Choice'!$B$28</f>
        <v>31231.74</v>
      </c>
      <c r="C172" s="11"/>
      <c r="D172" s="12"/>
      <c r="E172" s="12"/>
      <c r="F172" s="11"/>
      <c r="G172" s="11"/>
      <c r="H172" s="11"/>
      <c r="I172" s="11"/>
      <c r="J172" s="11"/>
      <c r="K172" s="11">
        <f>(X172/$B172)+(X172/('Optimal Choice'!$B$4*AS172))</f>
        <v>153.8523086</v>
      </c>
      <c r="L172" s="11">
        <f>(Y172/$B172)+(Y172/('Optimal Choice'!$B$9*AT172))</f>
        <v>161.2327264</v>
      </c>
      <c r="M172" s="11">
        <f>(Z172/$B172)+(Z172/('Optimal Choice'!$B$14*AU172))</f>
        <v>163.3620849</v>
      </c>
      <c r="N172" s="11">
        <f>(AA172/$B172)+(AA172/('Optimal Choice'!$B$19*AV172))</f>
        <v>151.8326807</v>
      </c>
      <c r="O172" s="11">
        <f>(AB172/$B172)+(AB172/('Optimal Choice'!$B$24*AW172))</f>
        <v>159.3911976</v>
      </c>
      <c r="R172" s="12">
        <f t="shared" ref="R172:V172" si="182">if(min($K171:$O171)=K171,R171+1,R171)</f>
        <v>87</v>
      </c>
      <c r="S172" s="12">
        <f t="shared" si="182"/>
        <v>39</v>
      </c>
      <c r="T172" s="12">
        <f t="shared" si="182"/>
        <v>22</v>
      </c>
      <c r="U172" s="12">
        <f t="shared" si="182"/>
        <v>14</v>
      </c>
      <c r="V172" s="12">
        <f t="shared" si="182"/>
        <v>9</v>
      </c>
      <c r="X172" s="13">
        <f> 'Optimal Choice'!$B$5*'Optimal Choice'!$B$6^(R172+1)</f>
        <v>1541.105703</v>
      </c>
      <c r="Y172" s="13">
        <f> 'Optimal Choice'!$B$10*'Optimal Choice'!$B$11^(S172+1)</f>
        <v>16071.81277</v>
      </c>
      <c r="Z172" s="13">
        <f> 'Optimal Choice'!$B$15*'Optimal Choice'!$B$16^(T172+1)</f>
        <v>14660.34117</v>
      </c>
      <c r="AA172" s="13">
        <f> 'Optimal Choice'!$B$20*'Optimal Choice'!$B$21^(U172+1)</f>
        <v>54036.89606</v>
      </c>
      <c r="AB172" s="13">
        <f> 'Optimal Choice'!$B$25*'Optimal Choice'!$B$26^(V172+1)</f>
        <v>322014.3422</v>
      </c>
      <c r="AE172" s="12">
        <f t="shared" si="4"/>
        <v>6</v>
      </c>
      <c r="AF172" s="12">
        <f t="shared" si="5"/>
        <v>5</v>
      </c>
      <c r="AG172" s="14">
        <f t="shared" si="6"/>
        <v>1</v>
      </c>
      <c r="AH172" s="14">
        <f t="shared" si="7"/>
        <v>1</v>
      </c>
      <c r="AI172" s="14">
        <f t="shared" si="8"/>
        <v>1</v>
      </c>
      <c r="AL172" s="14">
        <f>R172*'Optimal Choice'!$B$4*AE172</f>
        <v>871.74</v>
      </c>
      <c r="AM172" s="14">
        <f>S172*'Optimal Choice'!$B$9*AF172</f>
        <v>3900</v>
      </c>
      <c r="AN172" s="14">
        <f>T172*'Optimal Choice'!$B$14*AG172</f>
        <v>1980</v>
      </c>
      <c r="AO172" s="14">
        <f>U172*'Optimal Choice'!$B$19*AH172</f>
        <v>5040</v>
      </c>
      <c r="AP172" s="14">
        <f>V172*'Optimal Choice'!$B$24*AI172</f>
        <v>19440</v>
      </c>
      <c r="AS172" s="12">
        <f t="shared" si="9"/>
        <v>6</v>
      </c>
      <c r="AT172" s="12">
        <f t="shared" si="10"/>
        <v>5</v>
      </c>
      <c r="AU172" s="14">
        <f t="shared" si="11"/>
        <v>1</v>
      </c>
      <c r="AV172" s="14">
        <f t="shared" si="12"/>
        <v>1</v>
      </c>
      <c r="AW172" s="14">
        <f t="shared" si="13"/>
        <v>1</v>
      </c>
      <c r="AY172" s="11">
        <f t="shared" si="14"/>
        <v>0.0007688481522</v>
      </c>
    </row>
    <row r="173" ht="15.75" customHeight="1">
      <c r="A173" s="15">
        <f t="shared" si="2"/>
        <v>3.818854179</v>
      </c>
      <c r="B173" s="7">
        <f>(sum(AL173:AP173))*'Optimal Choice'!$B$28</f>
        <v>31591.74</v>
      </c>
      <c r="C173" s="11"/>
      <c r="D173" s="12"/>
      <c r="E173" s="12"/>
      <c r="F173" s="11"/>
      <c r="G173" s="11"/>
      <c r="H173" s="11"/>
      <c r="I173" s="11"/>
      <c r="J173" s="11"/>
      <c r="K173" s="11">
        <f>(X173/$B173)+(X173/('Optimal Choice'!$B$4*AS173))</f>
        <v>153.8517463</v>
      </c>
      <c r="L173" s="11">
        <f>(Y173/$B173)+(Y173/('Optimal Choice'!$B$9*AT173))</f>
        <v>161.2268624</v>
      </c>
      <c r="M173" s="11">
        <f>(Z173/$B173)+(Z173/('Optimal Choice'!$B$14*AU173))</f>
        <v>163.3567358</v>
      </c>
      <c r="N173" s="11">
        <f>(AA173/$B173)+(AA173/('Optimal Choice'!$B$19*AV173))</f>
        <v>171.5486499</v>
      </c>
      <c r="O173" s="11">
        <f>(AB173/$B173)+(AB173/('Optimal Choice'!$B$24*AW173))</f>
        <v>159.2737057</v>
      </c>
      <c r="R173" s="12">
        <f t="shared" ref="R173:V173" si="183">if(min($K172:$O172)=K172,R172+1,R172)</f>
        <v>87</v>
      </c>
      <c r="S173" s="12">
        <f t="shared" si="183"/>
        <v>39</v>
      </c>
      <c r="T173" s="12">
        <f t="shared" si="183"/>
        <v>22</v>
      </c>
      <c r="U173" s="12">
        <f t="shared" si="183"/>
        <v>15</v>
      </c>
      <c r="V173" s="12">
        <f t="shared" si="183"/>
        <v>9</v>
      </c>
      <c r="X173" s="13">
        <f> 'Optimal Choice'!$B$5*'Optimal Choice'!$B$6^(R173+1)</f>
        <v>1541.105703</v>
      </c>
      <c r="Y173" s="13">
        <f> 'Optimal Choice'!$B$10*'Optimal Choice'!$B$11^(S173+1)</f>
        <v>16071.81277</v>
      </c>
      <c r="Z173" s="13">
        <f> 'Optimal Choice'!$B$15*'Optimal Choice'!$B$16^(T173+1)</f>
        <v>14660.34117</v>
      </c>
      <c r="AA173" s="13">
        <f> 'Optimal Choice'!$B$20*'Optimal Choice'!$B$21^(U173+1)</f>
        <v>61061.69255</v>
      </c>
      <c r="AB173" s="13">
        <f> 'Optimal Choice'!$B$25*'Optimal Choice'!$B$26^(V173+1)</f>
        <v>322014.3422</v>
      </c>
      <c r="AE173" s="12">
        <f t="shared" si="4"/>
        <v>6</v>
      </c>
      <c r="AF173" s="12">
        <f t="shared" si="5"/>
        <v>5</v>
      </c>
      <c r="AG173" s="14">
        <f t="shared" si="6"/>
        <v>1</v>
      </c>
      <c r="AH173" s="14">
        <f t="shared" si="7"/>
        <v>1</v>
      </c>
      <c r="AI173" s="14">
        <f t="shared" si="8"/>
        <v>1</v>
      </c>
      <c r="AL173" s="14">
        <f>R173*'Optimal Choice'!$B$4*AE173</f>
        <v>871.74</v>
      </c>
      <c r="AM173" s="14">
        <f>S173*'Optimal Choice'!$B$9*AF173</f>
        <v>3900</v>
      </c>
      <c r="AN173" s="14">
        <f>T173*'Optimal Choice'!$B$14*AG173</f>
        <v>1980</v>
      </c>
      <c r="AO173" s="14">
        <f>U173*'Optimal Choice'!$B$19*AH173</f>
        <v>5400</v>
      </c>
      <c r="AP173" s="14">
        <f>V173*'Optimal Choice'!$B$24*AI173</f>
        <v>19440</v>
      </c>
      <c r="AS173" s="12">
        <f t="shared" si="9"/>
        <v>6</v>
      </c>
      <c r="AT173" s="12">
        <f t="shared" si="10"/>
        <v>5</v>
      </c>
      <c r="AU173" s="14">
        <f t="shared" si="11"/>
        <v>1</v>
      </c>
      <c r="AV173" s="14">
        <f t="shared" si="12"/>
        <v>1</v>
      </c>
      <c r="AW173" s="14">
        <f t="shared" si="13"/>
        <v>1</v>
      </c>
      <c r="AY173" s="11">
        <f t="shared" si="14"/>
        <v>0.02883652766</v>
      </c>
    </row>
    <row r="174" ht="15.75" customHeight="1">
      <c r="A174" s="15">
        <f t="shared" si="2"/>
        <v>3.819667211</v>
      </c>
      <c r="B174" s="7">
        <f>(sum(AL174:AP174))*'Optimal Choice'!$B$28</f>
        <v>31601.76</v>
      </c>
      <c r="C174" s="11"/>
      <c r="D174" s="12"/>
      <c r="E174" s="12"/>
      <c r="F174" s="11"/>
      <c r="G174" s="11"/>
      <c r="H174" s="11"/>
      <c r="I174" s="11"/>
      <c r="J174" s="11"/>
      <c r="K174" s="11">
        <f>(X174/$B174)+(X174/('Optimal Choice'!$B$4*AS174))</f>
        <v>164.621352</v>
      </c>
      <c r="L174" s="11">
        <f>(Y174/$B174)+(Y174/('Optimal Choice'!$B$9*AT174))</f>
        <v>161.2267011</v>
      </c>
      <c r="M174" s="11">
        <f>(Z174/$B174)+(Z174/('Optimal Choice'!$B$14*AU174))</f>
        <v>163.3565887</v>
      </c>
      <c r="N174" s="11">
        <f>(AA174/$B174)+(AA174/('Optimal Choice'!$B$19*AV174))</f>
        <v>171.5480371</v>
      </c>
      <c r="O174" s="11">
        <f>(AB174/$B174)+(AB174/('Optimal Choice'!$B$24*AW174))</f>
        <v>159.2704738</v>
      </c>
      <c r="R174" s="12">
        <f t="shared" ref="R174:V174" si="184">if(min($K173:$O173)=K173,R173+1,R173)</f>
        <v>88</v>
      </c>
      <c r="S174" s="12">
        <f t="shared" si="184"/>
        <v>39</v>
      </c>
      <c r="T174" s="12">
        <f t="shared" si="184"/>
        <v>22</v>
      </c>
      <c r="U174" s="12">
        <f t="shared" si="184"/>
        <v>15</v>
      </c>
      <c r="V174" s="12">
        <f t="shared" si="184"/>
        <v>9</v>
      </c>
      <c r="X174" s="13">
        <f> 'Optimal Choice'!$B$5*'Optimal Choice'!$B$6^(R174+1)</f>
        <v>1648.983102</v>
      </c>
      <c r="Y174" s="13">
        <f> 'Optimal Choice'!$B$10*'Optimal Choice'!$B$11^(S174+1)</f>
        <v>16071.81277</v>
      </c>
      <c r="Z174" s="13">
        <f> 'Optimal Choice'!$B$15*'Optimal Choice'!$B$16^(T174+1)</f>
        <v>14660.34117</v>
      </c>
      <c r="AA174" s="13">
        <f> 'Optimal Choice'!$B$20*'Optimal Choice'!$B$21^(U174+1)</f>
        <v>61061.69255</v>
      </c>
      <c r="AB174" s="13">
        <f> 'Optimal Choice'!$B$25*'Optimal Choice'!$B$26^(V174+1)</f>
        <v>322014.3422</v>
      </c>
      <c r="AE174" s="12">
        <f t="shared" si="4"/>
        <v>6</v>
      </c>
      <c r="AF174" s="12">
        <f t="shared" si="5"/>
        <v>5</v>
      </c>
      <c r="AG174" s="14">
        <f t="shared" si="6"/>
        <v>1</v>
      </c>
      <c r="AH174" s="14">
        <f t="shared" si="7"/>
        <v>1</v>
      </c>
      <c r="AI174" s="14">
        <f t="shared" si="8"/>
        <v>1</v>
      </c>
      <c r="AL174" s="14">
        <f>R174*'Optimal Choice'!$B$4*AE174</f>
        <v>881.76</v>
      </c>
      <c r="AM174" s="14">
        <f>S174*'Optimal Choice'!$B$9*AF174</f>
        <v>3900</v>
      </c>
      <c r="AN174" s="14">
        <f>T174*'Optimal Choice'!$B$14*AG174</f>
        <v>1980</v>
      </c>
      <c r="AO174" s="14">
        <f>U174*'Optimal Choice'!$B$19*AH174</f>
        <v>5400</v>
      </c>
      <c r="AP174" s="14">
        <f>V174*'Optimal Choice'!$B$24*AI174</f>
        <v>19440</v>
      </c>
      <c r="AS174" s="12">
        <f t="shared" si="9"/>
        <v>6</v>
      </c>
      <c r="AT174" s="12">
        <f t="shared" si="10"/>
        <v>5</v>
      </c>
      <c r="AU174" s="14">
        <f t="shared" si="11"/>
        <v>1</v>
      </c>
      <c r="AV174" s="14">
        <f t="shared" si="12"/>
        <v>1</v>
      </c>
      <c r="AW174" s="14">
        <f t="shared" si="13"/>
        <v>1</v>
      </c>
      <c r="AY174" s="11">
        <f t="shared" si="14"/>
        <v>0.0008130319841</v>
      </c>
    </row>
    <row r="175" ht="15.75" customHeight="1">
      <c r="A175" s="15">
        <f t="shared" si="2"/>
        <v>3.98949654</v>
      </c>
      <c r="B175" s="7">
        <f>(sum(AL175:AP175))*'Optimal Choice'!$B$28</f>
        <v>33761.76</v>
      </c>
      <c r="C175" s="11"/>
      <c r="D175" s="12"/>
      <c r="E175" s="12"/>
      <c r="F175" s="11"/>
      <c r="G175" s="11"/>
      <c r="H175" s="11"/>
      <c r="I175" s="11"/>
      <c r="J175" s="11"/>
      <c r="K175" s="11">
        <f>(X175/$B175)+(X175/('Optimal Choice'!$B$4*AS175))</f>
        <v>164.6180136</v>
      </c>
      <c r="L175" s="11">
        <f>(Y175/$B175)+(Y175/('Optimal Choice'!$B$9*AT175))</f>
        <v>161.1941637</v>
      </c>
      <c r="M175" s="11">
        <f>(Z175/$B175)+(Z175/('Optimal Choice'!$B$14*AU175))</f>
        <v>163.3269088</v>
      </c>
      <c r="N175" s="11">
        <f>(AA175/$B175)+(AA175/('Optimal Choice'!$B$19*AV175))</f>
        <v>171.4244178</v>
      </c>
      <c r="O175" s="11">
        <f>(AB175/$B175)+(AB175/('Optimal Choice'!$B$24*AW175))</f>
        <v>177.652783</v>
      </c>
      <c r="R175" s="12">
        <f t="shared" ref="R175:V175" si="185">if(min($K174:$O174)=K174,R174+1,R174)</f>
        <v>88</v>
      </c>
      <c r="S175" s="12">
        <f t="shared" si="185"/>
        <v>39</v>
      </c>
      <c r="T175" s="12">
        <f t="shared" si="185"/>
        <v>22</v>
      </c>
      <c r="U175" s="12">
        <f t="shared" si="185"/>
        <v>15</v>
      </c>
      <c r="V175" s="12">
        <f t="shared" si="185"/>
        <v>10</v>
      </c>
      <c r="X175" s="13">
        <f> 'Optimal Choice'!$B$5*'Optimal Choice'!$B$6^(R175+1)</f>
        <v>1648.983102</v>
      </c>
      <c r="Y175" s="13">
        <f> 'Optimal Choice'!$B$10*'Optimal Choice'!$B$11^(S175+1)</f>
        <v>16071.81277</v>
      </c>
      <c r="Z175" s="13">
        <f> 'Optimal Choice'!$B$15*'Optimal Choice'!$B$16^(T175+1)</f>
        <v>14660.34117</v>
      </c>
      <c r="AA175" s="13">
        <f> 'Optimal Choice'!$B$20*'Optimal Choice'!$B$21^(U175+1)</f>
        <v>61061.69255</v>
      </c>
      <c r="AB175" s="13">
        <f> 'Optimal Choice'!$B$25*'Optimal Choice'!$B$26^(V175+1)</f>
        <v>360656.0633</v>
      </c>
      <c r="AE175" s="12">
        <f t="shared" si="4"/>
        <v>6</v>
      </c>
      <c r="AF175" s="12">
        <f t="shared" si="5"/>
        <v>5</v>
      </c>
      <c r="AG175" s="14">
        <f t="shared" si="6"/>
        <v>1</v>
      </c>
      <c r="AH175" s="14">
        <f t="shared" si="7"/>
        <v>1</v>
      </c>
      <c r="AI175" s="14">
        <f t="shared" si="8"/>
        <v>1</v>
      </c>
      <c r="AL175" s="14">
        <f>R175*'Optimal Choice'!$B$4*AE175</f>
        <v>881.76</v>
      </c>
      <c r="AM175" s="14">
        <f>S175*'Optimal Choice'!$B$9*AF175</f>
        <v>3900</v>
      </c>
      <c r="AN175" s="14">
        <f>T175*'Optimal Choice'!$B$14*AG175</f>
        <v>1980</v>
      </c>
      <c r="AO175" s="14">
        <f>U175*'Optimal Choice'!$B$19*AH175</f>
        <v>5400</v>
      </c>
      <c r="AP175" s="14">
        <f>V175*'Optimal Choice'!$B$24*AI175</f>
        <v>21600</v>
      </c>
      <c r="AS175" s="12">
        <f t="shared" si="9"/>
        <v>6</v>
      </c>
      <c r="AT175" s="12">
        <f t="shared" si="10"/>
        <v>5</v>
      </c>
      <c r="AU175" s="14">
        <f t="shared" si="11"/>
        <v>1</v>
      </c>
      <c r="AV175" s="14">
        <f t="shared" si="12"/>
        <v>1</v>
      </c>
      <c r="AW175" s="14">
        <f t="shared" si="13"/>
        <v>1</v>
      </c>
      <c r="AY175" s="11">
        <f t="shared" si="14"/>
        <v>0.1698293293</v>
      </c>
    </row>
    <row r="176" ht="15.75" customHeight="1">
      <c r="A176" s="15">
        <f t="shared" si="2"/>
        <v>3.997430473</v>
      </c>
      <c r="B176" s="7">
        <f>(sum(AL176:AP176))*'Optimal Choice'!$B$28</f>
        <v>33861.76</v>
      </c>
      <c r="C176" s="11"/>
      <c r="D176" s="12"/>
      <c r="E176" s="12"/>
      <c r="F176" s="11"/>
      <c r="G176" s="11"/>
      <c r="H176" s="11"/>
      <c r="I176" s="11"/>
      <c r="J176" s="11"/>
      <c r="K176" s="11">
        <f>(X176/$B176)+(X176/('Optimal Choice'!$B$4*AS176))</f>
        <v>164.6178694</v>
      </c>
      <c r="L176" s="11">
        <f>(Y176/$B176)+(Y176/('Optimal Choice'!$B$9*AT176))</f>
        <v>185.3716716</v>
      </c>
      <c r="M176" s="11">
        <f>(Z176/$B176)+(Z176/('Optimal Choice'!$B$14*AU176))</f>
        <v>163.3256265</v>
      </c>
      <c r="N176" s="11">
        <f>(AA176/$B176)+(AA176/('Optimal Choice'!$B$19*AV176))</f>
        <v>171.4190766</v>
      </c>
      <c r="O176" s="11">
        <f>(AB176/$B176)+(AB176/('Optimal Choice'!$B$24*AW176))</f>
        <v>177.621236</v>
      </c>
      <c r="R176" s="12">
        <f t="shared" ref="R176:V176" si="186">if(min($K175:$O175)=K175,R175+1,R175)</f>
        <v>88</v>
      </c>
      <c r="S176" s="12">
        <f t="shared" si="186"/>
        <v>40</v>
      </c>
      <c r="T176" s="12">
        <f t="shared" si="186"/>
        <v>22</v>
      </c>
      <c r="U176" s="12">
        <f t="shared" si="186"/>
        <v>15</v>
      </c>
      <c r="V176" s="12">
        <f t="shared" si="186"/>
        <v>10</v>
      </c>
      <c r="X176" s="13">
        <f> 'Optimal Choice'!$B$5*'Optimal Choice'!$B$6^(R176+1)</f>
        <v>1648.983102</v>
      </c>
      <c r="Y176" s="13">
        <f> 'Optimal Choice'!$B$10*'Optimal Choice'!$B$11^(S176+1)</f>
        <v>18482.58469</v>
      </c>
      <c r="Z176" s="13">
        <f> 'Optimal Choice'!$B$15*'Optimal Choice'!$B$16^(T176+1)</f>
        <v>14660.34117</v>
      </c>
      <c r="AA176" s="13">
        <f> 'Optimal Choice'!$B$20*'Optimal Choice'!$B$21^(U176+1)</f>
        <v>61061.69255</v>
      </c>
      <c r="AB176" s="13">
        <f> 'Optimal Choice'!$B$25*'Optimal Choice'!$B$26^(V176+1)</f>
        <v>360656.0633</v>
      </c>
      <c r="AE176" s="12">
        <f t="shared" si="4"/>
        <v>6</v>
      </c>
      <c r="AF176" s="12">
        <f t="shared" si="5"/>
        <v>5</v>
      </c>
      <c r="AG176" s="14">
        <f t="shared" si="6"/>
        <v>1</v>
      </c>
      <c r="AH176" s="14">
        <f t="shared" si="7"/>
        <v>1</v>
      </c>
      <c r="AI176" s="14">
        <f t="shared" si="8"/>
        <v>1</v>
      </c>
      <c r="AL176" s="14">
        <f>R176*'Optimal Choice'!$B$4*AE176</f>
        <v>881.76</v>
      </c>
      <c r="AM176" s="14">
        <f>S176*'Optimal Choice'!$B$9*AF176</f>
        <v>4000</v>
      </c>
      <c r="AN176" s="14">
        <f>T176*'Optimal Choice'!$B$14*AG176</f>
        <v>1980</v>
      </c>
      <c r="AO176" s="14">
        <f>U176*'Optimal Choice'!$B$19*AH176</f>
        <v>5400</v>
      </c>
      <c r="AP176" s="14">
        <f>V176*'Optimal Choice'!$B$24*AI176</f>
        <v>21600</v>
      </c>
      <c r="AS176" s="12">
        <f t="shared" si="9"/>
        <v>6</v>
      </c>
      <c r="AT176" s="12">
        <f t="shared" si="10"/>
        <v>5</v>
      </c>
      <c r="AU176" s="14">
        <f t="shared" si="11"/>
        <v>1</v>
      </c>
      <c r="AV176" s="14">
        <f t="shared" si="12"/>
        <v>1</v>
      </c>
      <c r="AW176" s="14">
        <f t="shared" si="13"/>
        <v>1</v>
      </c>
      <c r="AY176" s="11">
        <f t="shared" si="14"/>
        <v>0.007933933131</v>
      </c>
    </row>
    <row r="177" ht="15.75" customHeight="1">
      <c r="A177" s="15">
        <f t="shared" si="2"/>
        <v>4.004646253</v>
      </c>
      <c r="B177" s="7">
        <f>(sum(AL177:AP177))*'Optimal Choice'!$B$28</f>
        <v>33951.76</v>
      </c>
      <c r="C177" s="11"/>
      <c r="D177" s="12"/>
      <c r="E177" s="12"/>
      <c r="F177" s="11"/>
      <c r="G177" s="11"/>
      <c r="H177" s="11"/>
      <c r="I177" s="11"/>
      <c r="J177" s="11"/>
      <c r="K177" s="11">
        <f>(X177/$B177)+(X177/('Optimal Choice'!$B$4*AS177))</f>
        <v>164.6177403</v>
      </c>
      <c r="L177" s="11">
        <f>(Y177/$B177)+(Y177/('Optimal Choice'!$B$9*AT177))</f>
        <v>185.3702247</v>
      </c>
      <c r="M177" s="11">
        <f>(Z177/$B177)+(Z177/('Optimal Choice'!$B$14*AU177))</f>
        <v>186.1899059</v>
      </c>
      <c r="N177" s="11">
        <f>(AA177/$B177)+(AA177/('Optimal Choice'!$B$19*AV177))</f>
        <v>171.4142965</v>
      </c>
      <c r="O177" s="11">
        <f>(AB177/$B177)+(AB177/('Optimal Choice'!$B$24*AW177))</f>
        <v>177.5930026</v>
      </c>
      <c r="R177" s="12">
        <f t="shared" ref="R177:V177" si="187">if(min($K176:$O176)=K176,R176+1,R176)</f>
        <v>88</v>
      </c>
      <c r="S177" s="12">
        <f t="shared" si="187"/>
        <v>40</v>
      </c>
      <c r="T177" s="12">
        <f t="shared" si="187"/>
        <v>23</v>
      </c>
      <c r="U177" s="12">
        <f t="shared" si="187"/>
        <v>15</v>
      </c>
      <c r="V177" s="12">
        <f t="shared" si="187"/>
        <v>10</v>
      </c>
      <c r="X177" s="13">
        <f> 'Optimal Choice'!$B$5*'Optimal Choice'!$B$6^(R177+1)</f>
        <v>1648.983102</v>
      </c>
      <c r="Y177" s="13">
        <f> 'Optimal Choice'!$B$10*'Optimal Choice'!$B$11^(S177+1)</f>
        <v>18482.58469</v>
      </c>
      <c r="Z177" s="13">
        <f> 'Optimal Choice'!$B$15*'Optimal Choice'!$B$16^(T177+1)</f>
        <v>16712.78893</v>
      </c>
      <c r="AA177" s="13">
        <f> 'Optimal Choice'!$B$20*'Optimal Choice'!$B$21^(U177+1)</f>
        <v>61061.69255</v>
      </c>
      <c r="AB177" s="13">
        <f> 'Optimal Choice'!$B$25*'Optimal Choice'!$B$26^(V177+1)</f>
        <v>360656.0633</v>
      </c>
      <c r="AE177" s="12">
        <f t="shared" si="4"/>
        <v>6</v>
      </c>
      <c r="AF177" s="12">
        <f t="shared" si="5"/>
        <v>5</v>
      </c>
      <c r="AG177" s="14">
        <f t="shared" si="6"/>
        <v>1</v>
      </c>
      <c r="AH177" s="14">
        <f t="shared" si="7"/>
        <v>1</v>
      </c>
      <c r="AI177" s="14">
        <f t="shared" si="8"/>
        <v>1</v>
      </c>
      <c r="AL177" s="14">
        <f>R177*'Optimal Choice'!$B$4*AE177</f>
        <v>881.76</v>
      </c>
      <c r="AM177" s="14">
        <f>S177*'Optimal Choice'!$B$9*AF177</f>
        <v>4000</v>
      </c>
      <c r="AN177" s="14">
        <f>T177*'Optimal Choice'!$B$14*AG177</f>
        <v>2070</v>
      </c>
      <c r="AO177" s="14">
        <f>U177*'Optimal Choice'!$B$19*AH177</f>
        <v>5400</v>
      </c>
      <c r="AP177" s="14">
        <f>V177*'Optimal Choice'!$B$24*AI177</f>
        <v>21600</v>
      </c>
      <c r="AS177" s="12">
        <f t="shared" si="9"/>
        <v>6</v>
      </c>
      <c r="AT177" s="12">
        <f t="shared" si="10"/>
        <v>5</v>
      </c>
      <c r="AU177" s="14">
        <f t="shared" si="11"/>
        <v>1</v>
      </c>
      <c r="AV177" s="14">
        <f t="shared" si="12"/>
        <v>1</v>
      </c>
      <c r="AW177" s="14">
        <f t="shared" si="13"/>
        <v>1</v>
      </c>
      <c r="AY177" s="11">
        <f t="shared" si="14"/>
        <v>0.007215780264</v>
      </c>
    </row>
    <row r="178" ht="15.75" customHeight="1">
      <c r="A178" s="15">
        <f t="shared" si="2"/>
        <v>4.005455727</v>
      </c>
      <c r="B178" s="7">
        <f>(sum(AL178:AP178))*'Optimal Choice'!$B$28</f>
        <v>33961.78</v>
      </c>
      <c r="C178" s="11"/>
      <c r="D178" s="12"/>
      <c r="E178" s="12"/>
      <c r="F178" s="11"/>
      <c r="G178" s="11"/>
      <c r="H178" s="11"/>
      <c r="I178" s="11"/>
      <c r="J178" s="11"/>
      <c r="K178" s="11">
        <f>(X178/$B178)+(X178/('Optimal Choice'!$B$4*AS178))</f>
        <v>176.1409668</v>
      </c>
      <c r="L178" s="11">
        <f>(Y178/$B178)+(Y178/('Optimal Choice'!$B$9*AT178))</f>
        <v>185.3700641</v>
      </c>
      <c r="M178" s="11">
        <f>(Z178/$B178)+(Z178/('Optimal Choice'!$B$14*AU178))</f>
        <v>186.1897606</v>
      </c>
      <c r="N178" s="11">
        <f>(AA178/$B178)+(AA178/('Optimal Choice'!$B$19*AV178))</f>
        <v>171.4137659</v>
      </c>
      <c r="O178" s="11">
        <f>(AB178/$B178)+(AB178/('Optimal Choice'!$B$24*AW178))</f>
        <v>177.5898685</v>
      </c>
      <c r="R178" s="12">
        <f t="shared" ref="R178:V178" si="188">if(min($K177:$O177)=K177,R177+1,R177)</f>
        <v>89</v>
      </c>
      <c r="S178" s="12">
        <f t="shared" si="188"/>
        <v>40</v>
      </c>
      <c r="T178" s="12">
        <f t="shared" si="188"/>
        <v>23</v>
      </c>
      <c r="U178" s="12">
        <f t="shared" si="188"/>
        <v>15</v>
      </c>
      <c r="V178" s="12">
        <f t="shared" si="188"/>
        <v>10</v>
      </c>
      <c r="X178" s="13">
        <f> 'Optimal Choice'!$B$5*'Optimal Choice'!$B$6^(R178+1)</f>
        <v>1764.41192</v>
      </c>
      <c r="Y178" s="13">
        <f> 'Optimal Choice'!$B$10*'Optimal Choice'!$B$11^(S178+1)</f>
        <v>18482.58469</v>
      </c>
      <c r="Z178" s="13">
        <f> 'Optimal Choice'!$B$15*'Optimal Choice'!$B$16^(T178+1)</f>
        <v>16712.78893</v>
      </c>
      <c r="AA178" s="13">
        <f> 'Optimal Choice'!$B$20*'Optimal Choice'!$B$21^(U178+1)</f>
        <v>61061.69255</v>
      </c>
      <c r="AB178" s="13">
        <f> 'Optimal Choice'!$B$25*'Optimal Choice'!$B$26^(V178+1)</f>
        <v>360656.0633</v>
      </c>
      <c r="AE178" s="12">
        <f t="shared" si="4"/>
        <v>6</v>
      </c>
      <c r="AF178" s="12">
        <f t="shared" si="5"/>
        <v>5</v>
      </c>
      <c r="AG178" s="14">
        <f t="shared" si="6"/>
        <v>1</v>
      </c>
      <c r="AH178" s="14">
        <f t="shared" si="7"/>
        <v>1</v>
      </c>
      <c r="AI178" s="14">
        <f t="shared" si="8"/>
        <v>1</v>
      </c>
      <c r="AL178" s="14">
        <f>R178*'Optimal Choice'!$B$4*AE178</f>
        <v>891.78</v>
      </c>
      <c r="AM178" s="14">
        <f>S178*'Optimal Choice'!$B$9*AF178</f>
        <v>4000</v>
      </c>
      <c r="AN178" s="14">
        <f>T178*'Optimal Choice'!$B$14*AG178</f>
        <v>2070</v>
      </c>
      <c r="AO178" s="14">
        <f>U178*'Optimal Choice'!$B$19*AH178</f>
        <v>5400</v>
      </c>
      <c r="AP178" s="14">
        <f>V178*'Optimal Choice'!$B$24*AI178</f>
        <v>21600</v>
      </c>
      <c r="AS178" s="12">
        <f t="shared" si="9"/>
        <v>6</v>
      </c>
      <c r="AT178" s="12">
        <f t="shared" si="10"/>
        <v>5</v>
      </c>
      <c r="AU178" s="14">
        <f t="shared" si="11"/>
        <v>1</v>
      </c>
      <c r="AV178" s="14">
        <f t="shared" si="12"/>
        <v>1</v>
      </c>
      <c r="AW178" s="14">
        <f t="shared" si="13"/>
        <v>1</v>
      </c>
      <c r="AY178" s="11">
        <f t="shared" si="14"/>
        <v>0.0008094735503</v>
      </c>
    </row>
    <row r="179" ht="15.75" customHeight="1">
      <c r="A179" s="15">
        <f t="shared" si="2"/>
        <v>4.035421614</v>
      </c>
      <c r="B179" s="7">
        <f>(sum(AL179:AP179))*'Optimal Choice'!$B$28</f>
        <v>34321.78</v>
      </c>
      <c r="C179" s="11"/>
      <c r="D179" s="12"/>
      <c r="E179" s="12"/>
      <c r="F179" s="11"/>
      <c r="G179" s="11"/>
      <c r="H179" s="11"/>
      <c r="I179" s="11"/>
      <c r="J179" s="11"/>
      <c r="K179" s="11">
        <f>(X179/$B179)+(X179/('Optimal Choice'!$B$4*AS179))</f>
        <v>176.1404219</v>
      </c>
      <c r="L179" s="11">
        <f>(Y179/$B179)+(Y179/('Optimal Choice'!$B$9*AT179))</f>
        <v>185.3643558</v>
      </c>
      <c r="M179" s="11">
        <f>(Z179/$B179)+(Z179/('Optimal Choice'!$B$14*AU179))</f>
        <v>186.1845989</v>
      </c>
      <c r="N179" s="11">
        <f>(AA179/$B179)+(AA179/('Optimal Choice'!$B$19*AV179))</f>
        <v>193.6762452</v>
      </c>
      <c r="O179" s="11">
        <f>(AB179/$B179)+(AB179/('Optimal Choice'!$B$24*AW179))</f>
        <v>177.4784812</v>
      </c>
      <c r="R179" s="12">
        <f t="shared" ref="R179:V179" si="189">if(min($K178:$O178)=K178,R178+1,R178)</f>
        <v>89</v>
      </c>
      <c r="S179" s="12">
        <f t="shared" si="189"/>
        <v>40</v>
      </c>
      <c r="T179" s="12">
        <f t="shared" si="189"/>
        <v>23</v>
      </c>
      <c r="U179" s="12">
        <f t="shared" si="189"/>
        <v>16</v>
      </c>
      <c r="V179" s="12">
        <f t="shared" si="189"/>
        <v>10</v>
      </c>
      <c r="X179" s="13">
        <f> 'Optimal Choice'!$B$5*'Optimal Choice'!$B$6^(R179+1)</f>
        <v>1764.41192</v>
      </c>
      <c r="Y179" s="13">
        <f> 'Optimal Choice'!$B$10*'Optimal Choice'!$B$11^(S179+1)</f>
        <v>18482.58469</v>
      </c>
      <c r="Z179" s="13">
        <f> 'Optimal Choice'!$B$15*'Optimal Choice'!$B$16^(T179+1)</f>
        <v>16712.78893</v>
      </c>
      <c r="AA179" s="13">
        <f> 'Optimal Choice'!$B$20*'Optimal Choice'!$B$21^(U179+1)</f>
        <v>68999.71258</v>
      </c>
      <c r="AB179" s="13">
        <f> 'Optimal Choice'!$B$25*'Optimal Choice'!$B$26^(V179+1)</f>
        <v>360656.0633</v>
      </c>
      <c r="AE179" s="12">
        <f t="shared" si="4"/>
        <v>6</v>
      </c>
      <c r="AF179" s="12">
        <f t="shared" si="5"/>
        <v>5</v>
      </c>
      <c r="AG179" s="14">
        <f t="shared" si="6"/>
        <v>1</v>
      </c>
      <c r="AH179" s="14">
        <f t="shared" si="7"/>
        <v>1</v>
      </c>
      <c r="AI179" s="14">
        <f t="shared" si="8"/>
        <v>1</v>
      </c>
      <c r="AL179" s="14">
        <f>R179*'Optimal Choice'!$B$4*AE179</f>
        <v>891.78</v>
      </c>
      <c r="AM179" s="14">
        <f>S179*'Optimal Choice'!$B$9*AF179</f>
        <v>4000</v>
      </c>
      <c r="AN179" s="14">
        <f>T179*'Optimal Choice'!$B$14*AG179</f>
        <v>2070</v>
      </c>
      <c r="AO179" s="14">
        <f>U179*'Optimal Choice'!$B$19*AH179</f>
        <v>5760</v>
      </c>
      <c r="AP179" s="14">
        <f>V179*'Optimal Choice'!$B$24*AI179</f>
        <v>21600</v>
      </c>
      <c r="AS179" s="12">
        <f t="shared" si="9"/>
        <v>6</v>
      </c>
      <c r="AT179" s="12">
        <f t="shared" si="10"/>
        <v>5</v>
      </c>
      <c r="AU179" s="14">
        <f t="shared" si="11"/>
        <v>1</v>
      </c>
      <c r="AV179" s="14">
        <f t="shared" si="12"/>
        <v>1</v>
      </c>
      <c r="AW179" s="14">
        <f t="shared" si="13"/>
        <v>1</v>
      </c>
      <c r="AY179" s="11">
        <f t="shared" si="14"/>
        <v>0.02996588741</v>
      </c>
    </row>
    <row r="180" ht="15.75" customHeight="1">
      <c r="A180" s="15">
        <f t="shared" si="2"/>
        <v>4.036278413</v>
      </c>
      <c r="B180" s="7">
        <f>(sum(AL180:AP180))*'Optimal Choice'!$B$28</f>
        <v>34331.8</v>
      </c>
      <c r="C180" s="11"/>
      <c r="D180" s="12"/>
      <c r="E180" s="12"/>
      <c r="F180" s="11"/>
      <c r="G180" s="11"/>
      <c r="H180" s="11"/>
      <c r="I180" s="11"/>
      <c r="J180" s="11"/>
      <c r="K180" s="11">
        <f>(X180/$B180)+(X180/('Optimal Choice'!$B$4*AS180))</f>
        <v>188.4702353</v>
      </c>
      <c r="L180" s="11">
        <f>(Y180/$B180)+(Y180/('Optimal Choice'!$B$9*AT180))</f>
        <v>185.3641987</v>
      </c>
      <c r="M180" s="11">
        <f>(Z180/$B180)+(Z180/('Optimal Choice'!$B$14*AU180))</f>
        <v>186.1844568</v>
      </c>
      <c r="N180" s="11">
        <f>(AA180/$B180)+(AA180/('Optimal Choice'!$B$19*AV180))</f>
        <v>193.6756584</v>
      </c>
      <c r="O180" s="11">
        <f>(AB180/$B180)+(AB180/('Optimal Choice'!$B$24*AW180))</f>
        <v>177.4754144</v>
      </c>
      <c r="R180" s="12">
        <f t="shared" ref="R180:V180" si="190">if(min($K179:$O179)=K179,R179+1,R179)</f>
        <v>90</v>
      </c>
      <c r="S180" s="12">
        <f t="shared" si="190"/>
        <v>40</v>
      </c>
      <c r="T180" s="12">
        <f t="shared" si="190"/>
        <v>23</v>
      </c>
      <c r="U180" s="12">
        <f t="shared" si="190"/>
        <v>16</v>
      </c>
      <c r="V180" s="12">
        <f t="shared" si="190"/>
        <v>10</v>
      </c>
      <c r="X180" s="13">
        <f> 'Optimal Choice'!$B$5*'Optimal Choice'!$B$6^(R180+1)</f>
        <v>1887.920754</v>
      </c>
      <c r="Y180" s="13">
        <f> 'Optimal Choice'!$B$10*'Optimal Choice'!$B$11^(S180+1)</f>
        <v>18482.58469</v>
      </c>
      <c r="Z180" s="13">
        <f> 'Optimal Choice'!$B$15*'Optimal Choice'!$B$16^(T180+1)</f>
        <v>16712.78893</v>
      </c>
      <c r="AA180" s="13">
        <f> 'Optimal Choice'!$B$20*'Optimal Choice'!$B$21^(U180+1)</f>
        <v>68999.71258</v>
      </c>
      <c r="AB180" s="13">
        <f> 'Optimal Choice'!$B$25*'Optimal Choice'!$B$26^(V180+1)</f>
        <v>360656.0633</v>
      </c>
      <c r="AE180" s="12">
        <f t="shared" si="4"/>
        <v>6</v>
      </c>
      <c r="AF180" s="12">
        <f t="shared" si="5"/>
        <v>5</v>
      </c>
      <c r="AG180" s="14">
        <f t="shared" si="6"/>
        <v>1</v>
      </c>
      <c r="AH180" s="14">
        <f t="shared" si="7"/>
        <v>1</v>
      </c>
      <c r="AI180" s="14">
        <f t="shared" si="8"/>
        <v>1</v>
      </c>
      <c r="AL180" s="14">
        <f>R180*'Optimal Choice'!$B$4*AE180</f>
        <v>901.8</v>
      </c>
      <c r="AM180" s="14">
        <f>S180*'Optimal Choice'!$B$9*AF180</f>
        <v>4000</v>
      </c>
      <c r="AN180" s="14">
        <f>T180*'Optimal Choice'!$B$14*AG180</f>
        <v>2070</v>
      </c>
      <c r="AO180" s="14">
        <f>U180*'Optimal Choice'!$B$19*AH180</f>
        <v>5760</v>
      </c>
      <c r="AP180" s="14">
        <f>V180*'Optimal Choice'!$B$24*AI180</f>
        <v>21600</v>
      </c>
      <c r="AS180" s="12">
        <f t="shared" si="9"/>
        <v>6</v>
      </c>
      <c r="AT180" s="12">
        <f t="shared" si="10"/>
        <v>5</v>
      </c>
      <c r="AU180" s="14">
        <f t="shared" si="11"/>
        <v>1</v>
      </c>
      <c r="AV180" s="14">
        <f t="shared" si="12"/>
        <v>1</v>
      </c>
      <c r="AW180" s="14">
        <f t="shared" si="13"/>
        <v>1</v>
      </c>
      <c r="AY180" s="11">
        <f t="shared" si="14"/>
        <v>0.0008567989575</v>
      </c>
    </row>
    <row r="181" ht="15.75" customHeight="1">
      <c r="A181" s="15">
        <f t="shared" si="2"/>
        <v>4.211361991</v>
      </c>
      <c r="B181" s="7">
        <f>(sum(AL181:AP181))*'Optimal Choice'!$B$28</f>
        <v>36491.8</v>
      </c>
      <c r="C181" s="11"/>
      <c r="D181" s="12"/>
      <c r="E181" s="12"/>
      <c r="F181" s="11"/>
      <c r="G181" s="11"/>
      <c r="H181" s="11"/>
      <c r="I181" s="11"/>
      <c r="J181" s="11"/>
      <c r="K181" s="11">
        <f>(X181/$B181)+(X181/('Optimal Choice'!$B$4*AS181))</f>
        <v>188.4669804</v>
      </c>
      <c r="L181" s="11">
        <f>(Y181/$B181)+(Y181/('Optimal Choice'!$B$9*AT181))</f>
        <v>185.3323329</v>
      </c>
      <c r="M181" s="11">
        <f>(Z181/$B181)+(Z181/('Optimal Choice'!$B$14*AU181))</f>
        <v>186.1556423</v>
      </c>
      <c r="N181" s="11">
        <f>(AA181/$B181)+(AA181/('Optimal Choice'!$B$19*AV181))</f>
        <v>193.5566962</v>
      </c>
      <c r="O181" s="11">
        <f>(AB181/$B181)+(AB181/('Optimal Choice'!$B$24*AW181))</f>
        <v>198.076041</v>
      </c>
      <c r="R181" s="12">
        <f t="shared" ref="R181:V181" si="191">if(min($K180:$O180)=K180,R180+1,R180)</f>
        <v>90</v>
      </c>
      <c r="S181" s="12">
        <f t="shared" si="191"/>
        <v>40</v>
      </c>
      <c r="T181" s="12">
        <f t="shared" si="191"/>
        <v>23</v>
      </c>
      <c r="U181" s="12">
        <f t="shared" si="191"/>
        <v>16</v>
      </c>
      <c r="V181" s="12">
        <f t="shared" si="191"/>
        <v>11</v>
      </c>
      <c r="X181" s="13">
        <f> 'Optimal Choice'!$B$5*'Optimal Choice'!$B$6^(R181+1)</f>
        <v>1887.920754</v>
      </c>
      <c r="Y181" s="13">
        <f> 'Optimal Choice'!$B$10*'Optimal Choice'!$B$11^(S181+1)</f>
        <v>18482.58469</v>
      </c>
      <c r="Z181" s="13">
        <f> 'Optimal Choice'!$B$15*'Optimal Choice'!$B$16^(T181+1)</f>
        <v>16712.78893</v>
      </c>
      <c r="AA181" s="13">
        <f> 'Optimal Choice'!$B$20*'Optimal Choice'!$B$21^(U181+1)</f>
        <v>68999.71258</v>
      </c>
      <c r="AB181" s="13">
        <f> 'Optimal Choice'!$B$25*'Optimal Choice'!$B$26^(V181+1)</f>
        <v>403934.7909</v>
      </c>
      <c r="AE181" s="12">
        <f t="shared" si="4"/>
        <v>6</v>
      </c>
      <c r="AF181" s="12">
        <f t="shared" si="5"/>
        <v>5</v>
      </c>
      <c r="AG181" s="14">
        <f t="shared" si="6"/>
        <v>1</v>
      </c>
      <c r="AH181" s="14">
        <f t="shared" si="7"/>
        <v>1</v>
      </c>
      <c r="AI181" s="14">
        <f t="shared" si="8"/>
        <v>1</v>
      </c>
      <c r="AL181" s="14">
        <f>R181*'Optimal Choice'!$B$4*AE181</f>
        <v>901.8</v>
      </c>
      <c r="AM181" s="14">
        <f>S181*'Optimal Choice'!$B$9*AF181</f>
        <v>4000</v>
      </c>
      <c r="AN181" s="14">
        <f>T181*'Optimal Choice'!$B$14*AG181</f>
        <v>2070</v>
      </c>
      <c r="AO181" s="14">
        <f>U181*'Optimal Choice'!$B$19*AH181</f>
        <v>5760</v>
      </c>
      <c r="AP181" s="14">
        <f>V181*'Optimal Choice'!$B$24*AI181</f>
        <v>23760</v>
      </c>
      <c r="AS181" s="12">
        <f t="shared" si="9"/>
        <v>6</v>
      </c>
      <c r="AT181" s="12">
        <f t="shared" si="10"/>
        <v>5</v>
      </c>
      <c r="AU181" s="14">
        <f t="shared" si="11"/>
        <v>1</v>
      </c>
      <c r="AV181" s="14">
        <f t="shared" si="12"/>
        <v>1</v>
      </c>
      <c r="AW181" s="14">
        <f t="shared" si="13"/>
        <v>1</v>
      </c>
      <c r="AY181" s="11">
        <f t="shared" si="14"/>
        <v>0.1750835782</v>
      </c>
    </row>
    <row r="182" ht="15.75" customHeight="1">
      <c r="A182" s="15">
        <f t="shared" si="2"/>
        <v>4.219803424</v>
      </c>
      <c r="B182" s="7">
        <f>(sum(AL182:AP182))*'Optimal Choice'!$B$28</f>
        <v>36591.8</v>
      </c>
      <c r="C182" s="11"/>
      <c r="D182" s="12"/>
      <c r="E182" s="12"/>
      <c r="F182" s="11"/>
      <c r="G182" s="11"/>
      <c r="H182" s="11"/>
      <c r="I182" s="11"/>
      <c r="J182" s="11"/>
      <c r="K182" s="11">
        <f>(X182/$B182)+(X182/('Optimal Choice'!$B$4*AS182))</f>
        <v>188.466839</v>
      </c>
      <c r="L182" s="11">
        <f>(Y182/$B182)+(Y182/('Optimal Choice'!$B$9*AT182))</f>
        <v>213.130591</v>
      </c>
      <c r="M182" s="11">
        <f>(Z182/$B182)+(Z182/('Optimal Choice'!$B$14*AU182))</f>
        <v>186.1543907</v>
      </c>
      <c r="N182" s="11">
        <f>(AA182/$B182)+(AA182/('Optimal Choice'!$B$19*AV182))</f>
        <v>193.5515288</v>
      </c>
      <c r="O182" s="11">
        <f>(AB182/$B182)+(AB182/('Optimal Choice'!$B$24*AW182))</f>
        <v>198.0457905</v>
      </c>
      <c r="R182" s="12">
        <f t="shared" ref="R182:V182" si="192">if(min($K181:$O181)=K181,R181+1,R181)</f>
        <v>90</v>
      </c>
      <c r="S182" s="12">
        <f t="shared" si="192"/>
        <v>41</v>
      </c>
      <c r="T182" s="12">
        <f t="shared" si="192"/>
        <v>23</v>
      </c>
      <c r="U182" s="12">
        <f t="shared" si="192"/>
        <v>16</v>
      </c>
      <c r="V182" s="12">
        <f t="shared" si="192"/>
        <v>11</v>
      </c>
      <c r="X182" s="13">
        <f> 'Optimal Choice'!$B$5*'Optimal Choice'!$B$6^(R182+1)</f>
        <v>1887.920754</v>
      </c>
      <c r="Y182" s="13">
        <f> 'Optimal Choice'!$B$10*'Optimal Choice'!$B$11^(S182+1)</f>
        <v>21254.97239</v>
      </c>
      <c r="Z182" s="13">
        <f> 'Optimal Choice'!$B$15*'Optimal Choice'!$B$16^(T182+1)</f>
        <v>16712.78893</v>
      </c>
      <c r="AA182" s="13">
        <f> 'Optimal Choice'!$B$20*'Optimal Choice'!$B$21^(U182+1)</f>
        <v>68999.71258</v>
      </c>
      <c r="AB182" s="13">
        <f> 'Optimal Choice'!$B$25*'Optimal Choice'!$B$26^(V182+1)</f>
        <v>403934.7909</v>
      </c>
      <c r="AE182" s="12">
        <f t="shared" si="4"/>
        <v>6</v>
      </c>
      <c r="AF182" s="12">
        <f t="shared" si="5"/>
        <v>5</v>
      </c>
      <c r="AG182" s="14">
        <f t="shared" si="6"/>
        <v>1</v>
      </c>
      <c r="AH182" s="14">
        <f t="shared" si="7"/>
        <v>1</v>
      </c>
      <c r="AI182" s="14">
        <f t="shared" si="8"/>
        <v>1</v>
      </c>
      <c r="AL182" s="14">
        <f>R182*'Optimal Choice'!$B$4*AE182</f>
        <v>901.8</v>
      </c>
      <c r="AM182" s="14">
        <f>S182*'Optimal Choice'!$B$9*AF182</f>
        <v>4100</v>
      </c>
      <c r="AN182" s="14">
        <f>T182*'Optimal Choice'!$B$14*AG182</f>
        <v>2070</v>
      </c>
      <c r="AO182" s="14">
        <f>U182*'Optimal Choice'!$B$19*AH182</f>
        <v>5760</v>
      </c>
      <c r="AP182" s="14">
        <f>V182*'Optimal Choice'!$B$24*AI182</f>
        <v>23760</v>
      </c>
      <c r="AS182" s="12">
        <f t="shared" si="9"/>
        <v>6</v>
      </c>
      <c r="AT182" s="12">
        <f t="shared" si="10"/>
        <v>5</v>
      </c>
      <c r="AU182" s="14">
        <f t="shared" si="11"/>
        <v>1</v>
      </c>
      <c r="AV182" s="14">
        <f t="shared" si="12"/>
        <v>1</v>
      </c>
      <c r="AW182" s="14">
        <f t="shared" si="13"/>
        <v>1</v>
      </c>
      <c r="AY182" s="11">
        <f t="shared" si="14"/>
        <v>0.00844143282</v>
      </c>
    </row>
    <row r="183" ht="15.75" customHeight="1">
      <c r="A183" s="15">
        <f t="shared" si="2"/>
        <v>4.227415689</v>
      </c>
      <c r="B183" s="7">
        <f>(sum(AL183:AP183))*'Optimal Choice'!$B$28</f>
        <v>36681.8</v>
      </c>
      <c r="C183" s="11"/>
      <c r="D183" s="12"/>
      <c r="E183" s="12"/>
      <c r="F183" s="11"/>
      <c r="G183" s="11"/>
      <c r="H183" s="11"/>
      <c r="I183" s="11"/>
      <c r="J183" s="11"/>
      <c r="K183" s="11">
        <f>(X183/$B183)+(X183/('Optimal Choice'!$B$4*AS183))</f>
        <v>188.4667124</v>
      </c>
      <c r="L183" s="11">
        <f>(Y183/$B183)+(Y183/('Optimal Choice'!$B$9*AT183))</f>
        <v>213.1291659</v>
      </c>
      <c r="M183" s="11">
        <f>(Z183/$B183)+(Z183/('Optimal Choice'!$B$14*AU183))</f>
        <v>53.44323305</v>
      </c>
      <c r="N183" s="11">
        <f>(AA183/$B183)+(AA183/('Optimal Choice'!$B$19*AV183))</f>
        <v>193.5469023</v>
      </c>
      <c r="O183" s="11">
        <f>(AB183/$B183)+(AB183/('Optimal Choice'!$B$24*AW183))</f>
        <v>198.0187061</v>
      </c>
      <c r="R183" s="12">
        <f t="shared" ref="R183:V183" si="193">if(min($K182:$O182)=K182,R182+1,R182)</f>
        <v>90</v>
      </c>
      <c r="S183" s="12">
        <f t="shared" si="193"/>
        <v>41</v>
      </c>
      <c r="T183" s="12">
        <f t="shared" si="193"/>
        <v>24</v>
      </c>
      <c r="U183" s="12">
        <f t="shared" si="193"/>
        <v>16</v>
      </c>
      <c r="V183" s="12">
        <f t="shared" si="193"/>
        <v>11</v>
      </c>
      <c r="X183" s="13">
        <f> 'Optimal Choice'!$B$5*'Optimal Choice'!$B$6^(R183+1)</f>
        <v>1887.920754</v>
      </c>
      <c r="Y183" s="13">
        <f> 'Optimal Choice'!$B$10*'Optimal Choice'!$B$11^(S183+1)</f>
        <v>21254.97239</v>
      </c>
      <c r="Z183" s="13">
        <f> 'Optimal Choice'!$B$15*'Optimal Choice'!$B$16^(T183+1)</f>
        <v>19052.57938</v>
      </c>
      <c r="AA183" s="13">
        <f> 'Optimal Choice'!$B$20*'Optimal Choice'!$B$21^(U183+1)</f>
        <v>68999.71258</v>
      </c>
      <c r="AB183" s="13">
        <f> 'Optimal Choice'!$B$25*'Optimal Choice'!$B$26^(V183+1)</f>
        <v>403934.7909</v>
      </c>
      <c r="AE183" s="12">
        <f t="shared" si="4"/>
        <v>6</v>
      </c>
      <c r="AF183" s="12">
        <f t="shared" si="5"/>
        <v>5</v>
      </c>
      <c r="AG183" s="14">
        <f t="shared" si="6"/>
        <v>1</v>
      </c>
      <c r="AH183" s="14">
        <f t="shared" si="7"/>
        <v>1</v>
      </c>
      <c r="AI183" s="14">
        <f t="shared" si="8"/>
        <v>1</v>
      </c>
      <c r="AL183" s="14">
        <f>R183*'Optimal Choice'!$B$4*AE183</f>
        <v>901.8</v>
      </c>
      <c r="AM183" s="14">
        <f>S183*'Optimal Choice'!$B$9*AF183</f>
        <v>4100</v>
      </c>
      <c r="AN183" s="14">
        <f>T183*'Optimal Choice'!$B$14*AG183</f>
        <v>2160</v>
      </c>
      <c r="AO183" s="14">
        <f>U183*'Optimal Choice'!$B$19*AH183</f>
        <v>5760</v>
      </c>
      <c r="AP183" s="14">
        <f>V183*'Optimal Choice'!$B$24*AI183</f>
        <v>23760</v>
      </c>
      <c r="AS183" s="12">
        <f t="shared" si="9"/>
        <v>6</v>
      </c>
      <c r="AT183" s="12">
        <f t="shared" si="10"/>
        <v>5</v>
      </c>
      <c r="AU183" s="12">
        <f t="shared" si="11"/>
        <v>4</v>
      </c>
      <c r="AV183" s="14">
        <f t="shared" si="12"/>
        <v>1</v>
      </c>
      <c r="AW183" s="14">
        <f t="shared" si="13"/>
        <v>1</v>
      </c>
      <c r="AY183" s="11">
        <f t="shared" si="14"/>
        <v>0.007612265104</v>
      </c>
    </row>
    <row r="184" ht="15.75" customHeight="1">
      <c r="A184" s="15">
        <f t="shared" si="2"/>
        <v>4.23607238</v>
      </c>
      <c r="B184" s="7">
        <f>(sum(AL184:AP184))*'Optimal Choice'!$B$28</f>
        <v>43521.8</v>
      </c>
      <c r="C184" s="11"/>
      <c r="D184" s="12"/>
      <c r="E184" s="12"/>
      <c r="F184" s="11"/>
      <c r="G184" s="11"/>
      <c r="H184" s="11"/>
      <c r="I184" s="11"/>
      <c r="J184" s="11"/>
      <c r="K184" s="11">
        <f>(X184/$B184)+(X184/('Optimal Choice'!$B$4*AS184))</f>
        <v>188.4586236</v>
      </c>
      <c r="L184" s="11">
        <f>(Y184/$B184)+(Y184/('Optimal Choice'!$B$9*AT184))</f>
        <v>213.0380992</v>
      </c>
      <c r="M184" s="11">
        <f>(Z184/$B184)+(Z184/('Optimal Choice'!$B$14*AU184))</f>
        <v>60.83222693</v>
      </c>
      <c r="N184" s="11">
        <f>(AA184/$B184)+(AA184/('Optimal Choice'!$B$19*AV184))</f>
        <v>193.2512741</v>
      </c>
      <c r="O184" s="11">
        <f>(AB184/$B184)+(AB184/('Optimal Choice'!$B$24*AW184))</f>
        <v>196.2880536</v>
      </c>
      <c r="R184" s="12">
        <f t="shared" ref="R184:V184" si="194">if(min($K183:$O183)=K183,R183+1,R183)</f>
        <v>90</v>
      </c>
      <c r="S184" s="12">
        <f t="shared" si="194"/>
        <v>41</v>
      </c>
      <c r="T184" s="12">
        <f t="shared" si="194"/>
        <v>25</v>
      </c>
      <c r="U184" s="12">
        <f t="shared" si="194"/>
        <v>16</v>
      </c>
      <c r="V184" s="12">
        <f t="shared" si="194"/>
        <v>11</v>
      </c>
      <c r="X184" s="13">
        <f> 'Optimal Choice'!$B$5*'Optimal Choice'!$B$6^(R184+1)</f>
        <v>1887.920754</v>
      </c>
      <c r="Y184" s="13">
        <f> 'Optimal Choice'!$B$10*'Optimal Choice'!$B$11^(S184+1)</f>
        <v>21254.97239</v>
      </c>
      <c r="Z184" s="13">
        <f> 'Optimal Choice'!$B$15*'Optimal Choice'!$B$16^(T184+1)</f>
        <v>21719.9405</v>
      </c>
      <c r="AA184" s="13">
        <f> 'Optimal Choice'!$B$20*'Optimal Choice'!$B$21^(U184+1)</f>
        <v>68999.71258</v>
      </c>
      <c r="AB184" s="13">
        <f> 'Optimal Choice'!$B$25*'Optimal Choice'!$B$26^(V184+1)</f>
        <v>403934.7909</v>
      </c>
      <c r="AE184" s="12">
        <f t="shared" si="4"/>
        <v>6</v>
      </c>
      <c r="AF184" s="12">
        <f t="shared" si="5"/>
        <v>5</v>
      </c>
      <c r="AG184" s="12">
        <f t="shared" si="6"/>
        <v>4</v>
      </c>
      <c r="AH184" s="14">
        <f t="shared" si="7"/>
        <v>1</v>
      </c>
      <c r="AI184" s="14">
        <f t="shared" si="8"/>
        <v>1</v>
      </c>
      <c r="AL184" s="14">
        <f>R184*'Optimal Choice'!$B$4*AE184</f>
        <v>901.8</v>
      </c>
      <c r="AM184" s="14">
        <f>S184*'Optimal Choice'!$B$9*AF184</f>
        <v>4100</v>
      </c>
      <c r="AN184" s="14">
        <f>T184*'Optimal Choice'!$B$14*AG184</f>
        <v>9000</v>
      </c>
      <c r="AO184" s="14">
        <f>U184*'Optimal Choice'!$B$19*AH184</f>
        <v>5760</v>
      </c>
      <c r="AP184" s="14">
        <f>V184*'Optimal Choice'!$B$24*AI184</f>
        <v>23760</v>
      </c>
      <c r="AS184" s="12">
        <f t="shared" si="9"/>
        <v>6</v>
      </c>
      <c r="AT184" s="12">
        <f t="shared" si="10"/>
        <v>5</v>
      </c>
      <c r="AU184" s="12">
        <f t="shared" si="11"/>
        <v>4</v>
      </c>
      <c r="AV184" s="14">
        <f t="shared" si="12"/>
        <v>1</v>
      </c>
      <c r="AW184" s="14">
        <f t="shared" si="13"/>
        <v>1</v>
      </c>
      <c r="AY184" s="11">
        <f t="shared" si="14"/>
        <v>0.008656690505</v>
      </c>
    </row>
    <row r="185" ht="15.75" customHeight="1">
      <c r="A185" s="15">
        <f t="shared" si="2"/>
        <v>4.244390028</v>
      </c>
      <c r="B185" s="7">
        <f>(sum(AL185:AP185))*'Optimal Choice'!$B$28</f>
        <v>43881.8</v>
      </c>
      <c r="C185" s="11"/>
      <c r="D185" s="12"/>
      <c r="E185" s="12"/>
      <c r="F185" s="11"/>
      <c r="G185" s="11"/>
      <c r="H185" s="11"/>
      <c r="I185" s="11"/>
      <c r="J185" s="11"/>
      <c r="K185" s="11">
        <f>(X185/$B185)+(X185/('Optimal Choice'!$B$4*AS185))</f>
        <v>188.4582678</v>
      </c>
      <c r="L185" s="11">
        <f>(Y185/$B185)+(Y185/('Optimal Choice'!$B$9*AT185))</f>
        <v>213.0340927</v>
      </c>
      <c r="M185" s="11">
        <f>(Z185/$B185)+(Z185/('Optimal Choice'!$B$14*AU185))</f>
        <v>69.3440713</v>
      </c>
      <c r="N185" s="11">
        <f>(AA185/$B185)+(AA185/('Optimal Choice'!$B$19*AV185))</f>
        <v>193.2382676</v>
      </c>
      <c r="O185" s="11">
        <f>(AB185/$B185)+(AB185/('Optimal Choice'!$B$24*AW185))</f>
        <v>196.2119119</v>
      </c>
      <c r="R185" s="12">
        <f t="shared" ref="R185:V185" si="195">if(min($K184:$O184)=K184,R184+1,R184)</f>
        <v>90</v>
      </c>
      <c r="S185" s="12">
        <f t="shared" si="195"/>
        <v>41</v>
      </c>
      <c r="T185" s="12">
        <f t="shared" si="195"/>
        <v>26</v>
      </c>
      <c r="U185" s="12">
        <f t="shared" si="195"/>
        <v>16</v>
      </c>
      <c r="V185" s="12">
        <f t="shared" si="195"/>
        <v>11</v>
      </c>
      <c r="X185" s="13">
        <f> 'Optimal Choice'!$B$5*'Optimal Choice'!$B$6^(R185+1)</f>
        <v>1887.920754</v>
      </c>
      <c r="Y185" s="13">
        <f> 'Optimal Choice'!$B$10*'Optimal Choice'!$B$11^(S185+1)</f>
        <v>21254.97239</v>
      </c>
      <c r="Z185" s="13">
        <f> 'Optimal Choice'!$B$15*'Optimal Choice'!$B$16^(T185+1)</f>
        <v>24760.73217</v>
      </c>
      <c r="AA185" s="13">
        <f> 'Optimal Choice'!$B$20*'Optimal Choice'!$B$21^(U185+1)</f>
        <v>68999.71258</v>
      </c>
      <c r="AB185" s="13">
        <f> 'Optimal Choice'!$B$25*'Optimal Choice'!$B$26^(V185+1)</f>
        <v>403934.7909</v>
      </c>
      <c r="AE185" s="12">
        <f t="shared" si="4"/>
        <v>6</v>
      </c>
      <c r="AF185" s="12">
        <f t="shared" si="5"/>
        <v>5</v>
      </c>
      <c r="AG185" s="12">
        <f t="shared" si="6"/>
        <v>4</v>
      </c>
      <c r="AH185" s="14">
        <f t="shared" si="7"/>
        <v>1</v>
      </c>
      <c r="AI185" s="14">
        <f t="shared" si="8"/>
        <v>1</v>
      </c>
      <c r="AL185" s="14">
        <f>R185*'Optimal Choice'!$B$4*AE185</f>
        <v>901.8</v>
      </c>
      <c r="AM185" s="14">
        <f>S185*'Optimal Choice'!$B$9*AF185</f>
        <v>4100</v>
      </c>
      <c r="AN185" s="14">
        <f>T185*'Optimal Choice'!$B$14*AG185</f>
        <v>9360</v>
      </c>
      <c r="AO185" s="14">
        <f>U185*'Optimal Choice'!$B$19*AH185</f>
        <v>5760</v>
      </c>
      <c r="AP185" s="14">
        <f>V185*'Optimal Choice'!$B$24*AI185</f>
        <v>23760</v>
      </c>
      <c r="AS185" s="12">
        <f t="shared" si="9"/>
        <v>6</v>
      </c>
      <c r="AT185" s="12">
        <f t="shared" si="10"/>
        <v>5</v>
      </c>
      <c r="AU185" s="12">
        <f t="shared" si="11"/>
        <v>4</v>
      </c>
      <c r="AV185" s="14">
        <f t="shared" si="12"/>
        <v>1</v>
      </c>
      <c r="AW185" s="14">
        <f t="shared" si="13"/>
        <v>1</v>
      </c>
      <c r="AY185" s="11">
        <f t="shared" si="14"/>
        <v>0.008317647899</v>
      </c>
    </row>
    <row r="186" ht="15.75" customHeight="1">
      <c r="A186" s="15">
        <f t="shared" si="2"/>
        <v>4.253794356</v>
      </c>
      <c r="B186" s="7">
        <f>(sum(AL186:AP186))*'Optimal Choice'!$B$28</f>
        <v>44241.8</v>
      </c>
      <c r="C186" s="11"/>
      <c r="D186" s="12"/>
      <c r="E186" s="12"/>
      <c r="F186" s="11"/>
      <c r="G186" s="11"/>
      <c r="H186" s="11"/>
      <c r="I186" s="11"/>
      <c r="J186" s="11"/>
      <c r="K186" s="11">
        <f>(X186/$B186)+(X186/('Optimal Choice'!$B$4*AS186))</f>
        <v>188.4579177</v>
      </c>
      <c r="L186" s="11">
        <f>(Y186/$B186)+(Y186/('Optimal Choice'!$B$9*AT186))</f>
        <v>213.0301513</v>
      </c>
      <c r="M186" s="11">
        <f>(Z186/$B186)+(Z186/('Optimal Choice'!$B$14*AU186))</f>
        <v>79.04700704</v>
      </c>
      <c r="N186" s="11">
        <f>(AA186/$B186)+(AA186/('Optimal Choice'!$B$19*AV186))</f>
        <v>193.2254728</v>
      </c>
      <c r="O186" s="11">
        <f>(AB186/$B186)+(AB186/('Optimal Choice'!$B$24*AW186))</f>
        <v>196.1370094</v>
      </c>
      <c r="R186" s="12">
        <f t="shared" ref="R186:V186" si="196">if(min($K185:$O185)=K185,R185+1,R185)</f>
        <v>90</v>
      </c>
      <c r="S186" s="12">
        <f t="shared" si="196"/>
        <v>41</v>
      </c>
      <c r="T186" s="12">
        <f t="shared" si="196"/>
        <v>27</v>
      </c>
      <c r="U186" s="12">
        <f t="shared" si="196"/>
        <v>16</v>
      </c>
      <c r="V186" s="12">
        <f t="shared" si="196"/>
        <v>11</v>
      </c>
      <c r="X186" s="13">
        <f> 'Optimal Choice'!$B$5*'Optimal Choice'!$B$6^(R186+1)</f>
        <v>1887.920754</v>
      </c>
      <c r="Y186" s="13">
        <f> 'Optimal Choice'!$B$10*'Optimal Choice'!$B$11^(S186+1)</f>
        <v>21254.97239</v>
      </c>
      <c r="Z186" s="13">
        <f> 'Optimal Choice'!$B$15*'Optimal Choice'!$B$16^(T186+1)</f>
        <v>28227.23467</v>
      </c>
      <c r="AA186" s="13">
        <f> 'Optimal Choice'!$B$20*'Optimal Choice'!$B$21^(U186+1)</f>
        <v>68999.71258</v>
      </c>
      <c r="AB186" s="13">
        <f> 'Optimal Choice'!$B$25*'Optimal Choice'!$B$26^(V186+1)</f>
        <v>403934.7909</v>
      </c>
      <c r="AE186" s="12">
        <f t="shared" si="4"/>
        <v>6</v>
      </c>
      <c r="AF186" s="12">
        <f t="shared" si="5"/>
        <v>5</v>
      </c>
      <c r="AG186" s="12">
        <f t="shared" si="6"/>
        <v>4</v>
      </c>
      <c r="AH186" s="14">
        <f t="shared" si="7"/>
        <v>1</v>
      </c>
      <c r="AI186" s="14">
        <f t="shared" si="8"/>
        <v>1</v>
      </c>
      <c r="AL186" s="14">
        <f>R186*'Optimal Choice'!$B$4*AE186</f>
        <v>901.8</v>
      </c>
      <c r="AM186" s="14">
        <f>S186*'Optimal Choice'!$B$9*AF186</f>
        <v>4100</v>
      </c>
      <c r="AN186" s="14">
        <f>T186*'Optimal Choice'!$B$14*AG186</f>
        <v>9720</v>
      </c>
      <c r="AO186" s="14">
        <f>U186*'Optimal Choice'!$B$19*AH186</f>
        <v>5760</v>
      </c>
      <c r="AP186" s="14">
        <f>V186*'Optimal Choice'!$B$24*AI186</f>
        <v>23760</v>
      </c>
      <c r="AS186" s="12">
        <f t="shared" si="9"/>
        <v>6</v>
      </c>
      <c r="AT186" s="12">
        <f t="shared" si="10"/>
        <v>5</v>
      </c>
      <c r="AU186" s="12">
        <f t="shared" si="11"/>
        <v>4</v>
      </c>
      <c r="AV186" s="14">
        <f t="shared" si="12"/>
        <v>1</v>
      </c>
      <c r="AW186" s="14">
        <f t="shared" si="13"/>
        <v>1</v>
      </c>
      <c r="AY186" s="11">
        <f t="shared" si="14"/>
        <v>0.009404328662</v>
      </c>
    </row>
    <row r="187" ht="15.75" customHeight="1">
      <c r="A187" s="15">
        <f t="shared" si="2"/>
        <v>4.264428054</v>
      </c>
      <c r="B187" s="7">
        <f>(sum(AL187:AP187))*'Optimal Choice'!$B$28</f>
        <v>44601.8</v>
      </c>
      <c r="C187" s="11"/>
      <c r="D187" s="12"/>
      <c r="E187" s="12"/>
      <c r="F187" s="11"/>
      <c r="G187" s="11"/>
      <c r="H187" s="11"/>
      <c r="I187" s="11"/>
      <c r="J187" s="11"/>
      <c r="K187" s="11">
        <f>(X187/$B187)+(X187/('Optimal Choice'!$B$4*AS187))</f>
        <v>188.4575733</v>
      </c>
      <c r="L187" s="11">
        <f>(Y187/$B187)+(Y187/('Optimal Choice'!$B$9*AT187))</f>
        <v>213.0262736</v>
      </c>
      <c r="M187" s="11">
        <f>(Z187/$B187)+(Z187/('Optimal Choice'!$B$14*AU187))</f>
        <v>90.10771732</v>
      </c>
      <c r="N187" s="11">
        <f>(AA187/$B187)+(AA187/('Optimal Choice'!$B$19*AV187))</f>
        <v>193.2128846</v>
      </c>
      <c r="O187" s="11">
        <f>(AB187/$B187)+(AB187/('Optimal Choice'!$B$24*AW187))</f>
        <v>196.063316</v>
      </c>
      <c r="R187" s="12">
        <f t="shared" ref="R187:V187" si="197">if(min($K186:$O186)=K186,R186+1,R186)</f>
        <v>90</v>
      </c>
      <c r="S187" s="12">
        <f t="shared" si="197"/>
        <v>41</v>
      </c>
      <c r="T187" s="12">
        <f t="shared" si="197"/>
        <v>28</v>
      </c>
      <c r="U187" s="12">
        <f t="shared" si="197"/>
        <v>16</v>
      </c>
      <c r="V187" s="12">
        <f t="shared" si="197"/>
        <v>11</v>
      </c>
      <c r="X187" s="13">
        <f> 'Optimal Choice'!$B$5*'Optimal Choice'!$B$6^(R187+1)</f>
        <v>1887.920754</v>
      </c>
      <c r="Y187" s="13">
        <f> 'Optimal Choice'!$B$10*'Optimal Choice'!$B$11^(S187+1)</f>
        <v>21254.97239</v>
      </c>
      <c r="Z187" s="13">
        <f> 'Optimal Choice'!$B$15*'Optimal Choice'!$B$16^(T187+1)</f>
        <v>32179.04753</v>
      </c>
      <c r="AA187" s="13">
        <f> 'Optimal Choice'!$B$20*'Optimal Choice'!$B$21^(U187+1)</f>
        <v>68999.71258</v>
      </c>
      <c r="AB187" s="13">
        <f> 'Optimal Choice'!$B$25*'Optimal Choice'!$B$26^(V187+1)</f>
        <v>403934.7909</v>
      </c>
      <c r="AE187" s="12">
        <f t="shared" si="4"/>
        <v>6</v>
      </c>
      <c r="AF187" s="12">
        <f t="shared" si="5"/>
        <v>5</v>
      </c>
      <c r="AG187" s="12">
        <f t="shared" si="6"/>
        <v>4</v>
      </c>
      <c r="AH187" s="14">
        <f t="shared" si="7"/>
        <v>1</v>
      </c>
      <c r="AI187" s="14">
        <f t="shared" si="8"/>
        <v>1</v>
      </c>
      <c r="AL187" s="14">
        <f>R187*'Optimal Choice'!$B$4*AE187</f>
        <v>901.8</v>
      </c>
      <c r="AM187" s="14">
        <f>S187*'Optimal Choice'!$B$9*AF187</f>
        <v>4100</v>
      </c>
      <c r="AN187" s="14">
        <f>T187*'Optimal Choice'!$B$14*AG187</f>
        <v>10080</v>
      </c>
      <c r="AO187" s="14">
        <f>U187*'Optimal Choice'!$B$19*AH187</f>
        <v>5760</v>
      </c>
      <c r="AP187" s="14">
        <f>V187*'Optimal Choice'!$B$24*AI187</f>
        <v>23760</v>
      </c>
      <c r="AS187" s="12">
        <f t="shared" si="9"/>
        <v>6</v>
      </c>
      <c r="AT187" s="12">
        <f t="shared" si="10"/>
        <v>5</v>
      </c>
      <c r="AU187" s="12">
        <f t="shared" si="11"/>
        <v>4</v>
      </c>
      <c r="AV187" s="14">
        <f t="shared" si="12"/>
        <v>1</v>
      </c>
      <c r="AW187" s="14">
        <f t="shared" si="13"/>
        <v>1</v>
      </c>
      <c r="AY187" s="11">
        <f t="shared" si="14"/>
        <v>0.01063369735</v>
      </c>
    </row>
    <row r="188" ht="15.75" customHeight="1">
      <c r="A188" s="15">
        <f t="shared" si="2"/>
        <v>4.276452624</v>
      </c>
      <c r="B188" s="7">
        <f>(sum(AL188:AP188))*'Optimal Choice'!$B$28</f>
        <v>44961.8</v>
      </c>
      <c r="C188" s="11"/>
      <c r="D188" s="12"/>
      <c r="E188" s="12"/>
      <c r="F188" s="11"/>
      <c r="G188" s="11"/>
      <c r="H188" s="11"/>
      <c r="I188" s="11"/>
      <c r="J188" s="11"/>
      <c r="K188" s="11">
        <f>(X188/$B188)+(X188/('Optimal Choice'!$B$4*AS188))</f>
        <v>188.4572343</v>
      </c>
      <c r="L188" s="11">
        <f>(Y188/$B188)+(Y188/('Optimal Choice'!$B$9*AT188))</f>
        <v>213.022458</v>
      </c>
      <c r="M188" s="11">
        <f>(Z188/$B188)+(Z188/('Optimal Choice'!$B$14*AU188))</f>
        <v>102.7162123</v>
      </c>
      <c r="N188" s="11">
        <f>(AA188/$B188)+(AA188/('Optimal Choice'!$B$19*AV188))</f>
        <v>193.200498</v>
      </c>
      <c r="O188" s="11">
        <f>(AB188/$B188)+(AB188/('Optimal Choice'!$B$24*AW188))</f>
        <v>195.9908027</v>
      </c>
      <c r="R188" s="12">
        <f t="shared" ref="R188:V188" si="198">if(min($K187:$O187)=K187,R187+1,R187)</f>
        <v>90</v>
      </c>
      <c r="S188" s="12">
        <f t="shared" si="198"/>
        <v>41</v>
      </c>
      <c r="T188" s="12">
        <f t="shared" si="198"/>
        <v>29</v>
      </c>
      <c r="U188" s="12">
        <f t="shared" si="198"/>
        <v>16</v>
      </c>
      <c r="V188" s="12">
        <f t="shared" si="198"/>
        <v>11</v>
      </c>
      <c r="X188" s="13">
        <f> 'Optimal Choice'!$B$5*'Optimal Choice'!$B$6^(R188+1)</f>
        <v>1887.920754</v>
      </c>
      <c r="Y188" s="13">
        <f> 'Optimal Choice'!$B$10*'Optimal Choice'!$B$11^(S188+1)</f>
        <v>21254.97239</v>
      </c>
      <c r="Z188" s="13">
        <f> 'Optimal Choice'!$B$15*'Optimal Choice'!$B$16^(T188+1)</f>
        <v>36684.11418</v>
      </c>
      <c r="AA188" s="13">
        <f> 'Optimal Choice'!$B$20*'Optimal Choice'!$B$21^(U188+1)</f>
        <v>68999.71258</v>
      </c>
      <c r="AB188" s="13">
        <f> 'Optimal Choice'!$B$25*'Optimal Choice'!$B$26^(V188+1)</f>
        <v>403934.7909</v>
      </c>
      <c r="AE188" s="12">
        <f t="shared" si="4"/>
        <v>6</v>
      </c>
      <c r="AF188" s="12">
        <f t="shared" si="5"/>
        <v>5</v>
      </c>
      <c r="AG188" s="12">
        <f t="shared" si="6"/>
        <v>4</v>
      </c>
      <c r="AH188" s="14">
        <f t="shared" si="7"/>
        <v>1</v>
      </c>
      <c r="AI188" s="14">
        <f t="shared" si="8"/>
        <v>1</v>
      </c>
      <c r="AL188" s="14">
        <f>R188*'Optimal Choice'!$B$4*AE188</f>
        <v>901.8</v>
      </c>
      <c r="AM188" s="14">
        <f>S188*'Optimal Choice'!$B$9*AF188</f>
        <v>4100</v>
      </c>
      <c r="AN188" s="14">
        <f>T188*'Optimal Choice'!$B$14*AG188</f>
        <v>10440</v>
      </c>
      <c r="AO188" s="14">
        <f>U188*'Optimal Choice'!$B$19*AH188</f>
        <v>5760</v>
      </c>
      <c r="AP188" s="14">
        <f>V188*'Optimal Choice'!$B$24*AI188</f>
        <v>23760</v>
      </c>
      <c r="AS188" s="12">
        <f t="shared" si="9"/>
        <v>6</v>
      </c>
      <c r="AT188" s="12">
        <f t="shared" si="10"/>
        <v>5</v>
      </c>
      <c r="AU188" s="12">
        <f t="shared" si="11"/>
        <v>4</v>
      </c>
      <c r="AV188" s="14">
        <f t="shared" si="12"/>
        <v>1</v>
      </c>
      <c r="AW188" s="14">
        <f t="shared" si="13"/>
        <v>1</v>
      </c>
      <c r="AY188" s="11">
        <f t="shared" si="14"/>
        <v>0.01202456983</v>
      </c>
    </row>
    <row r="189" ht="15.75" customHeight="1">
      <c r="A189" s="15">
        <f t="shared" si="2"/>
        <v>4.290050876</v>
      </c>
      <c r="B189" s="7">
        <f>(sum(AL189:AP189))*'Optimal Choice'!$B$28</f>
        <v>45321.8</v>
      </c>
      <c r="C189" s="11"/>
      <c r="D189" s="12"/>
      <c r="E189" s="12"/>
      <c r="F189" s="11"/>
      <c r="G189" s="11"/>
      <c r="H189" s="11"/>
      <c r="I189" s="11"/>
      <c r="J189" s="11"/>
      <c r="K189" s="11">
        <f>(X189/$B189)+(X189/('Optimal Choice'!$B$4*AS189))</f>
        <v>188.4569008</v>
      </c>
      <c r="L189" s="11">
        <f>(Y189/$B189)+(Y189/('Optimal Choice'!$B$9*AT189))</f>
        <v>213.0187029</v>
      </c>
      <c r="M189" s="11">
        <f>(Z189/$B189)+(Z189/('Optimal Choice'!$B$14*AU189))</f>
        <v>117.0890939</v>
      </c>
      <c r="N189" s="11">
        <f>(AA189/$B189)+(AA189/('Optimal Choice'!$B$19*AV189))</f>
        <v>193.1883081</v>
      </c>
      <c r="O189" s="11">
        <f>(AB189/$B189)+(AB189/('Optimal Choice'!$B$24*AW189))</f>
        <v>195.9194414</v>
      </c>
      <c r="R189" s="12">
        <f t="shared" ref="R189:V189" si="199">if(min($K188:$O188)=K188,R188+1,R188)</f>
        <v>90</v>
      </c>
      <c r="S189" s="12">
        <f t="shared" si="199"/>
        <v>41</v>
      </c>
      <c r="T189" s="12">
        <f t="shared" si="199"/>
        <v>30</v>
      </c>
      <c r="U189" s="12">
        <f t="shared" si="199"/>
        <v>16</v>
      </c>
      <c r="V189" s="12">
        <f t="shared" si="199"/>
        <v>11</v>
      </c>
      <c r="X189" s="13">
        <f> 'Optimal Choice'!$B$5*'Optimal Choice'!$B$6^(R189+1)</f>
        <v>1887.920754</v>
      </c>
      <c r="Y189" s="13">
        <f> 'Optimal Choice'!$B$10*'Optimal Choice'!$B$11^(S189+1)</f>
        <v>21254.97239</v>
      </c>
      <c r="Z189" s="13">
        <f> 'Optimal Choice'!$B$15*'Optimal Choice'!$B$16^(T189+1)</f>
        <v>41819.89017</v>
      </c>
      <c r="AA189" s="13">
        <f> 'Optimal Choice'!$B$20*'Optimal Choice'!$B$21^(U189+1)</f>
        <v>68999.71258</v>
      </c>
      <c r="AB189" s="13">
        <f> 'Optimal Choice'!$B$25*'Optimal Choice'!$B$26^(V189+1)</f>
        <v>403934.7909</v>
      </c>
      <c r="AE189" s="12">
        <f t="shared" si="4"/>
        <v>6</v>
      </c>
      <c r="AF189" s="12">
        <f t="shared" si="5"/>
        <v>5</v>
      </c>
      <c r="AG189" s="12">
        <f t="shared" si="6"/>
        <v>4</v>
      </c>
      <c r="AH189" s="14">
        <f t="shared" si="7"/>
        <v>1</v>
      </c>
      <c r="AI189" s="14">
        <f t="shared" si="8"/>
        <v>1</v>
      </c>
      <c r="AL189" s="14">
        <f>R189*'Optimal Choice'!$B$4*AE189</f>
        <v>901.8</v>
      </c>
      <c r="AM189" s="14">
        <f>S189*'Optimal Choice'!$B$9*AF189</f>
        <v>4100</v>
      </c>
      <c r="AN189" s="14">
        <f>T189*'Optimal Choice'!$B$14*AG189</f>
        <v>10800</v>
      </c>
      <c r="AO189" s="14">
        <f>U189*'Optimal Choice'!$B$19*AH189</f>
        <v>5760</v>
      </c>
      <c r="AP189" s="14">
        <f>V189*'Optimal Choice'!$B$24*AI189</f>
        <v>23760</v>
      </c>
      <c r="AS189" s="12">
        <f t="shared" si="9"/>
        <v>6</v>
      </c>
      <c r="AT189" s="12">
        <f t="shared" si="10"/>
        <v>5</v>
      </c>
      <c r="AU189" s="12">
        <f t="shared" si="11"/>
        <v>4</v>
      </c>
      <c r="AV189" s="14">
        <f t="shared" si="12"/>
        <v>1</v>
      </c>
      <c r="AW189" s="14">
        <f t="shared" si="13"/>
        <v>1</v>
      </c>
      <c r="AY189" s="11">
        <f t="shared" si="14"/>
        <v>0.01359825236</v>
      </c>
    </row>
    <row r="190" ht="15.75" customHeight="1">
      <c r="A190" s="15">
        <f t="shared" si="2"/>
        <v>4.305429748</v>
      </c>
      <c r="B190" s="7">
        <f>(sum(AL190:AP190))*'Optimal Choice'!$B$28</f>
        <v>45681.8</v>
      </c>
      <c r="C190" s="11"/>
      <c r="D190" s="12"/>
      <c r="E190" s="12"/>
      <c r="F190" s="11"/>
      <c r="G190" s="11"/>
      <c r="H190" s="11"/>
      <c r="I190" s="11"/>
      <c r="J190" s="11"/>
      <c r="K190" s="11">
        <f>(X190/$B190)+(X190/('Optimal Choice'!$B$4*AS190))</f>
        <v>188.4565725</v>
      </c>
      <c r="L190" s="11">
        <f>(Y190/$B190)+(Y190/('Optimal Choice'!$B$9*AT190))</f>
        <v>213.0150071</v>
      </c>
      <c r="M190" s="11">
        <f>(Z190/$B190)+(Z190/('Optimal Choice'!$B$14*AU190))</f>
        <v>133.4732773</v>
      </c>
      <c r="N190" s="11">
        <f>(AA190/$B190)+(AA190/('Optimal Choice'!$B$19*AV190))</f>
        <v>193.1763104</v>
      </c>
      <c r="O190" s="11">
        <f>(AB190/$B190)+(AB190/('Optimal Choice'!$B$24*AW190))</f>
        <v>195.8492048</v>
      </c>
      <c r="R190" s="12">
        <f t="shared" ref="R190:V190" si="200">if(min($K189:$O189)=K189,R189+1,R189)</f>
        <v>90</v>
      </c>
      <c r="S190" s="12">
        <f t="shared" si="200"/>
        <v>41</v>
      </c>
      <c r="T190" s="12">
        <f t="shared" si="200"/>
        <v>31</v>
      </c>
      <c r="U190" s="12">
        <f t="shared" si="200"/>
        <v>16</v>
      </c>
      <c r="V190" s="12">
        <f t="shared" si="200"/>
        <v>11</v>
      </c>
      <c r="X190" s="13">
        <f> 'Optimal Choice'!$B$5*'Optimal Choice'!$B$6^(R190+1)</f>
        <v>1887.920754</v>
      </c>
      <c r="Y190" s="13">
        <f> 'Optimal Choice'!$B$10*'Optimal Choice'!$B$11^(S190+1)</f>
        <v>21254.97239</v>
      </c>
      <c r="Z190" s="13">
        <f> 'Optimal Choice'!$B$15*'Optimal Choice'!$B$16^(T190+1)</f>
        <v>47674.67479</v>
      </c>
      <c r="AA190" s="13">
        <f> 'Optimal Choice'!$B$20*'Optimal Choice'!$B$21^(U190+1)</f>
        <v>68999.71258</v>
      </c>
      <c r="AB190" s="13">
        <f> 'Optimal Choice'!$B$25*'Optimal Choice'!$B$26^(V190+1)</f>
        <v>403934.7909</v>
      </c>
      <c r="AE190" s="12">
        <f t="shared" si="4"/>
        <v>6</v>
      </c>
      <c r="AF190" s="12">
        <f t="shared" si="5"/>
        <v>5</v>
      </c>
      <c r="AG190" s="12">
        <f t="shared" si="6"/>
        <v>4</v>
      </c>
      <c r="AH190" s="14">
        <f t="shared" si="7"/>
        <v>1</v>
      </c>
      <c r="AI190" s="14">
        <f t="shared" si="8"/>
        <v>1</v>
      </c>
      <c r="AL190" s="14">
        <f>R190*'Optimal Choice'!$B$4*AE190</f>
        <v>901.8</v>
      </c>
      <c r="AM190" s="14">
        <f>S190*'Optimal Choice'!$B$9*AF190</f>
        <v>4100</v>
      </c>
      <c r="AN190" s="14">
        <f>T190*'Optimal Choice'!$B$14*AG190</f>
        <v>11160</v>
      </c>
      <c r="AO190" s="14">
        <f>U190*'Optimal Choice'!$B$19*AH190</f>
        <v>5760</v>
      </c>
      <c r="AP190" s="14">
        <f>V190*'Optimal Choice'!$B$24*AI190</f>
        <v>23760</v>
      </c>
      <c r="AS190" s="12">
        <f t="shared" si="9"/>
        <v>6</v>
      </c>
      <c r="AT190" s="12">
        <f t="shared" si="10"/>
        <v>5</v>
      </c>
      <c r="AU190" s="12">
        <f t="shared" si="11"/>
        <v>4</v>
      </c>
      <c r="AV190" s="14">
        <f t="shared" si="12"/>
        <v>1</v>
      </c>
      <c r="AW190" s="14">
        <f t="shared" si="13"/>
        <v>1</v>
      </c>
      <c r="AY190" s="11">
        <f t="shared" si="14"/>
        <v>0.01537887219</v>
      </c>
    </row>
    <row r="191" ht="15.75" customHeight="1">
      <c r="A191" s="15">
        <f t="shared" si="2"/>
        <v>4.3228235</v>
      </c>
      <c r="B191" s="7">
        <f>(sum(AL191:AP191))*'Optimal Choice'!$B$28</f>
        <v>46041.8</v>
      </c>
      <c r="C191" s="11"/>
      <c r="D191" s="12"/>
      <c r="E191" s="12"/>
      <c r="F191" s="11"/>
      <c r="G191" s="11"/>
      <c r="H191" s="11"/>
      <c r="I191" s="11"/>
      <c r="J191" s="11"/>
      <c r="K191" s="11">
        <f>(X191/$B191)+(X191/('Optimal Choice'!$B$4*AS191))</f>
        <v>188.4562494</v>
      </c>
      <c r="L191" s="11">
        <f>(Y191/$B191)+(Y191/('Optimal Choice'!$B$9*AT191))</f>
        <v>213.0113691</v>
      </c>
      <c r="M191" s="11">
        <f>(Z191/$B191)+(Z191/('Optimal Choice'!$B$14*AU191))</f>
        <v>152.1502337</v>
      </c>
      <c r="N191" s="11">
        <f>(AA191/$B191)+(AA191/('Optimal Choice'!$B$19*AV191))</f>
        <v>193.1645002</v>
      </c>
      <c r="O191" s="11">
        <f>(AB191/$B191)+(AB191/('Optimal Choice'!$B$24*AW191))</f>
        <v>195.7800666</v>
      </c>
      <c r="R191" s="12">
        <f t="shared" ref="R191:V191" si="201">if(min($K190:$O190)=K190,R190+1,R190)</f>
        <v>90</v>
      </c>
      <c r="S191" s="12">
        <f t="shared" si="201"/>
        <v>41</v>
      </c>
      <c r="T191" s="12">
        <f t="shared" si="201"/>
        <v>32</v>
      </c>
      <c r="U191" s="12">
        <f t="shared" si="201"/>
        <v>16</v>
      </c>
      <c r="V191" s="12">
        <f t="shared" si="201"/>
        <v>11</v>
      </c>
      <c r="X191" s="13">
        <f> 'Optimal Choice'!$B$5*'Optimal Choice'!$B$6^(R191+1)</f>
        <v>1887.920754</v>
      </c>
      <c r="Y191" s="13">
        <f> 'Optimal Choice'!$B$10*'Optimal Choice'!$B$11^(S191+1)</f>
        <v>21254.97239</v>
      </c>
      <c r="Z191" s="13">
        <f> 'Optimal Choice'!$B$15*'Optimal Choice'!$B$16^(T191+1)</f>
        <v>54349.12926</v>
      </c>
      <c r="AA191" s="13">
        <f> 'Optimal Choice'!$B$20*'Optimal Choice'!$B$21^(U191+1)</f>
        <v>68999.71258</v>
      </c>
      <c r="AB191" s="13">
        <f> 'Optimal Choice'!$B$25*'Optimal Choice'!$B$26^(V191+1)</f>
        <v>403934.7909</v>
      </c>
      <c r="AE191" s="12">
        <f t="shared" si="4"/>
        <v>6</v>
      </c>
      <c r="AF191" s="12">
        <f t="shared" si="5"/>
        <v>5</v>
      </c>
      <c r="AG191" s="12">
        <f t="shared" si="6"/>
        <v>4</v>
      </c>
      <c r="AH191" s="14">
        <f t="shared" si="7"/>
        <v>1</v>
      </c>
      <c r="AI191" s="14">
        <f t="shared" si="8"/>
        <v>1</v>
      </c>
      <c r="AL191" s="14">
        <f>R191*'Optimal Choice'!$B$4*AE191</f>
        <v>901.8</v>
      </c>
      <c r="AM191" s="14">
        <f>S191*'Optimal Choice'!$B$9*AF191</f>
        <v>4100</v>
      </c>
      <c r="AN191" s="14">
        <f>T191*'Optimal Choice'!$B$14*AG191</f>
        <v>11520</v>
      </c>
      <c r="AO191" s="14">
        <f>U191*'Optimal Choice'!$B$19*AH191</f>
        <v>5760</v>
      </c>
      <c r="AP191" s="14">
        <f>V191*'Optimal Choice'!$B$24*AI191</f>
        <v>23760</v>
      </c>
      <c r="AS191" s="12">
        <f t="shared" si="9"/>
        <v>6</v>
      </c>
      <c r="AT191" s="12">
        <f t="shared" si="10"/>
        <v>5</v>
      </c>
      <c r="AU191" s="12">
        <f t="shared" si="11"/>
        <v>4</v>
      </c>
      <c r="AV191" s="14">
        <f t="shared" si="12"/>
        <v>1</v>
      </c>
      <c r="AW191" s="14">
        <f t="shared" si="13"/>
        <v>1</v>
      </c>
      <c r="AY191" s="11">
        <f t="shared" si="14"/>
        <v>0.01739375229</v>
      </c>
    </row>
    <row r="192" ht="15.75" customHeight="1">
      <c r="A192" s="15">
        <f t="shared" si="2"/>
        <v>4.342497336</v>
      </c>
      <c r="B192" s="7">
        <f>(sum(AL192:AP192))*'Optimal Choice'!$B$28</f>
        <v>46401.8</v>
      </c>
      <c r="C192" s="11"/>
      <c r="D192" s="12"/>
      <c r="E192" s="12"/>
      <c r="F192" s="11"/>
      <c r="G192" s="11"/>
      <c r="H192" s="11"/>
      <c r="I192" s="11"/>
      <c r="J192" s="11"/>
      <c r="K192" s="11">
        <f>(X192/$B192)+(X192/('Optimal Choice'!$B$4*AS192))</f>
        <v>188.4559313</v>
      </c>
      <c r="L192" s="11">
        <f>(Y192/$B192)+(Y192/('Optimal Choice'!$B$9*AT192))</f>
        <v>213.0077875</v>
      </c>
      <c r="M192" s="11">
        <f>(Z192/$B192)+(Z192/('Optimal Choice'!$B$14*AU192))</f>
        <v>173.4408261</v>
      </c>
      <c r="N192" s="11">
        <f>(AA192/$B192)+(AA192/('Optimal Choice'!$B$19*AV192))</f>
        <v>193.1528734</v>
      </c>
      <c r="O192" s="11">
        <f>(AB192/$B192)+(AB192/('Optimal Choice'!$B$24*AW192))</f>
        <v>195.7120011</v>
      </c>
      <c r="R192" s="12">
        <f t="shared" ref="R192:V192" si="202">if(min($K191:$O191)=K191,R191+1,R191)</f>
        <v>90</v>
      </c>
      <c r="S192" s="12">
        <f t="shared" si="202"/>
        <v>41</v>
      </c>
      <c r="T192" s="12">
        <f t="shared" si="202"/>
        <v>33</v>
      </c>
      <c r="U192" s="12">
        <f t="shared" si="202"/>
        <v>16</v>
      </c>
      <c r="V192" s="12">
        <f t="shared" si="202"/>
        <v>11</v>
      </c>
      <c r="X192" s="13">
        <f> 'Optimal Choice'!$B$5*'Optimal Choice'!$B$6^(R192+1)</f>
        <v>1887.920754</v>
      </c>
      <c r="Y192" s="13">
        <f> 'Optimal Choice'!$B$10*'Optimal Choice'!$B$11^(S192+1)</f>
        <v>21254.97239</v>
      </c>
      <c r="Z192" s="13">
        <f> 'Optimal Choice'!$B$15*'Optimal Choice'!$B$16^(T192+1)</f>
        <v>61958.00735</v>
      </c>
      <c r="AA192" s="13">
        <f> 'Optimal Choice'!$B$20*'Optimal Choice'!$B$21^(U192+1)</f>
        <v>68999.71258</v>
      </c>
      <c r="AB192" s="13">
        <f> 'Optimal Choice'!$B$25*'Optimal Choice'!$B$26^(V192+1)</f>
        <v>403934.7909</v>
      </c>
      <c r="AE192" s="12">
        <f t="shared" si="4"/>
        <v>6</v>
      </c>
      <c r="AF192" s="12">
        <f t="shared" si="5"/>
        <v>5</v>
      </c>
      <c r="AG192" s="12">
        <f t="shared" si="6"/>
        <v>4</v>
      </c>
      <c r="AH192" s="14">
        <f t="shared" si="7"/>
        <v>1</v>
      </c>
      <c r="AI192" s="14">
        <f t="shared" si="8"/>
        <v>1</v>
      </c>
      <c r="AL192" s="14">
        <f>R192*'Optimal Choice'!$B$4*AE192</f>
        <v>901.8</v>
      </c>
      <c r="AM192" s="14">
        <f>S192*'Optimal Choice'!$B$9*AF192</f>
        <v>4100</v>
      </c>
      <c r="AN192" s="14">
        <f>T192*'Optimal Choice'!$B$14*AG192</f>
        <v>11880</v>
      </c>
      <c r="AO192" s="14">
        <f>U192*'Optimal Choice'!$B$19*AH192</f>
        <v>5760</v>
      </c>
      <c r="AP192" s="14">
        <f>V192*'Optimal Choice'!$B$24*AI192</f>
        <v>23760</v>
      </c>
      <c r="AS192" s="12">
        <f t="shared" si="9"/>
        <v>6</v>
      </c>
      <c r="AT192" s="12">
        <f t="shared" si="10"/>
        <v>5</v>
      </c>
      <c r="AU192" s="12">
        <f t="shared" si="11"/>
        <v>4</v>
      </c>
      <c r="AV192" s="14">
        <f t="shared" si="12"/>
        <v>1</v>
      </c>
      <c r="AW192" s="14">
        <f t="shared" si="13"/>
        <v>1</v>
      </c>
      <c r="AY192" s="11">
        <f t="shared" si="14"/>
        <v>0.01967383597</v>
      </c>
    </row>
    <row r="193" ht="15.75" customHeight="1">
      <c r="A193" s="15">
        <f t="shared" si="2"/>
        <v>4.364751504</v>
      </c>
      <c r="B193" s="7">
        <f>(sum(AL193:AP193))*'Optimal Choice'!$B$28</f>
        <v>46761.8</v>
      </c>
      <c r="C193" s="11"/>
      <c r="D193" s="12"/>
      <c r="E193" s="12"/>
      <c r="F193" s="11"/>
      <c r="G193" s="11"/>
      <c r="H193" s="11"/>
      <c r="I193" s="11"/>
      <c r="J193" s="11"/>
      <c r="K193" s="11">
        <f>(X193/$B193)+(X193/('Optimal Choice'!$B$4*AS193))</f>
        <v>188.455618</v>
      </c>
      <c r="L193" s="11">
        <f>(Y193/$B193)+(Y193/('Optimal Choice'!$B$9*AT193))</f>
        <v>213.004261</v>
      </c>
      <c r="M193" s="11">
        <f>(Z193/$B193)+(Z193/('Optimal Choice'!$B$14*AU193))</f>
        <v>197.710823</v>
      </c>
      <c r="N193" s="11">
        <f>(AA193/$B193)+(AA193/('Optimal Choice'!$B$19*AV193))</f>
        <v>193.1414255</v>
      </c>
      <c r="O193" s="11">
        <f>(AB193/$B193)+(AB193/('Optimal Choice'!$B$24*AW193))</f>
        <v>195.6449837</v>
      </c>
      <c r="R193" s="12">
        <f t="shared" ref="R193:V193" si="203">if(min($K192:$O192)=K192,R192+1,R192)</f>
        <v>90</v>
      </c>
      <c r="S193" s="12">
        <f t="shared" si="203"/>
        <v>41</v>
      </c>
      <c r="T193" s="12">
        <f t="shared" si="203"/>
        <v>34</v>
      </c>
      <c r="U193" s="12">
        <f t="shared" si="203"/>
        <v>16</v>
      </c>
      <c r="V193" s="12">
        <f t="shared" si="203"/>
        <v>11</v>
      </c>
      <c r="X193" s="13">
        <f> 'Optimal Choice'!$B$5*'Optimal Choice'!$B$6^(R193+1)</f>
        <v>1887.920754</v>
      </c>
      <c r="Y193" s="13">
        <f> 'Optimal Choice'!$B$10*'Optimal Choice'!$B$11^(S193+1)</f>
        <v>21254.97239</v>
      </c>
      <c r="Z193" s="13">
        <f> 'Optimal Choice'!$B$15*'Optimal Choice'!$B$16^(T193+1)</f>
        <v>70632.12838</v>
      </c>
      <c r="AA193" s="13">
        <f> 'Optimal Choice'!$B$20*'Optimal Choice'!$B$21^(U193+1)</f>
        <v>68999.71258</v>
      </c>
      <c r="AB193" s="13">
        <f> 'Optimal Choice'!$B$25*'Optimal Choice'!$B$26^(V193+1)</f>
        <v>403934.7909</v>
      </c>
      <c r="AE193" s="12">
        <f t="shared" si="4"/>
        <v>6</v>
      </c>
      <c r="AF193" s="12">
        <f t="shared" si="5"/>
        <v>5</v>
      </c>
      <c r="AG193" s="12">
        <f t="shared" si="6"/>
        <v>4</v>
      </c>
      <c r="AH193" s="14">
        <f t="shared" si="7"/>
        <v>1</v>
      </c>
      <c r="AI193" s="14">
        <f t="shared" si="8"/>
        <v>1</v>
      </c>
      <c r="AL193" s="14">
        <f>R193*'Optimal Choice'!$B$4*AE193</f>
        <v>901.8</v>
      </c>
      <c r="AM193" s="14">
        <f>S193*'Optimal Choice'!$B$9*AF193</f>
        <v>4100</v>
      </c>
      <c r="AN193" s="14">
        <f>T193*'Optimal Choice'!$B$14*AG193</f>
        <v>12240</v>
      </c>
      <c r="AO193" s="14">
        <f>U193*'Optimal Choice'!$B$19*AH193</f>
        <v>5760</v>
      </c>
      <c r="AP193" s="14">
        <f>V193*'Optimal Choice'!$B$24*AI193</f>
        <v>23760</v>
      </c>
      <c r="AS193" s="12">
        <f t="shared" si="9"/>
        <v>6</v>
      </c>
      <c r="AT193" s="12">
        <f t="shared" si="10"/>
        <v>5</v>
      </c>
      <c r="AU193" s="12">
        <f t="shared" si="11"/>
        <v>4</v>
      </c>
      <c r="AV193" s="14">
        <f t="shared" si="12"/>
        <v>1</v>
      </c>
      <c r="AW193" s="14">
        <f t="shared" si="13"/>
        <v>1</v>
      </c>
      <c r="AY193" s="11">
        <f t="shared" si="14"/>
        <v>0.02225416807</v>
      </c>
    </row>
    <row r="194" ht="15.75" customHeight="1">
      <c r="A194" s="15">
        <f t="shared" si="2"/>
        <v>4.36542439</v>
      </c>
      <c r="B194" s="7">
        <f>(sum(AL194:AP194))*'Optimal Choice'!$B$28</f>
        <v>46771.82</v>
      </c>
      <c r="C194" s="11"/>
      <c r="D194" s="12"/>
      <c r="E194" s="12"/>
      <c r="F194" s="11"/>
      <c r="G194" s="11"/>
      <c r="H194" s="11"/>
      <c r="I194" s="11"/>
      <c r="J194" s="11"/>
      <c r="K194" s="11">
        <f>(X194/$B194)+(X194/('Optimal Choice'!$B$4*AS194))</f>
        <v>201.647502</v>
      </c>
      <c r="L194" s="11">
        <f>(Y194/$B194)+(Y194/('Optimal Choice'!$B$9*AT194))</f>
        <v>213.0041636</v>
      </c>
      <c r="M194" s="11">
        <f>(Z194/$B194)+(Z194/('Optimal Choice'!$B$14*AU194))</f>
        <v>197.7104994</v>
      </c>
      <c r="N194" s="11">
        <f>(AA194/$B194)+(AA194/('Optimal Choice'!$B$19*AV194))</f>
        <v>193.1411094</v>
      </c>
      <c r="O194" s="11">
        <f>(AB194/$B194)+(AB194/('Optimal Choice'!$B$24*AW194))</f>
        <v>195.6431331</v>
      </c>
      <c r="R194" s="12">
        <f t="shared" ref="R194:V194" si="204">if(min($K193:$O193)=K193,R193+1,R193)</f>
        <v>91</v>
      </c>
      <c r="S194" s="12">
        <f t="shared" si="204"/>
        <v>41</v>
      </c>
      <c r="T194" s="12">
        <f t="shared" si="204"/>
        <v>34</v>
      </c>
      <c r="U194" s="12">
        <f t="shared" si="204"/>
        <v>16</v>
      </c>
      <c r="V194" s="12">
        <f t="shared" si="204"/>
        <v>11</v>
      </c>
      <c r="X194" s="13">
        <f> 'Optimal Choice'!$B$5*'Optimal Choice'!$B$6^(R194+1)</f>
        <v>2020.075207</v>
      </c>
      <c r="Y194" s="13">
        <f> 'Optimal Choice'!$B$10*'Optimal Choice'!$B$11^(S194+1)</f>
        <v>21254.97239</v>
      </c>
      <c r="Z194" s="13">
        <f> 'Optimal Choice'!$B$15*'Optimal Choice'!$B$16^(T194+1)</f>
        <v>70632.12838</v>
      </c>
      <c r="AA194" s="13">
        <f> 'Optimal Choice'!$B$20*'Optimal Choice'!$B$21^(U194+1)</f>
        <v>68999.71258</v>
      </c>
      <c r="AB194" s="13">
        <f> 'Optimal Choice'!$B$25*'Optimal Choice'!$B$26^(V194+1)</f>
        <v>403934.7909</v>
      </c>
      <c r="AE194" s="12">
        <f t="shared" si="4"/>
        <v>6</v>
      </c>
      <c r="AF194" s="12">
        <f t="shared" si="5"/>
        <v>5</v>
      </c>
      <c r="AG194" s="12">
        <f t="shared" si="6"/>
        <v>4</v>
      </c>
      <c r="AH194" s="14">
        <f t="shared" si="7"/>
        <v>1</v>
      </c>
      <c r="AI194" s="14">
        <f t="shared" si="8"/>
        <v>1</v>
      </c>
      <c r="AL194" s="14">
        <f>R194*'Optimal Choice'!$B$4*AE194</f>
        <v>911.82</v>
      </c>
      <c r="AM194" s="14">
        <f>S194*'Optimal Choice'!$B$9*AF194</f>
        <v>4100</v>
      </c>
      <c r="AN194" s="14">
        <f>T194*'Optimal Choice'!$B$14*AG194</f>
        <v>12240</v>
      </c>
      <c r="AO194" s="14">
        <f>U194*'Optimal Choice'!$B$19*AH194</f>
        <v>5760</v>
      </c>
      <c r="AP194" s="14">
        <f>V194*'Optimal Choice'!$B$24*AI194</f>
        <v>23760</v>
      </c>
      <c r="AS194" s="12">
        <f t="shared" si="9"/>
        <v>6</v>
      </c>
      <c r="AT194" s="12">
        <f t="shared" si="10"/>
        <v>5</v>
      </c>
      <c r="AU194" s="12">
        <f t="shared" si="11"/>
        <v>4</v>
      </c>
      <c r="AV194" s="14">
        <f t="shared" si="12"/>
        <v>1</v>
      </c>
      <c r="AW194" s="14">
        <f t="shared" si="13"/>
        <v>1</v>
      </c>
      <c r="AY194" s="11">
        <f t="shared" si="14"/>
        <v>0.0006728856866</v>
      </c>
    </row>
    <row r="195" ht="15.75" customHeight="1">
      <c r="A195" s="15">
        <f t="shared" si="2"/>
        <v>4.390011742</v>
      </c>
      <c r="B195" s="7">
        <f>(sum(AL195:AP195))*'Optimal Choice'!$B$28</f>
        <v>47131.82</v>
      </c>
      <c r="C195" s="11"/>
      <c r="D195" s="12"/>
      <c r="E195" s="12"/>
      <c r="F195" s="11"/>
      <c r="G195" s="11"/>
      <c r="H195" s="11"/>
      <c r="I195" s="11"/>
      <c r="J195" s="11"/>
      <c r="K195" s="11">
        <f>(X195/$B195)+(X195/('Optimal Choice'!$B$4*AS195))</f>
        <v>201.6471722</v>
      </c>
      <c r="L195" s="11">
        <f>(Y195/$B195)+(Y195/('Optimal Choice'!$B$9*AT195))</f>
        <v>213.0006926</v>
      </c>
      <c r="M195" s="11">
        <f>(Z195/$B195)+(Z195/('Optimal Choice'!$B$14*AU195))</f>
        <v>197.6989647</v>
      </c>
      <c r="N195" s="11">
        <f>(AA195/$B195)+(AA195/('Optimal Choice'!$B$19*AV195))</f>
        <v>218.2367207</v>
      </c>
      <c r="O195" s="11">
        <f>(AB195/$B195)+(AB195/('Optimal Choice'!$B$24*AW195))</f>
        <v>195.5771679</v>
      </c>
      <c r="R195" s="12">
        <f t="shared" ref="R195:V195" si="205">if(min($K194:$O194)=K194,R194+1,R194)</f>
        <v>91</v>
      </c>
      <c r="S195" s="12">
        <f t="shared" si="205"/>
        <v>41</v>
      </c>
      <c r="T195" s="12">
        <f t="shared" si="205"/>
        <v>34</v>
      </c>
      <c r="U195" s="12">
        <f t="shared" si="205"/>
        <v>17</v>
      </c>
      <c r="V195" s="12">
        <f t="shared" si="205"/>
        <v>11</v>
      </c>
      <c r="X195" s="13">
        <f> 'Optimal Choice'!$B$5*'Optimal Choice'!$B$6^(R195+1)</f>
        <v>2020.075207</v>
      </c>
      <c r="Y195" s="13">
        <f> 'Optimal Choice'!$B$10*'Optimal Choice'!$B$11^(S195+1)</f>
        <v>21254.97239</v>
      </c>
      <c r="Z195" s="13">
        <f> 'Optimal Choice'!$B$15*'Optimal Choice'!$B$16^(T195+1)</f>
        <v>70632.12838</v>
      </c>
      <c r="AA195" s="13">
        <f> 'Optimal Choice'!$B$20*'Optimal Choice'!$B$21^(U195+1)</f>
        <v>77969.67522</v>
      </c>
      <c r="AB195" s="13">
        <f> 'Optimal Choice'!$B$25*'Optimal Choice'!$B$26^(V195+1)</f>
        <v>403934.7909</v>
      </c>
      <c r="AE195" s="12">
        <f t="shared" si="4"/>
        <v>6</v>
      </c>
      <c r="AF195" s="12">
        <f t="shared" si="5"/>
        <v>5</v>
      </c>
      <c r="AG195" s="12">
        <f t="shared" si="6"/>
        <v>4</v>
      </c>
      <c r="AH195" s="14">
        <f t="shared" si="7"/>
        <v>1</v>
      </c>
      <c r="AI195" s="14">
        <f t="shared" si="8"/>
        <v>1</v>
      </c>
      <c r="AL195" s="14">
        <f>R195*'Optimal Choice'!$B$4*AE195</f>
        <v>911.82</v>
      </c>
      <c r="AM195" s="14">
        <f>S195*'Optimal Choice'!$B$9*AF195</f>
        <v>4100</v>
      </c>
      <c r="AN195" s="14">
        <f>T195*'Optimal Choice'!$B$14*AG195</f>
        <v>12240</v>
      </c>
      <c r="AO195" s="14">
        <f>U195*'Optimal Choice'!$B$19*AH195</f>
        <v>6120</v>
      </c>
      <c r="AP195" s="14">
        <f>V195*'Optimal Choice'!$B$24*AI195</f>
        <v>23760</v>
      </c>
      <c r="AS195" s="12">
        <f t="shared" si="9"/>
        <v>6</v>
      </c>
      <c r="AT195" s="12">
        <f t="shared" si="10"/>
        <v>5</v>
      </c>
      <c r="AU195" s="12">
        <f t="shared" si="11"/>
        <v>4</v>
      </c>
      <c r="AV195" s="14">
        <f t="shared" si="12"/>
        <v>1</v>
      </c>
      <c r="AW195" s="14">
        <f t="shared" si="13"/>
        <v>1</v>
      </c>
      <c r="AY195" s="11">
        <f t="shared" si="14"/>
        <v>0.02458735216</v>
      </c>
    </row>
    <row r="196" ht="15.75" customHeight="1">
      <c r="A196" s="15">
        <f t="shared" si="2"/>
        <v>4.532850413</v>
      </c>
      <c r="B196" s="7">
        <f>(sum(AL196:AP196))*'Optimal Choice'!$B$28</f>
        <v>49291.82</v>
      </c>
      <c r="C196" s="11"/>
      <c r="D196" s="12"/>
      <c r="E196" s="12"/>
      <c r="F196" s="11"/>
      <c r="G196" s="11"/>
      <c r="H196" s="11"/>
      <c r="I196" s="11"/>
      <c r="J196" s="11"/>
      <c r="K196" s="11">
        <f>(X196/$B196)+(X196/('Optimal Choice'!$B$4*AS196))</f>
        <v>201.645294</v>
      </c>
      <c r="L196" s="11">
        <f>(Y196/$B196)+(Y196/('Optimal Choice'!$B$9*AT196))</f>
        <v>212.9809308</v>
      </c>
      <c r="M196" s="11">
        <f>(Z196/$B196)+(Z196/('Optimal Choice'!$B$14*AU196))</f>
        <v>197.6332948</v>
      </c>
      <c r="N196" s="11">
        <f>(AA196/$B196)+(AA196/('Optimal Choice'!$B$19*AV196))</f>
        <v>218.1642286</v>
      </c>
      <c r="O196" s="11">
        <f>(AB196/$B196)+(AB196/('Optimal Choice'!$B$24*AW196))</f>
        <v>218.6258041</v>
      </c>
      <c r="R196" s="12">
        <f t="shared" ref="R196:V196" si="206">if(min($K195:$O195)=K195,R195+1,R195)</f>
        <v>91</v>
      </c>
      <c r="S196" s="12">
        <f t="shared" si="206"/>
        <v>41</v>
      </c>
      <c r="T196" s="12">
        <f t="shared" si="206"/>
        <v>34</v>
      </c>
      <c r="U196" s="12">
        <f t="shared" si="206"/>
        <v>17</v>
      </c>
      <c r="V196" s="12">
        <f t="shared" si="206"/>
        <v>12</v>
      </c>
      <c r="X196" s="13">
        <f> 'Optimal Choice'!$B$5*'Optimal Choice'!$B$6^(R196+1)</f>
        <v>2020.075207</v>
      </c>
      <c r="Y196" s="13">
        <f> 'Optimal Choice'!$B$10*'Optimal Choice'!$B$11^(S196+1)</f>
        <v>21254.97239</v>
      </c>
      <c r="Z196" s="13">
        <f> 'Optimal Choice'!$B$15*'Optimal Choice'!$B$16^(T196+1)</f>
        <v>70632.12838</v>
      </c>
      <c r="AA196" s="13">
        <f> 'Optimal Choice'!$B$20*'Optimal Choice'!$B$21^(U196+1)</f>
        <v>77969.67522</v>
      </c>
      <c r="AB196" s="13">
        <f> 'Optimal Choice'!$B$25*'Optimal Choice'!$B$26^(V196+1)</f>
        <v>452406.9658</v>
      </c>
      <c r="AE196" s="12">
        <f t="shared" si="4"/>
        <v>6</v>
      </c>
      <c r="AF196" s="12">
        <f t="shared" si="5"/>
        <v>5</v>
      </c>
      <c r="AG196" s="12">
        <f t="shared" si="6"/>
        <v>4</v>
      </c>
      <c r="AH196" s="14">
        <f t="shared" si="7"/>
        <v>1</v>
      </c>
      <c r="AI196" s="14">
        <f t="shared" si="8"/>
        <v>1</v>
      </c>
      <c r="AL196" s="14">
        <f>R196*'Optimal Choice'!$B$4*AE196</f>
        <v>911.82</v>
      </c>
      <c r="AM196" s="14">
        <f>S196*'Optimal Choice'!$B$9*AF196</f>
        <v>4100</v>
      </c>
      <c r="AN196" s="14">
        <f>T196*'Optimal Choice'!$B$14*AG196</f>
        <v>12240</v>
      </c>
      <c r="AO196" s="14">
        <f>U196*'Optimal Choice'!$B$19*AH196</f>
        <v>6120</v>
      </c>
      <c r="AP196" s="14">
        <f>V196*'Optimal Choice'!$B$24*AI196</f>
        <v>25920</v>
      </c>
      <c r="AS196" s="12">
        <f t="shared" si="9"/>
        <v>6</v>
      </c>
      <c r="AT196" s="12">
        <f t="shared" si="10"/>
        <v>5</v>
      </c>
      <c r="AU196" s="12">
        <f t="shared" si="11"/>
        <v>4</v>
      </c>
      <c r="AV196" s="14">
        <f t="shared" si="12"/>
        <v>1</v>
      </c>
      <c r="AW196" s="14">
        <f t="shared" si="13"/>
        <v>1</v>
      </c>
      <c r="AY196" s="11">
        <f t="shared" si="14"/>
        <v>0.1428386707</v>
      </c>
    </row>
    <row r="197" ht="15.75" customHeight="1">
      <c r="A197" s="15">
        <f t="shared" si="2"/>
        <v>4.556732715</v>
      </c>
      <c r="B197" s="7">
        <f>(sum(AL197:AP197))*'Optimal Choice'!$B$28</f>
        <v>49651.82</v>
      </c>
      <c r="C197" s="11"/>
      <c r="D197" s="12"/>
      <c r="E197" s="12"/>
      <c r="F197" s="11"/>
      <c r="G197" s="11"/>
      <c r="H197" s="11"/>
      <c r="I197" s="11"/>
      <c r="J197" s="11"/>
      <c r="K197" s="11">
        <f>(X197/$B197)+(X197/('Optimal Choice'!$B$4*AS197))</f>
        <v>201.6449969</v>
      </c>
      <c r="L197" s="11">
        <f>(Y197/$B197)+(Y197/('Optimal Choice'!$B$9*AT197))</f>
        <v>212.9778044</v>
      </c>
      <c r="M197" s="11">
        <f>(Z197/$B197)+(Z197/('Optimal Choice'!$B$14*AU197))</f>
        <v>225.290112</v>
      </c>
      <c r="N197" s="11">
        <f>(AA197/$B197)+(AA197/('Optimal Choice'!$B$19*AV197))</f>
        <v>218.1527598</v>
      </c>
      <c r="O197" s="11">
        <f>(AB197/$B197)+(AB197/('Optimal Choice'!$B$24*AW197))</f>
        <v>218.5592581</v>
      </c>
      <c r="R197" s="12">
        <f t="shared" ref="R197:V197" si="207">if(min($K196:$O196)=K196,R196+1,R196)</f>
        <v>91</v>
      </c>
      <c r="S197" s="12">
        <f t="shared" si="207"/>
        <v>41</v>
      </c>
      <c r="T197" s="12">
        <f t="shared" si="207"/>
        <v>35</v>
      </c>
      <c r="U197" s="12">
        <f t="shared" si="207"/>
        <v>17</v>
      </c>
      <c r="V197" s="12">
        <f t="shared" si="207"/>
        <v>12</v>
      </c>
      <c r="X197" s="13">
        <f> 'Optimal Choice'!$B$5*'Optimal Choice'!$B$6^(R197+1)</f>
        <v>2020.075207</v>
      </c>
      <c r="Y197" s="13">
        <f> 'Optimal Choice'!$B$10*'Optimal Choice'!$B$11^(S197+1)</f>
        <v>21254.97239</v>
      </c>
      <c r="Z197" s="13">
        <f> 'Optimal Choice'!$B$15*'Optimal Choice'!$B$16^(T197+1)</f>
        <v>80520.62636</v>
      </c>
      <c r="AA197" s="13">
        <f> 'Optimal Choice'!$B$20*'Optimal Choice'!$B$21^(U197+1)</f>
        <v>77969.67522</v>
      </c>
      <c r="AB197" s="13">
        <f> 'Optimal Choice'!$B$25*'Optimal Choice'!$B$26^(V197+1)</f>
        <v>452406.9658</v>
      </c>
      <c r="AE197" s="12">
        <f t="shared" si="4"/>
        <v>6</v>
      </c>
      <c r="AF197" s="12">
        <f t="shared" si="5"/>
        <v>5</v>
      </c>
      <c r="AG197" s="12">
        <f t="shared" si="6"/>
        <v>4</v>
      </c>
      <c r="AH197" s="14">
        <f t="shared" si="7"/>
        <v>1</v>
      </c>
      <c r="AI197" s="14">
        <f t="shared" si="8"/>
        <v>1</v>
      </c>
      <c r="AL197" s="14">
        <f>R197*'Optimal Choice'!$B$4*AE197</f>
        <v>911.82</v>
      </c>
      <c r="AM197" s="14">
        <f>S197*'Optimal Choice'!$B$9*AF197</f>
        <v>4100</v>
      </c>
      <c r="AN197" s="14">
        <f>T197*'Optimal Choice'!$B$14*AG197</f>
        <v>12600</v>
      </c>
      <c r="AO197" s="14">
        <f>U197*'Optimal Choice'!$B$19*AH197</f>
        <v>6120</v>
      </c>
      <c r="AP197" s="14">
        <f>V197*'Optimal Choice'!$B$24*AI197</f>
        <v>25920</v>
      </c>
      <c r="AS197" s="12">
        <f t="shared" si="9"/>
        <v>6</v>
      </c>
      <c r="AT197" s="12">
        <f t="shared" si="10"/>
        <v>5</v>
      </c>
      <c r="AU197" s="12">
        <f t="shared" si="11"/>
        <v>4</v>
      </c>
      <c r="AV197" s="14">
        <f t="shared" si="12"/>
        <v>1</v>
      </c>
      <c r="AW197" s="14">
        <f t="shared" si="13"/>
        <v>1</v>
      </c>
      <c r="AY197" s="11">
        <f t="shared" si="14"/>
        <v>0.02388230217</v>
      </c>
    </row>
    <row r="198" ht="15.75" customHeight="1">
      <c r="A198" s="15">
        <f t="shared" si="2"/>
        <v>4.557410795</v>
      </c>
      <c r="B198" s="7">
        <f>(sum(AL198:AP198))*'Optimal Choice'!$B$28</f>
        <v>49661.84</v>
      </c>
      <c r="C198" s="11"/>
      <c r="D198" s="12"/>
      <c r="E198" s="12"/>
      <c r="F198" s="11"/>
      <c r="G198" s="11"/>
      <c r="H198" s="11"/>
      <c r="I198" s="11"/>
      <c r="J198" s="11"/>
      <c r="K198" s="11">
        <f>(X198/$B198)+(X198/('Optimal Choice'!$B$4*AS198))</f>
        <v>215.7601379</v>
      </c>
      <c r="L198" s="11">
        <f>(Y198/$B198)+(Y198/('Optimal Choice'!$B$9*AT198))</f>
        <v>212.977718</v>
      </c>
      <c r="M198" s="11">
        <f>(Z198/$B198)+(Z198/('Optimal Choice'!$B$14*AU198))</f>
        <v>225.2897848</v>
      </c>
      <c r="N198" s="11">
        <f>(AA198/$B198)+(AA198/('Optimal Choice'!$B$19*AV198))</f>
        <v>218.152443</v>
      </c>
      <c r="O198" s="11">
        <f>(AB198/$B198)+(AB198/('Optimal Choice'!$B$24*AW198))</f>
        <v>218.5574197</v>
      </c>
      <c r="R198" s="12">
        <f t="shared" ref="R198:V198" si="208">if(min($K197:$O197)=K197,R197+1,R197)</f>
        <v>92</v>
      </c>
      <c r="S198" s="12">
        <f t="shared" si="208"/>
        <v>41</v>
      </c>
      <c r="T198" s="12">
        <f t="shared" si="208"/>
        <v>35</v>
      </c>
      <c r="U198" s="12">
        <f t="shared" si="208"/>
        <v>17</v>
      </c>
      <c r="V198" s="12">
        <f t="shared" si="208"/>
        <v>12</v>
      </c>
      <c r="X198" s="13">
        <f> 'Optimal Choice'!$B$5*'Optimal Choice'!$B$6^(R198+1)</f>
        <v>2161.480471</v>
      </c>
      <c r="Y198" s="13">
        <f> 'Optimal Choice'!$B$10*'Optimal Choice'!$B$11^(S198+1)</f>
        <v>21254.97239</v>
      </c>
      <c r="Z198" s="13">
        <f> 'Optimal Choice'!$B$15*'Optimal Choice'!$B$16^(T198+1)</f>
        <v>80520.62636</v>
      </c>
      <c r="AA198" s="13">
        <f> 'Optimal Choice'!$B$20*'Optimal Choice'!$B$21^(U198+1)</f>
        <v>77969.67522</v>
      </c>
      <c r="AB198" s="13">
        <f> 'Optimal Choice'!$B$25*'Optimal Choice'!$B$26^(V198+1)</f>
        <v>452406.9658</v>
      </c>
      <c r="AE198" s="12">
        <f t="shared" si="4"/>
        <v>6</v>
      </c>
      <c r="AF198" s="12">
        <f t="shared" si="5"/>
        <v>5</v>
      </c>
      <c r="AG198" s="12">
        <f t="shared" si="6"/>
        <v>4</v>
      </c>
      <c r="AH198" s="14">
        <f t="shared" si="7"/>
        <v>1</v>
      </c>
      <c r="AI198" s="14">
        <f t="shared" si="8"/>
        <v>1</v>
      </c>
      <c r="AL198" s="14">
        <f>R198*'Optimal Choice'!$B$4*AE198</f>
        <v>921.84</v>
      </c>
      <c r="AM198" s="14">
        <f>S198*'Optimal Choice'!$B$9*AF198</f>
        <v>4100</v>
      </c>
      <c r="AN198" s="14">
        <f>T198*'Optimal Choice'!$B$14*AG198</f>
        <v>12600</v>
      </c>
      <c r="AO198" s="14">
        <f>U198*'Optimal Choice'!$B$19*AH198</f>
        <v>6120</v>
      </c>
      <c r="AP198" s="14">
        <f>V198*'Optimal Choice'!$B$24*AI198</f>
        <v>25920</v>
      </c>
      <c r="AS198" s="12">
        <f t="shared" si="9"/>
        <v>6</v>
      </c>
      <c r="AT198" s="12">
        <f t="shared" si="10"/>
        <v>5</v>
      </c>
      <c r="AU198" s="12">
        <f t="shared" si="11"/>
        <v>4</v>
      </c>
      <c r="AV198" s="14">
        <f t="shared" si="12"/>
        <v>1</v>
      </c>
      <c r="AW198" s="14">
        <f t="shared" si="13"/>
        <v>1</v>
      </c>
      <c r="AY198" s="11">
        <f t="shared" si="14"/>
        <v>0.0006780802821</v>
      </c>
    </row>
    <row r="199" ht="15.75" customHeight="1">
      <c r="A199" s="15">
        <f t="shared" si="2"/>
        <v>4.56454403</v>
      </c>
      <c r="B199" s="7">
        <f>(sum(AL199:AP199))*'Optimal Choice'!$B$28</f>
        <v>49761.84</v>
      </c>
      <c r="C199" s="11"/>
      <c r="D199" s="12"/>
      <c r="E199" s="12"/>
      <c r="F199" s="11"/>
      <c r="G199" s="11"/>
      <c r="H199" s="11"/>
      <c r="I199" s="11"/>
      <c r="J199" s="11"/>
      <c r="K199" s="11">
        <f>(X199/$B199)+(X199/('Optimal Choice'!$B$4*AS199))</f>
        <v>215.7600504</v>
      </c>
      <c r="L199" s="11">
        <f>(Y199/$B199)+(Y199/('Optimal Choice'!$B$9*AT199))</f>
        <v>244.9233866</v>
      </c>
      <c r="M199" s="11">
        <f>(Z199/$B199)+(Z199/('Optimal Choice'!$B$14*AU199))</f>
        <v>225.2865265</v>
      </c>
      <c r="N199" s="11">
        <f>(AA199/$B199)+(AA199/('Optimal Choice'!$B$19*AV199))</f>
        <v>218.1492879</v>
      </c>
      <c r="O199" s="11">
        <f>(AB199/$B199)+(AB199/('Optimal Choice'!$B$24*AW199))</f>
        <v>218.539113</v>
      </c>
      <c r="R199" s="12">
        <f t="shared" ref="R199:V199" si="209">if(min($K198:$O198)=K198,R198+1,R198)</f>
        <v>92</v>
      </c>
      <c r="S199" s="12">
        <f t="shared" si="209"/>
        <v>42</v>
      </c>
      <c r="T199" s="12">
        <f t="shared" si="209"/>
        <v>35</v>
      </c>
      <c r="U199" s="12">
        <f t="shared" si="209"/>
        <v>17</v>
      </c>
      <c r="V199" s="12">
        <f t="shared" si="209"/>
        <v>12</v>
      </c>
      <c r="X199" s="13">
        <f> 'Optimal Choice'!$B$5*'Optimal Choice'!$B$6^(R199+1)</f>
        <v>2161.480471</v>
      </c>
      <c r="Y199" s="13">
        <f> 'Optimal Choice'!$B$10*'Optimal Choice'!$B$11^(S199+1)</f>
        <v>24443.21825</v>
      </c>
      <c r="Z199" s="13">
        <f> 'Optimal Choice'!$B$15*'Optimal Choice'!$B$16^(T199+1)</f>
        <v>80520.62636</v>
      </c>
      <c r="AA199" s="13">
        <f> 'Optimal Choice'!$B$20*'Optimal Choice'!$B$21^(U199+1)</f>
        <v>77969.67522</v>
      </c>
      <c r="AB199" s="13">
        <f> 'Optimal Choice'!$B$25*'Optimal Choice'!$B$26^(V199+1)</f>
        <v>452406.9658</v>
      </c>
      <c r="AE199" s="12">
        <f t="shared" si="4"/>
        <v>6</v>
      </c>
      <c r="AF199" s="12">
        <f t="shared" si="5"/>
        <v>5</v>
      </c>
      <c r="AG199" s="12">
        <f t="shared" si="6"/>
        <v>4</v>
      </c>
      <c r="AH199" s="14">
        <f t="shared" si="7"/>
        <v>1</v>
      </c>
      <c r="AI199" s="14">
        <f t="shared" si="8"/>
        <v>1</v>
      </c>
      <c r="AL199" s="14">
        <f>R199*'Optimal Choice'!$B$4*AE199</f>
        <v>921.84</v>
      </c>
      <c r="AM199" s="14">
        <f>S199*'Optimal Choice'!$B$9*AF199</f>
        <v>4200</v>
      </c>
      <c r="AN199" s="14">
        <f>T199*'Optimal Choice'!$B$14*AG199</f>
        <v>12600</v>
      </c>
      <c r="AO199" s="14">
        <f>U199*'Optimal Choice'!$B$19*AH199</f>
        <v>6120</v>
      </c>
      <c r="AP199" s="14">
        <f>V199*'Optimal Choice'!$B$24*AI199</f>
        <v>25920</v>
      </c>
      <c r="AS199" s="12">
        <f t="shared" si="9"/>
        <v>6</v>
      </c>
      <c r="AT199" s="12">
        <f t="shared" si="10"/>
        <v>5</v>
      </c>
      <c r="AU199" s="12">
        <f t="shared" si="11"/>
        <v>4</v>
      </c>
      <c r="AV199" s="14">
        <f t="shared" si="12"/>
        <v>1</v>
      </c>
      <c r="AW199" s="14">
        <f t="shared" si="13"/>
        <v>1</v>
      </c>
      <c r="AY199" s="11">
        <f t="shared" si="14"/>
        <v>0.007133234288</v>
      </c>
    </row>
    <row r="200" ht="15.75" customHeight="1">
      <c r="A200" s="15">
        <f t="shared" si="2"/>
        <v>4.565267971</v>
      </c>
      <c r="B200" s="7">
        <f>(sum(AL200:AP200))*'Optimal Choice'!$B$28</f>
        <v>49771.86</v>
      </c>
      <c r="C200" s="11"/>
      <c r="D200" s="12"/>
      <c r="E200" s="12"/>
      <c r="F200" s="11"/>
      <c r="G200" s="11"/>
      <c r="H200" s="11"/>
      <c r="I200" s="11"/>
      <c r="J200" s="11"/>
      <c r="K200" s="11">
        <f>(X200/$B200)+(X200/('Optimal Choice'!$B$4*AS200))</f>
        <v>230.8632446</v>
      </c>
      <c r="L200" s="11">
        <f>(Y200/$B200)+(Y200/('Optimal Choice'!$B$9*AT200))</f>
        <v>244.9232877</v>
      </c>
      <c r="M200" s="11">
        <f>(Z200/$B200)+(Z200/('Optimal Choice'!$B$14*AU200))</f>
        <v>225.2862007</v>
      </c>
      <c r="N200" s="11">
        <f>(AA200/$B200)+(AA200/('Optimal Choice'!$B$19*AV200))</f>
        <v>218.1489725</v>
      </c>
      <c r="O200" s="11">
        <f>(AB200/$B200)+(AB200/('Optimal Choice'!$B$24*AW200))</f>
        <v>218.5372828</v>
      </c>
      <c r="R200" s="12">
        <f t="shared" ref="R200:V200" si="210">if(min($K199:$O199)=K199,R199+1,R199)</f>
        <v>93</v>
      </c>
      <c r="S200" s="12">
        <f t="shared" si="210"/>
        <v>42</v>
      </c>
      <c r="T200" s="12">
        <f t="shared" si="210"/>
        <v>35</v>
      </c>
      <c r="U200" s="12">
        <f t="shared" si="210"/>
        <v>17</v>
      </c>
      <c r="V200" s="12">
        <f t="shared" si="210"/>
        <v>12</v>
      </c>
      <c r="X200" s="13">
        <f> 'Optimal Choice'!$B$5*'Optimal Choice'!$B$6^(R200+1)</f>
        <v>2312.784104</v>
      </c>
      <c r="Y200" s="13">
        <f> 'Optimal Choice'!$B$10*'Optimal Choice'!$B$11^(S200+1)</f>
        <v>24443.21825</v>
      </c>
      <c r="Z200" s="13">
        <f> 'Optimal Choice'!$B$15*'Optimal Choice'!$B$16^(T200+1)</f>
        <v>80520.62636</v>
      </c>
      <c r="AA200" s="13">
        <f> 'Optimal Choice'!$B$20*'Optimal Choice'!$B$21^(U200+1)</f>
        <v>77969.67522</v>
      </c>
      <c r="AB200" s="13">
        <f> 'Optimal Choice'!$B$25*'Optimal Choice'!$B$26^(V200+1)</f>
        <v>452406.9658</v>
      </c>
      <c r="AE200" s="12">
        <f t="shared" si="4"/>
        <v>6</v>
      </c>
      <c r="AF200" s="12">
        <f t="shared" si="5"/>
        <v>5</v>
      </c>
      <c r="AG200" s="12">
        <f t="shared" si="6"/>
        <v>4</v>
      </c>
      <c r="AH200" s="14">
        <f t="shared" si="7"/>
        <v>1</v>
      </c>
      <c r="AI200" s="14">
        <f t="shared" si="8"/>
        <v>1</v>
      </c>
      <c r="AL200" s="14">
        <f>R200*'Optimal Choice'!$B$4*AE200</f>
        <v>931.86</v>
      </c>
      <c r="AM200" s="14">
        <f>S200*'Optimal Choice'!$B$9*AF200</f>
        <v>4200</v>
      </c>
      <c r="AN200" s="14">
        <f>T200*'Optimal Choice'!$B$14*AG200</f>
        <v>12600</v>
      </c>
      <c r="AO200" s="14">
        <f>U200*'Optimal Choice'!$B$19*AH200</f>
        <v>6120</v>
      </c>
      <c r="AP200" s="14">
        <f>V200*'Optimal Choice'!$B$24*AI200</f>
        <v>25920</v>
      </c>
      <c r="AS200" s="12">
        <f t="shared" si="9"/>
        <v>6</v>
      </c>
      <c r="AT200" s="12">
        <f t="shared" si="10"/>
        <v>5</v>
      </c>
      <c r="AU200" s="12">
        <f t="shared" si="11"/>
        <v>4</v>
      </c>
      <c r="AV200" s="14">
        <f t="shared" si="12"/>
        <v>1</v>
      </c>
      <c r="AW200" s="14">
        <f t="shared" si="13"/>
        <v>1</v>
      </c>
      <c r="AY200" s="11">
        <f t="shared" si="14"/>
        <v>0.0007239417698</v>
      </c>
    </row>
    <row r="201" ht="15.75" customHeight="1">
      <c r="A201" s="15">
        <f t="shared" si="2"/>
        <v>4.591376993</v>
      </c>
      <c r="B201" s="7">
        <f>(sum(AL201:AP201))*'Optimal Choice'!$B$28</f>
        <v>50131.86</v>
      </c>
      <c r="C201" s="11"/>
      <c r="D201" s="12"/>
      <c r="E201" s="12"/>
      <c r="F201" s="11"/>
      <c r="G201" s="11"/>
      <c r="H201" s="11"/>
      <c r="I201" s="11"/>
      <c r="J201" s="11"/>
      <c r="K201" s="11">
        <f>(X201/$B201)+(X201/('Optimal Choice'!$B$4*AS201))</f>
        <v>230.8629109</v>
      </c>
      <c r="L201" s="11">
        <f>(Y201/$B201)+(Y201/('Optimal Choice'!$B$9*AT201))</f>
        <v>244.9197611</v>
      </c>
      <c r="M201" s="11">
        <f>(Z201/$B201)+(Z201/('Optimal Choice'!$B$14*AU201))</f>
        <v>225.2745833</v>
      </c>
      <c r="N201" s="11">
        <f>(AA201/$B201)+(AA201/('Optimal Choice'!$B$19*AV201))</f>
        <v>246.495627</v>
      </c>
      <c r="O201" s="11">
        <f>(AB201/$B201)+(AB201/('Optimal Choice'!$B$24*AW201))</f>
        <v>218.4720097</v>
      </c>
      <c r="R201" s="12">
        <f t="shared" ref="R201:V201" si="211">if(min($K200:$O200)=K200,R200+1,R200)</f>
        <v>93</v>
      </c>
      <c r="S201" s="12">
        <f t="shared" si="211"/>
        <v>42</v>
      </c>
      <c r="T201" s="12">
        <f t="shared" si="211"/>
        <v>35</v>
      </c>
      <c r="U201" s="12">
        <f t="shared" si="211"/>
        <v>18</v>
      </c>
      <c r="V201" s="12">
        <f t="shared" si="211"/>
        <v>12</v>
      </c>
      <c r="X201" s="13">
        <f> 'Optimal Choice'!$B$5*'Optimal Choice'!$B$6^(R201+1)</f>
        <v>2312.784104</v>
      </c>
      <c r="Y201" s="13">
        <f> 'Optimal Choice'!$B$10*'Optimal Choice'!$B$11^(S201+1)</f>
        <v>24443.21825</v>
      </c>
      <c r="Z201" s="13">
        <f> 'Optimal Choice'!$B$15*'Optimal Choice'!$B$16^(T201+1)</f>
        <v>80520.62636</v>
      </c>
      <c r="AA201" s="13">
        <f> 'Optimal Choice'!$B$20*'Optimal Choice'!$B$21^(U201+1)</f>
        <v>88105.733</v>
      </c>
      <c r="AB201" s="13">
        <f> 'Optimal Choice'!$B$25*'Optimal Choice'!$B$26^(V201+1)</f>
        <v>452406.9658</v>
      </c>
      <c r="AE201" s="12">
        <f t="shared" si="4"/>
        <v>6</v>
      </c>
      <c r="AF201" s="12">
        <f t="shared" si="5"/>
        <v>5</v>
      </c>
      <c r="AG201" s="12">
        <f t="shared" si="6"/>
        <v>4</v>
      </c>
      <c r="AH201" s="14">
        <f t="shared" si="7"/>
        <v>1</v>
      </c>
      <c r="AI201" s="14">
        <f t="shared" si="8"/>
        <v>1</v>
      </c>
      <c r="AL201" s="14">
        <f>R201*'Optimal Choice'!$B$4*AE201</f>
        <v>931.86</v>
      </c>
      <c r="AM201" s="14">
        <f>S201*'Optimal Choice'!$B$9*AF201</f>
        <v>4200</v>
      </c>
      <c r="AN201" s="14">
        <f>T201*'Optimal Choice'!$B$14*AG201</f>
        <v>12600</v>
      </c>
      <c r="AO201" s="14">
        <f>U201*'Optimal Choice'!$B$19*AH201</f>
        <v>6480</v>
      </c>
      <c r="AP201" s="14">
        <f>V201*'Optimal Choice'!$B$24*AI201</f>
        <v>25920</v>
      </c>
      <c r="AS201" s="12">
        <f t="shared" si="9"/>
        <v>6</v>
      </c>
      <c r="AT201" s="12">
        <f t="shared" si="10"/>
        <v>5</v>
      </c>
      <c r="AU201" s="12">
        <f t="shared" si="11"/>
        <v>4</v>
      </c>
      <c r="AV201" s="14">
        <f t="shared" si="12"/>
        <v>1</v>
      </c>
      <c r="AW201" s="14">
        <f t="shared" si="13"/>
        <v>1</v>
      </c>
      <c r="AY201" s="11">
        <f t="shared" si="14"/>
        <v>0.02610902199</v>
      </c>
    </row>
    <row r="202" ht="15.75" customHeight="1">
      <c r="A202" s="15">
        <f t="shared" si="2"/>
        <v>4.741782666</v>
      </c>
      <c r="B202" s="7">
        <f>(sum(AL202:AP202))*'Optimal Choice'!$B$28</f>
        <v>52291.86</v>
      </c>
      <c r="C202" s="11"/>
      <c r="D202" s="12"/>
      <c r="E202" s="12"/>
      <c r="F202" s="11"/>
      <c r="G202" s="11"/>
      <c r="H202" s="11"/>
      <c r="I202" s="11"/>
      <c r="J202" s="11"/>
      <c r="K202" s="11">
        <f>(X202/$B202)+(X202/('Optimal Choice'!$B$4*AS202))</f>
        <v>230.8610052</v>
      </c>
      <c r="L202" s="11">
        <f>(Y202/$B202)+(Y202/('Optimal Choice'!$B$9*AT202))</f>
        <v>244.8996208</v>
      </c>
      <c r="M202" s="11">
        <f>(Z202/$B202)+(Z202/('Optimal Choice'!$B$14*AU202))</f>
        <v>225.2082375</v>
      </c>
      <c r="N202" s="11">
        <f>(AA202/$B202)+(AA202/('Optimal Choice'!$B$19*AV202))</f>
        <v>246.4230315</v>
      </c>
      <c r="O202" s="11">
        <f>(AB202/$B202)+(AB202/('Optimal Choice'!$B$24*AW202))</f>
        <v>244.271154</v>
      </c>
      <c r="R202" s="12">
        <f t="shared" ref="R202:V202" si="212">if(min($K201:$O201)=K201,R201+1,R201)</f>
        <v>93</v>
      </c>
      <c r="S202" s="12">
        <f t="shared" si="212"/>
        <v>42</v>
      </c>
      <c r="T202" s="12">
        <f t="shared" si="212"/>
        <v>35</v>
      </c>
      <c r="U202" s="12">
        <f t="shared" si="212"/>
        <v>18</v>
      </c>
      <c r="V202" s="12">
        <f t="shared" si="212"/>
        <v>13</v>
      </c>
      <c r="X202" s="13">
        <f> 'Optimal Choice'!$B$5*'Optimal Choice'!$B$6^(R202+1)</f>
        <v>2312.784104</v>
      </c>
      <c r="Y202" s="13">
        <f> 'Optimal Choice'!$B$10*'Optimal Choice'!$B$11^(S202+1)</f>
        <v>24443.21825</v>
      </c>
      <c r="Z202" s="13">
        <f> 'Optimal Choice'!$B$15*'Optimal Choice'!$B$16^(T202+1)</f>
        <v>80520.62636</v>
      </c>
      <c r="AA202" s="13">
        <f> 'Optimal Choice'!$B$20*'Optimal Choice'!$B$21^(U202+1)</f>
        <v>88105.733</v>
      </c>
      <c r="AB202" s="13">
        <f> 'Optimal Choice'!$B$25*'Optimal Choice'!$B$26^(V202+1)</f>
        <v>506695.8017</v>
      </c>
      <c r="AE202" s="12">
        <f t="shared" si="4"/>
        <v>6</v>
      </c>
      <c r="AF202" s="12">
        <f t="shared" si="5"/>
        <v>5</v>
      </c>
      <c r="AG202" s="12">
        <f t="shared" si="6"/>
        <v>4</v>
      </c>
      <c r="AH202" s="14">
        <f t="shared" si="7"/>
        <v>1</v>
      </c>
      <c r="AI202" s="14">
        <f t="shared" si="8"/>
        <v>1</v>
      </c>
      <c r="AL202" s="14">
        <f>R202*'Optimal Choice'!$B$4*AE202</f>
        <v>931.86</v>
      </c>
      <c r="AM202" s="14">
        <f>S202*'Optimal Choice'!$B$9*AF202</f>
        <v>4200</v>
      </c>
      <c r="AN202" s="14">
        <f>T202*'Optimal Choice'!$B$14*AG202</f>
        <v>12600</v>
      </c>
      <c r="AO202" s="14">
        <f>U202*'Optimal Choice'!$B$19*AH202</f>
        <v>6480</v>
      </c>
      <c r="AP202" s="14">
        <f>V202*'Optimal Choice'!$B$24*AI202</f>
        <v>28080</v>
      </c>
      <c r="AS202" s="12">
        <f t="shared" si="9"/>
        <v>6</v>
      </c>
      <c r="AT202" s="12">
        <f t="shared" si="10"/>
        <v>5</v>
      </c>
      <c r="AU202" s="12">
        <f t="shared" si="11"/>
        <v>4</v>
      </c>
      <c r="AV202" s="14">
        <f t="shared" si="12"/>
        <v>1</v>
      </c>
      <c r="AW202" s="14">
        <f t="shared" si="13"/>
        <v>1</v>
      </c>
      <c r="AY202" s="11">
        <f t="shared" si="14"/>
        <v>0.1504056721</v>
      </c>
    </row>
    <row r="203" ht="15.75" customHeight="1">
      <c r="A203" s="15">
        <f t="shared" si="2"/>
        <v>4.767446515</v>
      </c>
      <c r="B203" s="7">
        <f>(sum(AL203:AP203))*'Optimal Choice'!$B$28</f>
        <v>52651.86</v>
      </c>
      <c r="C203" s="11"/>
      <c r="D203" s="12"/>
      <c r="E203" s="12"/>
      <c r="F203" s="11"/>
      <c r="G203" s="11"/>
      <c r="H203" s="11"/>
      <c r="I203" s="11"/>
      <c r="J203" s="11"/>
      <c r="K203" s="11">
        <f>(X203/$B203)+(X203/('Optimal Choice'!$B$4*AS203))</f>
        <v>230.8607028</v>
      </c>
      <c r="L203" s="11">
        <f>(Y203/$B203)+(Y203/('Optimal Choice'!$B$9*AT203))</f>
        <v>244.8964248</v>
      </c>
      <c r="M203" s="11">
        <f>(Z203/$B203)+(Z203/('Optimal Choice'!$B$14*AU203))</f>
        <v>256.7253884</v>
      </c>
      <c r="N203" s="11">
        <f>(AA203/$B203)+(AA203/('Optimal Choice'!$B$19*AV203))</f>
        <v>246.4115113</v>
      </c>
      <c r="O203" s="11">
        <f>(AB203/$B203)+(AB203/('Optimal Choice'!$B$24*AW203))</f>
        <v>244.2049016</v>
      </c>
      <c r="R203" s="12">
        <f t="shared" ref="R203:V203" si="213">if(min($K202:$O202)=K202,R202+1,R202)</f>
        <v>93</v>
      </c>
      <c r="S203" s="12">
        <f t="shared" si="213"/>
        <v>42</v>
      </c>
      <c r="T203" s="12">
        <f t="shared" si="213"/>
        <v>36</v>
      </c>
      <c r="U203" s="12">
        <f t="shared" si="213"/>
        <v>18</v>
      </c>
      <c r="V203" s="12">
        <f t="shared" si="213"/>
        <v>13</v>
      </c>
      <c r="X203" s="13">
        <f> 'Optimal Choice'!$B$5*'Optimal Choice'!$B$6^(R203+1)</f>
        <v>2312.784104</v>
      </c>
      <c r="Y203" s="13">
        <f> 'Optimal Choice'!$B$10*'Optimal Choice'!$B$11^(S203+1)</f>
        <v>24443.21825</v>
      </c>
      <c r="Z203" s="13">
        <f> 'Optimal Choice'!$B$15*'Optimal Choice'!$B$16^(T203+1)</f>
        <v>91793.51405</v>
      </c>
      <c r="AA203" s="13">
        <f> 'Optimal Choice'!$B$20*'Optimal Choice'!$B$21^(U203+1)</f>
        <v>88105.733</v>
      </c>
      <c r="AB203" s="13">
        <f> 'Optimal Choice'!$B$25*'Optimal Choice'!$B$26^(V203+1)</f>
        <v>506695.8017</v>
      </c>
      <c r="AE203" s="12">
        <f t="shared" si="4"/>
        <v>6</v>
      </c>
      <c r="AF203" s="12">
        <f t="shared" si="5"/>
        <v>5</v>
      </c>
      <c r="AG203" s="12">
        <f t="shared" si="6"/>
        <v>4</v>
      </c>
      <c r="AH203" s="14">
        <f t="shared" si="7"/>
        <v>1</v>
      </c>
      <c r="AI203" s="14">
        <f t="shared" si="8"/>
        <v>1</v>
      </c>
      <c r="AL203" s="14">
        <f>R203*'Optimal Choice'!$B$4*AE203</f>
        <v>931.86</v>
      </c>
      <c r="AM203" s="14">
        <f>S203*'Optimal Choice'!$B$9*AF203</f>
        <v>4200</v>
      </c>
      <c r="AN203" s="14">
        <f>T203*'Optimal Choice'!$B$14*AG203</f>
        <v>12960</v>
      </c>
      <c r="AO203" s="14">
        <f>U203*'Optimal Choice'!$B$19*AH203</f>
        <v>6480</v>
      </c>
      <c r="AP203" s="14">
        <f>V203*'Optimal Choice'!$B$24*AI203</f>
        <v>28080</v>
      </c>
      <c r="AS203" s="12">
        <f t="shared" si="9"/>
        <v>6</v>
      </c>
      <c r="AT203" s="12">
        <f t="shared" si="10"/>
        <v>5</v>
      </c>
      <c r="AU203" s="12">
        <f t="shared" si="11"/>
        <v>4</v>
      </c>
      <c r="AV203" s="14">
        <f t="shared" si="12"/>
        <v>1</v>
      </c>
      <c r="AW203" s="14">
        <f t="shared" si="13"/>
        <v>1</v>
      </c>
      <c r="AY203" s="11">
        <f t="shared" si="14"/>
        <v>0.02566384977</v>
      </c>
    </row>
    <row r="204" ht="15.75" customHeight="1">
      <c r="A204" s="15">
        <f t="shared" si="2"/>
        <v>4.768178615</v>
      </c>
      <c r="B204" s="7">
        <f>(sum(AL204:AP204))*'Optimal Choice'!$B$28</f>
        <v>52661.88</v>
      </c>
      <c r="C204" s="11"/>
      <c r="D204" s="12"/>
      <c r="E204" s="12"/>
      <c r="F204" s="11"/>
      <c r="G204" s="11"/>
      <c r="H204" s="11"/>
      <c r="I204" s="11"/>
      <c r="J204" s="11"/>
      <c r="K204" s="11">
        <f>(X204/$B204)+(X204/('Optimal Choice'!$B$4*AS204))</f>
        <v>247.0209431</v>
      </c>
      <c r="L204" s="11">
        <f>(Y204/$B204)+(Y204/('Optimal Choice'!$B$9*AT204))</f>
        <v>244.8963365</v>
      </c>
      <c r="M204" s="11">
        <f>(Z204/$B204)+(Z204/('Optimal Choice'!$B$14*AU204))</f>
        <v>256.7250567</v>
      </c>
      <c r="N204" s="11">
        <f>(AA204/$B204)+(AA204/('Optimal Choice'!$B$19*AV204))</f>
        <v>246.4111929</v>
      </c>
      <c r="O204" s="11">
        <f>(AB204/$B204)+(AB204/('Optimal Choice'!$B$24*AW204))</f>
        <v>244.2030705</v>
      </c>
      <c r="R204" s="12">
        <f t="shared" ref="R204:V204" si="214">if(min($K203:$O203)=K203,R203+1,R203)</f>
        <v>94</v>
      </c>
      <c r="S204" s="12">
        <f t="shared" si="214"/>
        <v>42</v>
      </c>
      <c r="T204" s="12">
        <f t="shared" si="214"/>
        <v>36</v>
      </c>
      <c r="U204" s="12">
        <f t="shared" si="214"/>
        <v>18</v>
      </c>
      <c r="V204" s="12">
        <f t="shared" si="214"/>
        <v>13</v>
      </c>
      <c r="X204" s="13">
        <f> 'Optimal Choice'!$B$5*'Optimal Choice'!$B$6^(R204+1)</f>
        <v>2474.678991</v>
      </c>
      <c r="Y204" s="13">
        <f> 'Optimal Choice'!$B$10*'Optimal Choice'!$B$11^(S204+1)</f>
        <v>24443.21825</v>
      </c>
      <c r="Z204" s="13">
        <f> 'Optimal Choice'!$B$15*'Optimal Choice'!$B$16^(T204+1)</f>
        <v>91793.51405</v>
      </c>
      <c r="AA204" s="13">
        <f> 'Optimal Choice'!$B$20*'Optimal Choice'!$B$21^(U204+1)</f>
        <v>88105.733</v>
      </c>
      <c r="AB204" s="13">
        <f> 'Optimal Choice'!$B$25*'Optimal Choice'!$B$26^(V204+1)</f>
        <v>506695.8017</v>
      </c>
      <c r="AE204" s="12">
        <f t="shared" si="4"/>
        <v>6</v>
      </c>
      <c r="AF204" s="12">
        <f t="shared" si="5"/>
        <v>5</v>
      </c>
      <c r="AG204" s="12">
        <f t="shared" si="6"/>
        <v>4</v>
      </c>
      <c r="AH204" s="14">
        <f t="shared" si="7"/>
        <v>1</v>
      </c>
      <c r="AI204" s="14">
        <f t="shared" si="8"/>
        <v>1</v>
      </c>
      <c r="AL204" s="14">
        <f>R204*'Optimal Choice'!$B$4*AE204</f>
        <v>941.88</v>
      </c>
      <c r="AM204" s="14">
        <f>S204*'Optimal Choice'!$B$9*AF204</f>
        <v>4200</v>
      </c>
      <c r="AN204" s="14">
        <f>T204*'Optimal Choice'!$B$14*AG204</f>
        <v>12960</v>
      </c>
      <c r="AO204" s="14">
        <f>U204*'Optimal Choice'!$B$19*AH204</f>
        <v>6480</v>
      </c>
      <c r="AP204" s="14">
        <f>V204*'Optimal Choice'!$B$24*AI204</f>
        <v>28080</v>
      </c>
      <c r="AS204" s="12">
        <f t="shared" si="9"/>
        <v>6</v>
      </c>
      <c r="AT204" s="12">
        <f t="shared" si="10"/>
        <v>5</v>
      </c>
      <c r="AU204" s="12">
        <f t="shared" si="11"/>
        <v>4</v>
      </c>
      <c r="AV204" s="14">
        <f t="shared" si="12"/>
        <v>1</v>
      </c>
      <c r="AW204" s="14">
        <f t="shared" si="13"/>
        <v>1</v>
      </c>
      <c r="AY204" s="11">
        <f t="shared" si="14"/>
        <v>0.0007320995257</v>
      </c>
    </row>
    <row r="205" ht="15.75" customHeight="1">
      <c r="A205" s="15">
        <f t="shared" si="2"/>
        <v>4.928539962</v>
      </c>
      <c r="B205" s="7">
        <f>(sum(AL205:AP205))*'Optimal Choice'!$B$28</f>
        <v>54821.88</v>
      </c>
      <c r="C205" s="11"/>
      <c r="D205" s="12"/>
      <c r="E205" s="12"/>
      <c r="F205" s="11"/>
      <c r="G205" s="11"/>
      <c r="H205" s="11"/>
      <c r="I205" s="11"/>
      <c r="J205" s="11"/>
      <c r="K205" s="11">
        <f>(X205/$B205)+(X205/('Optimal Choice'!$B$4*AS205))</f>
        <v>247.0190916</v>
      </c>
      <c r="L205" s="11">
        <f>(Y205/$B205)+(Y205/('Optimal Choice'!$B$9*AT205))</f>
        <v>244.8780486</v>
      </c>
      <c r="M205" s="11">
        <f>(Z205/$B205)+(Z205/('Optimal Choice'!$B$14*AU205))</f>
        <v>256.6563791</v>
      </c>
      <c r="N205" s="11">
        <f>(AA205/$B205)+(AA205/('Optimal Choice'!$B$19*AV205))</f>
        <v>246.3452744</v>
      </c>
      <c r="O205" s="11">
        <f>(AB205/$B205)+(AB205/('Optimal Choice'!$B$24*AW205))</f>
        <v>273.0828499</v>
      </c>
      <c r="R205" s="12">
        <f t="shared" ref="R205:V205" si="215">if(min($K204:$O204)=K204,R204+1,R204)</f>
        <v>94</v>
      </c>
      <c r="S205" s="12">
        <f t="shared" si="215"/>
        <v>42</v>
      </c>
      <c r="T205" s="12">
        <f t="shared" si="215"/>
        <v>36</v>
      </c>
      <c r="U205" s="12">
        <f t="shared" si="215"/>
        <v>18</v>
      </c>
      <c r="V205" s="12">
        <f t="shared" si="215"/>
        <v>14</v>
      </c>
      <c r="X205" s="13">
        <f> 'Optimal Choice'!$B$5*'Optimal Choice'!$B$6^(R205+1)</f>
        <v>2474.678991</v>
      </c>
      <c r="Y205" s="13">
        <f> 'Optimal Choice'!$B$10*'Optimal Choice'!$B$11^(S205+1)</f>
        <v>24443.21825</v>
      </c>
      <c r="Z205" s="13">
        <f> 'Optimal Choice'!$B$15*'Optimal Choice'!$B$16^(T205+1)</f>
        <v>91793.51405</v>
      </c>
      <c r="AA205" s="13">
        <f> 'Optimal Choice'!$B$20*'Optimal Choice'!$B$21^(U205+1)</f>
        <v>88105.733</v>
      </c>
      <c r="AB205" s="13">
        <f> 'Optimal Choice'!$B$25*'Optimal Choice'!$B$26^(V205+1)</f>
        <v>567499.2979</v>
      </c>
      <c r="AE205" s="12">
        <f t="shared" si="4"/>
        <v>6</v>
      </c>
      <c r="AF205" s="12">
        <f t="shared" si="5"/>
        <v>5</v>
      </c>
      <c r="AG205" s="12">
        <f t="shared" si="6"/>
        <v>4</v>
      </c>
      <c r="AH205" s="14">
        <f t="shared" si="7"/>
        <v>1</v>
      </c>
      <c r="AI205" s="14">
        <f t="shared" si="8"/>
        <v>1</v>
      </c>
      <c r="AL205" s="14">
        <f>R205*'Optimal Choice'!$B$4*AE205</f>
        <v>941.88</v>
      </c>
      <c r="AM205" s="14">
        <f>S205*'Optimal Choice'!$B$9*AF205</f>
        <v>4200</v>
      </c>
      <c r="AN205" s="14">
        <f>T205*'Optimal Choice'!$B$14*AG205</f>
        <v>12960</v>
      </c>
      <c r="AO205" s="14">
        <f>U205*'Optimal Choice'!$B$19*AH205</f>
        <v>6480</v>
      </c>
      <c r="AP205" s="14">
        <f>V205*'Optimal Choice'!$B$24*AI205</f>
        <v>30240</v>
      </c>
      <c r="AS205" s="12">
        <f t="shared" si="9"/>
        <v>6</v>
      </c>
      <c r="AT205" s="12">
        <f t="shared" si="10"/>
        <v>5</v>
      </c>
      <c r="AU205" s="12">
        <f t="shared" si="11"/>
        <v>4</v>
      </c>
      <c r="AV205" s="14">
        <f t="shared" si="12"/>
        <v>1</v>
      </c>
      <c r="AW205" s="14">
        <f t="shared" si="13"/>
        <v>1</v>
      </c>
      <c r="AY205" s="11">
        <f t="shared" si="14"/>
        <v>0.1603613473</v>
      </c>
    </row>
    <row r="206" ht="15.75" customHeight="1">
      <c r="A206" s="15">
        <f t="shared" si="2"/>
        <v>4.935971064</v>
      </c>
      <c r="B206" s="7">
        <f>(sum(AL206:AP206))*'Optimal Choice'!$B$28</f>
        <v>54921.88</v>
      </c>
      <c r="C206" s="11"/>
      <c r="D206" s="12"/>
      <c r="E206" s="12"/>
      <c r="F206" s="11"/>
      <c r="G206" s="11"/>
      <c r="H206" s="11"/>
      <c r="I206" s="11"/>
      <c r="J206" s="11"/>
      <c r="K206" s="11">
        <f>(X206/$B206)+(X206/('Optimal Choice'!$B$4*AS206))</f>
        <v>247.0190094</v>
      </c>
      <c r="L206" s="11">
        <f>(Y206/$B206)+(Y206/('Optimal Choice'!$B$9*AT206))</f>
        <v>281.6088223</v>
      </c>
      <c r="M206" s="11">
        <f>(Z206/$B206)+(Z206/('Optimal Choice'!$B$14*AU206))</f>
        <v>256.6533304</v>
      </c>
      <c r="N206" s="11">
        <f>(AA206/$B206)+(AA206/('Optimal Choice'!$B$19*AV206))</f>
        <v>246.3423482</v>
      </c>
      <c r="O206" s="11">
        <f>(AB206/$B206)+(AB206/('Optimal Choice'!$B$24*AW206))</f>
        <v>273.0640019</v>
      </c>
      <c r="R206" s="12">
        <f t="shared" ref="R206:V206" si="216">if(min($K205:$O205)=K205,R205+1,R205)</f>
        <v>94</v>
      </c>
      <c r="S206" s="12">
        <f t="shared" si="216"/>
        <v>43</v>
      </c>
      <c r="T206" s="12">
        <f t="shared" si="216"/>
        <v>36</v>
      </c>
      <c r="U206" s="12">
        <f t="shared" si="216"/>
        <v>18</v>
      </c>
      <c r="V206" s="12">
        <f t="shared" si="216"/>
        <v>14</v>
      </c>
      <c r="X206" s="13">
        <f> 'Optimal Choice'!$B$5*'Optimal Choice'!$B$6^(R206+1)</f>
        <v>2474.678991</v>
      </c>
      <c r="Y206" s="13">
        <f> 'Optimal Choice'!$B$10*'Optimal Choice'!$B$11^(S206+1)</f>
        <v>28109.70099</v>
      </c>
      <c r="Z206" s="13">
        <f> 'Optimal Choice'!$B$15*'Optimal Choice'!$B$16^(T206+1)</f>
        <v>91793.51405</v>
      </c>
      <c r="AA206" s="13">
        <f> 'Optimal Choice'!$B$20*'Optimal Choice'!$B$21^(U206+1)</f>
        <v>88105.733</v>
      </c>
      <c r="AB206" s="13">
        <f> 'Optimal Choice'!$B$25*'Optimal Choice'!$B$26^(V206+1)</f>
        <v>567499.2979</v>
      </c>
      <c r="AE206" s="12">
        <f t="shared" si="4"/>
        <v>6</v>
      </c>
      <c r="AF206" s="12">
        <f t="shared" si="5"/>
        <v>5</v>
      </c>
      <c r="AG206" s="12">
        <f t="shared" si="6"/>
        <v>4</v>
      </c>
      <c r="AH206" s="14">
        <f t="shared" si="7"/>
        <v>1</v>
      </c>
      <c r="AI206" s="14">
        <f t="shared" si="8"/>
        <v>1</v>
      </c>
      <c r="AL206" s="14">
        <f>R206*'Optimal Choice'!$B$4*AE206</f>
        <v>941.88</v>
      </c>
      <c r="AM206" s="14">
        <f>S206*'Optimal Choice'!$B$9*AF206</f>
        <v>4300</v>
      </c>
      <c r="AN206" s="14">
        <f>T206*'Optimal Choice'!$B$14*AG206</f>
        <v>12960</v>
      </c>
      <c r="AO206" s="14">
        <f>U206*'Optimal Choice'!$B$19*AH206</f>
        <v>6480</v>
      </c>
      <c r="AP206" s="14">
        <f>V206*'Optimal Choice'!$B$24*AI206</f>
        <v>30240</v>
      </c>
      <c r="AS206" s="12">
        <f t="shared" si="9"/>
        <v>6</v>
      </c>
      <c r="AT206" s="12">
        <f t="shared" si="10"/>
        <v>5</v>
      </c>
      <c r="AU206" s="12">
        <f t="shared" si="11"/>
        <v>4</v>
      </c>
      <c r="AV206" s="14">
        <f t="shared" si="12"/>
        <v>1</v>
      </c>
      <c r="AW206" s="14">
        <f t="shared" si="13"/>
        <v>1</v>
      </c>
      <c r="AY206" s="11">
        <f t="shared" si="14"/>
        <v>0.007431101795</v>
      </c>
    </row>
    <row r="207" ht="15.75" customHeight="1">
      <c r="A207" s="15">
        <f t="shared" si="2"/>
        <v>4.962707747</v>
      </c>
      <c r="B207" s="7">
        <f>(sum(AL207:AP207))*'Optimal Choice'!$B$28</f>
        <v>55281.88</v>
      </c>
      <c r="C207" s="11"/>
      <c r="D207" s="12"/>
      <c r="E207" s="12"/>
      <c r="F207" s="11"/>
      <c r="G207" s="11"/>
      <c r="H207" s="11"/>
      <c r="I207" s="11"/>
      <c r="J207" s="11"/>
      <c r="K207" s="11">
        <f>(X207/$B207)+(X207/('Optimal Choice'!$B$4*AS207))</f>
        <v>247.018716</v>
      </c>
      <c r="L207" s="11">
        <f>(Y207/$B207)+(Y207/('Optimal Choice'!$B$9*AT207))</f>
        <v>281.6054894</v>
      </c>
      <c r="M207" s="11">
        <f>(Z207/$B207)+(Z207/('Optimal Choice'!$B$14*AU207))</f>
        <v>256.6424464</v>
      </c>
      <c r="N207" s="11">
        <f>(AA207/$B207)+(AA207/('Optimal Choice'!$B$19*AV207))</f>
        <v>278.3550487</v>
      </c>
      <c r="O207" s="11">
        <f>(AB207/$B207)+(AB207/('Optimal Choice'!$B$24*AW207))</f>
        <v>272.9967136</v>
      </c>
      <c r="R207" s="12">
        <f t="shared" ref="R207:V207" si="217">if(min($K206:$O206)=K206,R206+1,R206)</f>
        <v>94</v>
      </c>
      <c r="S207" s="12">
        <f t="shared" si="217"/>
        <v>43</v>
      </c>
      <c r="T207" s="12">
        <f t="shared" si="217"/>
        <v>36</v>
      </c>
      <c r="U207" s="12">
        <f t="shared" si="217"/>
        <v>19</v>
      </c>
      <c r="V207" s="12">
        <f t="shared" si="217"/>
        <v>14</v>
      </c>
      <c r="X207" s="13">
        <f> 'Optimal Choice'!$B$5*'Optimal Choice'!$B$6^(R207+1)</f>
        <v>2474.678991</v>
      </c>
      <c r="Y207" s="13">
        <f> 'Optimal Choice'!$B$10*'Optimal Choice'!$B$11^(S207+1)</f>
        <v>28109.70099</v>
      </c>
      <c r="Z207" s="13">
        <f> 'Optimal Choice'!$B$15*'Optimal Choice'!$B$16^(T207+1)</f>
        <v>91793.51405</v>
      </c>
      <c r="AA207" s="13">
        <f> 'Optimal Choice'!$B$20*'Optimal Choice'!$B$21^(U207+1)</f>
        <v>99559.47829</v>
      </c>
      <c r="AB207" s="13">
        <f> 'Optimal Choice'!$B$25*'Optimal Choice'!$B$26^(V207+1)</f>
        <v>567499.2979</v>
      </c>
      <c r="AE207" s="12">
        <f t="shared" si="4"/>
        <v>6</v>
      </c>
      <c r="AF207" s="12">
        <f t="shared" si="5"/>
        <v>5</v>
      </c>
      <c r="AG207" s="12">
        <f t="shared" si="6"/>
        <v>4</v>
      </c>
      <c r="AH207" s="14">
        <f t="shared" si="7"/>
        <v>1</v>
      </c>
      <c r="AI207" s="14">
        <f t="shared" si="8"/>
        <v>1</v>
      </c>
      <c r="AL207" s="14">
        <f>R207*'Optimal Choice'!$B$4*AE207</f>
        <v>941.88</v>
      </c>
      <c r="AM207" s="14">
        <f>S207*'Optimal Choice'!$B$9*AF207</f>
        <v>4300</v>
      </c>
      <c r="AN207" s="14">
        <f>T207*'Optimal Choice'!$B$14*AG207</f>
        <v>12960</v>
      </c>
      <c r="AO207" s="14">
        <f>U207*'Optimal Choice'!$B$19*AH207</f>
        <v>6840</v>
      </c>
      <c r="AP207" s="14">
        <f>V207*'Optimal Choice'!$B$24*AI207</f>
        <v>30240</v>
      </c>
      <c r="AS207" s="12">
        <f t="shared" si="9"/>
        <v>6</v>
      </c>
      <c r="AT207" s="12">
        <f t="shared" si="10"/>
        <v>5</v>
      </c>
      <c r="AU207" s="12">
        <f t="shared" si="11"/>
        <v>4</v>
      </c>
      <c r="AV207" s="14">
        <f t="shared" si="12"/>
        <v>1</v>
      </c>
      <c r="AW207" s="14">
        <f t="shared" si="13"/>
        <v>1</v>
      </c>
      <c r="AY207" s="11">
        <f t="shared" si="14"/>
        <v>0.02673668278</v>
      </c>
    </row>
    <row r="208" ht="15.75" customHeight="1">
      <c r="A208" s="15">
        <f t="shared" si="2"/>
        <v>4.963453826</v>
      </c>
      <c r="B208" s="7">
        <f>(sum(AL208:AP208))*'Optimal Choice'!$B$28</f>
        <v>55291.9</v>
      </c>
      <c r="C208" s="11"/>
      <c r="D208" s="12"/>
      <c r="E208" s="12"/>
      <c r="F208" s="11"/>
      <c r="G208" s="11"/>
      <c r="H208" s="11"/>
      <c r="I208" s="11"/>
      <c r="J208" s="11"/>
      <c r="K208" s="11">
        <f>(X208/$B208)+(X208/('Optimal Choice'!$B$4*AS208))</f>
        <v>264.3100174</v>
      </c>
      <c r="L208" s="11">
        <f>(Y208/$B208)+(Y208/('Optimal Choice'!$B$9*AT208))</f>
        <v>281.6053972</v>
      </c>
      <c r="M208" s="11">
        <f>(Z208/$B208)+(Z208/('Optimal Choice'!$B$14*AU208))</f>
        <v>256.6421455</v>
      </c>
      <c r="N208" s="11">
        <f>(AA208/$B208)+(AA208/('Optimal Choice'!$B$19*AV208))</f>
        <v>278.3547223</v>
      </c>
      <c r="O208" s="11">
        <f>(AB208/$B208)+(AB208/('Optimal Choice'!$B$24*AW208))</f>
        <v>272.9948533</v>
      </c>
      <c r="R208" s="12">
        <f t="shared" ref="R208:V208" si="218">if(min($K207:$O207)=K207,R207+1,R207)</f>
        <v>95</v>
      </c>
      <c r="S208" s="12">
        <f t="shared" si="218"/>
        <v>43</v>
      </c>
      <c r="T208" s="12">
        <f t="shared" si="218"/>
        <v>36</v>
      </c>
      <c r="U208" s="12">
        <f t="shared" si="218"/>
        <v>19</v>
      </c>
      <c r="V208" s="12">
        <f t="shared" si="218"/>
        <v>14</v>
      </c>
      <c r="X208" s="13">
        <f> 'Optimal Choice'!$B$5*'Optimal Choice'!$B$6^(R208+1)</f>
        <v>2647.906521</v>
      </c>
      <c r="Y208" s="13">
        <f> 'Optimal Choice'!$B$10*'Optimal Choice'!$B$11^(S208+1)</f>
        <v>28109.70099</v>
      </c>
      <c r="Z208" s="13">
        <f> 'Optimal Choice'!$B$15*'Optimal Choice'!$B$16^(T208+1)</f>
        <v>91793.51405</v>
      </c>
      <c r="AA208" s="13">
        <f> 'Optimal Choice'!$B$20*'Optimal Choice'!$B$21^(U208+1)</f>
        <v>99559.47829</v>
      </c>
      <c r="AB208" s="13">
        <f> 'Optimal Choice'!$B$25*'Optimal Choice'!$B$26^(V208+1)</f>
        <v>567499.2979</v>
      </c>
      <c r="AE208" s="12">
        <f t="shared" si="4"/>
        <v>6</v>
      </c>
      <c r="AF208" s="12">
        <f t="shared" si="5"/>
        <v>5</v>
      </c>
      <c r="AG208" s="12">
        <f t="shared" si="6"/>
        <v>4</v>
      </c>
      <c r="AH208" s="14">
        <f t="shared" si="7"/>
        <v>1</v>
      </c>
      <c r="AI208" s="14">
        <f t="shared" si="8"/>
        <v>1</v>
      </c>
      <c r="AL208" s="14">
        <f>R208*'Optimal Choice'!$B$4*AE208</f>
        <v>951.9</v>
      </c>
      <c r="AM208" s="14">
        <f>S208*'Optimal Choice'!$B$9*AF208</f>
        <v>4300</v>
      </c>
      <c r="AN208" s="14">
        <f>T208*'Optimal Choice'!$B$14*AG208</f>
        <v>12960</v>
      </c>
      <c r="AO208" s="14">
        <f>U208*'Optimal Choice'!$B$19*AH208</f>
        <v>6840</v>
      </c>
      <c r="AP208" s="14">
        <f>V208*'Optimal Choice'!$B$24*AI208</f>
        <v>30240</v>
      </c>
      <c r="AS208" s="12">
        <f t="shared" si="9"/>
        <v>6</v>
      </c>
      <c r="AT208" s="12">
        <f t="shared" si="10"/>
        <v>5</v>
      </c>
      <c r="AU208" s="12">
        <f t="shared" si="11"/>
        <v>4</v>
      </c>
      <c r="AV208" s="14">
        <f t="shared" si="12"/>
        <v>1</v>
      </c>
      <c r="AW208" s="14">
        <f t="shared" si="13"/>
        <v>1</v>
      </c>
      <c r="AY208" s="11">
        <f t="shared" si="14"/>
        <v>0.0007460790019</v>
      </c>
    </row>
    <row r="209" ht="15.75" customHeight="1">
      <c r="A209" s="15">
        <f t="shared" si="2"/>
        <v>4.991123193</v>
      </c>
      <c r="B209" s="7">
        <f>(sum(AL209:AP209))*'Optimal Choice'!$B$28</f>
        <v>55651.9</v>
      </c>
      <c r="C209" s="11"/>
      <c r="D209" s="12"/>
      <c r="E209" s="12"/>
      <c r="F209" s="11"/>
      <c r="G209" s="11"/>
      <c r="H209" s="11"/>
      <c r="I209" s="11"/>
      <c r="J209" s="11"/>
      <c r="K209" s="11">
        <f>(X209/$B209)+(X209/('Optimal Choice'!$B$4*AS209))</f>
        <v>264.3097076</v>
      </c>
      <c r="L209" s="11">
        <f>(Y209/$B209)+(Y209/('Optimal Choice'!$B$9*AT209))</f>
        <v>281.6021086</v>
      </c>
      <c r="M209" s="11">
        <f>(Z209/$B209)+(Z209/('Optimal Choice'!$B$14*AU209))</f>
        <v>292.5598032</v>
      </c>
      <c r="N209" s="11">
        <f>(AA209/$B209)+(AA209/('Optimal Choice'!$B$19*AV209))</f>
        <v>278.3430745</v>
      </c>
      <c r="O209" s="11">
        <f>(AB209/$B209)+(AB209/('Optimal Choice'!$B$24*AW209))</f>
        <v>272.9284596</v>
      </c>
      <c r="R209" s="12">
        <f t="shared" ref="R209:V209" si="219">if(min($K208:$O208)=K208,R208+1,R208)</f>
        <v>95</v>
      </c>
      <c r="S209" s="12">
        <f t="shared" si="219"/>
        <v>43</v>
      </c>
      <c r="T209" s="12">
        <f t="shared" si="219"/>
        <v>37</v>
      </c>
      <c r="U209" s="12">
        <f t="shared" si="219"/>
        <v>19</v>
      </c>
      <c r="V209" s="12">
        <f t="shared" si="219"/>
        <v>14</v>
      </c>
      <c r="X209" s="13">
        <f> 'Optimal Choice'!$B$5*'Optimal Choice'!$B$6^(R209+1)</f>
        <v>2647.906521</v>
      </c>
      <c r="Y209" s="13">
        <f> 'Optimal Choice'!$B$10*'Optimal Choice'!$B$11^(S209+1)</f>
        <v>28109.70099</v>
      </c>
      <c r="Z209" s="13">
        <f> 'Optimal Choice'!$B$15*'Optimal Choice'!$B$16^(T209+1)</f>
        <v>104644.606</v>
      </c>
      <c r="AA209" s="13">
        <f> 'Optimal Choice'!$B$20*'Optimal Choice'!$B$21^(U209+1)</f>
        <v>99559.47829</v>
      </c>
      <c r="AB209" s="13">
        <f> 'Optimal Choice'!$B$25*'Optimal Choice'!$B$26^(V209+1)</f>
        <v>567499.2979</v>
      </c>
      <c r="AE209" s="12">
        <f t="shared" si="4"/>
        <v>6</v>
      </c>
      <c r="AF209" s="12">
        <f t="shared" si="5"/>
        <v>5</v>
      </c>
      <c r="AG209" s="12">
        <f t="shared" si="6"/>
        <v>4</v>
      </c>
      <c r="AH209" s="14">
        <f t="shared" si="7"/>
        <v>1</v>
      </c>
      <c r="AI209" s="14">
        <f t="shared" si="8"/>
        <v>1</v>
      </c>
      <c r="AL209" s="14">
        <f>R209*'Optimal Choice'!$B$4*AE209</f>
        <v>951.9</v>
      </c>
      <c r="AM209" s="14">
        <f>S209*'Optimal Choice'!$B$9*AF209</f>
        <v>4300</v>
      </c>
      <c r="AN209" s="14">
        <f>T209*'Optimal Choice'!$B$14*AG209</f>
        <v>13320</v>
      </c>
      <c r="AO209" s="14">
        <f>U209*'Optimal Choice'!$B$19*AH209</f>
        <v>6840</v>
      </c>
      <c r="AP209" s="14">
        <f>V209*'Optimal Choice'!$B$24*AI209</f>
        <v>30240</v>
      </c>
      <c r="AS209" s="12">
        <f t="shared" si="9"/>
        <v>6</v>
      </c>
      <c r="AT209" s="12">
        <f t="shared" si="10"/>
        <v>5</v>
      </c>
      <c r="AU209" s="12">
        <f t="shared" si="11"/>
        <v>4</v>
      </c>
      <c r="AV209" s="14">
        <f t="shared" si="12"/>
        <v>1</v>
      </c>
      <c r="AW209" s="14">
        <f t="shared" si="13"/>
        <v>1</v>
      </c>
      <c r="AY209" s="11">
        <f t="shared" si="14"/>
        <v>0.0276693675</v>
      </c>
    </row>
    <row r="210" ht="15.75" customHeight="1">
      <c r="A210" s="15">
        <f t="shared" si="2"/>
        <v>4.99191619</v>
      </c>
      <c r="B210" s="7">
        <f>(sum(AL210:AP210))*'Optimal Choice'!$B$28</f>
        <v>55661.92</v>
      </c>
      <c r="C210" s="11"/>
      <c r="D210" s="12"/>
      <c r="E210" s="12"/>
      <c r="F210" s="11"/>
      <c r="G210" s="11"/>
      <c r="H210" s="11"/>
      <c r="I210" s="11"/>
      <c r="J210" s="11"/>
      <c r="K210" s="11">
        <f>(X210/$B210)+(X210/('Optimal Choice'!$B$4*AS210))</f>
        <v>282.811378</v>
      </c>
      <c r="L210" s="11">
        <f>(Y210/$B210)+(Y210/('Optimal Choice'!$B$9*AT210))</f>
        <v>281.6020177</v>
      </c>
      <c r="M210" s="11">
        <f>(Z210/$B210)+(Z210/('Optimal Choice'!$B$14*AU210))</f>
        <v>292.5594647</v>
      </c>
      <c r="N210" s="11">
        <f>(AA210/$B210)+(AA210/('Optimal Choice'!$B$19*AV210))</f>
        <v>278.3427525</v>
      </c>
      <c r="O210" s="11">
        <f>(AB210/$B210)+(AB210/('Optimal Choice'!$B$24*AW210))</f>
        <v>272.926624</v>
      </c>
      <c r="R210" s="12">
        <f t="shared" ref="R210:V210" si="220">if(min($K209:$O209)=K209,R209+1,R209)</f>
        <v>96</v>
      </c>
      <c r="S210" s="12">
        <f t="shared" si="220"/>
        <v>43</v>
      </c>
      <c r="T210" s="12">
        <f t="shared" si="220"/>
        <v>37</v>
      </c>
      <c r="U210" s="12">
        <f t="shared" si="220"/>
        <v>19</v>
      </c>
      <c r="V210" s="12">
        <f t="shared" si="220"/>
        <v>14</v>
      </c>
      <c r="X210" s="13">
        <f> 'Optimal Choice'!$B$5*'Optimal Choice'!$B$6^(R210+1)</f>
        <v>2833.259977</v>
      </c>
      <c r="Y210" s="13">
        <f> 'Optimal Choice'!$B$10*'Optimal Choice'!$B$11^(S210+1)</f>
        <v>28109.70099</v>
      </c>
      <c r="Z210" s="13">
        <f> 'Optimal Choice'!$B$15*'Optimal Choice'!$B$16^(T210+1)</f>
        <v>104644.606</v>
      </c>
      <c r="AA210" s="13">
        <f> 'Optimal Choice'!$B$20*'Optimal Choice'!$B$21^(U210+1)</f>
        <v>99559.47829</v>
      </c>
      <c r="AB210" s="13">
        <f> 'Optimal Choice'!$B$25*'Optimal Choice'!$B$26^(V210+1)</f>
        <v>567499.2979</v>
      </c>
      <c r="AE210" s="12">
        <f t="shared" si="4"/>
        <v>6</v>
      </c>
      <c r="AF210" s="12">
        <f t="shared" si="5"/>
        <v>5</v>
      </c>
      <c r="AG210" s="12">
        <f t="shared" si="6"/>
        <v>4</v>
      </c>
      <c r="AH210" s="14">
        <f t="shared" si="7"/>
        <v>1</v>
      </c>
      <c r="AI210" s="14">
        <f t="shared" si="8"/>
        <v>1</v>
      </c>
      <c r="AL210" s="14">
        <f>R210*'Optimal Choice'!$B$4*AE210</f>
        <v>961.92</v>
      </c>
      <c r="AM210" s="14">
        <f>S210*'Optimal Choice'!$B$9*AF210</f>
        <v>4300</v>
      </c>
      <c r="AN210" s="14">
        <f>T210*'Optimal Choice'!$B$14*AG210</f>
        <v>13320</v>
      </c>
      <c r="AO210" s="14">
        <f>U210*'Optimal Choice'!$B$19*AH210</f>
        <v>6840</v>
      </c>
      <c r="AP210" s="14">
        <f>V210*'Optimal Choice'!$B$24*AI210</f>
        <v>30240</v>
      </c>
      <c r="AS210" s="12">
        <f t="shared" si="9"/>
        <v>6</v>
      </c>
      <c r="AT210" s="12">
        <f t="shared" si="10"/>
        <v>5</v>
      </c>
      <c r="AU210" s="12">
        <f t="shared" si="11"/>
        <v>4</v>
      </c>
      <c r="AV210" s="14">
        <f t="shared" si="12"/>
        <v>1</v>
      </c>
      <c r="AW210" s="14">
        <f t="shared" si="13"/>
        <v>1</v>
      </c>
      <c r="AY210" s="11">
        <f t="shared" si="14"/>
        <v>0.0007929967413</v>
      </c>
    </row>
    <row r="211" ht="15.75" customHeight="1">
      <c r="A211" s="15">
        <f t="shared" si="2"/>
        <v>5.161840649</v>
      </c>
      <c r="B211" s="7">
        <f>(sum(AL211:AP211))*'Optimal Choice'!$B$28</f>
        <v>57821.92</v>
      </c>
      <c r="C211" s="11"/>
      <c r="D211" s="12"/>
      <c r="E211" s="12"/>
      <c r="F211" s="11"/>
      <c r="G211" s="11"/>
      <c r="H211" s="11"/>
      <c r="I211" s="11"/>
      <c r="J211" s="11"/>
      <c r="K211" s="11">
        <f>(X211/$B211)+(X211/('Optimal Choice'!$B$4*AS211))</f>
        <v>282.8094765</v>
      </c>
      <c r="L211" s="11">
        <f>(Y211/$B211)+(Y211/('Optimal Choice'!$B$9*AT211))</f>
        <v>281.5831525</v>
      </c>
      <c r="M211" s="11">
        <f>(Z211/$B211)+(Z211/('Optimal Choice'!$B$14*AU211))</f>
        <v>292.4892351</v>
      </c>
      <c r="N211" s="11">
        <f>(AA211/$B211)+(AA211/('Optimal Choice'!$B$19*AV211))</f>
        <v>278.2759357</v>
      </c>
      <c r="O211" s="11">
        <f>(AB211/$B211)+(AB211/('Optimal Choice'!$B$24*AW211))</f>
        <v>305.2512527</v>
      </c>
      <c r="R211" s="12">
        <f t="shared" ref="R211:V211" si="221">if(min($K210:$O210)=K210,R210+1,R210)</f>
        <v>96</v>
      </c>
      <c r="S211" s="12">
        <f t="shared" si="221"/>
        <v>43</v>
      </c>
      <c r="T211" s="12">
        <f t="shared" si="221"/>
        <v>37</v>
      </c>
      <c r="U211" s="12">
        <f t="shared" si="221"/>
        <v>19</v>
      </c>
      <c r="V211" s="12">
        <f t="shared" si="221"/>
        <v>15</v>
      </c>
      <c r="X211" s="13">
        <f> 'Optimal Choice'!$B$5*'Optimal Choice'!$B$6^(R211+1)</f>
        <v>2833.259977</v>
      </c>
      <c r="Y211" s="13">
        <f> 'Optimal Choice'!$B$10*'Optimal Choice'!$B$11^(S211+1)</f>
        <v>28109.70099</v>
      </c>
      <c r="Z211" s="13">
        <f> 'Optimal Choice'!$B$15*'Optimal Choice'!$B$16^(T211+1)</f>
        <v>104644.606</v>
      </c>
      <c r="AA211" s="13">
        <f> 'Optimal Choice'!$B$20*'Optimal Choice'!$B$21^(U211+1)</f>
        <v>99559.47829</v>
      </c>
      <c r="AB211" s="13">
        <f> 'Optimal Choice'!$B$25*'Optimal Choice'!$B$26^(V211+1)</f>
        <v>635599.2137</v>
      </c>
      <c r="AE211" s="12">
        <f t="shared" si="4"/>
        <v>6</v>
      </c>
      <c r="AF211" s="12">
        <f t="shared" si="5"/>
        <v>5</v>
      </c>
      <c r="AG211" s="12">
        <f t="shared" si="6"/>
        <v>4</v>
      </c>
      <c r="AH211" s="14">
        <f t="shared" si="7"/>
        <v>1</v>
      </c>
      <c r="AI211" s="14">
        <f t="shared" si="8"/>
        <v>1</v>
      </c>
      <c r="AL211" s="14">
        <f>R211*'Optimal Choice'!$B$4*AE211</f>
        <v>961.92</v>
      </c>
      <c r="AM211" s="14">
        <f>S211*'Optimal Choice'!$B$9*AF211</f>
        <v>4300</v>
      </c>
      <c r="AN211" s="14">
        <f>T211*'Optimal Choice'!$B$14*AG211</f>
        <v>13320</v>
      </c>
      <c r="AO211" s="14">
        <f>U211*'Optimal Choice'!$B$19*AH211</f>
        <v>6840</v>
      </c>
      <c r="AP211" s="14">
        <f>V211*'Optimal Choice'!$B$24*AI211</f>
        <v>32400</v>
      </c>
      <c r="AS211" s="12">
        <f t="shared" si="9"/>
        <v>6</v>
      </c>
      <c r="AT211" s="12">
        <f t="shared" si="10"/>
        <v>5</v>
      </c>
      <c r="AU211" s="12">
        <f t="shared" si="11"/>
        <v>4</v>
      </c>
      <c r="AV211" s="14">
        <f t="shared" si="12"/>
        <v>1</v>
      </c>
      <c r="AW211" s="14">
        <f t="shared" si="13"/>
        <v>1</v>
      </c>
      <c r="AY211" s="11">
        <f t="shared" si="14"/>
        <v>0.1699244588</v>
      </c>
    </row>
    <row r="212" ht="15.75" customHeight="1">
      <c r="A212" s="15">
        <f t="shared" si="2"/>
        <v>5.190537804</v>
      </c>
      <c r="B212" s="7">
        <f>(sum(AL212:AP212))*'Optimal Choice'!$B$28</f>
        <v>58181.92</v>
      </c>
      <c r="C212" s="11"/>
      <c r="D212" s="12"/>
      <c r="E212" s="12"/>
      <c r="F212" s="11"/>
      <c r="G212" s="11"/>
      <c r="H212" s="11"/>
      <c r="I212" s="11"/>
      <c r="J212" s="11"/>
      <c r="K212" s="11">
        <f>(X212/$B212)+(X212/('Optimal Choice'!$B$4*AS212))</f>
        <v>282.8091733</v>
      </c>
      <c r="L212" s="11">
        <f>(Y212/$B212)+(Y212/('Optimal Choice'!$B$9*AT212))</f>
        <v>281.5801445</v>
      </c>
      <c r="M212" s="11">
        <f>(Z212/$B212)+(Z212/('Optimal Choice'!$B$14*AU212))</f>
        <v>292.4780372</v>
      </c>
      <c r="N212" s="11">
        <f>(AA212/$B212)+(AA212/('Optimal Choice'!$B$19*AV212))</f>
        <v>314.4397685</v>
      </c>
      <c r="O212" s="11">
        <f>(AB212/$B212)+(AB212/('Optimal Choice'!$B$24*AW212))</f>
        <v>305.1832376</v>
      </c>
      <c r="R212" s="12">
        <f t="shared" ref="R212:V212" si="222">if(min($K211:$O211)=K211,R211+1,R211)</f>
        <v>96</v>
      </c>
      <c r="S212" s="12">
        <f t="shared" si="222"/>
        <v>43</v>
      </c>
      <c r="T212" s="12">
        <f t="shared" si="222"/>
        <v>37</v>
      </c>
      <c r="U212" s="12">
        <f t="shared" si="222"/>
        <v>20</v>
      </c>
      <c r="V212" s="12">
        <f t="shared" si="222"/>
        <v>15</v>
      </c>
      <c r="X212" s="13">
        <f> 'Optimal Choice'!$B$5*'Optimal Choice'!$B$6^(R212+1)</f>
        <v>2833.259977</v>
      </c>
      <c r="Y212" s="13">
        <f> 'Optimal Choice'!$B$10*'Optimal Choice'!$B$11^(S212+1)</f>
        <v>28109.70099</v>
      </c>
      <c r="Z212" s="13">
        <f> 'Optimal Choice'!$B$15*'Optimal Choice'!$B$16^(T212+1)</f>
        <v>104644.606</v>
      </c>
      <c r="AA212" s="13">
        <f> 'Optimal Choice'!$B$20*'Optimal Choice'!$B$21^(U212+1)</f>
        <v>112502.2105</v>
      </c>
      <c r="AB212" s="13">
        <f> 'Optimal Choice'!$B$25*'Optimal Choice'!$B$26^(V212+1)</f>
        <v>635599.2137</v>
      </c>
      <c r="AE212" s="12">
        <f t="shared" si="4"/>
        <v>6</v>
      </c>
      <c r="AF212" s="12">
        <f t="shared" si="5"/>
        <v>5</v>
      </c>
      <c r="AG212" s="12">
        <f t="shared" si="6"/>
        <v>4</v>
      </c>
      <c r="AH212" s="14">
        <f t="shared" si="7"/>
        <v>1</v>
      </c>
      <c r="AI212" s="14">
        <f t="shared" si="8"/>
        <v>1</v>
      </c>
      <c r="AL212" s="14">
        <f>R212*'Optimal Choice'!$B$4*AE212</f>
        <v>961.92</v>
      </c>
      <c r="AM212" s="14">
        <f>S212*'Optimal Choice'!$B$9*AF212</f>
        <v>4300</v>
      </c>
      <c r="AN212" s="14">
        <f>T212*'Optimal Choice'!$B$14*AG212</f>
        <v>13320</v>
      </c>
      <c r="AO212" s="14">
        <f>U212*'Optimal Choice'!$B$19*AH212</f>
        <v>7200</v>
      </c>
      <c r="AP212" s="14">
        <f>V212*'Optimal Choice'!$B$24*AI212</f>
        <v>32400</v>
      </c>
      <c r="AS212" s="12">
        <f t="shared" si="9"/>
        <v>6</v>
      </c>
      <c r="AT212" s="12">
        <f t="shared" si="10"/>
        <v>5</v>
      </c>
      <c r="AU212" s="12">
        <f t="shared" si="11"/>
        <v>4</v>
      </c>
      <c r="AV212" s="14">
        <f t="shared" si="12"/>
        <v>1</v>
      </c>
      <c r="AW212" s="14">
        <f t="shared" si="13"/>
        <v>1</v>
      </c>
      <c r="AY212" s="11">
        <f t="shared" si="14"/>
        <v>0.02869715565</v>
      </c>
    </row>
    <row r="213" ht="15.75" customHeight="1">
      <c r="A213" s="15">
        <f t="shared" si="2"/>
        <v>5.198590048</v>
      </c>
      <c r="B213" s="7">
        <f>(sum(AL213:AP213))*'Optimal Choice'!$B$28</f>
        <v>58281.92</v>
      </c>
      <c r="C213" s="11"/>
      <c r="D213" s="12"/>
      <c r="E213" s="12"/>
      <c r="F213" s="11"/>
      <c r="G213" s="11"/>
      <c r="H213" s="11"/>
      <c r="I213" s="11"/>
      <c r="J213" s="11"/>
      <c r="K213" s="11">
        <f>(X213/$B213)+(X213/('Optimal Choice'!$B$4*AS213))</f>
        <v>282.8090898</v>
      </c>
      <c r="L213" s="11">
        <f>(Y213/$B213)+(Y213/('Optimal Choice'!$B$9*AT213))</f>
        <v>323.8162129</v>
      </c>
      <c r="M213" s="11">
        <f>(Z213/$B213)+(Z213/('Optimal Choice'!$B$14*AU213))</f>
        <v>292.4749512</v>
      </c>
      <c r="N213" s="11">
        <f>(AA213/$B213)+(AA213/('Optimal Choice'!$B$19*AV213))</f>
        <v>314.4364508</v>
      </c>
      <c r="O213" s="11">
        <f>(AB213/$B213)+(AB213/('Optimal Choice'!$B$24*AW213))</f>
        <v>305.1644936</v>
      </c>
      <c r="R213" s="12">
        <f t="shared" ref="R213:V213" si="223">if(min($K212:$O212)=K212,R212+1,R212)</f>
        <v>96</v>
      </c>
      <c r="S213" s="12">
        <f t="shared" si="223"/>
        <v>44</v>
      </c>
      <c r="T213" s="12">
        <f t="shared" si="223"/>
        <v>37</v>
      </c>
      <c r="U213" s="12">
        <f t="shared" si="223"/>
        <v>20</v>
      </c>
      <c r="V213" s="12">
        <f t="shared" si="223"/>
        <v>15</v>
      </c>
      <c r="X213" s="13">
        <f> 'Optimal Choice'!$B$5*'Optimal Choice'!$B$6^(R213+1)</f>
        <v>2833.259977</v>
      </c>
      <c r="Y213" s="13">
        <f> 'Optimal Choice'!$B$10*'Optimal Choice'!$B$11^(S213+1)</f>
        <v>32326.15614</v>
      </c>
      <c r="Z213" s="13">
        <f> 'Optimal Choice'!$B$15*'Optimal Choice'!$B$16^(T213+1)</f>
        <v>104644.606</v>
      </c>
      <c r="AA213" s="13">
        <f> 'Optimal Choice'!$B$20*'Optimal Choice'!$B$21^(U213+1)</f>
        <v>112502.2105</v>
      </c>
      <c r="AB213" s="13">
        <f> 'Optimal Choice'!$B$25*'Optimal Choice'!$B$26^(V213+1)</f>
        <v>635599.2137</v>
      </c>
      <c r="AE213" s="12">
        <f t="shared" si="4"/>
        <v>6</v>
      </c>
      <c r="AF213" s="12">
        <f t="shared" si="5"/>
        <v>5</v>
      </c>
      <c r="AG213" s="12">
        <f t="shared" si="6"/>
        <v>4</v>
      </c>
      <c r="AH213" s="14">
        <f t="shared" si="7"/>
        <v>1</v>
      </c>
      <c r="AI213" s="14">
        <f t="shared" si="8"/>
        <v>1</v>
      </c>
      <c r="AL213" s="14">
        <f>R213*'Optimal Choice'!$B$4*AE213</f>
        <v>961.92</v>
      </c>
      <c r="AM213" s="14">
        <f>S213*'Optimal Choice'!$B$9*AF213</f>
        <v>4400</v>
      </c>
      <c r="AN213" s="14">
        <f>T213*'Optimal Choice'!$B$14*AG213</f>
        <v>13320</v>
      </c>
      <c r="AO213" s="14">
        <f>U213*'Optimal Choice'!$B$19*AH213</f>
        <v>7200</v>
      </c>
      <c r="AP213" s="14">
        <f>V213*'Optimal Choice'!$B$24*AI213</f>
        <v>32400</v>
      </c>
      <c r="AS213" s="12">
        <f t="shared" si="9"/>
        <v>6</v>
      </c>
      <c r="AT213" s="12">
        <f t="shared" si="10"/>
        <v>5</v>
      </c>
      <c r="AU213" s="12">
        <f t="shared" si="11"/>
        <v>4</v>
      </c>
      <c r="AV213" s="14">
        <f t="shared" si="12"/>
        <v>1</v>
      </c>
      <c r="AW213" s="14">
        <f t="shared" si="13"/>
        <v>1</v>
      </c>
      <c r="AY213" s="11">
        <f t="shared" si="14"/>
        <v>0.008052244005</v>
      </c>
    </row>
    <row r="214" ht="15.75" customHeight="1">
      <c r="A214" s="15">
        <f t="shared" si="2"/>
        <v>5.199400265</v>
      </c>
      <c r="B214" s="7">
        <f>(sum(AL214:AP214))*'Optimal Choice'!$B$28</f>
        <v>58291.94</v>
      </c>
      <c r="C214" s="11"/>
      <c r="D214" s="12"/>
      <c r="E214" s="12"/>
      <c r="F214" s="11"/>
      <c r="G214" s="11"/>
      <c r="H214" s="11"/>
      <c r="I214" s="11"/>
      <c r="J214" s="11"/>
      <c r="K214" s="11">
        <f>(X214/$B214)+(X214/('Optimal Choice'!$B$4*AS214))</f>
        <v>302.6057171</v>
      </c>
      <c r="L214" s="11">
        <f>(Y214/$B214)+(Y214/('Optimal Choice'!$B$9*AT214))</f>
        <v>323.8161176</v>
      </c>
      <c r="M214" s="11">
        <f>(Z214/$B214)+(Z214/('Optimal Choice'!$B$14*AU214))</f>
        <v>292.4746425</v>
      </c>
      <c r="N214" s="11">
        <f>(AA214/$B214)+(AA214/('Optimal Choice'!$B$19*AV214))</f>
        <v>314.436119</v>
      </c>
      <c r="O214" s="11">
        <f>(AB214/$B214)+(AB214/('Optimal Choice'!$B$24*AW214))</f>
        <v>305.162619</v>
      </c>
      <c r="R214" s="12">
        <f t="shared" ref="R214:V214" si="224">if(min($K213:$O213)=K213,R213+1,R213)</f>
        <v>97</v>
      </c>
      <c r="S214" s="12">
        <f t="shared" si="224"/>
        <v>44</v>
      </c>
      <c r="T214" s="12">
        <f t="shared" si="224"/>
        <v>37</v>
      </c>
      <c r="U214" s="12">
        <f t="shared" si="224"/>
        <v>20</v>
      </c>
      <c r="V214" s="12">
        <f t="shared" si="224"/>
        <v>15</v>
      </c>
      <c r="X214" s="13">
        <f> 'Optimal Choice'!$B$5*'Optimal Choice'!$B$6^(R214+1)</f>
        <v>3031.588176</v>
      </c>
      <c r="Y214" s="13">
        <f> 'Optimal Choice'!$B$10*'Optimal Choice'!$B$11^(S214+1)</f>
        <v>32326.15614</v>
      </c>
      <c r="Z214" s="13">
        <f> 'Optimal Choice'!$B$15*'Optimal Choice'!$B$16^(T214+1)</f>
        <v>104644.606</v>
      </c>
      <c r="AA214" s="13">
        <f> 'Optimal Choice'!$B$20*'Optimal Choice'!$B$21^(U214+1)</f>
        <v>112502.2105</v>
      </c>
      <c r="AB214" s="13">
        <f> 'Optimal Choice'!$B$25*'Optimal Choice'!$B$26^(V214+1)</f>
        <v>635599.2137</v>
      </c>
      <c r="AE214" s="12">
        <f t="shared" si="4"/>
        <v>6</v>
      </c>
      <c r="AF214" s="12">
        <f t="shared" si="5"/>
        <v>5</v>
      </c>
      <c r="AG214" s="12">
        <f t="shared" si="6"/>
        <v>4</v>
      </c>
      <c r="AH214" s="14">
        <f t="shared" si="7"/>
        <v>1</v>
      </c>
      <c r="AI214" s="14">
        <f t="shared" si="8"/>
        <v>1</v>
      </c>
      <c r="AL214" s="14">
        <f>R214*'Optimal Choice'!$B$4*AE214</f>
        <v>971.94</v>
      </c>
      <c r="AM214" s="14">
        <f>S214*'Optimal Choice'!$B$9*AF214</f>
        <v>4400</v>
      </c>
      <c r="AN214" s="14">
        <f>T214*'Optimal Choice'!$B$14*AG214</f>
        <v>13320</v>
      </c>
      <c r="AO214" s="14">
        <f>U214*'Optimal Choice'!$B$19*AH214</f>
        <v>7200</v>
      </c>
      <c r="AP214" s="14">
        <f>V214*'Optimal Choice'!$B$24*AI214</f>
        <v>32400</v>
      </c>
      <c r="AS214" s="12">
        <f t="shared" si="9"/>
        <v>6</v>
      </c>
      <c r="AT214" s="12">
        <f t="shared" si="10"/>
        <v>5</v>
      </c>
      <c r="AU214" s="12">
        <f t="shared" si="11"/>
        <v>4</v>
      </c>
      <c r="AV214" s="14">
        <f t="shared" si="12"/>
        <v>1</v>
      </c>
      <c r="AW214" s="14">
        <f t="shared" si="13"/>
        <v>1</v>
      </c>
      <c r="AY214" s="11">
        <f t="shared" si="14"/>
        <v>0.0008102169527</v>
      </c>
    </row>
    <row r="215" ht="15.75" customHeight="1">
      <c r="A215" s="15">
        <f t="shared" si="2"/>
        <v>5.229319955</v>
      </c>
      <c r="B215" s="7">
        <f>(sum(AL215:AP215))*'Optimal Choice'!$B$28</f>
        <v>58651.94</v>
      </c>
      <c r="C215" s="11"/>
      <c r="D215" s="12"/>
      <c r="E215" s="12"/>
      <c r="F215" s="11"/>
      <c r="G215" s="11"/>
      <c r="H215" s="11"/>
      <c r="I215" s="11"/>
      <c r="J215" s="11"/>
      <c r="K215" s="11">
        <f>(X215/$B215)+(X215/('Optimal Choice'!$B$4*AS215))</f>
        <v>302.6053979</v>
      </c>
      <c r="L215" s="11">
        <f>(Y215/$B215)+(Y215/('Optimal Choice'!$B$9*AT215))</f>
        <v>323.8127138</v>
      </c>
      <c r="M215" s="11">
        <f>(Z215/$B215)+(Z215/('Optimal Choice'!$B$14*AU215))</f>
        <v>333.4085312</v>
      </c>
      <c r="N215" s="11">
        <f>(AA215/$B215)+(AA215/('Optimal Choice'!$B$19*AV215))</f>
        <v>314.424273</v>
      </c>
      <c r="O215" s="11">
        <f>(AB215/$B215)+(AB215/('Optimal Choice'!$B$24*AW215))</f>
        <v>305.095693</v>
      </c>
      <c r="R215" s="12">
        <f t="shared" ref="R215:V215" si="225">if(min($K214:$O214)=K214,R214+1,R214)</f>
        <v>97</v>
      </c>
      <c r="S215" s="12">
        <f t="shared" si="225"/>
        <v>44</v>
      </c>
      <c r="T215" s="12">
        <f t="shared" si="225"/>
        <v>38</v>
      </c>
      <c r="U215" s="12">
        <f t="shared" si="225"/>
        <v>20</v>
      </c>
      <c r="V215" s="12">
        <f t="shared" si="225"/>
        <v>15</v>
      </c>
      <c r="X215" s="13">
        <f> 'Optimal Choice'!$B$5*'Optimal Choice'!$B$6^(R215+1)</f>
        <v>3031.588176</v>
      </c>
      <c r="Y215" s="13">
        <f> 'Optimal Choice'!$B$10*'Optimal Choice'!$B$11^(S215+1)</f>
        <v>32326.15614</v>
      </c>
      <c r="Z215" s="13">
        <f> 'Optimal Choice'!$B$15*'Optimal Choice'!$B$16^(T215+1)</f>
        <v>119294.8509</v>
      </c>
      <c r="AA215" s="13">
        <f> 'Optimal Choice'!$B$20*'Optimal Choice'!$B$21^(U215+1)</f>
        <v>112502.2105</v>
      </c>
      <c r="AB215" s="13">
        <f> 'Optimal Choice'!$B$25*'Optimal Choice'!$B$26^(V215+1)</f>
        <v>635599.2137</v>
      </c>
      <c r="AE215" s="12">
        <f t="shared" si="4"/>
        <v>6</v>
      </c>
      <c r="AF215" s="12">
        <f t="shared" si="5"/>
        <v>5</v>
      </c>
      <c r="AG215" s="12">
        <f t="shared" si="6"/>
        <v>4</v>
      </c>
      <c r="AH215" s="14">
        <f t="shared" si="7"/>
        <v>1</v>
      </c>
      <c r="AI215" s="14">
        <f t="shared" si="8"/>
        <v>1</v>
      </c>
      <c r="AL215" s="14">
        <f>R215*'Optimal Choice'!$B$4*AE215</f>
        <v>971.94</v>
      </c>
      <c r="AM215" s="14">
        <f>S215*'Optimal Choice'!$B$9*AF215</f>
        <v>4400</v>
      </c>
      <c r="AN215" s="14">
        <f>T215*'Optimal Choice'!$B$14*AG215</f>
        <v>13680</v>
      </c>
      <c r="AO215" s="14">
        <f>U215*'Optimal Choice'!$B$19*AH215</f>
        <v>7200</v>
      </c>
      <c r="AP215" s="14">
        <f>V215*'Optimal Choice'!$B$24*AI215</f>
        <v>32400</v>
      </c>
      <c r="AS215" s="12">
        <f t="shared" si="9"/>
        <v>6</v>
      </c>
      <c r="AT215" s="12">
        <f t="shared" si="10"/>
        <v>5</v>
      </c>
      <c r="AU215" s="12">
        <f t="shared" si="11"/>
        <v>4</v>
      </c>
      <c r="AV215" s="14">
        <f t="shared" si="12"/>
        <v>1</v>
      </c>
      <c r="AW215" s="14">
        <f t="shared" si="13"/>
        <v>1</v>
      </c>
      <c r="AY215" s="11">
        <f t="shared" si="14"/>
        <v>0.02991968987</v>
      </c>
    </row>
    <row r="216" ht="15.75" customHeight="1">
      <c r="A216" s="15">
        <f t="shared" si="2"/>
        <v>5.230181418</v>
      </c>
      <c r="B216" s="7">
        <f>(sum(AL216:AP216))*'Optimal Choice'!$B$28</f>
        <v>58661.96</v>
      </c>
      <c r="C216" s="11"/>
      <c r="D216" s="12"/>
      <c r="E216" s="12"/>
      <c r="F216" s="11"/>
      <c r="G216" s="11"/>
      <c r="H216" s="11"/>
      <c r="I216" s="11"/>
      <c r="J216" s="11"/>
      <c r="K216" s="11">
        <f>(X216/$B216)+(X216/('Optimal Choice'!$B$4*AS216))</f>
        <v>323.7877663</v>
      </c>
      <c r="L216" s="11">
        <f>(Y216/$B216)+(Y216/('Optimal Choice'!$B$9*AT216))</f>
        <v>323.8126196</v>
      </c>
      <c r="M216" s="11">
        <f>(Z216/$B216)+(Z216/('Optimal Choice'!$B$14*AU216))</f>
        <v>333.4081838</v>
      </c>
      <c r="N216" s="11">
        <f>(AA216/$B216)+(AA216/('Optimal Choice'!$B$19*AV216))</f>
        <v>314.4239454</v>
      </c>
      <c r="O216" s="11">
        <f>(AB216/$B216)+(AB216/('Optimal Choice'!$B$24*AW216))</f>
        <v>305.093842</v>
      </c>
      <c r="R216" s="12">
        <f t="shared" ref="R216:V216" si="226">if(min($K215:$O215)=K215,R215+1,R215)</f>
        <v>98</v>
      </c>
      <c r="S216" s="12">
        <f t="shared" si="226"/>
        <v>44</v>
      </c>
      <c r="T216" s="12">
        <f t="shared" si="226"/>
        <v>38</v>
      </c>
      <c r="U216" s="12">
        <f t="shared" si="226"/>
        <v>20</v>
      </c>
      <c r="V216" s="12">
        <f t="shared" si="226"/>
        <v>15</v>
      </c>
      <c r="X216" s="13">
        <f> 'Optimal Choice'!$B$5*'Optimal Choice'!$B$6^(R216+1)</f>
        <v>3243.799348</v>
      </c>
      <c r="Y216" s="13">
        <f> 'Optimal Choice'!$B$10*'Optimal Choice'!$B$11^(S216+1)</f>
        <v>32326.15614</v>
      </c>
      <c r="Z216" s="13">
        <f> 'Optimal Choice'!$B$15*'Optimal Choice'!$B$16^(T216+1)</f>
        <v>119294.8509</v>
      </c>
      <c r="AA216" s="13">
        <f> 'Optimal Choice'!$B$20*'Optimal Choice'!$B$21^(U216+1)</f>
        <v>112502.2105</v>
      </c>
      <c r="AB216" s="13">
        <f> 'Optimal Choice'!$B$25*'Optimal Choice'!$B$26^(V216+1)</f>
        <v>635599.2137</v>
      </c>
      <c r="AE216" s="12">
        <f t="shared" si="4"/>
        <v>6</v>
      </c>
      <c r="AF216" s="12">
        <f t="shared" si="5"/>
        <v>5</v>
      </c>
      <c r="AG216" s="12">
        <f t="shared" si="6"/>
        <v>4</v>
      </c>
      <c r="AH216" s="14">
        <f t="shared" si="7"/>
        <v>1</v>
      </c>
      <c r="AI216" s="14">
        <f t="shared" si="8"/>
        <v>1</v>
      </c>
      <c r="AL216" s="14">
        <f>R216*'Optimal Choice'!$B$4*AE216</f>
        <v>981.96</v>
      </c>
      <c r="AM216" s="14">
        <f>S216*'Optimal Choice'!$B$9*AF216</f>
        <v>4400</v>
      </c>
      <c r="AN216" s="14">
        <f>T216*'Optimal Choice'!$B$14*AG216</f>
        <v>13680</v>
      </c>
      <c r="AO216" s="14">
        <f>U216*'Optimal Choice'!$B$19*AH216</f>
        <v>7200</v>
      </c>
      <c r="AP216" s="14">
        <f>V216*'Optimal Choice'!$B$24*AI216</f>
        <v>32400</v>
      </c>
      <c r="AS216" s="12">
        <f t="shared" si="9"/>
        <v>6</v>
      </c>
      <c r="AT216" s="12">
        <f t="shared" si="10"/>
        <v>5</v>
      </c>
      <c r="AU216" s="12">
        <f t="shared" si="11"/>
        <v>4</v>
      </c>
      <c r="AV216" s="14">
        <f t="shared" si="12"/>
        <v>1</v>
      </c>
      <c r="AW216" s="14">
        <f t="shared" si="13"/>
        <v>1</v>
      </c>
      <c r="AY216" s="11">
        <f t="shared" si="14"/>
        <v>0.0008614628876</v>
      </c>
    </row>
    <row r="217" ht="15.75" customHeight="1">
      <c r="A217" s="15">
        <f t="shared" si="2"/>
        <v>5.410763864</v>
      </c>
      <c r="B217" s="7">
        <f>(sum(AL217:AP217))*'Optimal Choice'!$B$28</f>
        <v>60821.96</v>
      </c>
      <c r="C217" s="11"/>
      <c r="D217" s="12"/>
      <c r="E217" s="12"/>
      <c r="F217" s="11"/>
      <c r="G217" s="11"/>
      <c r="H217" s="11"/>
      <c r="I217" s="11"/>
      <c r="J217" s="11"/>
      <c r="K217" s="11">
        <f>(X217/$B217)+(X217/('Optimal Choice'!$B$4*AS217))</f>
        <v>323.7858026</v>
      </c>
      <c r="L217" s="11">
        <f>(Y217/$B217)+(Y217/('Optimal Choice'!$B$9*AT217))</f>
        <v>323.7930496</v>
      </c>
      <c r="M217" s="11">
        <f>(Z217/$B217)+(Z217/('Optimal Choice'!$B$14*AU217))</f>
        <v>333.3359637</v>
      </c>
      <c r="N217" s="11">
        <f>(AA217/$B217)+(AA217/('Optimal Choice'!$B$19*AV217))</f>
        <v>314.3558374</v>
      </c>
      <c r="O217" s="11">
        <f>(AB217/$B217)+(AB217/('Optimal Choice'!$B$24*AW217))</f>
        <v>341.2741418</v>
      </c>
      <c r="R217" s="12">
        <f t="shared" ref="R217:V217" si="227">if(min($K216:$O216)=K216,R216+1,R216)</f>
        <v>98</v>
      </c>
      <c r="S217" s="12">
        <f t="shared" si="227"/>
        <v>44</v>
      </c>
      <c r="T217" s="12">
        <f t="shared" si="227"/>
        <v>38</v>
      </c>
      <c r="U217" s="12">
        <f t="shared" si="227"/>
        <v>20</v>
      </c>
      <c r="V217" s="12">
        <f t="shared" si="227"/>
        <v>16</v>
      </c>
      <c r="X217" s="13">
        <f> 'Optimal Choice'!$B$5*'Optimal Choice'!$B$6^(R217+1)</f>
        <v>3243.799348</v>
      </c>
      <c r="Y217" s="13">
        <f> 'Optimal Choice'!$B$10*'Optimal Choice'!$B$11^(S217+1)</f>
        <v>32326.15614</v>
      </c>
      <c r="Z217" s="13">
        <f> 'Optimal Choice'!$B$15*'Optimal Choice'!$B$16^(T217+1)</f>
        <v>119294.8509</v>
      </c>
      <c r="AA217" s="13">
        <f> 'Optimal Choice'!$B$20*'Optimal Choice'!$B$21^(U217+1)</f>
        <v>112502.2105</v>
      </c>
      <c r="AB217" s="13">
        <f> 'Optimal Choice'!$B$25*'Optimal Choice'!$B$26^(V217+1)</f>
        <v>711871.1193</v>
      </c>
      <c r="AE217" s="12">
        <f t="shared" si="4"/>
        <v>6</v>
      </c>
      <c r="AF217" s="12">
        <f t="shared" si="5"/>
        <v>5</v>
      </c>
      <c r="AG217" s="12">
        <f t="shared" si="6"/>
        <v>4</v>
      </c>
      <c r="AH217" s="14">
        <f t="shared" si="7"/>
        <v>1</v>
      </c>
      <c r="AI217" s="14">
        <f t="shared" si="8"/>
        <v>1</v>
      </c>
      <c r="AL217" s="14">
        <f>R217*'Optimal Choice'!$B$4*AE217</f>
        <v>981.96</v>
      </c>
      <c r="AM217" s="14">
        <f>S217*'Optimal Choice'!$B$9*AF217</f>
        <v>4400</v>
      </c>
      <c r="AN217" s="14">
        <f>T217*'Optimal Choice'!$B$14*AG217</f>
        <v>13680</v>
      </c>
      <c r="AO217" s="14">
        <f>U217*'Optimal Choice'!$B$19*AH217</f>
        <v>7200</v>
      </c>
      <c r="AP217" s="14">
        <f>V217*'Optimal Choice'!$B$24*AI217</f>
        <v>34560</v>
      </c>
      <c r="AS217" s="12">
        <f t="shared" si="9"/>
        <v>6</v>
      </c>
      <c r="AT217" s="12">
        <f t="shared" si="10"/>
        <v>5</v>
      </c>
      <c r="AU217" s="12">
        <f t="shared" si="11"/>
        <v>4</v>
      </c>
      <c r="AV217" s="14">
        <f t="shared" si="12"/>
        <v>1</v>
      </c>
      <c r="AW217" s="14">
        <f t="shared" si="13"/>
        <v>1</v>
      </c>
      <c r="AY217" s="11">
        <f t="shared" si="14"/>
        <v>0.1805824461</v>
      </c>
    </row>
    <row r="218" ht="15.75" customHeight="1">
      <c r="A218" s="15">
        <f t="shared" si="2"/>
        <v>5.441592151</v>
      </c>
      <c r="B218" s="7">
        <f>(sum(AL218:AP218))*'Optimal Choice'!$B$28</f>
        <v>61181.96</v>
      </c>
      <c r="C218" s="11"/>
      <c r="D218" s="12"/>
      <c r="E218" s="12"/>
      <c r="F218" s="11"/>
      <c r="G218" s="11"/>
      <c r="H218" s="11"/>
      <c r="I218" s="11"/>
      <c r="J218" s="11"/>
      <c r="K218" s="11">
        <f>(X218/$B218)+(X218/('Optimal Choice'!$B$4*AS218))</f>
        <v>323.7854887</v>
      </c>
      <c r="L218" s="11">
        <f>(Y218/$B218)+(Y218/('Optimal Choice'!$B$9*AT218))</f>
        <v>323.7899223</v>
      </c>
      <c r="M218" s="11">
        <f>(Z218/$B218)+(Z218/('Optimal Choice'!$B$14*AU218))</f>
        <v>333.3244227</v>
      </c>
      <c r="N218" s="11">
        <f>(AA218/$B218)+(AA218/('Optimal Choice'!$B$19*AV218))</f>
        <v>355.2097976</v>
      </c>
      <c r="O218" s="11">
        <f>(AB218/$B218)+(AB218/('Optimal Choice'!$B$24*AW218))</f>
        <v>341.2052734</v>
      </c>
      <c r="R218" s="12">
        <f t="shared" ref="R218:V218" si="228">if(min($K217:$O217)=K217,R217+1,R217)</f>
        <v>98</v>
      </c>
      <c r="S218" s="12">
        <f t="shared" si="228"/>
        <v>44</v>
      </c>
      <c r="T218" s="12">
        <f t="shared" si="228"/>
        <v>38</v>
      </c>
      <c r="U218" s="12">
        <f t="shared" si="228"/>
        <v>21</v>
      </c>
      <c r="V218" s="12">
        <f t="shared" si="228"/>
        <v>16</v>
      </c>
      <c r="X218" s="13">
        <f> 'Optimal Choice'!$B$5*'Optimal Choice'!$B$6^(R218+1)</f>
        <v>3243.799348</v>
      </c>
      <c r="Y218" s="13">
        <f> 'Optimal Choice'!$B$10*'Optimal Choice'!$B$11^(S218+1)</f>
        <v>32326.15614</v>
      </c>
      <c r="Z218" s="13">
        <f> 'Optimal Choice'!$B$15*'Optimal Choice'!$B$16^(T218+1)</f>
        <v>119294.8509</v>
      </c>
      <c r="AA218" s="13">
        <f> 'Optimal Choice'!$B$20*'Optimal Choice'!$B$21^(U218+1)</f>
        <v>127127.4978</v>
      </c>
      <c r="AB218" s="13">
        <f> 'Optimal Choice'!$B$25*'Optimal Choice'!$B$26^(V218+1)</f>
        <v>711871.1193</v>
      </c>
      <c r="AE218" s="12">
        <f t="shared" si="4"/>
        <v>6</v>
      </c>
      <c r="AF218" s="12">
        <f t="shared" si="5"/>
        <v>5</v>
      </c>
      <c r="AG218" s="12">
        <f t="shared" si="6"/>
        <v>4</v>
      </c>
      <c r="AH218" s="14">
        <f t="shared" si="7"/>
        <v>1</v>
      </c>
      <c r="AI218" s="14">
        <f t="shared" si="8"/>
        <v>1</v>
      </c>
      <c r="AL218" s="14">
        <f>R218*'Optimal Choice'!$B$4*AE218</f>
        <v>981.96</v>
      </c>
      <c r="AM218" s="14">
        <f>S218*'Optimal Choice'!$B$9*AF218</f>
        <v>4400</v>
      </c>
      <c r="AN218" s="14">
        <f>T218*'Optimal Choice'!$B$14*AG218</f>
        <v>13680</v>
      </c>
      <c r="AO218" s="14">
        <f>U218*'Optimal Choice'!$B$19*AH218</f>
        <v>7560</v>
      </c>
      <c r="AP218" s="14">
        <f>V218*'Optimal Choice'!$B$24*AI218</f>
        <v>34560</v>
      </c>
      <c r="AS218" s="12">
        <f t="shared" si="9"/>
        <v>6</v>
      </c>
      <c r="AT218" s="12">
        <f t="shared" si="10"/>
        <v>5</v>
      </c>
      <c r="AU218" s="12">
        <f t="shared" si="11"/>
        <v>4</v>
      </c>
      <c r="AV218" s="14">
        <f t="shared" si="12"/>
        <v>1</v>
      </c>
      <c r="AW218" s="14">
        <f t="shared" si="13"/>
        <v>1</v>
      </c>
      <c r="AY218" s="11">
        <f t="shared" si="14"/>
        <v>0.03082828704</v>
      </c>
    </row>
    <row r="219" ht="15.75" customHeight="1">
      <c r="A219" s="15">
        <f t="shared" si="2"/>
        <v>5.442475799</v>
      </c>
      <c r="B219" s="7">
        <f>(sum(AL219:AP219))*'Optimal Choice'!$B$28</f>
        <v>61191.98</v>
      </c>
      <c r="C219" s="11"/>
      <c r="D219" s="12"/>
      <c r="E219" s="12"/>
      <c r="F219" s="11"/>
      <c r="G219" s="11"/>
      <c r="H219" s="11"/>
      <c r="I219" s="11"/>
      <c r="J219" s="11"/>
      <c r="K219" s="11">
        <f>(X219/$B219)+(X219/('Optimal Choice'!$B$4*AS219))</f>
        <v>34.69609519</v>
      </c>
      <c r="L219" s="11">
        <f>(Y219/$B219)+(Y219/('Optimal Choice'!$B$9*AT219))</f>
        <v>323.7898358</v>
      </c>
      <c r="M219" s="11">
        <f>(Z219/$B219)+(Z219/('Optimal Choice'!$B$14*AU219))</f>
        <v>333.3241035</v>
      </c>
      <c r="N219" s="11">
        <f>(AA219/$B219)+(AA219/('Optimal Choice'!$B$19*AV219))</f>
        <v>355.2094573</v>
      </c>
      <c r="O219" s="11">
        <f>(AB219/$B219)+(AB219/('Optimal Choice'!$B$24*AW219))</f>
        <v>341.2033682</v>
      </c>
      <c r="R219" s="12">
        <f t="shared" ref="R219:V219" si="229">if(min($K218:$O218)=K218,R218+1,R218)</f>
        <v>99</v>
      </c>
      <c r="S219" s="12">
        <f t="shared" si="229"/>
        <v>44</v>
      </c>
      <c r="T219" s="12">
        <f t="shared" si="229"/>
        <v>38</v>
      </c>
      <c r="U219" s="12">
        <f t="shared" si="229"/>
        <v>21</v>
      </c>
      <c r="V219" s="12">
        <f t="shared" si="229"/>
        <v>16</v>
      </c>
      <c r="X219" s="13">
        <f> 'Optimal Choice'!$B$5*'Optimal Choice'!$B$6^(R219+1)</f>
        <v>3470.865302</v>
      </c>
      <c r="Y219" s="13">
        <f> 'Optimal Choice'!$B$10*'Optimal Choice'!$B$11^(S219+1)</f>
        <v>32326.15614</v>
      </c>
      <c r="Z219" s="13">
        <f> 'Optimal Choice'!$B$15*'Optimal Choice'!$B$16^(T219+1)</f>
        <v>119294.8509</v>
      </c>
      <c r="AA219" s="13">
        <f> 'Optimal Choice'!$B$20*'Optimal Choice'!$B$21^(U219+1)</f>
        <v>127127.4978</v>
      </c>
      <c r="AB219" s="13">
        <f> 'Optimal Choice'!$B$25*'Optimal Choice'!$B$26^(V219+1)</f>
        <v>711871.1193</v>
      </c>
      <c r="AE219" s="12">
        <f t="shared" si="4"/>
        <v>6</v>
      </c>
      <c r="AF219" s="12">
        <f t="shared" si="5"/>
        <v>5</v>
      </c>
      <c r="AG219" s="12">
        <f t="shared" si="6"/>
        <v>4</v>
      </c>
      <c r="AH219" s="14">
        <f t="shared" si="7"/>
        <v>1</v>
      </c>
      <c r="AI219" s="14">
        <f t="shared" si="8"/>
        <v>1</v>
      </c>
      <c r="AL219" s="14">
        <f>R219*'Optimal Choice'!$B$4*AE219</f>
        <v>991.98</v>
      </c>
      <c r="AM219" s="14">
        <f>S219*'Optimal Choice'!$B$9*AF219</f>
        <v>4400</v>
      </c>
      <c r="AN219" s="14">
        <f>T219*'Optimal Choice'!$B$14*AG219</f>
        <v>13680</v>
      </c>
      <c r="AO219" s="14">
        <f>U219*'Optimal Choice'!$B$19*AH219</f>
        <v>7560</v>
      </c>
      <c r="AP219" s="14">
        <f>V219*'Optimal Choice'!$B$24*AI219</f>
        <v>34560</v>
      </c>
      <c r="AS219" s="12">
        <f t="shared" si="9"/>
        <v>60</v>
      </c>
      <c r="AT219" s="12">
        <f t="shared" si="10"/>
        <v>5</v>
      </c>
      <c r="AU219" s="12">
        <f t="shared" si="11"/>
        <v>4</v>
      </c>
      <c r="AV219" s="14">
        <f t="shared" si="12"/>
        <v>1</v>
      </c>
      <c r="AW219" s="14">
        <f t="shared" si="13"/>
        <v>1</v>
      </c>
      <c r="AY219" s="11">
        <f t="shared" si="14"/>
        <v>0.000883648096</v>
      </c>
    </row>
    <row r="220" ht="15.75" customHeight="1">
      <c r="A220" s="15">
        <f t="shared" si="2"/>
        <v>5.443421148</v>
      </c>
      <c r="B220" s="7">
        <f>(sum(AL220:AP220))*'Optimal Choice'!$B$28</f>
        <v>70220</v>
      </c>
      <c r="C220" s="11"/>
      <c r="D220" s="12"/>
      <c r="E220" s="12"/>
      <c r="F220" s="11"/>
      <c r="G220" s="11"/>
      <c r="H220" s="11"/>
      <c r="I220" s="11"/>
      <c r="J220" s="11"/>
      <c r="K220" s="11">
        <f>(X220/$B220)+(X220/('Optimal Choice'!$B$4*AS220))</f>
        <v>37.11701891</v>
      </c>
      <c r="L220" s="11">
        <f>(Y220/$B220)+(Y220/('Optimal Choice'!$B$9*AT220))</f>
        <v>323.7219168</v>
      </c>
      <c r="M220" s="11">
        <f>(Z220/$B220)+(Z220/('Optimal Choice'!$B$14*AU220))</f>
        <v>333.0734586</v>
      </c>
      <c r="N220" s="11">
        <f>(AA220/$B220)+(AA220/('Optimal Choice'!$B$19*AV220))</f>
        <v>354.9423556</v>
      </c>
      <c r="O220" s="11">
        <f>(AB220/$B220)+(AB220/('Optimal Choice'!$B$24*AW220))</f>
        <v>339.7076886</v>
      </c>
      <c r="R220" s="12">
        <f t="shared" ref="R220:V220" si="230">if(min($K219:$O219)=K219,R219+1,R219)</f>
        <v>100</v>
      </c>
      <c r="S220" s="12">
        <f t="shared" si="230"/>
        <v>44</v>
      </c>
      <c r="T220" s="12">
        <f t="shared" si="230"/>
        <v>38</v>
      </c>
      <c r="U220" s="12">
        <f t="shared" si="230"/>
        <v>21</v>
      </c>
      <c r="V220" s="12">
        <f t="shared" si="230"/>
        <v>16</v>
      </c>
      <c r="X220" s="13">
        <f> 'Optimal Choice'!$B$5*'Optimal Choice'!$B$6^(R220+1)</f>
        <v>3713.825873</v>
      </c>
      <c r="Y220" s="13">
        <f> 'Optimal Choice'!$B$10*'Optimal Choice'!$B$11^(S220+1)</f>
        <v>32326.15614</v>
      </c>
      <c r="Z220" s="13">
        <f> 'Optimal Choice'!$B$15*'Optimal Choice'!$B$16^(T220+1)</f>
        <v>119294.8509</v>
      </c>
      <c r="AA220" s="13">
        <f> 'Optimal Choice'!$B$20*'Optimal Choice'!$B$21^(U220+1)</f>
        <v>127127.4978</v>
      </c>
      <c r="AB220" s="13">
        <f> 'Optimal Choice'!$B$25*'Optimal Choice'!$B$26^(V220+1)</f>
        <v>711871.1193</v>
      </c>
      <c r="AE220" s="12">
        <f t="shared" si="4"/>
        <v>60</v>
      </c>
      <c r="AF220" s="12">
        <f t="shared" si="5"/>
        <v>5</v>
      </c>
      <c r="AG220" s="12">
        <f t="shared" si="6"/>
        <v>4</v>
      </c>
      <c r="AH220" s="14">
        <f t="shared" si="7"/>
        <v>1</v>
      </c>
      <c r="AI220" s="14">
        <f t="shared" si="8"/>
        <v>1</v>
      </c>
      <c r="AL220" s="14">
        <f>R220*'Optimal Choice'!$B$4*AE220</f>
        <v>10020</v>
      </c>
      <c r="AM220" s="14">
        <f>S220*'Optimal Choice'!$B$9*AF220</f>
        <v>4400</v>
      </c>
      <c r="AN220" s="14">
        <f>T220*'Optimal Choice'!$B$14*AG220</f>
        <v>13680</v>
      </c>
      <c r="AO220" s="14">
        <f>U220*'Optimal Choice'!$B$19*AH220</f>
        <v>7560</v>
      </c>
      <c r="AP220" s="14">
        <f>V220*'Optimal Choice'!$B$24*AI220</f>
        <v>34560</v>
      </c>
      <c r="AS220" s="12">
        <f t="shared" si="9"/>
        <v>60</v>
      </c>
      <c r="AT220" s="12">
        <f t="shared" si="10"/>
        <v>5</v>
      </c>
      <c r="AU220" s="12">
        <f t="shared" si="11"/>
        <v>4</v>
      </c>
      <c r="AV220" s="14">
        <f t="shared" si="12"/>
        <v>1</v>
      </c>
      <c r="AW220" s="14">
        <f t="shared" si="13"/>
        <v>1</v>
      </c>
      <c r="AY220" s="11">
        <f t="shared" si="14"/>
        <v>0.0009453486394</v>
      </c>
    </row>
    <row r="221" ht="15.75" customHeight="1">
      <c r="A221" s="15">
        <f t="shared" si="2"/>
        <v>5.444302622</v>
      </c>
      <c r="B221" s="7">
        <f>(sum(AL221:AP221))*'Optimal Choice'!$B$28</f>
        <v>70320.2</v>
      </c>
      <c r="C221" s="11"/>
      <c r="D221" s="12"/>
      <c r="E221" s="12"/>
      <c r="F221" s="11"/>
      <c r="G221" s="11"/>
      <c r="H221" s="11"/>
      <c r="I221" s="11"/>
      <c r="J221" s="11"/>
      <c r="K221" s="11">
        <f>(X221/$B221)+(X221/('Optimal Choice'!$B$4*AS221))</f>
        <v>39.71512959</v>
      </c>
      <c r="L221" s="11">
        <f>(Y221/$B221)+(Y221/('Optimal Choice'!$B$9*AT221))</f>
        <v>323.7212608</v>
      </c>
      <c r="M221" s="11">
        <f>(Z221/$B221)+(Z221/('Optimal Choice'!$B$14*AU221))</f>
        <v>333.0710378</v>
      </c>
      <c r="N221" s="11">
        <f>(AA221/$B221)+(AA221/('Optimal Choice'!$B$19*AV221))</f>
        <v>354.9397759</v>
      </c>
      <c r="O221" s="11">
        <f>(AB221/$B221)+(AB221/('Optimal Choice'!$B$24*AW221))</f>
        <v>339.6932433</v>
      </c>
      <c r="R221" s="12">
        <f t="shared" ref="R221:V221" si="231">if(min($K220:$O220)=K220,R220+1,R220)</f>
        <v>101</v>
      </c>
      <c r="S221" s="12">
        <f t="shared" si="231"/>
        <v>44</v>
      </c>
      <c r="T221" s="12">
        <f t="shared" si="231"/>
        <v>38</v>
      </c>
      <c r="U221" s="12">
        <f t="shared" si="231"/>
        <v>21</v>
      </c>
      <c r="V221" s="12">
        <f t="shared" si="231"/>
        <v>16</v>
      </c>
      <c r="X221" s="13">
        <f> 'Optimal Choice'!$B$5*'Optimal Choice'!$B$6^(R221+1)</f>
        <v>3973.793685</v>
      </c>
      <c r="Y221" s="13">
        <f> 'Optimal Choice'!$B$10*'Optimal Choice'!$B$11^(S221+1)</f>
        <v>32326.15614</v>
      </c>
      <c r="Z221" s="13">
        <f> 'Optimal Choice'!$B$15*'Optimal Choice'!$B$16^(T221+1)</f>
        <v>119294.8509</v>
      </c>
      <c r="AA221" s="13">
        <f> 'Optimal Choice'!$B$20*'Optimal Choice'!$B$21^(U221+1)</f>
        <v>127127.4978</v>
      </c>
      <c r="AB221" s="13">
        <f> 'Optimal Choice'!$B$25*'Optimal Choice'!$B$26^(V221+1)</f>
        <v>711871.1193</v>
      </c>
      <c r="AE221" s="12">
        <f t="shared" si="4"/>
        <v>60</v>
      </c>
      <c r="AF221" s="12">
        <f t="shared" si="5"/>
        <v>5</v>
      </c>
      <c r="AG221" s="12">
        <f t="shared" si="6"/>
        <v>4</v>
      </c>
      <c r="AH221" s="14">
        <f t="shared" si="7"/>
        <v>1</v>
      </c>
      <c r="AI221" s="14">
        <f t="shared" si="8"/>
        <v>1</v>
      </c>
      <c r="AL221" s="14">
        <f>R221*'Optimal Choice'!$B$4*AE221</f>
        <v>10120.2</v>
      </c>
      <c r="AM221" s="14">
        <f>S221*'Optimal Choice'!$B$9*AF221</f>
        <v>4400</v>
      </c>
      <c r="AN221" s="14">
        <f>T221*'Optimal Choice'!$B$14*AG221</f>
        <v>13680</v>
      </c>
      <c r="AO221" s="14">
        <f>U221*'Optimal Choice'!$B$19*AH221</f>
        <v>7560</v>
      </c>
      <c r="AP221" s="14">
        <f>V221*'Optimal Choice'!$B$24*AI221</f>
        <v>34560</v>
      </c>
      <c r="AS221" s="12">
        <f t="shared" si="9"/>
        <v>60</v>
      </c>
      <c r="AT221" s="12">
        <f t="shared" si="10"/>
        <v>5</v>
      </c>
      <c r="AU221" s="12">
        <f t="shared" si="11"/>
        <v>4</v>
      </c>
      <c r="AV221" s="14">
        <f t="shared" si="12"/>
        <v>1</v>
      </c>
      <c r="AW221" s="14">
        <f t="shared" si="13"/>
        <v>1</v>
      </c>
      <c r="AY221" s="11">
        <f t="shared" si="14"/>
        <v>0.000881473909</v>
      </c>
    </row>
    <row r="222" ht="15.75" customHeight="1">
      <c r="A222" s="15">
        <f t="shared" si="2"/>
        <v>5.445244455</v>
      </c>
      <c r="B222" s="7">
        <f>(sum(AL222:AP222))*'Optimal Choice'!$B$28</f>
        <v>70420.4</v>
      </c>
      <c r="C222" s="11"/>
      <c r="D222" s="12"/>
      <c r="E222" s="12"/>
      <c r="F222" s="11"/>
      <c r="G222" s="11"/>
      <c r="H222" s="11"/>
      <c r="I222" s="11"/>
      <c r="J222" s="11"/>
      <c r="K222" s="11">
        <f>(X222/$B222)+(X222/('Optimal Choice'!$B$4*AS222))</f>
        <v>42.49510263</v>
      </c>
      <c r="L222" s="11">
        <f>(Y222/$B222)+(Y222/('Optimal Choice'!$B$9*AT222))</f>
        <v>323.7206067</v>
      </c>
      <c r="M222" s="11">
        <f>(Z222/$B222)+(Z222/('Optimal Choice'!$B$14*AU222))</f>
        <v>333.068624</v>
      </c>
      <c r="N222" s="11">
        <f>(AA222/$B222)+(AA222/('Optimal Choice'!$B$19*AV222))</f>
        <v>354.9372036</v>
      </c>
      <c r="O222" s="11">
        <f>(AB222/$B222)+(AB222/('Optimal Choice'!$B$24*AW222))</f>
        <v>339.678839</v>
      </c>
      <c r="R222" s="12">
        <f t="shared" ref="R222:V222" si="232">if(min($K221:$O221)=K221,R221+1,R221)</f>
        <v>102</v>
      </c>
      <c r="S222" s="12">
        <f t="shared" si="232"/>
        <v>44</v>
      </c>
      <c r="T222" s="12">
        <f t="shared" si="232"/>
        <v>38</v>
      </c>
      <c r="U222" s="12">
        <f t="shared" si="232"/>
        <v>21</v>
      </c>
      <c r="V222" s="12">
        <f t="shared" si="232"/>
        <v>16</v>
      </c>
      <c r="X222" s="13">
        <f> 'Optimal Choice'!$B$5*'Optimal Choice'!$B$6^(R222+1)</f>
        <v>4251.959242</v>
      </c>
      <c r="Y222" s="13">
        <f> 'Optimal Choice'!$B$10*'Optimal Choice'!$B$11^(S222+1)</f>
        <v>32326.15614</v>
      </c>
      <c r="Z222" s="13">
        <f> 'Optimal Choice'!$B$15*'Optimal Choice'!$B$16^(T222+1)</f>
        <v>119294.8509</v>
      </c>
      <c r="AA222" s="13">
        <f> 'Optimal Choice'!$B$20*'Optimal Choice'!$B$21^(U222+1)</f>
        <v>127127.4978</v>
      </c>
      <c r="AB222" s="13">
        <f> 'Optimal Choice'!$B$25*'Optimal Choice'!$B$26^(V222+1)</f>
        <v>711871.1193</v>
      </c>
      <c r="AE222" s="12">
        <f t="shared" si="4"/>
        <v>60</v>
      </c>
      <c r="AF222" s="12">
        <f t="shared" si="5"/>
        <v>5</v>
      </c>
      <c r="AG222" s="12">
        <f t="shared" si="6"/>
        <v>4</v>
      </c>
      <c r="AH222" s="14">
        <f t="shared" si="7"/>
        <v>1</v>
      </c>
      <c r="AI222" s="14">
        <f t="shared" si="8"/>
        <v>1</v>
      </c>
      <c r="AL222" s="14">
        <f>R222*'Optimal Choice'!$B$4*AE222</f>
        <v>10220.4</v>
      </c>
      <c r="AM222" s="14">
        <f>S222*'Optimal Choice'!$B$9*AF222</f>
        <v>4400</v>
      </c>
      <c r="AN222" s="14">
        <f>T222*'Optimal Choice'!$B$14*AG222</f>
        <v>13680</v>
      </c>
      <c r="AO222" s="14">
        <f>U222*'Optimal Choice'!$B$19*AH222</f>
        <v>7560</v>
      </c>
      <c r="AP222" s="14">
        <f>V222*'Optimal Choice'!$B$24*AI222</f>
        <v>34560</v>
      </c>
      <c r="AS222" s="12">
        <f t="shared" si="9"/>
        <v>60</v>
      </c>
      <c r="AT222" s="12">
        <f t="shared" si="10"/>
        <v>5</v>
      </c>
      <c r="AU222" s="12">
        <f t="shared" si="11"/>
        <v>4</v>
      </c>
      <c r="AV222" s="14">
        <f t="shared" si="12"/>
        <v>1</v>
      </c>
      <c r="AW222" s="14">
        <f t="shared" si="13"/>
        <v>1</v>
      </c>
      <c r="AY222" s="11">
        <f t="shared" si="14"/>
        <v>0.0009418331396</v>
      </c>
    </row>
    <row r="223" ht="15.75" customHeight="1">
      <c r="A223" s="15">
        <f t="shared" si="2"/>
        <v>5.446250783</v>
      </c>
      <c r="B223" s="7">
        <f>(sum(AL223:AP223))*'Optimal Choice'!$B$28</f>
        <v>70520.6</v>
      </c>
      <c r="C223" s="11"/>
      <c r="D223" s="12"/>
      <c r="E223" s="12"/>
      <c r="F223" s="11"/>
      <c r="G223" s="11"/>
      <c r="H223" s="11"/>
      <c r="I223" s="11"/>
      <c r="J223" s="11"/>
      <c r="K223" s="11">
        <f>(X223/$B223)+(X223/('Optimal Choice'!$B$4*AS223))</f>
        <v>45.46966802</v>
      </c>
      <c r="L223" s="11">
        <f>(Y223/$B223)+(Y223/('Optimal Choice'!$B$9*AT223))</f>
        <v>323.7199545</v>
      </c>
      <c r="M223" s="11">
        <f>(Z223/$B223)+(Z223/('Optimal Choice'!$B$14*AU223))</f>
        <v>333.066217</v>
      </c>
      <c r="N223" s="11">
        <f>(AA223/$B223)+(AA223/('Optimal Choice'!$B$19*AV223))</f>
        <v>354.9346386</v>
      </c>
      <c r="O223" s="11">
        <f>(AB223/$B223)+(AB223/('Optimal Choice'!$B$24*AW223))</f>
        <v>339.6644757</v>
      </c>
      <c r="R223" s="12">
        <f t="shared" ref="R223:V223" si="233">if(min($K222:$O222)=K222,R222+1,R222)</f>
        <v>103</v>
      </c>
      <c r="S223" s="12">
        <f t="shared" si="233"/>
        <v>44</v>
      </c>
      <c r="T223" s="12">
        <f t="shared" si="233"/>
        <v>38</v>
      </c>
      <c r="U223" s="12">
        <f t="shared" si="233"/>
        <v>21</v>
      </c>
      <c r="V223" s="12">
        <f t="shared" si="233"/>
        <v>16</v>
      </c>
      <c r="X223" s="13">
        <f> 'Optimal Choice'!$B$5*'Optimal Choice'!$B$6^(R223+1)</f>
        <v>4549.596389</v>
      </c>
      <c r="Y223" s="13">
        <f> 'Optimal Choice'!$B$10*'Optimal Choice'!$B$11^(S223+1)</f>
        <v>32326.15614</v>
      </c>
      <c r="Z223" s="13">
        <f> 'Optimal Choice'!$B$15*'Optimal Choice'!$B$16^(T223+1)</f>
        <v>119294.8509</v>
      </c>
      <c r="AA223" s="13">
        <f> 'Optimal Choice'!$B$20*'Optimal Choice'!$B$21^(U223+1)</f>
        <v>127127.4978</v>
      </c>
      <c r="AB223" s="13">
        <f> 'Optimal Choice'!$B$25*'Optimal Choice'!$B$26^(V223+1)</f>
        <v>711871.1193</v>
      </c>
      <c r="AE223" s="12">
        <f t="shared" si="4"/>
        <v>60</v>
      </c>
      <c r="AF223" s="12">
        <f t="shared" si="5"/>
        <v>5</v>
      </c>
      <c r="AG223" s="12">
        <f t="shared" si="6"/>
        <v>4</v>
      </c>
      <c r="AH223" s="14">
        <f t="shared" si="7"/>
        <v>1</v>
      </c>
      <c r="AI223" s="14">
        <f t="shared" si="8"/>
        <v>1</v>
      </c>
      <c r="AL223" s="14">
        <f>R223*'Optimal Choice'!$B$4*AE223</f>
        <v>10320.6</v>
      </c>
      <c r="AM223" s="14">
        <f>S223*'Optimal Choice'!$B$9*AF223</f>
        <v>4400</v>
      </c>
      <c r="AN223" s="14">
        <f>T223*'Optimal Choice'!$B$14*AG223</f>
        <v>13680</v>
      </c>
      <c r="AO223" s="14">
        <f>U223*'Optimal Choice'!$B$19*AH223</f>
        <v>7560</v>
      </c>
      <c r="AP223" s="14">
        <f>V223*'Optimal Choice'!$B$24*AI223</f>
        <v>34560</v>
      </c>
      <c r="AS223" s="12">
        <f t="shared" si="9"/>
        <v>60</v>
      </c>
      <c r="AT223" s="12">
        <f t="shared" si="10"/>
        <v>5</v>
      </c>
      <c r="AU223" s="12">
        <f t="shared" si="11"/>
        <v>4</v>
      </c>
      <c r="AV223" s="14">
        <f t="shared" si="12"/>
        <v>1</v>
      </c>
      <c r="AW223" s="14">
        <f t="shared" si="13"/>
        <v>1</v>
      </c>
      <c r="AY223" s="11">
        <f t="shared" si="14"/>
        <v>0.001006327533</v>
      </c>
    </row>
    <row r="224" ht="15.75" customHeight="1">
      <c r="A224" s="15">
        <f t="shared" si="2"/>
        <v>5.447326023</v>
      </c>
      <c r="B224" s="7">
        <f>(sum(AL224:AP224))*'Optimal Choice'!$B$28</f>
        <v>70620.8</v>
      </c>
      <c r="C224" s="11"/>
      <c r="D224" s="12"/>
      <c r="E224" s="12"/>
      <c r="F224" s="11"/>
      <c r="G224" s="11"/>
      <c r="H224" s="11"/>
      <c r="I224" s="11"/>
      <c r="J224" s="11"/>
      <c r="K224" s="11">
        <f>(X224/$B224)+(X224/('Optimal Choice'!$B$4*AS224))</f>
        <v>48.65244684</v>
      </c>
      <c r="L224" s="11">
        <f>(Y224/$B224)+(Y224/('Optimal Choice'!$B$9*AT224))</f>
        <v>323.7193041</v>
      </c>
      <c r="M224" s="11">
        <f>(Z224/$B224)+(Z224/('Optimal Choice'!$B$14*AU224))</f>
        <v>333.0638168</v>
      </c>
      <c r="N224" s="11">
        <f>(AA224/$B224)+(AA224/('Optimal Choice'!$B$19*AV224))</f>
        <v>354.9320808</v>
      </c>
      <c r="O224" s="11">
        <f>(AB224/$B224)+(AB224/('Optimal Choice'!$B$24*AW224))</f>
        <v>339.6501532</v>
      </c>
      <c r="R224" s="12">
        <f t="shared" ref="R224:V224" si="234">if(min($K223:$O223)=K223,R223+1,R223)</f>
        <v>104</v>
      </c>
      <c r="S224" s="12">
        <f t="shared" si="234"/>
        <v>44</v>
      </c>
      <c r="T224" s="12">
        <f t="shared" si="234"/>
        <v>38</v>
      </c>
      <c r="U224" s="12">
        <f t="shared" si="234"/>
        <v>21</v>
      </c>
      <c r="V224" s="12">
        <f t="shared" si="234"/>
        <v>16</v>
      </c>
      <c r="X224" s="13">
        <f> 'Optimal Choice'!$B$5*'Optimal Choice'!$B$6^(R224+1)</f>
        <v>4868.068137</v>
      </c>
      <c r="Y224" s="13">
        <f> 'Optimal Choice'!$B$10*'Optimal Choice'!$B$11^(S224+1)</f>
        <v>32326.15614</v>
      </c>
      <c r="Z224" s="13">
        <f> 'Optimal Choice'!$B$15*'Optimal Choice'!$B$16^(T224+1)</f>
        <v>119294.8509</v>
      </c>
      <c r="AA224" s="13">
        <f> 'Optimal Choice'!$B$20*'Optimal Choice'!$B$21^(U224+1)</f>
        <v>127127.4978</v>
      </c>
      <c r="AB224" s="13">
        <f> 'Optimal Choice'!$B$25*'Optimal Choice'!$B$26^(V224+1)</f>
        <v>711871.1193</v>
      </c>
      <c r="AE224" s="12">
        <f t="shared" si="4"/>
        <v>60</v>
      </c>
      <c r="AF224" s="12">
        <f t="shared" si="5"/>
        <v>5</v>
      </c>
      <c r="AG224" s="12">
        <f t="shared" si="6"/>
        <v>4</v>
      </c>
      <c r="AH224" s="14">
        <f t="shared" si="7"/>
        <v>1</v>
      </c>
      <c r="AI224" s="14">
        <f t="shared" si="8"/>
        <v>1</v>
      </c>
      <c r="AL224" s="14">
        <f>R224*'Optimal Choice'!$B$4*AE224</f>
        <v>10420.8</v>
      </c>
      <c r="AM224" s="14">
        <f>S224*'Optimal Choice'!$B$9*AF224</f>
        <v>4400</v>
      </c>
      <c r="AN224" s="14">
        <f>T224*'Optimal Choice'!$B$14*AG224</f>
        <v>13680</v>
      </c>
      <c r="AO224" s="14">
        <f>U224*'Optimal Choice'!$B$19*AH224</f>
        <v>7560</v>
      </c>
      <c r="AP224" s="14">
        <f>V224*'Optimal Choice'!$B$24*AI224</f>
        <v>34560</v>
      </c>
      <c r="AS224" s="12">
        <f t="shared" si="9"/>
        <v>60</v>
      </c>
      <c r="AT224" s="12">
        <f t="shared" si="10"/>
        <v>5</v>
      </c>
      <c r="AU224" s="12">
        <f t="shared" si="11"/>
        <v>4</v>
      </c>
      <c r="AV224" s="14">
        <f t="shared" si="12"/>
        <v>1</v>
      </c>
      <c r="AW224" s="14">
        <f t="shared" si="13"/>
        <v>1</v>
      </c>
      <c r="AY224" s="11">
        <f t="shared" si="14"/>
        <v>0.001075240518</v>
      </c>
    </row>
    <row r="225" ht="15.75" customHeight="1">
      <c r="A225" s="15">
        <f t="shared" si="2"/>
        <v>5.448474898</v>
      </c>
      <c r="B225" s="7">
        <f>(sum(AL225:AP225))*'Optimal Choice'!$B$28</f>
        <v>70721</v>
      </c>
      <c r="C225" s="11"/>
      <c r="D225" s="12"/>
      <c r="E225" s="12"/>
      <c r="F225" s="11"/>
      <c r="G225" s="11"/>
      <c r="H225" s="11"/>
      <c r="I225" s="11"/>
      <c r="J225" s="11"/>
      <c r="K225" s="11">
        <f>(X225/$B225)+(X225/('Optimal Choice'!$B$4*AS225))</f>
        <v>52.05801361</v>
      </c>
      <c r="L225" s="11">
        <f>(Y225/$B225)+(Y225/('Optimal Choice'!$B$9*AT225))</f>
        <v>323.7186556</v>
      </c>
      <c r="M225" s="11">
        <f>(Z225/$B225)+(Z225/('Optimal Choice'!$B$14*AU225))</f>
        <v>333.0614234</v>
      </c>
      <c r="N225" s="11">
        <f>(AA225/$B225)+(AA225/('Optimal Choice'!$B$19*AV225))</f>
        <v>354.9295303</v>
      </c>
      <c r="O225" s="11">
        <f>(AB225/$B225)+(AB225/('Optimal Choice'!$B$24*AW225))</f>
        <v>339.6358712</v>
      </c>
      <c r="R225" s="12">
        <f t="shared" ref="R225:V225" si="235">if(min($K224:$O224)=K224,R224+1,R224)</f>
        <v>105</v>
      </c>
      <c r="S225" s="12">
        <f t="shared" si="235"/>
        <v>44</v>
      </c>
      <c r="T225" s="12">
        <f t="shared" si="235"/>
        <v>38</v>
      </c>
      <c r="U225" s="12">
        <f t="shared" si="235"/>
        <v>21</v>
      </c>
      <c r="V225" s="12">
        <f t="shared" si="235"/>
        <v>16</v>
      </c>
      <c r="X225" s="13">
        <f> 'Optimal Choice'!$B$5*'Optimal Choice'!$B$6^(R225+1)</f>
        <v>5208.832906</v>
      </c>
      <c r="Y225" s="13">
        <f> 'Optimal Choice'!$B$10*'Optimal Choice'!$B$11^(S225+1)</f>
        <v>32326.15614</v>
      </c>
      <c r="Z225" s="13">
        <f> 'Optimal Choice'!$B$15*'Optimal Choice'!$B$16^(T225+1)</f>
        <v>119294.8509</v>
      </c>
      <c r="AA225" s="13">
        <f> 'Optimal Choice'!$B$20*'Optimal Choice'!$B$21^(U225+1)</f>
        <v>127127.4978</v>
      </c>
      <c r="AB225" s="13">
        <f> 'Optimal Choice'!$B$25*'Optimal Choice'!$B$26^(V225+1)</f>
        <v>711871.1193</v>
      </c>
      <c r="AE225" s="12">
        <f t="shared" si="4"/>
        <v>60</v>
      </c>
      <c r="AF225" s="12">
        <f t="shared" si="5"/>
        <v>5</v>
      </c>
      <c r="AG225" s="12">
        <f t="shared" si="6"/>
        <v>4</v>
      </c>
      <c r="AH225" s="14">
        <f t="shared" si="7"/>
        <v>1</v>
      </c>
      <c r="AI225" s="14">
        <f t="shared" si="8"/>
        <v>1</v>
      </c>
      <c r="AL225" s="14">
        <f>R225*'Optimal Choice'!$B$4*AE225</f>
        <v>10521</v>
      </c>
      <c r="AM225" s="14">
        <f>S225*'Optimal Choice'!$B$9*AF225</f>
        <v>4400</v>
      </c>
      <c r="AN225" s="14">
        <f>T225*'Optimal Choice'!$B$14*AG225</f>
        <v>13680</v>
      </c>
      <c r="AO225" s="14">
        <f>U225*'Optimal Choice'!$B$19*AH225</f>
        <v>7560</v>
      </c>
      <c r="AP225" s="14">
        <f>V225*'Optimal Choice'!$B$24*AI225</f>
        <v>34560</v>
      </c>
      <c r="AS225" s="12">
        <f t="shared" si="9"/>
        <v>60</v>
      </c>
      <c r="AT225" s="12">
        <f t="shared" si="10"/>
        <v>5</v>
      </c>
      <c r="AU225" s="12">
        <f t="shared" si="11"/>
        <v>4</v>
      </c>
      <c r="AV225" s="14">
        <f t="shared" si="12"/>
        <v>1</v>
      </c>
      <c r="AW225" s="14">
        <f t="shared" si="13"/>
        <v>1</v>
      </c>
      <c r="AY225" s="11">
        <f t="shared" si="14"/>
        <v>0.001148874962</v>
      </c>
    </row>
    <row r="226" ht="15.75" customHeight="1">
      <c r="A226" s="15">
        <f t="shared" si="2"/>
        <v>5.449702453</v>
      </c>
      <c r="B226" s="7">
        <f>(sum(AL226:AP226))*'Optimal Choice'!$B$28</f>
        <v>70821.2</v>
      </c>
      <c r="C226" s="11"/>
      <c r="D226" s="12"/>
      <c r="E226" s="12"/>
      <c r="F226" s="11"/>
      <c r="G226" s="11"/>
      <c r="H226" s="11"/>
      <c r="I226" s="11"/>
      <c r="J226" s="11"/>
      <c r="K226" s="11">
        <f>(X226/$B226)+(X226/('Optimal Choice'!$B$4*AS226))</f>
        <v>55.70196306</v>
      </c>
      <c r="L226" s="11">
        <f>(Y226/$B226)+(Y226/('Optimal Choice'!$B$9*AT226))</f>
        <v>323.7180088</v>
      </c>
      <c r="M226" s="11">
        <f>(Z226/$B226)+(Z226/('Optimal Choice'!$B$14*AU226))</f>
        <v>333.0590369</v>
      </c>
      <c r="N226" s="11">
        <f>(AA226/$B226)+(AA226/('Optimal Choice'!$B$19*AV226))</f>
        <v>354.926987</v>
      </c>
      <c r="O226" s="11">
        <f>(AB226/$B226)+(AB226/('Optimal Choice'!$B$24*AW226))</f>
        <v>339.6216296</v>
      </c>
      <c r="R226" s="12">
        <f t="shared" ref="R226:V226" si="236">if(min($K225:$O225)=K225,R225+1,R225)</f>
        <v>106</v>
      </c>
      <c r="S226" s="12">
        <f t="shared" si="236"/>
        <v>44</v>
      </c>
      <c r="T226" s="12">
        <f t="shared" si="236"/>
        <v>38</v>
      </c>
      <c r="U226" s="12">
        <f t="shared" si="236"/>
        <v>21</v>
      </c>
      <c r="V226" s="12">
        <f t="shared" si="236"/>
        <v>16</v>
      </c>
      <c r="X226" s="13">
        <f> 'Optimal Choice'!$B$5*'Optimal Choice'!$B$6^(R226+1)</f>
        <v>5573.45121</v>
      </c>
      <c r="Y226" s="13">
        <f> 'Optimal Choice'!$B$10*'Optimal Choice'!$B$11^(S226+1)</f>
        <v>32326.15614</v>
      </c>
      <c r="Z226" s="13">
        <f> 'Optimal Choice'!$B$15*'Optimal Choice'!$B$16^(T226+1)</f>
        <v>119294.8509</v>
      </c>
      <c r="AA226" s="13">
        <f> 'Optimal Choice'!$B$20*'Optimal Choice'!$B$21^(U226+1)</f>
        <v>127127.4978</v>
      </c>
      <c r="AB226" s="13">
        <f> 'Optimal Choice'!$B$25*'Optimal Choice'!$B$26^(V226+1)</f>
        <v>711871.1193</v>
      </c>
      <c r="AE226" s="12">
        <f t="shared" si="4"/>
        <v>60</v>
      </c>
      <c r="AF226" s="12">
        <f t="shared" si="5"/>
        <v>5</v>
      </c>
      <c r="AG226" s="12">
        <f t="shared" si="6"/>
        <v>4</v>
      </c>
      <c r="AH226" s="14">
        <f t="shared" si="7"/>
        <v>1</v>
      </c>
      <c r="AI226" s="14">
        <f t="shared" si="8"/>
        <v>1</v>
      </c>
      <c r="AL226" s="14">
        <f>R226*'Optimal Choice'!$B$4*AE226</f>
        <v>10621.2</v>
      </c>
      <c r="AM226" s="14">
        <f>S226*'Optimal Choice'!$B$9*AF226</f>
        <v>4400</v>
      </c>
      <c r="AN226" s="14">
        <f>T226*'Optimal Choice'!$B$14*AG226</f>
        <v>13680</v>
      </c>
      <c r="AO226" s="14">
        <f>U226*'Optimal Choice'!$B$19*AH226</f>
        <v>7560</v>
      </c>
      <c r="AP226" s="14">
        <f>V226*'Optimal Choice'!$B$24*AI226</f>
        <v>34560</v>
      </c>
      <c r="AS226" s="12">
        <f t="shared" si="9"/>
        <v>60</v>
      </c>
      <c r="AT226" s="12">
        <f t="shared" si="10"/>
        <v>5</v>
      </c>
      <c r="AU226" s="12">
        <f t="shared" si="11"/>
        <v>4</v>
      </c>
      <c r="AV226" s="14">
        <f t="shared" si="12"/>
        <v>1</v>
      </c>
      <c r="AW226" s="14">
        <f t="shared" si="13"/>
        <v>1</v>
      </c>
      <c r="AY226" s="11">
        <f t="shared" si="14"/>
        <v>0.0012275545</v>
      </c>
    </row>
    <row r="227" ht="15.75" customHeight="1">
      <c r="A227" s="15">
        <f t="shared" si="2"/>
        <v>5.451014077</v>
      </c>
      <c r="B227" s="7">
        <f>(sum(AL227:AP227))*'Optimal Choice'!$B$28</f>
        <v>70921.4</v>
      </c>
      <c r="C227" s="11"/>
      <c r="D227" s="12"/>
      <c r="E227" s="12"/>
      <c r="F227" s="11"/>
      <c r="G227" s="11"/>
      <c r="H227" s="11"/>
      <c r="I227" s="11"/>
      <c r="J227" s="11"/>
      <c r="K227" s="11">
        <f>(X227/$B227)+(X227/('Optimal Choice'!$B$4*AS227))</f>
        <v>59.60098151</v>
      </c>
      <c r="L227" s="11">
        <f>(Y227/$B227)+(Y227/('Optimal Choice'!$B$9*AT227))</f>
        <v>323.717364</v>
      </c>
      <c r="M227" s="11">
        <f>(Z227/$B227)+(Z227/('Optimal Choice'!$B$14*AU227))</f>
        <v>333.056657</v>
      </c>
      <c r="N227" s="11">
        <f>(AA227/$B227)+(AA227/('Optimal Choice'!$B$19*AV227))</f>
        <v>354.9244509</v>
      </c>
      <c r="O227" s="11">
        <f>(AB227/$B227)+(AB227/('Optimal Choice'!$B$24*AW227))</f>
        <v>339.6074283</v>
      </c>
      <c r="R227" s="12">
        <f t="shared" ref="R227:V227" si="237">if(min($K226:$O226)=K226,R226+1,R226)</f>
        <v>107</v>
      </c>
      <c r="S227" s="12">
        <f t="shared" si="237"/>
        <v>44</v>
      </c>
      <c r="T227" s="12">
        <f t="shared" si="237"/>
        <v>38</v>
      </c>
      <c r="U227" s="12">
        <f t="shared" si="237"/>
        <v>21</v>
      </c>
      <c r="V227" s="12">
        <f t="shared" si="237"/>
        <v>16</v>
      </c>
      <c r="X227" s="13">
        <f> 'Optimal Choice'!$B$5*'Optimal Choice'!$B$6^(R227+1)</f>
        <v>5963.592794</v>
      </c>
      <c r="Y227" s="13">
        <f> 'Optimal Choice'!$B$10*'Optimal Choice'!$B$11^(S227+1)</f>
        <v>32326.15614</v>
      </c>
      <c r="Z227" s="13">
        <f> 'Optimal Choice'!$B$15*'Optimal Choice'!$B$16^(T227+1)</f>
        <v>119294.8509</v>
      </c>
      <c r="AA227" s="13">
        <f> 'Optimal Choice'!$B$20*'Optimal Choice'!$B$21^(U227+1)</f>
        <v>127127.4978</v>
      </c>
      <c r="AB227" s="13">
        <f> 'Optimal Choice'!$B$25*'Optimal Choice'!$B$26^(V227+1)</f>
        <v>711871.1193</v>
      </c>
      <c r="AE227" s="12">
        <f t="shared" si="4"/>
        <v>60</v>
      </c>
      <c r="AF227" s="12">
        <f t="shared" si="5"/>
        <v>5</v>
      </c>
      <c r="AG227" s="12">
        <f t="shared" si="6"/>
        <v>4</v>
      </c>
      <c r="AH227" s="14">
        <f t="shared" si="7"/>
        <v>1</v>
      </c>
      <c r="AI227" s="14">
        <f t="shared" si="8"/>
        <v>1</v>
      </c>
      <c r="AL227" s="14">
        <f>R227*'Optimal Choice'!$B$4*AE227</f>
        <v>10721.4</v>
      </c>
      <c r="AM227" s="14">
        <f>S227*'Optimal Choice'!$B$9*AF227</f>
        <v>4400</v>
      </c>
      <c r="AN227" s="14">
        <f>T227*'Optimal Choice'!$B$14*AG227</f>
        <v>13680</v>
      </c>
      <c r="AO227" s="14">
        <f>U227*'Optimal Choice'!$B$19*AH227</f>
        <v>7560</v>
      </c>
      <c r="AP227" s="14">
        <f>V227*'Optimal Choice'!$B$24*AI227</f>
        <v>34560</v>
      </c>
      <c r="AS227" s="12">
        <f t="shared" si="9"/>
        <v>60</v>
      </c>
      <c r="AT227" s="12">
        <f t="shared" si="10"/>
        <v>5</v>
      </c>
      <c r="AU227" s="12">
        <f t="shared" si="11"/>
        <v>4</v>
      </c>
      <c r="AV227" s="14">
        <f t="shared" si="12"/>
        <v>1</v>
      </c>
      <c r="AW227" s="14">
        <f t="shared" si="13"/>
        <v>1</v>
      </c>
      <c r="AY227" s="11">
        <f t="shared" si="14"/>
        <v>0.001311624958</v>
      </c>
    </row>
    <row r="228" ht="15.75" customHeight="1">
      <c r="A228" s="15">
        <f t="shared" si="2"/>
        <v>5.452415533</v>
      </c>
      <c r="B228" s="7">
        <f>(sum(AL228:AP228))*'Optimal Choice'!$B$28</f>
        <v>71021.6</v>
      </c>
      <c r="C228" s="11"/>
      <c r="D228" s="12"/>
      <c r="E228" s="12"/>
      <c r="F228" s="11"/>
      <c r="G228" s="11"/>
      <c r="H228" s="11"/>
      <c r="I228" s="11"/>
      <c r="J228" s="11"/>
      <c r="K228" s="11">
        <f>(X228/$B228)+(X228/('Optimal Choice'!$B$4*AS228))</f>
        <v>63.77292328</v>
      </c>
      <c r="L228" s="11">
        <f>(Y228/$B228)+(Y228/('Optimal Choice'!$B$9*AT228))</f>
        <v>323.7167209</v>
      </c>
      <c r="M228" s="11">
        <f>(Z228/$B228)+(Z228/('Optimal Choice'!$B$14*AU228))</f>
        <v>333.0542839</v>
      </c>
      <c r="N228" s="11">
        <f>(AA228/$B228)+(AA228/('Optimal Choice'!$B$19*AV228))</f>
        <v>354.921922</v>
      </c>
      <c r="O228" s="11">
        <f>(AB228/$B228)+(AB228/('Optimal Choice'!$B$24*AW228))</f>
        <v>339.5932671</v>
      </c>
      <c r="R228" s="12">
        <f t="shared" ref="R228:V228" si="238">if(min($K227:$O227)=K227,R227+1,R227)</f>
        <v>108</v>
      </c>
      <c r="S228" s="12">
        <f t="shared" si="238"/>
        <v>44</v>
      </c>
      <c r="T228" s="12">
        <f t="shared" si="238"/>
        <v>38</v>
      </c>
      <c r="U228" s="12">
        <f t="shared" si="238"/>
        <v>21</v>
      </c>
      <c r="V228" s="12">
        <f t="shared" si="238"/>
        <v>16</v>
      </c>
      <c r="X228" s="13">
        <f> 'Optimal Choice'!$B$5*'Optimal Choice'!$B$6^(R228+1)</f>
        <v>6381.04429</v>
      </c>
      <c r="Y228" s="13">
        <f> 'Optimal Choice'!$B$10*'Optimal Choice'!$B$11^(S228+1)</f>
        <v>32326.15614</v>
      </c>
      <c r="Z228" s="13">
        <f> 'Optimal Choice'!$B$15*'Optimal Choice'!$B$16^(T228+1)</f>
        <v>119294.8509</v>
      </c>
      <c r="AA228" s="13">
        <f> 'Optimal Choice'!$B$20*'Optimal Choice'!$B$21^(U228+1)</f>
        <v>127127.4978</v>
      </c>
      <c r="AB228" s="13">
        <f> 'Optimal Choice'!$B$25*'Optimal Choice'!$B$26^(V228+1)</f>
        <v>711871.1193</v>
      </c>
      <c r="AE228" s="12">
        <f t="shared" si="4"/>
        <v>60</v>
      </c>
      <c r="AF228" s="12">
        <f t="shared" si="5"/>
        <v>5</v>
      </c>
      <c r="AG228" s="12">
        <f t="shared" si="6"/>
        <v>4</v>
      </c>
      <c r="AH228" s="14">
        <f t="shared" si="7"/>
        <v>1</v>
      </c>
      <c r="AI228" s="14">
        <f t="shared" si="8"/>
        <v>1</v>
      </c>
      <c r="AL228" s="14">
        <f>R228*'Optimal Choice'!$B$4*AE228</f>
        <v>10821.6</v>
      </c>
      <c r="AM228" s="14">
        <f>S228*'Optimal Choice'!$B$9*AF228</f>
        <v>4400</v>
      </c>
      <c r="AN228" s="14">
        <f>T228*'Optimal Choice'!$B$14*AG228</f>
        <v>13680</v>
      </c>
      <c r="AO228" s="14">
        <f>U228*'Optimal Choice'!$B$19*AH228</f>
        <v>7560</v>
      </c>
      <c r="AP228" s="14">
        <f>V228*'Optimal Choice'!$B$24*AI228</f>
        <v>34560</v>
      </c>
      <c r="AS228" s="12">
        <f t="shared" si="9"/>
        <v>60</v>
      </c>
      <c r="AT228" s="12">
        <f t="shared" si="10"/>
        <v>5</v>
      </c>
      <c r="AU228" s="12">
        <f t="shared" si="11"/>
        <v>4</v>
      </c>
      <c r="AV228" s="14">
        <f t="shared" si="12"/>
        <v>1</v>
      </c>
      <c r="AW228" s="14">
        <f t="shared" si="13"/>
        <v>1</v>
      </c>
      <c r="AY228" s="11">
        <f t="shared" si="14"/>
        <v>0.001401455883</v>
      </c>
    </row>
    <row r="229" ht="15.75" customHeight="1">
      <c r="A229" s="15">
        <f t="shared" si="2"/>
        <v>5.453912976</v>
      </c>
      <c r="B229" s="7">
        <f>(sum(AL229:AP229))*'Optimal Choice'!$B$28</f>
        <v>71121.8</v>
      </c>
      <c r="C229" s="11"/>
      <c r="D229" s="12"/>
      <c r="E229" s="12"/>
      <c r="F229" s="11"/>
      <c r="G229" s="11"/>
      <c r="H229" s="11"/>
      <c r="I229" s="11"/>
      <c r="J229" s="11"/>
      <c r="K229" s="11">
        <f>(X229/$B229)+(X229/('Optimal Choice'!$B$4*AS229))</f>
        <v>68.23689246</v>
      </c>
      <c r="L229" s="11">
        <f>(Y229/$B229)+(Y229/('Optimal Choice'!$B$9*AT229))</f>
        <v>323.7160796</v>
      </c>
      <c r="M229" s="11">
        <f>(Z229/$B229)+(Z229/('Optimal Choice'!$B$14*AU229))</f>
        <v>333.0519174</v>
      </c>
      <c r="N229" s="11">
        <f>(AA229/$B229)+(AA229/('Optimal Choice'!$B$19*AV229))</f>
        <v>354.9194002</v>
      </c>
      <c r="O229" s="11">
        <f>(AB229/$B229)+(AB229/('Optimal Choice'!$B$24*AW229))</f>
        <v>339.5791458</v>
      </c>
      <c r="R229" s="12">
        <f t="shared" ref="R229:V229" si="239">if(min($K228:$O228)=K228,R228+1,R228)</f>
        <v>109</v>
      </c>
      <c r="S229" s="12">
        <f t="shared" si="239"/>
        <v>44</v>
      </c>
      <c r="T229" s="12">
        <f t="shared" si="239"/>
        <v>38</v>
      </c>
      <c r="U229" s="12">
        <f t="shared" si="239"/>
        <v>21</v>
      </c>
      <c r="V229" s="12">
        <f t="shared" si="239"/>
        <v>16</v>
      </c>
      <c r="X229" s="13">
        <f> 'Optimal Choice'!$B$5*'Optimal Choice'!$B$6^(R229+1)</f>
        <v>6827.71739</v>
      </c>
      <c r="Y229" s="13">
        <f> 'Optimal Choice'!$B$10*'Optimal Choice'!$B$11^(S229+1)</f>
        <v>32326.15614</v>
      </c>
      <c r="Z229" s="13">
        <f> 'Optimal Choice'!$B$15*'Optimal Choice'!$B$16^(T229+1)</f>
        <v>119294.8509</v>
      </c>
      <c r="AA229" s="13">
        <f> 'Optimal Choice'!$B$20*'Optimal Choice'!$B$21^(U229+1)</f>
        <v>127127.4978</v>
      </c>
      <c r="AB229" s="13">
        <f> 'Optimal Choice'!$B$25*'Optimal Choice'!$B$26^(V229+1)</f>
        <v>711871.1193</v>
      </c>
      <c r="AE229" s="12">
        <f t="shared" si="4"/>
        <v>60</v>
      </c>
      <c r="AF229" s="12">
        <f t="shared" si="5"/>
        <v>5</v>
      </c>
      <c r="AG229" s="12">
        <f t="shared" si="6"/>
        <v>4</v>
      </c>
      <c r="AH229" s="14">
        <f t="shared" si="7"/>
        <v>1</v>
      </c>
      <c r="AI229" s="14">
        <f t="shared" si="8"/>
        <v>1</v>
      </c>
      <c r="AL229" s="14">
        <f>R229*'Optimal Choice'!$B$4*AE229</f>
        <v>10921.8</v>
      </c>
      <c r="AM229" s="14">
        <f>S229*'Optimal Choice'!$B$9*AF229</f>
        <v>4400</v>
      </c>
      <c r="AN229" s="14">
        <f>T229*'Optimal Choice'!$B$14*AG229</f>
        <v>13680</v>
      </c>
      <c r="AO229" s="14">
        <f>U229*'Optimal Choice'!$B$19*AH229</f>
        <v>7560</v>
      </c>
      <c r="AP229" s="14">
        <f>V229*'Optimal Choice'!$B$24*AI229</f>
        <v>34560</v>
      </c>
      <c r="AS229" s="12">
        <f t="shared" si="9"/>
        <v>60</v>
      </c>
      <c r="AT229" s="12">
        <f t="shared" si="10"/>
        <v>5</v>
      </c>
      <c r="AU229" s="12">
        <f t="shared" si="11"/>
        <v>4</v>
      </c>
      <c r="AV229" s="14">
        <f t="shared" si="12"/>
        <v>1</v>
      </c>
      <c r="AW229" s="14">
        <f t="shared" si="13"/>
        <v>1</v>
      </c>
      <c r="AY229" s="11">
        <f t="shared" si="14"/>
        <v>0.001497442161</v>
      </c>
    </row>
    <row r="230" ht="15.75" customHeight="1">
      <c r="A230" s="15">
        <f t="shared" si="2"/>
        <v>5.455512981</v>
      </c>
      <c r="B230" s="7">
        <f>(sum(AL230:AP230))*'Optimal Choice'!$B$28</f>
        <v>71222</v>
      </c>
      <c r="C230" s="11"/>
      <c r="D230" s="12"/>
      <c r="E230" s="12"/>
      <c r="F230" s="11"/>
      <c r="G230" s="11"/>
      <c r="H230" s="11"/>
      <c r="I230" s="11"/>
      <c r="J230" s="11"/>
      <c r="K230" s="11">
        <f>(X230/$B230)+(X230/('Optimal Choice'!$B$4*AS230))</f>
        <v>73.01333042</v>
      </c>
      <c r="L230" s="11">
        <f>(Y230/$B230)+(Y230/('Optimal Choice'!$B$9*AT230))</f>
        <v>323.7154402</v>
      </c>
      <c r="M230" s="11">
        <f>(Z230/$B230)+(Z230/('Optimal Choice'!$B$14*AU230))</f>
        <v>333.0495576</v>
      </c>
      <c r="N230" s="11">
        <f>(AA230/$B230)+(AA230/('Optimal Choice'!$B$19*AV230))</f>
        <v>354.9168854</v>
      </c>
      <c r="O230" s="11">
        <f>(AB230/$B230)+(AB230/('Optimal Choice'!$B$24*AW230))</f>
        <v>339.5650641</v>
      </c>
      <c r="R230" s="12">
        <f t="shared" ref="R230:V230" si="240">if(min($K229:$O229)=K229,R229+1,R229)</f>
        <v>110</v>
      </c>
      <c r="S230" s="12">
        <f t="shared" si="240"/>
        <v>44</v>
      </c>
      <c r="T230" s="12">
        <f t="shared" si="240"/>
        <v>38</v>
      </c>
      <c r="U230" s="12">
        <f t="shared" si="240"/>
        <v>21</v>
      </c>
      <c r="V230" s="12">
        <f t="shared" si="240"/>
        <v>16</v>
      </c>
      <c r="X230" s="13">
        <f> 'Optimal Choice'!$B$5*'Optimal Choice'!$B$6^(R230+1)</f>
        <v>7305.657608</v>
      </c>
      <c r="Y230" s="13">
        <f> 'Optimal Choice'!$B$10*'Optimal Choice'!$B$11^(S230+1)</f>
        <v>32326.15614</v>
      </c>
      <c r="Z230" s="13">
        <f> 'Optimal Choice'!$B$15*'Optimal Choice'!$B$16^(T230+1)</f>
        <v>119294.8509</v>
      </c>
      <c r="AA230" s="13">
        <f> 'Optimal Choice'!$B$20*'Optimal Choice'!$B$21^(U230+1)</f>
        <v>127127.4978</v>
      </c>
      <c r="AB230" s="13">
        <f> 'Optimal Choice'!$B$25*'Optimal Choice'!$B$26^(V230+1)</f>
        <v>711871.1193</v>
      </c>
      <c r="AE230" s="12">
        <f t="shared" si="4"/>
        <v>60</v>
      </c>
      <c r="AF230" s="12">
        <f t="shared" si="5"/>
        <v>5</v>
      </c>
      <c r="AG230" s="12">
        <f t="shared" si="6"/>
        <v>4</v>
      </c>
      <c r="AH230" s="14">
        <f t="shared" si="7"/>
        <v>1</v>
      </c>
      <c r="AI230" s="14">
        <f t="shared" si="8"/>
        <v>1</v>
      </c>
      <c r="AL230" s="14">
        <f>R230*'Optimal Choice'!$B$4*AE230</f>
        <v>11022</v>
      </c>
      <c r="AM230" s="14">
        <f>S230*'Optimal Choice'!$B$9*AF230</f>
        <v>4400</v>
      </c>
      <c r="AN230" s="14">
        <f>T230*'Optimal Choice'!$B$14*AG230</f>
        <v>13680</v>
      </c>
      <c r="AO230" s="14">
        <f>U230*'Optimal Choice'!$B$19*AH230</f>
        <v>7560</v>
      </c>
      <c r="AP230" s="14">
        <f>V230*'Optimal Choice'!$B$24*AI230</f>
        <v>34560</v>
      </c>
      <c r="AS230" s="12">
        <f t="shared" si="9"/>
        <v>60</v>
      </c>
      <c r="AT230" s="12">
        <f t="shared" si="10"/>
        <v>5</v>
      </c>
      <c r="AU230" s="12">
        <f t="shared" si="11"/>
        <v>4</v>
      </c>
      <c r="AV230" s="14">
        <f t="shared" si="12"/>
        <v>1</v>
      </c>
      <c r="AW230" s="14">
        <f t="shared" si="13"/>
        <v>1</v>
      </c>
      <c r="AY230" s="11">
        <f t="shared" si="14"/>
        <v>0.001600005762</v>
      </c>
    </row>
    <row r="231" ht="15.75" customHeight="1">
      <c r="A231" s="15">
        <f t="shared" si="2"/>
        <v>5.457222579</v>
      </c>
      <c r="B231" s="7">
        <f>(sum(AL231:AP231))*'Optimal Choice'!$B$28</f>
        <v>71322.2</v>
      </c>
      <c r="C231" s="11"/>
      <c r="D231" s="12"/>
      <c r="E231" s="12"/>
      <c r="F231" s="11"/>
      <c r="G231" s="11"/>
      <c r="H231" s="11"/>
      <c r="I231" s="11"/>
      <c r="J231" s="11"/>
      <c r="K231" s="11">
        <f>(X231/$B231)+(X231/('Optimal Choice'!$B$4*AS231))</f>
        <v>78.12410936</v>
      </c>
      <c r="L231" s="11">
        <f>(Y231/$B231)+(Y231/('Optimal Choice'!$B$9*AT231))</f>
        <v>323.7148025</v>
      </c>
      <c r="M231" s="11">
        <f>(Z231/$B231)+(Z231/('Optimal Choice'!$B$14*AU231))</f>
        <v>333.0472045</v>
      </c>
      <c r="N231" s="11">
        <f>(AA231/$B231)+(AA231/('Optimal Choice'!$B$19*AV231))</f>
        <v>354.9143778</v>
      </c>
      <c r="O231" s="11">
        <f>(AB231/$B231)+(AB231/('Optimal Choice'!$B$24*AW231))</f>
        <v>339.5510221</v>
      </c>
      <c r="R231" s="12">
        <f t="shared" ref="R231:V231" si="241">if(min($K230:$O230)=K230,R230+1,R230)</f>
        <v>111</v>
      </c>
      <c r="S231" s="12">
        <f t="shared" si="241"/>
        <v>44</v>
      </c>
      <c r="T231" s="12">
        <f t="shared" si="241"/>
        <v>38</v>
      </c>
      <c r="U231" s="12">
        <f t="shared" si="241"/>
        <v>21</v>
      </c>
      <c r="V231" s="12">
        <f t="shared" si="241"/>
        <v>16</v>
      </c>
      <c r="X231" s="13">
        <f> 'Optimal Choice'!$B$5*'Optimal Choice'!$B$6^(R231+1)</f>
        <v>7817.05364</v>
      </c>
      <c r="Y231" s="13">
        <f> 'Optimal Choice'!$B$10*'Optimal Choice'!$B$11^(S231+1)</f>
        <v>32326.15614</v>
      </c>
      <c r="Z231" s="13">
        <f> 'Optimal Choice'!$B$15*'Optimal Choice'!$B$16^(T231+1)</f>
        <v>119294.8509</v>
      </c>
      <c r="AA231" s="13">
        <f> 'Optimal Choice'!$B$20*'Optimal Choice'!$B$21^(U231+1)</f>
        <v>127127.4978</v>
      </c>
      <c r="AB231" s="13">
        <f> 'Optimal Choice'!$B$25*'Optimal Choice'!$B$26^(V231+1)</f>
        <v>711871.1193</v>
      </c>
      <c r="AE231" s="12">
        <f t="shared" si="4"/>
        <v>60</v>
      </c>
      <c r="AF231" s="12">
        <f t="shared" si="5"/>
        <v>5</v>
      </c>
      <c r="AG231" s="12">
        <f t="shared" si="6"/>
        <v>4</v>
      </c>
      <c r="AH231" s="14">
        <f t="shared" si="7"/>
        <v>1</v>
      </c>
      <c r="AI231" s="14">
        <f t="shared" si="8"/>
        <v>1</v>
      </c>
      <c r="AL231" s="14">
        <f>R231*'Optimal Choice'!$B$4*AE231</f>
        <v>11122.2</v>
      </c>
      <c r="AM231" s="14">
        <f>S231*'Optimal Choice'!$B$9*AF231</f>
        <v>4400</v>
      </c>
      <c r="AN231" s="14">
        <f>T231*'Optimal Choice'!$B$14*AG231</f>
        <v>13680</v>
      </c>
      <c r="AO231" s="14">
        <f>U231*'Optimal Choice'!$B$19*AH231</f>
        <v>7560</v>
      </c>
      <c r="AP231" s="14">
        <f>V231*'Optimal Choice'!$B$24*AI231</f>
        <v>34560</v>
      </c>
      <c r="AS231" s="12">
        <f t="shared" si="9"/>
        <v>60</v>
      </c>
      <c r="AT231" s="12">
        <f t="shared" si="10"/>
        <v>5</v>
      </c>
      <c r="AU231" s="12">
        <f t="shared" si="11"/>
        <v>4</v>
      </c>
      <c r="AV231" s="14">
        <f t="shared" si="12"/>
        <v>1</v>
      </c>
      <c r="AW231" s="14">
        <f t="shared" si="13"/>
        <v>1</v>
      </c>
      <c r="AY231" s="11">
        <f t="shared" si="14"/>
        <v>0.001709597598</v>
      </c>
    </row>
    <row r="232" ht="15.75" customHeight="1">
      <c r="A232" s="15">
        <f t="shared" si="2"/>
        <v>5.459049278</v>
      </c>
      <c r="B232" s="7">
        <f>(sum(AL232:AP232))*'Optimal Choice'!$B$28</f>
        <v>71422.4</v>
      </c>
      <c r="C232" s="11"/>
      <c r="D232" s="12"/>
      <c r="E232" s="12"/>
      <c r="F232" s="11"/>
      <c r="G232" s="11"/>
      <c r="H232" s="11"/>
      <c r="I232" s="11"/>
      <c r="J232" s="11"/>
      <c r="K232" s="11">
        <f>(X232/$B232)+(X232/('Optimal Choice'!$B$4*AS232))</f>
        <v>83.59263249</v>
      </c>
      <c r="L232" s="11">
        <f>(Y232/$B232)+(Y232/('Optimal Choice'!$B$9*AT232))</f>
        <v>323.7141667</v>
      </c>
      <c r="M232" s="11">
        <f>(Z232/$B232)+(Z232/('Optimal Choice'!$B$14*AU232))</f>
        <v>333.0448579</v>
      </c>
      <c r="N232" s="11">
        <f>(AA232/$B232)+(AA232/('Optimal Choice'!$B$19*AV232))</f>
        <v>354.9118772</v>
      </c>
      <c r="O232" s="11">
        <f>(AB232/$B232)+(AB232/('Optimal Choice'!$B$24*AW232))</f>
        <v>339.5370195</v>
      </c>
      <c r="R232" s="12">
        <f t="shared" ref="R232:V232" si="242">if(min($K231:$O231)=K231,R231+1,R231)</f>
        <v>112</v>
      </c>
      <c r="S232" s="12">
        <f t="shared" si="242"/>
        <v>44</v>
      </c>
      <c r="T232" s="12">
        <f t="shared" si="242"/>
        <v>38</v>
      </c>
      <c r="U232" s="12">
        <f t="shared" si="242"/>
        <v>21</v>
      </c>
      <c r="V232" s="12">
        <f t="shared" si="242"/>
        <v>16</v>
      </c>
      <c r="X232" s="13">
        <f> 'Optimal Choice'!$B$5*'Optimal Choice'!$B$6^(R232+1)</f>
        <v>8364.247395</v>
      </c>
      <c r="Y232" s="13">
        <f> 'Optimal Choice'!$B$10*'Optimal Choice'!$B$11^(S232+1)</f>
        <v>32326.15614</v>
      </c>
      <c r="Z232" s="13">
        <f> 'Optimal Choice'!$B$15*'Optimal Choice'!$B$16^(T232+1)</f>
        <v>119294.8509</v>
      </c>
      <c r="AA232" s="13">
        <f> 'Optimal Choice'!$B$20*'Optimal Choice'!$B$21^(U232+1)</f>
        <v>127127.4978</v>
      </c>
      <c r="AB232" s="13">
        <f> 'Optimal Choice'!$B$25*'Optimal Choice'!$B$26^(V232+1)</f>
        <v>711871.1193</v>
      </c>
      <c r="AE232" s="12">
        <f t="shared" si="4"/>
        <v>60</v>
      </c>
      <c r="AF232" s="12">
        <f t="shared" si="5"/>
        <v>5</v>
      </c>
      <c r="AG232" s="12">
        <f t="shared" si="6"/>
        <v>4</v>
      </c>
      <c r="AH232" s="14">
        <f t="shared" si="7"/>
        <v>1</v>
      </c>
      <c r="AI232" s="14">
        <f t="shared" si="8"/>
        <v>1</v>
      </c>
      <c r="AL232" s="14">
        <f>R232*'Optimal Choice'!$B$4*AE232</f>
        <v>11222.4</v>
      </c>
      <c r="AM232" s="14">
        <f>S232*'Optimal Choice'!$B$9*AF232</f>
        <v>4400</v>
      </c>
      <c r="AN232" s="14">
        <f>T232*'Optimal Choice'!$B$14*AG232</f>
        <v>13680</v>
      </c>
      <c r="AO232" s="14">
        <f>U232*'Optimal Choice'!$B$19*AH232</f>
        <v>7560</v>
      </c>
      <c r="AP232" s="14">
        <f>V232*'Optimal Choice'!$B$24*AI232</f>
        <v>34560</v>
      </c>
      <c r="AS232" s="12">
        <f t="shared" si="9"/>
        <v>60</v>
      </c>
      <c r="AT232" s="12">
        <f t="shared" si="10"/>
        <v>5</v>
      </c>
      <c r="AU232" s="12">
        <f t="shared" si="11"/>
        <v>4</v>
      </c>
      <c r="AV232" s="14">
        <f t="shared" si="12"/>
        <v>1</v>
      </c>
      <c r="AW232" s="14">
        <f t="shared" si="13"/>
        <v>1</v>
      </c>
      <c r="AY232" s="11">
        <f t="shared" si="14"/>
        <v>0.001826699504</v>
      </c>
    </row>
    <row r="233" ht="15.75" customHeight="1">
      <c r="A233" s="15">
        <f t="shared" si="2"/>
        <v>5.461001105</v>
      </c>
      <c r="B233" s="7">
        <f>(sum(AL233:AP233))*'Optimal Choice'!$B$28</f>
        <v>71522.6</v>
      </c>
      <c r="C233" s="11"/>
      <c r="D233" s="12"/>
      <c r="E233" s="12"/>
      <c r="F233" s="11"/>
      <c r="G233" s="11"/>
      <c r="H233" s="11"/>
      <c r="I233" s="11"/>
      <c r="J233" s="11"/>
      <c r="K233" s="11">
        <f>(X233/$B233)+(X233/('Optimal Choice'!$B$4*AS233))</f>
        <v>89.44394121</v>
      </c>
      <c r="L233" s="11">
        <f>(Y233/$B233)+(Y233/('Optimal Choice'!$B$9*AT233))</f>
        <v>323.7135326</v>
      </c>
      <c r="M233" s="11">
        <f>(Z233/$B233)+(Z233/('Optimal Choice'!$B$14*AU233))</f>
        <v>333.042518</v>
      </c>
      <c r="N233" s="11">
        <f>(AA233/$B233)+(AA233/('Optimal Choice'!$B$19*AV233))</f>
        <v>354.9093835</v>
      </c>
      <c r="O233" s="11">
        <f>(AB233/$B233)+(AB233/('Optimal Choice'!$B$24*AW233))</f>
        <v>339.5230561</v>
      </c>
      <c r="R233" s="12">
        <f t="shared" ref="R233:V233" si="243">if(min($K232:$O232)=K232,R232+1,R232)</f>
        <v>113</v>
      </c>
      <c r="S233" s="12">
        <f t="shared" si="243"/>
        <v>44</v>
      </c>
      <c r="T233" s="12">
        <f t="shared" si="243"/>
        <v>38</v>
      </c>
      <c r="U233" s="12">
        <f t="shared" si="243"/>
        <v>21</v>
      </c>
      <c r="V233" s="12">
        <f t="shared" si="243"/>
        <v>16</v>
      </c>
      <c r="X233" s="13">
        <f> 'Optimal Choice'!$B$5*'Optimal Choice'!$B$6^(R233+1)</f>
        <v>8949.744713</v>
      </c>
      <c r="Y233" s="13">
        <f> 'Optimal Choice'!$B$10*'Optimal Choice'!$B$11^(S233+1)</f>
        <v>32326.15614</v>
      </c>
      <c r="Z233" s="13">
        <f> 'Optimal Choice'!$B$15*'Optimal Choice'!$B$16^(T233+1)</f>
        <v>119294.8509</v>
      </c>
      <c r="AA233" s="13">
        <f> 'Optimal Choice'!$B$20*'Optimal Choice'!$B$21^(U233+1)</f>
        <v>127127.4978</v>
      </c>
      <c r="AB233" s="13">
        <f> 'Optimal Choice'!$B$25*'Optimal Choice'!$B$26^(V233+1)</f>
        <v>711871.1193</v>
      </c>
      <c r="AE233" s="12">
        <f t="shared" si="4"/>
        <v>60</v>
      </c>
      <c r="AF233" s="12">
        <f t="shared" si="5"/>
        <v>5</v>
      </c>
      <c r="AG233" s="12">
        <f t="shared" si="6"/>
        <v>4</v>
      </c>
      <c r="AH233" s="14">
        <f t="shared" si="7"/>
        <v>1</v>
      </c>
      <c r="AI233" s="14">
        <f t="shared" si="8"/>
        <v>1</v>
      </c>
      <c r="AL233" s="14">
        <f>R233*'Optimal Choice'!$B$4*AE233</f>
        <v>11322.6</v>
      </c>
      <c r="AM233" s="14">
        <f>S233*'Optimal Choice'!$B$9*AF233</f>
        <v>4400</v>
      </c>
      <c r="AN233" s="14">
        <f>T233*'Optimal Choice'!$B$14*AG233</f>
        <v>13680</v>
      </c>
      <c r="AO233" s="14">
        <f>U233*'Optimal Choice'!$B$19*AH233</f>
        <v>7560</v>
      </c>
      <c r="AP233" s="14">
        <f>V233*'Optimal Choice'!$B$24*AI233</f>
        <v>34560</v>
      </c>
      <c r="AS233" s="12">
        <f t="shared" si="9"/>
        <v>60</v>
      </c>
      <c r="AT233" s="12">
        <f t="shared" si="10"/>
        <v>5</v>
      </c>
      <c r="AU233" s="12">
        <f t="shared" si="11"/>
        <v>4</v>
      </c>
      <c r="AV233" s="14">
        <f t="shared" si="12"/>
        <v>1</v>
      </c>
      <c r="AW233" s="14">
        <f t="shared" si="13"/>
        <v>1</v>
      </c>
      <c r="AY233" s="11">
        <f t="shared" si="14"/>
        <v>0.001951826363</v>
      </c>
    </row>
    <row r="234" ht="15.75" customHeight="1">
      <c r="A234" s="15">
        <f t="shared" si="2"/>
        <v>5.463086633</v>
      </c>
      <c r="B234" s="7">
        <f>(sum(AL234:AP234))*'Optimal Choice'!$B$28</f>
        <v>71622.8</v>
      </c>
      <c r="C234" s="11"/>
      <c r="D234" s="12"/>
      <c r="E234" s="12"/>
      <c r="F234" s="11"/>
      <c r="G234" s="11"/>
      <c r="H234" s="11"/>
      <c r="I234" s="11"/>
      <c r="J234" s="11"/>
      <c r="K234" s="11">
        <f>(X234/$B234)+(X234/('Optimal Choice'!$B$4*AS234))</f>
        <v>95.70482978</v>
      </c>
      <c r="L234" s="11">
        <f>(Y234/$B234)+(Y234/('Optimal Choice'!$B$9*AT234))</f>
        <v>323.7129003</v>
      </c>
      <c r="M234" s="11">
        <f>(Z234/$B234)+(Z234/('Optimal Choice'!$B$14*AU234))</f>
        <v>333.0401845</v>
      </c>
      <c r="N234" s="11">
        <f>(AA234/$B234)+(AA234/('Optimal Choice'!$B$19*AV234))</f>
        <v>354.9068969</v>
      </c>
      <c r="O234" s="11">
        <f>(AB234/$B234)+(AB234/('Optimal Choice'!$B$24*AW234))</f>
        <v>339.5091317</v>
      </c>
      <c r="R234" s="12">
        <f t="shared" ref="R234:V234" si="244">if(min($K233:$O233)=K233,R233+1,R233)</f>
        <v>114</v>
      </c>
      <c r="S234" s="12">
        <f t="shared" si="244"/>
        <v>44</v>
      </c>
      <c r="T234" s="12">
        <f t="shared" si="244"/>
        <v>38</v>
      </c>
      <c r="U234" s="12">
        <f t="shared" si="244"/>
        <v>21</v>
      </c>
      <c r="V234" s="12">
        <f t="shared" si="244"/>
        <v>16</v>
      </c>
      <c r="X234" s="13">
        <f> 'Optimal Choice'!$B$5*'Optimal Choice'!$B$6^(R234+1)</f>
        <v>9576.226843</v>
      </c>
      <c r="Y234" s="13">
        <f> 'Optimal Choice'!$B$10*'Optimal Choice'!$B$11^(S234+1)</f>
        <v>32326.15614</v>
      </c>
      <c r="Z234" s="13">
        <f> 'Optimal Choice'!$B$15*'Optimal Choice'!$B$16^(T234+1)</f>
        <v>119294.8509</v>
      </c>
      <c r="AA234" s="13">
        <f> 'Optimal Choice'!$B$20*'Optimal Choice'!$B$21^(U234+1)</f>
        <v>127127.4978</v>
      </c>
      <c r="AB234" s="13">
        <f> 'Optimal Choice'!$B$25*'Optimal Choice'!$B$26^(V234+1)</f>
        <v>711871.1193</v>
      </c>
      <c r="AE234" s="12">
        <f t="shared" si="4"/>
        <v>60</v>
      </c>
      <c r="AF234" s="12">
        <f t="shared" si="5"/>
        <v>5</v>
      </c>
      <c r="AG234" s="12">
        <f t="shared" si="6"/>
        <v>4</v>
      </c>
      <c r="AH234" s="14">
        <f t="shared" si="7"/>
        <v>1</v>
      </c>
      <c r="AI234" s="14">
        <f t="shared" si="8"/>
        <v>1</v>
      </c>
      <c r="AL234" s="14">
        <f>R234*'Optimal Choice'!$B$4*AE234</f>
        <v>11422.8</v>
      </c>
      <c r="AM234" s="14">
        <f>S234*'Optimal Choice'!$B$9*AF234</f>
        <v>4400</v>
      </c>
      <c r="AN234" s="14">
        <f>T234*'Optimal Choice'!$B$14*AG234</f>
        <v>13680</v>
      </c>
      <c r="AO234" s="14">
        <f>U234*'Optimal Choice'!$B$19*AH234</f>
        <v>7560</v>
      </c>
      <c r="AP234" s="14">
        <f>V234*'Optimal Choice'!$B$24*AI234</f>
        <v>34560</v>
      </c>
      <c r="AS234" s="12">
        <f t="shared" si="9"/>
        <v>60</v>
      </c>
      <c r="AT234" s="12">
        <f t="shared" si="10"/>
        <v>5</v>
      </c>
      <c r="AU234" s="12">
        <f t="shared" si="11"/>
        <v>4</v>
      </c>
      <c r="AV234" s="14">
        <f t="shared" si="12"/>
        <v>1</v>
      </c>
      <c r="AW234" s="14">
        <f t="shared" si="13"/>
        <v>1</v>
      </c>
      <c r="AY234" s="11">
        <f t="shared" si="14"/>
        <v>0.002085528377</v>
      </c>
    </row>
    <row r="235" ht="15.75" customHeight="1">
      <c r="A235" s="15">
        <f t="shared" si="2"/>
        <v>5.465315027</v>
      </c>
      <c r="B235" s="7">
        <f>(sum(AL235:AP235))*'Optimal Choice'!$B$28</f>
        <v>71723</v>
      </c>
      <c r="C235" s="11"/>
      <c r="D235" s="12"/>
      <c r="E235" s="12"/>
      <c r="F235" s="11"/>
      <c r="G235" s="11"/>
      <c r="H235" s="11"/>
      <c r="I235" s="11"/>
      <c r="J235" s="11"/>
      <c r="K235" s="11">
        <f>(X235/$B235)+(X235/('Optimal Choice'!$B$4*AS235))</f>
        <v>102.403968</v>
      </c>
      <c r="L235" s="11">
        <f>(Y235/$B235)+(Y235/('Optimal Choice'!$B$9*AT235))</f>
        <v>323.7122698</v>
      </c>
      <c r="M235" s="11">
        <f>(Z235/$B235)+(Z235/('Optimal Choice'!$B$14*AU235))</f>
        <v>333.0378576</v>
      </c>
      <c r="N235" s="11">
        <f>(AA235/$B235)+(AA235/('Optimal Choice'!$B$19*AV235))</f>
        <v>354.9044172</v>
      </c>
      <c r="O235" s="11">
        <f>(AB235/$B235)+(AB235/('Optimal Choice'!$B$24*AW235))</f>
        <v>339.4952463</v>
      </c>
      <c r="R235" s="12">
        <f t="shared" ref="R235:V235" si="245">if(min($K234:$O234)=K234,R234+1,R234)</f>
        <v>115</v>
      </c>
      <c r="S235" s="12">
        <f t="shared" si="245"/>
        <v>44</v>
      </c>
      <c r="T235" s="12">
        <f t="shared" si="245"/>
        <v>38</v>
      </c>
      <c r="U235" s="12">
        <f t="shared" si="245"/>
        <v>21</v>
      </c>
      <c r="V235" s="12">
        <f t="shared" si="245"/>
        <v>16</v>
      </c>
      <c r="X235" s="13">
        <f> 'Optimal Choice'!$B$5*'Optimal Choice'!$B$6^(R235+1)</f>
        <v>10246.56272</v>
      </c>
      <c r="Y235" s="13">
        <f> 'Optimal Choice'!$B$10*'Optimal Choice'!$B$11^(S235+1)</f>
        <v>32326.15614</v>
      </c>
      <c r="Z235" s="13">
        <f> 'Optimal Choice'!$B$15*'Optimal Choice'!$B$16^(T235+1)</f>
        <v>119294.8509</v>
      </c>
      <c r="AA235" s="13">
        <f> 'Optimal Choice'!$B$20*'Optimal Choice'!$B$21^(U235+1)</f>
        <v>127127.4978</v>
      </c>
      <c r="AB235" s="13">
        <f> 'Optimal Choice'!$B$25*'Optimal Choice'!$B$26^(V235+1)</f>
        <v>711871.1193</v>
      </c>
      <c r="AE235" s="12">
        <f t="shared" si="4"/>
        <v>60</v>
      </c>
      <c r="AF235" s="12">
        <f t="shared" si="5"/>
        <v>5</v>
      </c>
      <c r="AG235" s="12">
        <f t="shared" si="6"/>
        <v>4</v>
      </c>
      <c r="AH235" s="14">
        <f t="shared" si="7"/>
        <v>1</v>
      </c>
      <c r="AI235" s="14">
        <f t="shared" si="8"/>
        <v>1</v>
      </c>
      <c r="AL235" s="14">
        <f>R235*'Optimal Choice'!$B$4*AE235</f>
        <v>11523</v>
      </c>
      <c r="AM235" s="14">
        <f>S235*'Optimal Choice'!$B$9*AF235</f>
        <v>4400</v>
      </c>
      <c r="AN235" s="14">
        <f>T235*'Optimal Choice'!$B$14*AG235</f>
        <v>13680</v>
      </c>
      <c r="AO235" s="14">
        <f>U235*'Optimal Choice'!$B$19*AH235</f>
        <v>7560</v>
      </c>
      <c r="AP235" s="14">
        <f>V235*'Optimal Choice'!$B$24*AI235</f>
        <v>34560</v>
      </c>
      <c r="AS235" s="12">
        <f t="shared" si="9"/>
        <v>60</v>
      </c>
      <c r="AT235" s="12">
        <f t="shared" si="10"/>
        <v>5</v>
      </c>
      <c r="AU235" s="12">
        <f t="shared" si="11"/>
        <v>4</v>
      </c>
      <c r="AV235" s="14">
        <f t="shared" si="12"/>
        <v>1</v>
      </c>
      <c r="AW235" s="14">
        <f t="shared" si="13"/>
        <v>1</v>
      </c>
      <c r="AY235" s="11">
        <f t="shared" si="14"/>
        <v>0.002228393482</v>
      </c>
    </row>
    <row r="236" ht="15.75" customHeight="1">
      <c r="A236" s="15">
        <f t="shared" si="2"/>
        <v>5.467696077</v>
      </c>
      <c r="B236" s="7">
        <f>(sum(AL236:AP236))*'Optimal Choice'!$B$28</f>
        <v>71823.2</v>
      </c>
      <c r="C236" s="11"/>
      <c r="D236" s="12"/>
      <c r="E236" s="12"/>
      <c r="F236" s="11"/>
      <c r="G236" s="11"/>
      <c r="H236" s="11"/>
      <c r="I236" s="11"/>
      <c r="J236" s="11"/>
      <c r="K236" s="11">
        <f>(X236/$B236)+(X236/('Optimal Choice'!$B$4*AS236))</f>
        <v>109.5720325</v>
      </c>
      <c r="L236" s="11">
        <f>(Y236/$B236)+(Y236/('Optimal Choice'!$B$9*AT236))</f>
        <v>323.711641</v>
      </c>
      <c r="M236" s="11">
        <f>(Z236/$B236)+(Z236/('Optimal Choice'!$B$14*AU236))</f>
        <v>333.0355372</v>
      </c>
      <c r="N236" s="11">
        <f>(AA236/$B236)+(AA236/('Optimal Choice'!$B$19*AV236))</f>
        <v>354.9019444</v>
      </c>
      <c r="O236" s="11">
        <f>(AB236/$B236)+(AB236/('Optimal Choice'!$B$24*AW236))</f>
        <v>339.4813996</v>
      </c>
      <c r="R236" s="12">
        <f t="shared" ref="R236:V236" si="246">if(min($K235:$O235)=K235,R235+1,R235)</f>
        <v>116</v>
      </c>
      <c r="S236" s="12">
        <f t="shared" si="246"/>
        <v>44</v>
      </c>
      <c r="T236" s="12">
        <f t="shared" si="246"/>
        <v>38</v>
      </c>
      <c r="U236" s="12">
        <f t="shared" si="246"/>
        <v>21</v>
      </c>
      <c r="V236" s="12">
        <f t="shared" si="246"/>
        <v>16</v>
      </c>
      <c r="X236" s="13">
        <f> 'Optimal Choice'!$B$5*'Optimal Choice'!$B$6^(R236+1)</f>
        <v>10963.82211</v>
      </c>
      <c r="Y236" s="13">
        <f> 'Optimal Choice'!$B$10*'Optimal Choice'!$B$11^(S236+1)</f>
        <v>32326.15614</v>
      </c>
      <c r="Z236" s="13">
        <f> 'Optimal Choice'!$B$15*'Optimal Choice'!$B$16^(T236+1)</f>
        <v>119294.8509</v>
      </c>
      <c r="AA236" s="13">
        <f> 'Optimal Choice'!$B$20*'Optimal Choice'!$B$21^(U236+1)</f>
        <v>127127.4978</v>
      </c>
      <c r="AB236" s="13">
        <f> 'Optimal Choice'!$B$25*'Optimal Choice'!$B$26^(V236+1)</f>
        <v>711871.1193</v>
      </c>
      <c r="AE236" s="12">
        <f t="shared" si="4"/>
        <v>60</v>
      </c>
      <c r="AF236" s="12">
        <f t="shared" si="5"/>
        <v>5</v>
      </c>
      <c r="AG236" s="12">
        <f t="shared" si="6"/>
        <v>4</v>
      </c>
      <c r="AH236" s="14">
        <f t="shared" si="7"/>
        <v>1</v>
      </c>
      <c r="AI236" s="14">
        <f t="shared" si="8"/>
        <v>1</v>
      </c>
      <c r="AL236" s="14">
        <f>R236*'Optimal Choice'!$B$4*AE236</f>
        <v>11623.2</v>
      </c>
      <c r="AM236" s="14">
        <f>S236*'Optimal Choice'!$B$9*AF236</f>
        <v>4400</v>
      </c>
      <c r="AN236" s="14">
        <f>T236*'Optimal Choice'!$B$14*AG236</f>
        <v>13680</v>
      </c>
      <c r="AO236" s="14">
        <f>U236*'Optimal Choice'!$B$19*AH236</f>
        <v>7560</v>
      </c>
      <c r="AP236" s="14">
        <f>V236*'Optimal Choice'!$B$24*AI236</f>
        <v>34560</v>
      </c>
      <c r="AS236" s="12">
        <f t="shared" si="9"/>
        <v>60</v>
      </c>
      <c r="AT236" s="12">
        <f t="shared" si="10"/>
        <v>5</v>
      </c>
      <c r="AU236" s="12">
        <f t="shared" si="11"/>
        <v>4</v>
      </c>
      <c r="AV236" s="14">
        <f t="shared" si="12"/>
        <v>1</v>
      </c>
      <c r="AW236" s="14">
        <f t="shared" si="13"/>
        <v>1</v>
      </c>
      <c r="AY236" s="11">
        <f t="shared" si="14"/>
        <v>0.002381049947</v>
      </c>
    </row>
    <row r="237" ht="15.75" customHeight="1">
      <c r="A237" s="15">
        <f t="shared" si="2"/>
        <v>5.470240246</v>
      </c>
      <c r="B237" s="7">
        <f>(sum(AL237:AP237))*'Optimal Choice'!$B$28</f>
        <v>71923.4</v>
      </c>
      <c r="C237" s="11"/>
      <c r="D237" s="12"/>
      <c r="E237" s="12"/>
      <c r="F237" s="11"/>
      <c r="G237" s="11"/>
      <c r="H237" s="11"/>
      <c r="I237" s="11"/>
      <c r="J237" s="11"/>
      <c r="K237" s="11">
        <f>(X237/$B237)+(X237/('Optimal Choice'!$B$4*AS237))</f>
        <v>117.2418472</v>
      </c>
      <c r="L237" s="11">
        <f>(Y237/$B237)+(Y237/('Optimal Choice'!$B$9*AT237))</f>
        <v>323.711014</v>
      </c>
      <c r="M237" s="11">
        <f>(Z237/$B237)+(Z237/('Optimal Choice'!$B$14*AU237))</f>
        <v>333.0332233</v>
      </c>
      <c r="N237" s="11">
        <f>(AA237/$B237)+(AA237/('Optimal Choice'!$B$19*AV237))</f>
        <v>354.8994786</v>
      </c>
      <c r="O237" s="11">
        <f>(AB237/$B237)+(AB237/('Optimal Choice'!$B$24*AW237))</f>
        <v>339.4675915</v>
      </c>
      <c r="R237" s="12">
        <f t="shared" ref="R237:V237" si="247">if(min($K236:$O236)=K236,R236+1,R236)</f>
        <v>117</v>
      </c>
      <c r="S237" s="12">
        <f t="shared" si="247"/>
        <v>44</v>
      </c>
      <c r="T237" s="12">
        <f t="shared" si="247"/>
        <v>38</v>
      </c>
      <c r="U237" s="12">
        <f t="shared" si="247"/>
        <v>21</v>
      </c>
      <c r="V237" s="12">
        <f t="shared" si="247"/>
        <v>16</v>
      </c>
      <c r="X237" s="13">
        <f> 'Optimal Choice'!$B$5*'Optimal Choice'!$B$6^(R237+1)</f>
        <v>11731.28966</v>
      </c>
      <c r="Y237" s="13">
        <f> 'Optimal Choice'!$B$10*'Optimal Choice'!$B$11^(S237+1)</f>
        <v>32326.15614</v>
      </c>
      <c r="Z237" s="13">
        <f> 'Optimal Choice'!$B$15*'Optimal Choice'!$B$16^(T237+1)</f>
        <v>119294.8509</v>
      </c>
      <c r="AA237" s="13">
        <f> 'Optimal Choice'!$B$20*'Optimal Choice'!$B$21^(U237+1)</f>
        <v>127127.4978</v>
      </c>
      <c r="AB237" s="13">
        <f> 'Optimal Choice'!$B$25*'Optimal Choice'!$B$26^(V237+1)</f>
        <v>711871.1193</v>
      </c>
      <c r="AE237" s="12">
        <f t="shared" si="4"/>
        <v>60</v>
      </c>
      <c r="AF237" s="12">
        <f t="shared" si="5"/>
        <v>5</v>
      </c>
      <c r="AG237" s="12">
        <f t="shared" si="6"/>
        <v>4</v>
      </c>
      <c r="AH237" s="14">
        <f t="shared" si="7"/>
        <v>1</v>
      </c>
      <c r="AI237" s="14">
        <f t="shared" si="8"/>
        <v>1</v>
      </c>
      <c r="AL237" s="14">
        <f>R237*'Optimal Choice'!$B$4*AE237</f>
        <v>11723.4</v>
      </c>
      <c r="AM237" s="14">
        <f>S237*'Optimal Choice'!$B$9*AF237</f>
        <v>4400</v>
      </c>
      <c r="AN237" s="14">
        <f>T237*'Optimal Choice'!$B$14*AG237</f>
        <v>13680</v>
      </c>
      <c r="AO237" s="14">
        <f>U237*'Optimal Choice'!$B$19*AH237</f>
        <v>7560</v>
      </c>
      <c r="AP237" s="14">
        <f>V237*'Optimal Choice'!$B$24*AI237</f>
        <v>34560</v>
      </c>
      <c r="AS237" s="12">
        <f t="shared" si="9"/>
        <v>60</v>
      </c>
      <c r="AT237" s="12">
        <f t="shared" si="10"/>
        <v>5</v>
      </c>
      <c r="AU237" s="12">
        <f t="shared" si="11"/>
        <v>4</v>
      </c>
      <c r="AV237" s="14">
        <f t="shared" si="12"/>
        <v>1</v>
      </c>
      <c r="AW237" s="14">
        <f t="shared" si="13"/>
        <v>1</v>
      </c>
      <c r="AY237" s="11">
        <f t="shared" si="14"/>
        <v>0.002544169134</v>
      </c>
    </row>
    <row r="238" ht="15.75" customHeight="1">
      <c r="A238" s="15">
        <f t="shared" si="2"/>
        <v>5.472958714</v>
      </c>
      <c r="B238" s="7">
        <f>(sum(AL238:AP238))*'Optimal Choice'!$B$28</f>
        <v>72023.6</v>
      </c>
      <c r="C238" s="11"/>
      <c r="D238" s="12"/>
      <c r="E238" s="12"/>
      <c r="F238" s="11"/>
      <c r="G238" s="11"/>
      <c r="H238" s="11"/>
      <c r="I238" s="11"/>
      <c r="J238" s="11"/>
      <c r="K238" s="11">
        <f>(X238/$B238)+(X238/('Optimal Choice'!$B$4*AS238))</f>
        <v>125.4485337</v>
      </c>
      <c r="L238" s="11">
        <f>(Y238/$B238)+(Y238/('Optimal Choice'!$B$9*AT238))</f>
        <v>323.7103887</v>
      </c>
      <c r="M238" s="11">
        <f>(Z238/$B238)+(Z238/('Optimal Choice'!$B$14*AU238))</f>
        <v>333.0309157</v>
      </c>
      <c r="N238" s="11">
        <f>(AA238/$B238)+(AA238/('Optimal Choice'!$B$19*AV238))</f>
        <v>354.8970195</v>
      </c>
      <c r="O238" s="11">
        <f>(AB238/$B238)+(AB238/('Optimal Choice'!$B$24*AW238))</f>
        <v>339.4538218</v>
      </c>
      <c r="R238" s="12">
        <f t="shared" ref="R238:V238" si="248">if(min($K237:$O237)=K237,R237+1,R237)</f>
        <v>118</v>
      </c>
      <c r="S238" s="12">
        <f t="shared" si="248"/>
        <v>44</v>
      </c>
      <c r="T238" s="12">
        <f t="shared" si="248"/>
        <v>38</v>
      </c>
      <c r="U238" s="12">
        <f t="shared" si="248"/>
        <v>21</v>
      </c>
      <c r="V238" s="12">
        <f t="shared" si="248"/>
        <v>16</v>
      </c>
      <c r="X238" s="13">
        <f> 'Optimal Choice'!$B$5*'Optimal Choice'!$B$6^(R238+1)</f>
        <v>12552.47994</v>
      </c>
      <c r="Y238" s="13">
        <f> 'Optimal Choice'!$B$10*'Optimal Choice'!$B$11^(S238+1)</f>
        <v>32326.15614</v>
      </c>
      <c r="Z238" s="13">
        <f> 'Optimal Choice'!$B$15*'Optimal Choice'!$B$16^(T238+1)</f>
        <v>119294.8509</v>
      </c>
      <c r="AA238" s="13">
        <f> 'Optimal Choice'!$B$20*'Optimal Choice'!$B$21^(U238+1)</f>
        <v>127127.4978</v>
      </c>
      <c r="AB238" s="13">
        <f> 'Optimal Choice'!$B$25*'Optimal Choice'!$B$26^(V238+1)</f>
        <v>711871.1193</v>
      </c>
      <c r="AE238" s="12">
        <f t="shared" si="4"/>
        <v>60</v>
      </c>
      <c r="AF238" s="12">
        <f t="shared" si="5"/>
        <v>5</v>
      </c>
      <c r="AG238" s="12">
        <f t="shared" si="6"/>
        <v>4</v>
      </c>
      <c r="AH238" s="14">
        <f t="shared" si="7"/>
        <v>1</v>
      </c>
      <c r="AI238" s="14">
        <f t="shared" si="8"/>
        <v>1</v>
      </c>
      <c r="AL238" s="14">
        <f>R238*'Optimal Choice'!$B$4*AE238</f>
        <v>11823.6</v>
      </c>
      <c r="AM238" s="14">
        <f>S238*'Optimal Choice'!$B$9*AF238</f>
        <v>4400</v>
      </c>
      <c r="AN238" s="14">
        <f>T238*'Optimal Choice'!$B$14*AG238</f>
        <v>13680</v>
      </c>
      <c r="AO238" s="14">
        <f>U238*'Optimal Choice'!$B$19*AH238</f>
        <v>7560</v>
      </c>
      <c r="AP238" s="14">
        <f>V238*'Optimal Choice'!$B$24*AI238</f>
        <v>34560</v>
      </c>
      <c r="AS238" s="12">
        <f t="shared" si="9"/>
        <v>60</v>
      </c>
      <c r="AT238" s="12">
        <f t="shared" si="10"/>
        <v>5</v>
      </c>
      <c r="AU238" s="12">
        <f t="shared" si="11"/>
        <v>4</v>
      </c>
      <c r="AV238" s="14">
        <f t="shared" si="12"/>
        <v>1</v>
      </c>
      <c r="AW238" s="14">
        <f t="shared" si="13"/>
        <v>1</v>
      </c>
      <c r="AY238" s="11">
        <f t="shared" si="14"/>
        <v>0.002718468459</v>
      </c>
    </row>
    <row r="239" ht="15.75" customHeight="1">
      <c r="A239" s="15">
        <f t="shared" si="2"/>
        <v>5.475863429</v>
      </c>
      <c r="B239" s="7">
        <f>(sum(AL239:AP239))*'Optimal Choice'!$B$28</f>
        <v>72123.8</v>
      </c>
      <c r="C239" s="11"/>
      <c r="D239" s="12"/>
      <c r="E239" s="12"/>
      <c r="F239" s="11"/>
      <c r="G239" s="11"/>
      <c r="H239" s="11"/>
      <c r="I239" s="11"/>
      <c r="J239" s="11"/>
      <c r="K239" s="11">
        <f>(X239/$B239)+(X239/('Optimal Choice'!$B$4*AS239))</f>
        <v>134.229672</v>
      </c>
      <c r="L239" s="11">
        <f>(Y239/$B239)+(Y239/('Optimal Choice'!$B$9*AT239))</f>
        <v>323.7097651</v>
      </c>
      <c r="M239" s="11">
        <f>(Z239/$B239)+(Z239/('Optimal Choice'!$B$14*AU239))</f>
        <v>333.0286146</v>
      </c>
      <c r="N239" s="11">
        <f>(AA239/$B239)+(AA239/('Optimal Choice'!$B$19*AV239))</f>
        <v>354.8945674</v>
      </c>
      <c r="O239" s="11">
        <f>(AB239/$B239)+(AB239/('Optimal Choice'!$B$24*AW239))</f>
        <v>339.4400904</v>
      </c>
      <c r="R239" s="12">
        <f t="shared" ref="R239:V239" si="249">if(min($K238:$O238)=K238,R238+1,R238)</f>
        <v>119</v>
      </c>
      <c r="S239" s="12">
        <f t="shared" si="249"/>
        <v>44</v>
      </c>
      <c r="T239" s="12">
        <f t="shared" si="249"/>
        <v>38</v>
      </c>
      <c r="U239" s="12">
        <f t="shared" si="249"/>
        <v>21</v>
      </c>
      <c r="V239" s="12">
        <f t="shared" si="249"/>
        <v>16</v>
      </c>
      <c r="X239" s="13">
        <f> 'Optimal Choice'!$B$5*'Optimal Choice'!$B$6^(R239+1)</f>
        <v>13431.15353</v>
      </c>
      <c r="Y239" s="13">
        <f> 'Optimal Choice'!$B$10*'Optimal Choice'!$B$11^(S239+1)</f>
        <v>32326.15614</v>
      </c>
      <c r="Z239" s="13">
        <f> 'Optimal Choice'!$B$15*'Optimal Choice'!$B$16^(T239+1)</f>
        <v>119294.8509</v>
      </c>
      <c r="AA239" s="13">
        <f> 'Optimal Choice'!$B$20*'Optimal Choice'!$B$21^(U239+1)</f>
        <v>127127.4978</v>
      </c>
      <c r="AB239" s="13">
        <f> 'Optimal Choice'!$B$25*'Optimal Choice'!$B$26^(V239+1)</f>
        <v>711871.1193</v>
      </c>
      <c r="AE239" s="12">
        <f t="shared" si="4"/>
        <v>60</v>
      </c>
      <c r="AF239" s="12">
        <f t="shared" si="5"/>
        <v>5</v>
      </c>
      <c r="AG239" s="12">
        <f t="shared" si="6"/>
        <v>4</v>
      </c>
      <c r="AH239" s="14">
        <f t="shared" si="7"/>
        <v>1</v>
      </c>
      <c r="AI239" s="14">
        <f t="shared" si="8"/>
        <v>1</v>
      </c>
      <c r="AL239" s="14">
        <f>R239*'Optimal Choice'!$B$4*AE239</f>
        <v>11923.8</v>
      </c>
      <c r="AM239" s="14">
        <f>S239*'Optimal Choice'!$B$9*AF239</f>
        <v>4400</v>
      </c>
      <c r="AN239" s="14">
        <f>T239*'Optimal Choice'!$B$14*AG239</f>
        <v>13680</v>
      </c>
      <c r="AO239" s="14">
        <f>U239*'Optimal Choice'!$B$19*AH239</f>
        <v>7560</v>
      </c>
      <c r="AP239" s="14">
        <f>V239*'Optimal Choice'!$B$24*AI239</f>
        <v>34560</v>
      </c>
      <c r="AS239" s="12">
        <f t="shared" si="9"/>
        <v>60</v>
      </c>
      <c r="AT239" s="12">
        <f t="shared" si="10"/>
        <v>5</v>
      </c>
      <c r="AU239" s="12">
        <f t="shared" si="11"/>
        <v>4</v>
      </c>
      <c r="AV239" s="14">
        <f t="shared" si="12"/>
        <v>1</v>
      </c>
      <c r="AW239" s="14">
        <f t="shared" si="13"/>
        <v>1</v>
      </c>
      <c r="AY239" s="11">
        <f t="shared" si="14"/>
        <v>0.002904714551</v>
      </c>
    </row>
    <row r="240" ht="15.75" customHeight="1">
      <c r="A240" s="15">
        <f t="shared" si="2"/>
        <v>5.478967155</v>
      </c>
      <c r="B240" s="7">
        <f>(sum(AL240:AP240))*'Optimal Choice'!$B$28</f>
        <v>72224</v>
      </c>
      <c r="C240" s="11"/>
      <c r="D240" s="12"/>
      <c r="E240" s="12"/>
      <c r="F240" s="11"/>
      <c r="G240" s="11"/>
      <c r="H240" s="11"/>
      <c r="I240" s="11"/>
      <c r="J240" s="11"/>
      <c r="K240" s="11">
        <f>(X240/$B240)+(X240/('Optimal Choice'!$B$4*AS240))</f>
        <v>143.6254726</v>
      </c>
      <c r="L240" s="11">
        <f>(Y240/$B240)+(Y240/('Optimal Choice'!$B$9*AT240))</f>
        <v>323.7091433</v>
      </c>
      <c r="M240" s="11">
        <f>(Z240/$B240)+(Z240/('Optimal Choice'!$B$14*AU240))</f>
        <v>333.0263199</v>
      </c>
      <c r="N240" s="11">
        <f>(AA240/$B240)+(AA240/('Optimal Choice'!$B$19*AV240))</f>
        <v>354.892122</v>
      </c>
      <c r="O240" s="11">
        <f>(AB240/$B240)+(AB240/('Optimal Choice'!$B$24*AW240))</f>
        <v>339.4263971</v>
      </c>
      <c r="R240" s="12">
        <f t="shared" ref="R240:V240" si="250">if(min($K239:$O239)=K239,R239+1,R239)</f>
        <v>120</v>
      </c>
      <c r="S240" s="12">
        <f t="shared" si="250"/>
        <v>44</v>
      </c>
      <c r="T240" s="12">
        <f t="shared" si="250"/>
        <v>38</v>
      </c>
      <c r="U240" s="12">
        <f t="shared" si="250"/>
        <v>21</v>
      </c>
      <c r="V240" s="12">
        <f t="shared" si="250"/>
        <v>16</v>
      </c>
      <c r="X240" s="13">
        <f> 'Optimal Choice'!$B$5*'Optimal Choice'!$B$6^(R240+1)</f>
        <v>14371.33428</v>
      </c>
      <c r="Y240" s="13">
        <f> 'Optimal Choice'!$B$10*'Optimal Choice'!$B$11^(S240+1)</f>
        <v>32326.15614</v>
      </c>
      <c r="Z240" s="13">
        <f> 'Optimal Choice'!$B$15*'Optimal Choice'!$B$16^(T240+1)</f>
        <v>119294.8509</v>
      </c>
      <c r="AA240" s="13">
        <f> 'Optimal Choice'!$B$20*'Optimal Choice'!$B$21^(U240+1)</f>
        <v>127127.4978</v>
      </c>
      <c r="AB240" s="13">
        <f> 'Optimal Choice'!$B$25*'Optimal Choice'!$B$26^(V240+1)</f>
        <v>711871.1193</v>
      </c>
      <c r="AE240" s="12">
        <f t="shared" si="4"/>
        <v>60</v>
      </c>
      <c r="AF240" s="12">
        <f t="shared" si="5"/>
        <v>5</v>
      </c>
      <c r="AG240" s="12">
        <f t="shared" si="6"/>
        <v>4</v>
      </c>
      <c r="AH240" s="14">
        <f t="shared" si="7"/>
        <v>1</v>
      </c>
      <c r="AI240" s="14">
        <f t="shared" si="8"/>
        <v>1</v>
      </c>
      <c r="AL240" s="14">
        <f>R240*'Optimal Choice'!$B$4*AE240</f>
        <v>12024</v>
      </c>
      <c r="AM240" s="14">
        <f>S240*'Optimal Choice'!$B$9*AF240</f>
        <v>4400</v>
      </c>
      <c r="AN240" s="14">
        <f>T240*'Optimal Choice'!$B$14*AG240</f>
        <v>13680</v>
      </c>
      <c r="AO240" s="14">
        <f>U240*'Optimal Choice'!$B$19*AH240</f>
        <v>7560</v>
      </c>
      <c r="AP240" s="14">
        <f>V240*'Optimal Choice'!$B$24*AI240</f>
        <v>34560</v>
      </c>
      <c r="AS240" s="12">
        <f t="shared" si="9"/>
        <v>60</v>
      </c>
      <c r="AT240" s="12">
        <f t="shared" si="10"/>
        <v>5</v>
      </c>
      <c r="AU240" s="12">
        <f t="shared" si="11"/>
        <v>4</v>
      </c>
      <c r="AV240" s="14">
        <f t="shared" si="12"/>
        <v>1</v>
      </c>
      <c r="AW240" s="14">
        <f t="shared" si="13"/>
        <v>1</v>
      </c>
      <c r="AY240" s="11">
        <f t="shared" si="14"/>
        <v>0.003103726632</v>
      </c>
    </row>
    <row r="241" ht="15.75" customHeight="1">
      <c r="A241" s="15">
        <f t="shared" si="2"/>
        <v>5.482283535</v>
      </c>
      <c r="B241" s="7">
        <f>(sum(AL241:AP241))*'Optimal Choice'!$B$28</f>
        <v>72324.2</v>
      </c>
      <c r="C241" s="11"/>
      <c r="D241" s="12"/>
      <c r="E241" s="12"/>
      <c r="F241" s="11"/>
      <c r="G241" s="11"/>
      <c r="H241" s="11"/>
      <c r="I241" s="11"/>
      <c r="J241" s="11"/>
      <c r="K241" s="11">
        <f>(X241/$B241)+(X241/('Optimal Choice'!$B$4*AS241))</f>
        <v>153.6789607</v>
      </c>
      <c r="L241" s="11">
        <f>(Y241/$B241)+(Y241/('Optimal Choice'!$B$9*AT241))</f>
        <v>323.7085232</v>
      </c>
      <c r="M241" s="11">
        <f>(Z241/$B241)+(Z241/('Optimal Choice'!$B$14*AU241))</f>
        <v>333.0240316</v>
      </c>
      <c r="N241" s="11">
        <f>(AA241/$B241)+(AA241/('Optimal Choice'!$B$19*AV241))</f>
        <v>354.8896834</v>
      </c>
      <c r="O241" s="11">
        <f>(AB241/$B241)+(AB241/('Optimal Choice'!$B$24*AW241))</f>
        <v>339.4127417</v>
      </c>
      <c r="R241" s="12">
        <f t="shared" ref="R241:V241" si="251">if(min($K240:$O240)=K240,R240+1,R240)</f>
        <v>121</v>
      </c>
      <c r="S241" s="12">
        <f t="shared" si="251"/>
        <v>44</v>
      </c>
      <c r="T241" s="12">
        <f t="shared" si="251"/>
        <v>38</v>
      </c>
      <c r="U241" s="12">
        <f t="shared" si="251"/>
        <v>21</v>
      </c>
      <c r="V241" s="12">
        <f t="shared" si="251"/>
        <v>16</v>
      </c>
      <c r="X241" s="13">
        <f> 'Optimal Choice'!$B$5*'Optimal Choice'!$B$6^(R241+1)</f>
        <v>15377.32768</v>
      </c>
      <c r="Y241" s="13">
        <f> 'Optimal Choice'!$B$10*'Optimal Choice'!$B$11^(S241+1)</f>
        <v>32326.15614</v>
      </c>
      <c r="Z241" s="13">
        <f> 'Optimal Choice'!$B$15*'Optimal Choice'!$B$16^(T241+1)</f>
        <v>119294.8509</v>
      </c>
      <c r="AA241" s="13">
        <f> 'Optimal Choice'!$B$20*'Optimal Choice'!$B$21^(U241+1)</f>
        <v>127127.4978</v>
      </c>
      <c r="AB241" s="13">
        <f> 'Optimal Choice'!$B$25*'Optimal Choice'!$B$26^(V241+1)</f>
        <v>711871.1193</v>
      </c>
      <c r="AE241" s="12">
        <f t="shared" si="4"/>
        <v>60</v>
      </c>
      <c r="AF241" s="12">
        <f t="shared" si="5"/>
        <v>5</v>
      </c>
      <c r="AG241" s="12">
        <f t="shared" si="6"/>
        <v>4</v>
      </c>
      <c r="AH241" s="14">
        <f t="shared" si="7"/>
        <v>1</v>
      </c>
      <c r="AI241" s="14">
        <f t="shared" si="8"/>
        <v>1</v>
      </c>
      <c r="AL241" s="14">
        <f>R241*'Optimal Choice'!$B$4*AE241</f>
        <v>12124.2</v>
      </c>
      <c r="AM241" s="14">
        <f>S241*'Optimal Choice'!$B$9*AF241</f>
        <v>4400</v>
      </c>
      <c r="AN241" s="14">
        <f>T241*'Optimal Choice'!$B$14*AG241</f>
        <v>13680</v>
      </c>
      <c r="AO241" s="14">
        <f>U241*'Optimal Choice'!$B$19*AH241</f>
        <v>7560</v>
      </c>
      <c r="AP241" s="14">
        <f>V241*'Optimal Choice'!$B$24*AI241</f>
        <v>34560</v>
      </c>
      <c r="AS241" s="12">
        <f t="shared" si="9"/>
        <v>60</v>
      </c>
      <c r="AT241" s="12">
        <f t="shared" si="10"/>
        <v>5</v>
      </c>
      <c r="AU241" s="12">
        <f t="shared" si="11"/>
        <v>4</v>
      </c>
      <c r="AV241" s="14">
        <f t="shared" si="12"/>
        <v>1</v>
      </c>
      <c r="AW241" s="14">
        <f t="shared" si="13"/>
        <v>1</v>
      </c>
      <c r="AY241" s="11">
        <f t="shared" si="14"/>
        <v>0.003316380123</v>
      </c>
    </row>
    <row r="242" ht="15.75" customHeight="1">
      <c r="A242" s="15">
        <f t="shared" si="2"/>
        <v>5.485827146</v>
      </c>
      <c r="B242" s="7">
        <f>(sum(AL242:AP242))*'Optimal Choice'!$B$28</f>
        <v>72424.4</v>
      </c>
      <c r="C242" s="11"/>
      <c r="D242" s="12"/>
      <c r="E242" s="12"/>
      <c r="F242" s="11"/>
      <c r="G242" s="11"/>
      <c r="H242" s="11"/>
      <c r="I242" s="11"/>
      <c r="J242" s="11"/>
      <c r="K242" s="11">
        <f>(X242/$B242)+(X242/('Optimal Choice'!$B$4*AS242))</f>
        <v>164.4361732</v>
      </c>
      <c r="L242" s="11">
        <f>(Y242/$B242)+(Y242/('Optimal Choice'!$B$9*AT242))</f>
        <v>323.7079048</v>
      </c>
      <c r="M242" s="11">
        <f>(Z242/$B242)+(Z242/('Optimal Choice'!$B$14*AU242))</f>
        <v>333.0217495</v>
      </c>
      <c r="N242" s="11">
        <f>(AA242/$B242)+(AA242/('Optimal Choice'!$B$19*AV242))</f>
        <v>354.8872515</v>
      </c>
      <c r="O242" s="11">
        <f>(AB242/$B242)+(AB242/('Optimal Choice'!$B$24*AW242))</f>
        <v>339.3991241</v>
      </c>
      <c r="R242" s="12">
        <f t="shared" ref="R242:V242" si="252">if(min($K241:$O241)=K241,R241+1,R241)</f>
        <v>122</v>
      </c>
      <c r="S242" s="12">
        <f t="shared" si="252"/>
        <v>44</v>
      </c>
      <c r="T242" s="12">
        <f t="shared" si="252"/>
        <v>38</v>
      </c>
      <c r="U242" s="12">
        <f t="shared" si="252"/>
        <v>21</v>
      </c>
      <c r="V242" s="12">
        <f t="shared" si="252"/>
        <v>16</v>
      </c>
      <c r="X242" s="13">
        <f> 'Optimal Choice'!$B$5*'Optimal Choice'!$B$6^(R242+1)</f>
        <v>16453.74062</v>
      </c>
      <c r="Y242" s="13">
        <f> 'Optimal Choice'!$B$10*'Optimal Choice'!$B$11^(S242+1)</f>
        <v>32326.15614</v>
      </c>
      <c r="Z242" s="13">
        <f> 'Optimal Choice'!$B$15*'Optimal Choice'!$B$16^(T242+1)</f>
        <v>119294.8509</v>
      </c>
      <c r="AA242" s="13">
        <f> 'Optimal Choice'!$B$20*'Optimal Choice'!$B$21^(U242+1)</f>
        <v>127127.4978</v>
      </c>
      <c r="AB242" s="13">
        <f> 'Optimal Choice'!$B$25*'Optimal Choice'!$B$26^(V242+1)</f>
        <v>711871.1193</v>
      </c>
      <c r="AE242" s="12">
        <f t="shared" si="4"/>
        <v>60</v>
      </c>
      <c r="AF242" s="12">
        <f t="shared" si="5"/>
        <v>5</v>
      </c>
      <c r="AG242" s="12">
        <f t="shared" si="6"/>
        <v>4</v>
      </c>
      <c r="AH242" s="14">
        <f t="shared" si="7"/>
        <v>1</v>
      </c>
      <c r="AI242" s="14">
        <f t="shared" si="8"/>
        <v>1</v>
      </c>
      <c r="AL242" s="14">
        <f>R242*'Optimal Choice'!$B$4*AE242</f>
        <v>12224.4</v>
      </c>
      <c r="AM242" s="14">
        <f>S242*'Optimal Choice'!$B$9*AF242</f>
        <v>4400</v>
      </c>
      <c r="AN242" s="14">
        <f>T242*'Optimal Choice'!$B$14*AG242</f>
        <v>13680</v>
      </c>
      <c r="AO242" s="14">
        <f>U242*'Optimal Choice'!$B$19*AH242</f>
        <v>7560</v>
      </c>
      <c r="AP242" s="14">
        <f>V242*'Optimal Choice'!$B$24*AI242</f>
        <v>34560</v>
      </c>
      <c r="AS242" s="12">
        <f t="shared" si="9"/>
        <v>60</v>
      </c>
      <c r="AT242" s="12">
        <f t="shared" si="10"/>
        <v>5</v>
      </c>
      <c r="AU242" s="12">
        <f t="shared" si="11"/>
        <v>4</v>
      </c>
      <c r="AV242" s="14">
        <f t="shared" si="12"/>
        <v>1</v>
      </c>
      <c r="AW242" s="14">
        <f t="shared" si="13"/>
        <v>1</v>
      </c>
      <c r="AY242" s="11">
        <f t="shared" si="14"/>
        <v>0.003543610502</v>
      </c>
    </row>
    <row r="243" ht="15.75" customHeight="1">
      <c r="A243" s="15">
        <f t="shared" si="2"/>
        <v>5.489613563</v>
      </c>
      <c r="B243" s="7">
        <f>(sum(AL243:AP243))*'Optimal Choice'!$B$28</f>
        <v>72524.6</v>
      </c>
      <c r="C243" s="11"/>
      <c r="D243" s="12"/>
      <c r="E243" s="12"/>
      <c r="F243" s="11"/>
      <c r="G243" s="11"/>
      <c r="H243" s="11"/>
      <c r="I243" s="11"/>
      <c r="J243" s="11"/>
      <c r="K243" s="11">
        <f>(X243/$B243)+(X243/('Optimal Choice'!$B$4*AS243))</f>
        <v>175.9463695</v>
      </c>
      <c r="L243" s="11">
        <f>(Y243/$B243)+(Y243/('Optimal Choice'!$B$9*AT243))</f>
        <v>323.7072882</v>
      </c>
      <c r="M243" s="11">
        <f>(Z243/$B243)+(Z243/('Optimal Choice'!$B$14*AU243))</f>
        <v>333.0194738</v>
      </c>
      <c r="N243" s="11">
        <f>(AA243/$B243)+(AA243/('Optimal Choice'!$B$19*AV243))</f>
        <v>354.8848264</v>
      </c>
      <c r="O243" s="11">
        <f>(AB243/$B243)+(AB243/('Optimal Choice'!$B$24*AW243))</f>
        <v>339.3855441</v>
      </c>
      <c r="R243" s="12">
        <f t="shared" ref="R243:V243" si="253">if(min($K242:$O242)=K242,R242+1,R242)</f>
        <v>123</v>
      </c>
      <c r="S243" s="12">
        <f t="shared" si="253"/>
        <v>44</v>
      </c>
      <c r="T243" s="12">
        <f t="shared" si="253"/>
        <v>38</v>
      </c>
      <c r="U243" s="12">
        <f t="shared" si="253"/>
        <v>21</v>
      </c>
      <c r="V243" s="12">
        <f t="shared" si="253"/>
        <v>16</v>
      </c>
      <c r="X243" s="13">
        <f> 'Optimal Choice'!$B$5*'Optimal Choice'!$B$6^(R243+1)</f>
        <v>17605.50246</v>
      </c>
      <c r="Y243" s="13">
        <f> 'Optimal Choice'!$B$10*'Optimal Choice'!$B$11^(S243+1)</f>
        <v>32326.15614</v>
      </c>
      <c r="Z243" s="13">
        <f> 'Optimal Choice'!$B$15*'Optimal Choice'!$B$16^(T243+1)</f>
        <v>119294.8509</v>
      </c>
      <c r="AA243" s="13">
        <f> 'Optimal Choice'!$B$20*'Optimal Choice'!$B$21^(U243+1)</f>
        <v>127127.4978</v>
      </c>
      <c r="AB243" s="13">
        <f> 'Optimal Choice'!$B$25*'Optimal Choice'!$B$26^(V243+1)</f>
        <v>711871.1193</v>
      </c>
      <c r="AE243" s="12">
        <f t="shared" si="4"/>
        <v>60</v>
      </c>
      <c r="AF243" s="12">
        <f t="shared" si="5"/>
        <v>5</v>
      </c>
      <c r="AG243" s="12">
        <f t="shared" si="6"/>
        <v>4</v>
      </c>
      <c r="AH243" s="14">
        <f t="shared" si="7"/>
        <v>1</v>
      </c>
      <c r="AI243" s="14">
        <f t="shared" si="8"/>
        <v>1</v>
      </c>
      <c r="AL243" s="14">
        <f>R243*'Optimal Choice'!$B$4*AE243</f>
        <v>12324.6</v>
      </c>
      <c r="AM243" s="14">
        <f>S243*'Optimal Choice'!$B$9*AF243</f>
        <v>4400</v>
      </c>
      <c r="AN243" s="14">
        <f>T243*'Optimal Choice'!$B$14*AG243</f>
        <v>13680</v>
      </c>
      <c r="AO243" s="14">
        <f>U243*'Optimal Choice'!$B$19*AH243</f>
        <v>7560</v>
      </c>
      <c r="AP243" s="14">
        <f>V243*'Optimal Choice'!$B$24*AI243</f>
        <v>34560</v>
      </c>
      <c r="AS243" s="12">
        <f t="shared" si="9"/>
        <v>60</v>
      </c>
      <c r="AT243" s="12">
        <f t="shared" si="10"/>
        <v>5</v>
      </c>
      <c r="AU243" s="12">
        <f t="shared" si="11"/>
        <v>4</v>
      </c>
      <c r="AV243" s="14">
        <f t="shared" si="12"/>
        <v>1</v>
      </c>
      <c r="AW243" s="14">
        <f t="shared" si="13"/>
        <v>1</v>
      </c>
      <c r="AY243" s="11">
        <f t="shared" si="14"/>
        <v>0.003786417426</v>
      </c>
    </row>
    <row r="244" ht="15.75" customHeight="1">
      <c r="A244" s="15">
        <f t="shared" si="2"/>
        <v>5.493659433</v>
      </c>
      <c r="B244" s="7">
        <f>(sum(AL244:AP244))*'Optimal Choice'!$B$28</f>
        <v>72624.8</v>
      </c>
      <c r="C244" s="11"/>
      <c r="D244" s="12"/>
      <c r="E244" s="12"/>
      <c r="F244" s="11"/>
      <c r="G244" s="11"/>
      <c r="H244" s="11"/>
      <c r="I244" s="11"/>
      <c r="J244" s="11"/>
      <c r="K244" s="11">
        <f>(X244/$B244)+(X244/('Optimal Choice'!$B$4*AS244))</f>
        <v>188.262257</v>
      </c>
      <c r="L244" s="11">
        <f>(Y244/$B244)+(Y244/('Optimal Choice'!$B$9*AT244))</f>
        <v>323.7066732</v>
      </c>
      <c r="M244" s="11">
        <f>(Z244/$B244)+(Z244/('Optimal Choice'!$B$14*AU244))</f>
        <v>333.0172044</v>
      </c>
      <c r="N244" s="11">
        <f>(AA244/$B244)+(AA244/('Optimal Choice'!$B$19*AV244))</f>
        <v>354.8824079</v>
      </c>
      <c r="O244" s="11">
        <f>(AB244/$B244)+(AB244/('Optimal Choice'!$B$24*AW244))</f>
        <v>339.3720016</v>
      </c>
      <c r="R244" s="12">
        <f t="shared" ref="R244:V244" si="254">if(min($K243:$O243)=K243,R243+1,R243)</f>
        <v>124</v>
      </c>
      <c r="S244" s="12">
        <f t="shared" si="254"/>
        <v>44</v>
      </c>
      <c r="T244" s="12">
        <f t="shared" si="254"/>
        <v>38</v>
      </c>
      <c r="U244" s="12">
        <f t="shared" si="254"/>
        <v>21</v>
      </c>
      <c r="V244" s="12">
        <f t="shared" si="254"/>
        <v>16</v>
      </c>
      <c r="X244" s="13">
        <f> 'Optimal Choice'!$B$5*'Optimal Choice'!$B$6^(R244+1)</f>
        <v>18837.88763</v>
      </c>
      <c r="Y244" s="13">
        <f> 'Optimal Choice'!$B$10*'Optimal Choice'!$B$11^(S244+1)</f>
        <v>32326.15614</v>
      </c>
      <c r="Z244" s="13">
        <f> 'Optimal Choice'!$B$15*'Optimal Choice'!$B$16^(T244+1)</f>
        <v>119294.8509</v>
      </c>
      <c r="AA244" s="13">
        <f> 'Optimal Choice'!$B$20*'Optimal Choice'!$B$21^(U244+1)</f>
        <v>127127.4978</v>
      </c>
      <c r="AB244" s="13">
        <f> 'Optimal Choice'!$B$25*'Optimal Choice'!$B$26^(V244+1)</f>
        <v>711871.1193</v>
      </c>
      <c r="AE244" s="12">
        <f t="shared" si="4"/>
        <v>60</v>
      </c>
      <c r="AF244" s="12">
        <f t="shared" si="5"/>
        <v>5</v>
      </c>
      <c r="AG244" s="12">
        <f t="shared" si="6"/>
        <v>4</v>
      </c>
      <c r="AH244" s="14">
        <f t="shared" si="7"/>
        <v>1</v>
      </c>
      <c r="AI244" s="14">
        <f t="shared" si="8"/>
        <v>1</v>
      </c>
      <c r="AL244" s="14">
        <f>R244*'Optimal Choice'!$B$4*AE244</f>
        <v>12424.8</v>
      </c>
      <c r="AM244" s="14">
        <f>S244*'Optimal Choice'!$B$9*AF244</f>
        <v>4400</v>
      </c>
      <c r="AN244" s="14">
        <f>T244*'Optimal Choice'!$B$14*AG244</f>
        <v>13680</v>
      </c>
      <c r="AO244" s="14">
        <f>U244*'Optimal Choice'!$B$19*AH244</f>
        <v>7560</v>
      </c>
      <c r="AP244" s="14">
        <f>V244*'Optimal Choice'!$B$24*AI244</f>
        <v>34560</v>
      </c>
      <c r="AS244" s="12">
        <f t="shared" si="9"/>
        <v>60</v>
      </c>
      <c r="AT244" s="12">
        <f t="shared" si="10"/>
        <v>5</v>
      </c>
      <c r="AU244" s="12">
        <f t="shared" si="11"/>
        <v>4</v>
      </c>
      <c r="AV244" s="14">
        <f t="shared" si="12"/>
        <v>1</v>
      </c>
      <c r="AW244" s="14">
        <f t="shared" si="13"/>
        <v>1</v>
      </c>
      <c r="AY244" s="11">
        <f t="shared" si="14"/>
        <v>0.004045869139</v>
      </c>
    </row>
    <row r="245" ht="15.75" customHeight="1">
      <c r="A245" s="15">
        <f t="shared" si="2"/>
        <v>5.49798254</v>
      </c>
      <c r="B245" s="7">
        <f>(sum(AL245:AP245))*'Optimal Choice'!$B$28</f>
        <v>72725</v>
      </c>
      <c r="C245" s="11"/>
      <c r="D245" s="12"/>
      <c r="E245" s="12"/>
      <c r="F245" s="11"/>
      <c r="G245" s="11"/>
      <c r="H245" s="11"/>
      <c r="I245" s="11"/>
      <c r="J245" s="11"/>
      <c r="K245" s="11">
        <f>(X245/$B245)+(X245/('Optimal Choice'!$B$4*AS245))</f>
        <v>201.4402326</v>
      </c>
      <c r="L245" s="11">
        <f>(Y245/$B245)+(Y245/('Optimal Choice'!$B$9*AT245))</f>
        <v>323.7060599</v>
      </c>
      <c r="M245" s="11">
        <f>(Z245/$B245)+(Z245/('Optimal Choice'!$B$14*AU245))</f>
        <v>333.0149412</v>
      </c>
      <c r="N245" s="11">
        <f>(AA245/$B245)+(AA245/('Optimal Choice'!$B$19*AV245))</f>
        <v>354.8799961</v>
      </c>
      <c r="O245" s="11">
        <f>(AB245/$B245)+(AB245/('Optimal Choice'!$B$24*AW245))</f>
        <v>339.3584964</v>
      </c>
      <c r="R245" s="12">
        <f t="shared" ref="R245:V245" si="255">if(min($K244:$O244)=K244,R244+1,R244)</f>
        <v>125</v>
      </c>
      <c r="S245" s="12">
        <f t="shared" si="255"/>
        <v>44</v>
      </c>
      <c r="T245" s="12">
        <f t="shared" si="255"/>
        <v>38</v>
      </c>
      <c r="U245" s="12">
        <f t="shared" si="255"/>
        <v>21</v>
      </c>
      <c r="V245" s="12">
        <f t="shared" si="255"/>
        <v>16</v>
      </c>
      <c r="X245" s="13">
        <f> 'Optimal Choice'!$B$5*'Optimal Choice'!$B$6^(R245+1)</f>
        <v>20156.53977</v>
      </c>
      <c r="Y245" s="13">
        <f> 'Optimal Choice'!$B$10*'Optimal Choice'!$B$11^(S245+1)</f>
        <v>32326.15614</v>
      </c>
      <c r="Z245" s="13">
        <f> 'Optimal Choice'!$B$15*'Optimal Choice'!$B$16^(T245+1)</f>
        <v>119294.8509</v>
      </c>
      <c r="AA245" s="13">
        <f> 'Optimal Choice'!$B$20*'Optimal Choice'!$B$21^(U245+1)</f>
        <v>127127.4978</v>
      </c>
      <c r="AB245" s="13">
        <f> 'Optimal Choice'!$B$25*'Optimal Choice'!$B$26^(V245+1)</f>
        <v>711871.1193</v>
      </c>
      <c r="AE245" s="12">
        <f t="shared" si="4"/>
        <v>60</v>
      </c>
      <c r="AF245" s="12">
        <f t="shared" si="5"/>
        <v>5</v>
      </c>
      <c r="AG245" s="12">
        <f t="shared" si="6"/>
        <v>4</v>
      </c>
      <c r="AH245" s="14">
        <f t="shared" si="7"/>
        <v>1</v>
      </c>
      <c r="AI245" s="14">
        <f t="shared" si="8"/>
        <v>1</v>
      </c>
      <c r="AL245" s="14">
        <f>R245*'Optimal Choice'!$B$4*AE245</f>
        <v>12525</v>
      </c>
      <c r="AM245" s="14">
        <f>S245*'Optimal Choice'!$B$9*AF245</f>
        <v>4400</v>
      </c>
      <c r="AN245" s="14">
        <f>T245*'Optimal Choice'!$B$14*AG245</f>
        <v>13680</v>
      </c>
      <c r="AO245" s="14">
        <f>U245*'Optimal Choice'!$B$19*AH245</f>
        <v>7560</v>
      </c>
      <c r="AP245" s="14">
        <f>V245*'Optimal Choice'!$B$24*AI245</f>
        <v>34560</v>
      </c>
      <c r="AS245" s="12">
        <f t="shared" si="9"/>
        <v>60</v>
      </c>
      <c r="AT245" s="12">
        <f t="shared" si="10"/>
        <v>5</v>
      </c>
      <c r="AU245" s="12">
        <f t="shared" si="11"/>
        <v>4</v>
      </c>
      <c r="AV245" s="14">
        <f t="shared" si="12"/>
        <v>1</v>
      </c>
      <c r="AW245" s="14">
        <f t="shared" si="13"/>
        <v>1</v>
      </c>
      <c r="AY245" s="11">
        <f t="shared" si="14"/>
        <v>0.004323107173</v>
      </c>
    </row>
    <row r="246" ht="15.75" customHeight="1">
      <c r="A246" s="15">
        <f t="shared" si="2"/>
        <v>5.502601891</v>
      </c>
      <c r="B246" s="7">
        <f>(sum(AL246:AP246))*'Optimal Choice'!$B$28</f>
        <v>72825.2</v>
      </c>
      <c r="C246" s="11"/>
      <c r="D246" s="12"/>
      <c r="E246" s="12"/>
      <c r="F246" s="11"/>
      <c r="G246" s="11"/>
      <c r="H246" s="11"/>
      <c r="I246" s="11"/>
      <c r="J246" s="11"/>
      <c r="K246" s="11">
        <f>(X246/$B246)+(X246/('Optimal Choice'!$B$4*AS246))</f>
        <v>215.5406408</v>
      </c>
      <c r="L246" s="11">
        <f>(Y246/$B246)+(Y246/('Optimal Choice'!$B$9*AT246))</f>
        <v>323.7054483</v>
      </c>
      <c r="M246" s="11">
        <f>(Z246/$B246)+(Z246/('Optimal Choice'!$B$14*AU246))</f>
        <v>333.0126842</v>
      </c>
      <c r="N246" s="11">
        <f>(AA246/$B246)+(AA246/('Optimal Choice'!$B$19*AV246))</f>
        <v>354.877591</v>
      </c>
      <c r="O246" s="11">
        <f>(AB246/$B246)+(AB246/('Optimal Choice'!$B$24*AW246))</f>
        <v>339.3450284</v>
      </c>
      <c r="R246" s="12">
        <f t="shared" ref="R246:V246" si="256">if(min($K245:$O245)=K245,R245+1,R245)</f>
        <v>126</v>
      </c>
      <c r="S246" s="12">
        <f t="shared" si="256"/>
        <v>44</v>
      </c>
      <c r="T246" s="12">
        <f t="shared" si="256"/>
        <v>38</v>
      </c>
      <c r="U246" s="12">
        <f t="shared" si="256"/>
        <v>21</v>
      </c>
      <c r="V246" s="12">
        <f t="shared" si="256"/>
        <v>16</v>
      </c>
      <c r="X246" s="13">
        <f> 'Optimal Choice'!$B$5*'Optimal Choice'!$B$6^(R246+1)</f>
        <v>21567.49755</v>
      </c>
      <c r="Y246" s="13">
        <f> 'Optimal Choice'!$B$10*'Optimal Choice'!$B$11^(S246+1)</f>
        <v>32326.15614</v>
      </c>
      <c r="Z246" s="13">
        <f> 'Optimal Choice'!$B$15*'Optimal Choice'!$B$16^(T246+1)</f>
        <v>119294.8509</v>
      </c>
      <c r="AA246" s="13">
        <f> 'Optimal Choice'!$B$20*'Optimal Choice'!$B$21^(U246+1)</f>
        <v>127127.4978</v>
      </c>
      <c r="AB246" s="13">
        <f> 'Optimal Choice'!$B$25*'Optimal Choice'!$B$26^(V246+1)</f>
        <v>711871.1193</v>
      </c>
      <c r="AE246" s="12">
        <f t="shared" si="4"/>
        <v>60</v>
      </c>
      <c r="AF246" s="12">
        <f t="shared" si="5"/>
        <v>5</v>
      </c>
      <c r="AG246" s="12">
        <f t="shared" si="6"/>
        <v>4</v>
      </c>
      <c r="AH246" s="14">
        <f t="shared" si="7"/>
        <v>1</v>
      </c>
      <c r="AI246" s="14">
        <f t="shared" si="8"/>
        <v>1</v>
      </c>
      <c r="AL246" s="14">
        <f>R246*'Optimal Choice'!$B$4*AE246</f>
        <v>12625.2</v>
      </c>
      <c r="AM246" s="14">
        <f>S246*'Optimal Choice'!$B$9*AF246</f>
        <v>4400</v>
      </c>
      <c r="AN246" s="14">
        <f>T246*'Optimal Choice'!$B$14*AG246</f>
        <v>13680</v>
      </c>
      <c r="AO246" s="14">
        <f>U246*'Optimal Choice'!$B$19*AH246</f>
        <v>7560</v>
      </c>
      <c r="AP246" s="14">
        <f>V246*'Optimal Choice'!$B$24*AI246</f>
        <v>34560</v>
      </c>
      <c r="AS246" s="12">
        <f t="shared" si="9"/>
        <v>60</v>
      </c>
      <c r="AT246" s="12">
        <f t="shared" si="10"/>
        <v>5</v>
      </c>
      <c r="AU246" s="12">
        <f t="shared" si="11"/>
        <v>4</v>
      </c>
      <c r="AV246" s="14">
        <f t="shared" si="12"/>
        <v>1</v>
      </c>
      <c r="AW246" s="14">
        <f t="shared" si="13"/>
        <v>1</v>
      </c>
      <c r="AY246" s="11">
        <f t="shared" si="14"/>
        <v>0.004619351384</v>
      </c>
    </row>
    <row r="247" ht="15.75" customHeight="1">
      <c r="A247" s="15">
        <f t="shared" si="2"/>
        <v>5.507537796</v>
      </c>
      <c r="B247" s="7">
        <f>(sum(AL247:AP247))*'Optimal Choice'!$B$28</f>
        <v>72925.4</v>
      </c>
      <c r="C247" s="11"/>
      <c r="D247" s="12"/>
      <c r="E247" s="12"/>
      <c r="F247" s="11"/>
      <c r="G247" s="11"/>
      <c r="H247" s="11"/>
      <c r="I247" s="11"/>
      <c r="J247" s="11"/>
      <c r="K247" s="11">
        <f>(X247/$B247)+(X247/('Optimal Choice'!$B$4*AS247))</f>
        <v>230.6280503</v>
      </c>
      <c r="L247" s="11">
        <f>(Y247/$B247)+(Y247/('Optimal Choice'!$B$9*AT247))</f>
        <v>323.7048384</v>
      </c>
      <c r="M247" s="11">
        <f>(Z247/$B247)+(Z247/('Optimal Choice'!$B$14*AU247))</f>
        <v>333.0104335</v>
      </c>
      <c r="N247" s="11">
        <f>(AA247/$B247)+(AA247/('Optimal Choice'!$B$19*AV247))</f>
        <v>354.8751924</v>
      </c>
      <c r="O247" s="11">
        <f>(AB247/$B247)+(AB247/('Optimal Choice'!$B$24*AW247))</f>
        <v>339.3315974</v>
      </c>
      <c r="R247" s="12">
        <f t="shared" ref="R247:V247" si="257">if(min($K246:$O246)=K246,R246+1,R246)</f>
        <v>127</v>
      </c>
      <c r="S247" s="12">
        <f t="shared" si="257"/>
        <v>44</v>
      </c>
      <c r="T247" s="12">
        <f t="shared" si="257"/>
        <v>38</v>
      </c>
      <c r="U247" s="12">
        <f t="shared" si="257"/>
        <v>21</v>
      </c>
      <c r="V247" s="12">
        <f t="shared" si="257"/>
        <v>16</v>
      </c>
      <c r="X247" s="13">
        <f> 'Optimal Choice'!$B$5*'Optimal Choice'!$B$6^(R247+1)</f>
        <v>23077.22238</v>
      </c>
      <c r="Y247" s="13">
        <f> 'Optimal Choice'!$B$10*'Optimal Choice'!$B$11^(S247+1)</f>
        <v>32326.15614</v>
      </c>
      <c r="Z247" s="13">
        <f> 'Optimal Choice'!$B$15*'Optimal Choice'!$B$16^(T247+1)</f>
        <v>119294.8509</v>
      </c>
      <c r="AA247" s="13">
        <f> 'Optimal Choice'!$B$20*'Optimal Choice'!$B$21^(U247+1)</f>
        <v>127127.4978</v>
      </c>
      <c r="AB247" s="13">
        <f> 'Optimal Choice'!$B$25*'Optimal Choice'!$B$26^(V247+1)</f>
        <v>711871.1193</v>
      </c>
      <c r="AE247" s="12">
        <f t="shared" si="4"/>
        <v>60</v>
      </c>
      <c r="AF247" s="12">
        <f t="shared" si="5"/>
        <v>5</v>
      </c>
      <c r="AG247" s="12">
        <f t="shared" si="6"/>
        <v>4</v>
      </c>
      <c r="AH247" s="14">
        <f t="shared" si="7"/>
        <v>1</v>
      </c>
      <c r="AI247" s="14">
        <f t="shared" si="8"/>
        <v>1</v>
      </c>
      <c r="AL247" s="14">
        <f>R247*'Optimal Choice'!$B$4*AE247</f>
        <v>12725.4</v>
      </c>
      <c r="AM247" s="14">
        <f>S247*'Optimal Choice'!$B$9*AF247</f>
        <v>4400</v>
      </c>
      <c r="AN247" s="14">
        <f>T247*'Optimal Choice'!$B$14*AG247</f>
        <v>13680</v>
      </c>
      <c r="AO247" s="14">
        <f>U247*'Optimal Choice'!$B$19*AH247</f>
        <v>7560</v>
      </c>
      <c r="AP247" s="14">
        <f>V247*'Optimal Choice'!$B$24*AI247</f>
        <v>34560</v>
      </c>
      <c r="AS247" s="12">
        <f t="shared" si="9"/>
        <v>60</v>
      </c>
      <c r="AT247" s="12">
        <f t="shared" si="10"/>
        <v>5</v>
      </c>
      <c r="AU247" s="12">
        <f t="shared" si="11"/>
        <v>4</v>
      </c>
      <c r="AV247" s="14">
        <f t="shared" si="12"/>
        <v>1</v>
      </c>
      <c r="AW247" s="14">
        <f t="shared" si="13"/>
        <v>1</v>
      </c>
      <c r="AY247" s="11">
        <f t="shared" si="14"/>
        <v>0.004935905325</v>
      </c>
    </row>
    <row r="248" ht="15.75" customHeight="1">
      <c r="A248" s="15">
        <f t="shared" si="2"/>
        <v>5.512811958</v>
      </c>
      <c r="B248" s="7">
        <f>(sum(AL248:AP248))*'Optimal Choice'!$B$28</f>
        <v>73025.6</v>
      </c>
      <c r="C248" s="11"/>
      <c r="D248" s="12"/>
      <c r="E248" s="12"/>
      <c r="F248" s="11"/>
      <c r="G248" s="11"/>
      <c r="H248" s="11"/>
      <c r="I248" s="11"/>
      <c r="J248" s="11"/>
      <c r="K248" s="11">
        <f>(X248/$B248)+(X248/('Optimal Choice'!$B$4*AS248))</f>
        <v>246.7715492</v>
      </c>
      <c r="L248" s="11">
        <f>(Y248/$B248)+(Y248/('Optimal Choice'!$B$9*AT248))</f>
        <v>323.7042302</v>
      </c>
      <c r="M248" s="11">
        <f>(Z248/$B248)+(Z248/('Optimal Choice'!$B$14*AU248))</f>
        <v>333.0081889</v>
      </c>
      <c r="N248" s="11">
        <f>(AA248/$B248)+(AA248/('Optimal Choice'!$B$19*AV248))</f>
        <v>354.8728005</v>
      </c>
      <c r="O248" s="11">
        <f>(AB248/$B248)+(AB248/('Optimal Choice'!$B$24*AW248))</f>
        <v>339.3182033</v>
      </c>
      <c r="R248" s="12">
        <f t="shared" ref="R248:V248" si="258">if(min($K247:$O247)=K247,R247+1,R247)</f>
        <v>128</v>
      </c>
      <c r="S248" s="12">
        <f t="shared" si="258"/>
        <v>44</v>
      </c>
      <c r="T248" s="12">
        <f t="shared" si="258"/>
        <v>38</v>
      </c>
      <c r="U248" s="12">
        <f t="shared" si="258"/>
        <v>21</v>
      </c>
      <c r="V248" s="12">
        <f t="shared" si="258"/>
        <v>16</v>
      </c>
      <c r="X248" s="13">
        <f> 'Optimal Choice'!$B$5*'Optimal Choice'!$B$6^(R248+1)</f>
        <v>24692.62794</v>
      </c>
      <c r="Y248" s="13">
        <f> 'Optimal Choice'!$B$10*'Optimal Choice'!$B$11^(S248+1)</f>
        <v>32326.15614</v>
      </c>
      <c r="Z248" s="13">
        <f> 'Optimal Choice'!$B$15*'Optimal Choice'!$B$16^(T248+1)</f>
        <v>119294.8509</v>
      </c>
      <c r="AA248" s="13">
        <f> 'Optimal Choice'!$B$20*'Optimal Choice'!$B$21^(U248+1)</f>
        <v>127127.4978</v>
      </c>
      <c r="AB248" s="13">
        <f> 'Optimal Choice'!$B$25*'Optimal Choice'!$B$26^(V248+1)</f>
        <v>711871.1193</v>
      </c>
      <c r="AE248" s="12">
        <f t="shared" si="4"/>
        <v>60</v>
      </c>
      <c r="AF248" s="12">
        <f t="shared" si="5"/>
        <v>5</v>
      </c>
      <c r="AG248" s="12">
        <f t="shared" si="6"/>
        <v>4</v>
      </c>
      <c r="AH248" s="14">
        <f t="shared" si="7"/>
        <v>1</v>
      </c>
      <c r="AI248" s="14">
        <f t="shared" si="8"/>
        <v>1</v>
      </c>
      <c r="AL248" s="14">
        <f>R248*'Optimal Choice'!$B$4*AE248</f>
        <v>12825.6</v>
      </c>
      <c r="AM248" s="14">
        <f>S248*'Optimal Choice'!$B$9*AF248</f>
        <v>4400</v>
      </c>
      <c r="AN248" s="14">
        <f>T248*'Optimal Choice'!$B$14*AG248</f>
        <v>13680</v>
      </c>
      <c r="AO248" s="14">
        <f>U248*'Optimal Choice'!$B$19*AH248</f>
        <v>7560</v>
      </c>
      <c r="AP248" s="14">
        <f>V248*'Optimal Choice'!$B$24*AI248</f>
        <v>34560</v>
      </c>
      <c r="AS248" s="12">
        <f t="shared" si="9"/>
        <v>60</v>
      </c>
      <c r="AT248" s="12">
        <f t="shared" si="10"/>
        <v>5</v>
      </c>
      <c r="AU248" s="12">
        <f t="shared" si="11"/>
        <v>4</v>
      </c>
      <c r="AV248" s="14">
        <f t="shared" si="12"/>
        <v>1</v>
      </c>
      <c r="AW248" s="14">
        <f t="shared" si="13"/>
        <v>1</v>
      </c>
      <c r="AY248" s="11">
        <f t="shared" si="14"/>
        <v>0.005274161992</v>
      </c>
    </row>
    <row r="249" ht="15.75" customHeight="1">
      <c r="A249" s="15">
        <f t="shared" si="2"/>
        <v>5.518447568</v>
      </c>
      <c r="B249" s="7">
        <f>(sum(AL249:AP249))*'Optimal Choice'!$B$28</f>
        <v>73125.8</v>
      </c>
      <c r="C249" s="11"/>
      <c r="D249" s="12"/>
      <c r="E249" s="12"/>
      <c r="F249" s="11"/>
      <c r="G249" s="11"/>
      <c r="H249" s="11"/>
      <c r="I249" s="11"/>
      <c r="J249" s="11"/>
      <c r="K249" s="11">
        <f>(X249/$B249)+(X249/('Optimal Choice'!$B$4*AS249))</f>
        <v>264.0450619</v>
      </c>
      <c r="L249" s="11">
        <f>(Y249/$B249)+(Y249/('Optimal Choice'!$B$9*AT249))</f>
        <v>323.7036236</v>
      </c>
      <c r="M249" s="11">
        <f>(Z249/$B249)+(Z249/('Optimal Choice'!$B$14*AU249))</f>
        <v>333.0059504</v>
      </c>
      <c r="N249" s="11">
        <f>(AA249/$B249)+(AA249/('Optimal Choice'!$B$19*AV249))</f>
        <v>354.8704151</v>
      </c>
      <c r="O249" s="11">
        <f>(AB249/$B249)+(AB249/('Optimal Choice'!$B$24*AW249))</f>
        <v>339.3048458</v>
      </c>
      <c r="R249" s="12">
        <f t="shared" ref="R249:V249" si="259">if(min($K248:$O248)=K248,R248+1,R248)</f>
        <v>129</v>
      </c>
      <c r="S249" s="12">
        <f t="shared" si="259"/>
        <v>44</v>
      </c>
      <c r="T249" s="12">
        <f t="shared" si="259"/>
        <v>38</v>
      </c>
      <c r="U249" s="12">
        <f t="shared" si="259"/>
        <v>21</v>
      </c>
      <c r="V249" s="12">
        <f t="shared" si="259"/>
        <v>16</v>
      </c>
      <c r="X249" s="13">
        <f> 'Optimal Choice'!$B$5*'Optimal Choice'!$B$6^(R249+1)</f>
        <v>26421.1119</v>
      </c>
      <c r="Y249" s="13">
        <f> 'Optimal Choice'!$B$10*'Optimal Choice'!$B$11^(S249+1)</f>
        <v>32326.15614</v>
      </c>
      <c r="Z249" s="13">
        <f> 'Optimal Choice'!$B$15*'Optimal Choice'!$B$16^(T249+1)</f>
        <v>119294.8509</v>
      </c>
      <c r="AA249" s="13">
        <f> 'Optimal Choice'!$B$20*'Optimal Choice'!$B$21^(U249+1)</f>
        <v>127127.4978</v>
      </c>
      <c r="AB249" s="13">
        <f> 'Optimal Choice'!$B$25*'Optimal Choice'!$B$26^(V249+1)</f>
        <v>711871.1193</v>
      </c>
      <c r="AE249" s="12">
        <f t="shared" si="4"/>
        <v>60</v>
      </c>
      <c r="AF249" s="12">
        <f t="shared" si="5"/>
        <v>5</v>
      </c>
      <c r="AG249" s="12">
        <f t="shared" si="6"/>
        <v>4</v>
      </c>
      <c r="AH249" s="14">
        <f t="shared" si="7"/>
        <v>1</v>
      </c>
      <c r="AI249" s="14">
        <f t="shared" si="8"/>
        <v>1</v>
      </c>
      <c r="AL249" s="14">
        <f>R249*'Optimal Choice'!$B$4*AE249</f>
        <v>12925.8</v>
      </c>
      <c r="AM249" s="14">
        <f>S249*'Optimal Choice'!$B$9*AF249</f>
        <v>4400</v>
      </c>
      <c r="AN249" s="14">
        <f>T249*'Optimal Choice'!$B$14*AG249</f>
        <v>13680</v>
      </c>
      <c r="AO249" s="14">
        <f>U249*'Optimal Choice'!$B$19*AH249</f>
        <v>7560</v>
      </c>
      <c r="AP249" s="14">
        <f>V249*'Optimal Choice'!$B$24*AI249</f>
        <v>34560</v>
      </c>
      <c r="AS249" s="12">
        <f t="shared" si="9"/>
        <v>60</v>
      </c>
      <c r="AT249" s="12">
        <f t="shared" si="10"/>
        <v>5</v>
      </c>
      <c r="AU249" s="12">
        <f t="shared" si="11"/>
        <v>4</v>
      </c>
      <c r="AV249" s="14">
        <f t="shared" si="12"/>
        <v>1</v>
      </c>
      <c r="AW249" s="14">
        <f t="shared" si="13"/>
        <v>1</v>
      </c>
      <c r="AY249" s="11">
        <f t="shared" si="14"/>
        <v>0.005635609965</v>
      </c>
    </row>
    <row r="250" ht="15.75" customHeight="1">
      <c r="A250" s="15">
        <f t="shared" si="2"/>
        <v>5.524469408</v>
      </c>
      <c r="B250" s="7">
        <f>(sum(AL250:AP250))*'Optimal Choice'!$B$28</f>
        <v>73226</v>
      </c>
      <c r="C250" s="11"/>
      <c r="D250" s="12"/>
      <c r="E250" s="12"/>
      <c r="F250" s="11"/>
      <c r="G250" s="11"/>
      <c r="H250" s="11"/>
      <c r="I250" s="11"/>
      <c r="J250" s="11"/>
      <c r="K250" s="11">
        <f>(X250/$B250)+(X250/('Optimal Choice'!$B$4*AS250))</f>
        <v>282.5276872</v>
      </c>
      <c r="L250" s="11">
        <f>(Y250/$B250)+(Y250/('Optimal Choice'!$B$9*AT250))</f>
        <v>323.7030187</v>
      </c>
      <c r="M250" s="11">
        <f>(Z250/$B250)+(Z250/('Optimal Choice'!$B$14*AU250))</f>
        <v>333.0037181</v>
      </c>
      <c r="N250" s="11">
        <f>(AA250/$B250)+(AA250/('Optimal Choice'!$B$19*AV250))</f>
        <v>354.8680362</v>
      </c>
      <c r="O250" s="11">
        <f>(AB250/$B250)+(AB250/('Optimal Choice'!$B$24*AW250))</f>
        <v>339.2915249</v>
      </c>
      <c r="R250" s="12">
        <f t="shared" ref="R250:V250" si="260">if(min($K249:$O249)=K249,R249+1,R249)</f>
        <v>130</v>
      </c>
      <c r="S250" s="12">
        <f t="shared" si="260"/>
        <v>44</v>
      </c>
      <c r="T250" s="12">
        <f t="shared" si="260"/>
        <v>38</v>
      </c>
      <c r="U250" s="12">
        <f t="shared" si="260"/>
        <v>21</v>
      </c>
      <c r="V250" s="12">
        <f t="shared" si="260"/>
        <v>16</v>
      </c>
      <c r="X250" s="13">
        <f> 'Optimal Choice'!$B$5*'Optimal Choice'!$B$6^(R250+1)</f>
        <v>28270.58973</v>
      </c>
      <c r="Y250" s="13">
        <f> 'Optimal Choice'!$B$10*'Optimal Choice'!$B$11^(S250+1)</f>
        <v>32326.15614</v>
      </c>
      <c r="Z250" s="13">
        <f> 'Optimal Choice'!$B$15*'Optimal Choice'!$B$16^(T250+1)</f>
        <v>119294.8509</v>
      </c>
      <c r="AA250" s="13">
        <f> 'Optimal Choice'!$B$20*'Optimal Choice'!$B$21^(U250+1)</f>
        <v>127127.4978</v>
      </c>
      <c r="AB250" s="13">
        <f> 'Optimal Choice'!$B$25*'Optimal Choice'!$B$26^(V250+1)</f>
        <v>711871.1193</v>
      </c>
      <c r="AE250" s="12">
        <f t="shared" si="4"/>
        <v>60</v>
      </c>
      <c r="AF250" s="12">
        <f t="shared" si="5"/>
        <v>5</v>
      </c>
      <c r="AG250" s="12">
        <f t="shared" si="6"/>
        <v>4</v>
      </c>
      <c r="AH250" s="14">
        <f t="shared" si="7"/>
        <v>1</v>
      </c>
      <c r="AI250" s="14">
        <f t="shared" si="8"/>
        <v>1</v>
      </c>
      <c r="AL250" s="14">
        <f>R250*'Optimal Choice'!$B$4*AE250</f>
        <v>13026</v>
      </c>
      <c r="AM250" s="14">
        <f>S250*'Optimal Choice'!$B$9*AF250</f>
        <v>4400</v>
      </c>
      <c r="AN250" s="14">
        <f>T250*'Optimal Choice'!$B$14*AG250</f>
        <v>13680</v>
      </c>
      <c r="AO250" s="14">
        <f>U250*'Optimal Choice'!$B$19*AH250</f>
        <v>7560</v>
      </c>
      <c r="AP250" s="14">
        <f>V250*'Optimal Choice'!$B$24*AI250</f>
        <v>34560</v>
      </c>
      <c r="AS250" s="12">
        <f t="shared" si="9"/>
        <v>60</v>
      </c>
      <c r="AT250" s="12">
        <f t="shared" si="10"/>
        <v>5</v>
      </c>
      <c r="AU250" s="12">
        <f t="shared" si="11"/>
        <v>4</v>
      </c>
      <c r="AV250" s="14">
        <f t="shared" si="12"/>
        <v>1</v>
      </c>
      <c r="AW250" s="14">
        <f t="shared" si="13"/>
        <v>1</v>
      </c>
      <c r="AY250" s="11">
        <f t="shared" si="14"/>
        <v>0.006021839966</v>
      </c>
    </row>
    <row r="251" ht="15.75" customHeight="1">
      <c r="A251" s="15">
        <f t="shared" si="2"/>
        <v>5.53090396</v>
      </c>
      <c r="B251" s="7">
        <f>(sum(AL251:AP251))*'Optimal Choice'!$B$28</f>
        <v>73326.2</v>
      </c>
      <c r="C251" s="11"/>
      <c r="D251" s="12"/>
      <c r="E251" s="12"/>
      <c r="F251" s="11"/>
      <c r="G251" s="11"/>
      <c r="H251" s="11"/>
      <c r="I251" s="11"/>
      <c r="J251" s="11"/>
      <c r="K251" s="11">
        <f>(X251/$B251)+(X251/('Optimal Choice'!$B$4*AS251))</f>
        <v>302.3040608</v>
      </c>
      <c r="L251" s="11">
        <f>(Y251/$B251)+(Y251/('Optimal Choice'!$B$9*AT251))</f>
        <v>323.7024155</v>
      </c>
      <c r="M251" s="11">
        <f>(Z251/$B251)+(Z251/('Optimal Choice'!$B$14*AU251))</f>
        <v>333.0014919</v>
      </c>
      <c r="N251" s="11">
        <f>(AA251/$B251)+(AA251/('Optimal Choice'!$B$19*AV251))</f>
        <v>354.8656638</v>
      </c>
      <c r="O251" s="11">
        <f>(AB251/$B251)+(AB251/('Optimal Choice'!$B$24*AW251))</f>
        <v>339.2782404</v>
      </c>
      <c r="R251" s="12">
        <f t="shared" ref="R251:V251" si="261">if(min($K250:$O250)=K250,R250+1,R250)</f>
        <v>131</v>
      </c>
      <c r="S251" s="12">
        <f t="shared" si="261"/>
        <v>44</v>
      </c>
      <c r="T251" s="12">
        <f t="shared" si="261"/>
        <v>38</v>
      </c>
      <c r="U251" s="12">
        <f t="shared" si="261"/>
        <v>21</v>
      </c>
      <c r="V251" s="12">
        <f t="shared" si="261"/>
        <v>16</v>
      </c>
      <c r="X251" s="13">
        <f> 'Optimal Choice'!$B$5*'Optimal Choice'!$B$6^(R251+1)</f>
        <v>30249.53101</v>
      </c>
      <c r="Y251" s="13">
        <f> 'Optimal Choice'!$B$10*'Optimal Choice'!$B$11^(S251+1)</f>
        <v>32326.15614</v>
      </c>
      <c r="Z251" s="13">
        <f> 'Optimal Choice'!$B$15*'Optimal Choice'!$B$16^(T251+1)</f>
        <v>119294.8509</v>
      </c>
      <c r="AA251" s="13">
        <f> 'Optimal Choice'!$B$20*'Optimal Choice'!$B$21^(U251+1)</f>
        <v>127127.4978</v>
      </c>
      <c r="AB251" s="13">
        <f> 'Optimal Choice'!$B$25*'Optimal Choice'!$B$26^(V251+1)</f>
        <v>711871.1193</v>
      </c>
      <c r="AE251" s="12">
        <f t="shared" si="4"/>
        <v>60</v>
      </c>
      <c r="AF251" s="12">
        <f t="shared" si="5"/>
        <v>5</v>
      </c>
      <c r="AG251" s="12">
        <f t="shared" si="6"/>
        <v>4</v>
      </c>
      <c r="AH251" s="14">
        <f t="shared" si="7"/>
        <v>1</v>
      </c>
      <c r="AI251" s="14">
        <f t="shared" si="8"/>
        <v>1</v>
      </c>
      <c r="AL251" s="14">
        <f>R251*'Optimal Choice'!$B$4*AE251</f>
        <v>13126.2</v>
      </c>
      <c r="AM251" s="14">
        <f>S251*'Optimal Choice'!$B$9*AF251</f>
        <v>4400</v>
      </c>
      <c r="AN251" s="14">
        <f>T251*'Optimal Choice'!$B$14*AG251</f>
        <v>13680</v>
      </c>
      <c r="AO251" s="14">
        <f>U251*'Optimal Choice'!$B$19*AH251</f>
        <v>7560</v>
      </c>
      <c r="AP251" s="14">
        <f>V251*'Optimal Choice'!$B$24*AI251</f>
        <v>34560</v>
      </c>
      <c r="AS251" s="12">
        <f t="shared" si="9"/>
        <v>60</v>
      </c>
      <c r="AT251" s="12">
        <f t="shared" si="10"/>
        <v>5</v>
      </c>
      <c r="AU251" s="12">
        <f t="shared" si="11"/>
        <v>4</v>
      </c>
      <c r="AV251" s="14">
        <f t="shared" si="12"/>
        <v>1</v>
      </c>
      <c r="AW251" s="14">
        <f t="shared" si="13"/>
        <v>1</v>
      </c>
      <c r="AY251" s="11">
        <f t="shared" si="14"/>
        <v>0.006434551874</v>
      </c>
    </row>
    <row r="252" ht="15.75" customHeight="1">
      <c r="A252" s="15">
        <f t="shared" si="2"/>
        <v>5.537779522</v>
      </c>
      <c r="B252" s="7">
        <f>(sum(AL252:AP252))*'Optimal Choice'!$B$28</f>
        <v>73426.4</v>
      </c>
      <c r="C252" s="11"/>
      <c r="D252" s="12"/>
      <c r="E252" s="12"/>
      <c r="F252" s="11"/>
      <c r="G252" s="11"/>
      <c r="H252" s="11"/>
      <c r="I252" s="11"/>
      <c r="J252" s="11"/>
      <c r="K252" s="11">
        <f>(X252/$B252)+(X252/('Optimal Choice'!$B$4*AS252))</f>
        <v>323.4647427</v>
      </c>
      <c r="L252" s="11">
        <f>(Y252/$B252)+(Y252/('Optimal Choice'!$B$9*AT252))</f>
        <v>323.7018139</v>
      </c>
      <c r="M252" s="11">
        <f>(Z252/$B252)+(Z252/('Optimal Choice'!$B$14*AU252))</f>
        <v>332.9992718</v>
      </c>
      <c r="N252" s="11">
        <f>(AA252/$B252)+(AA252/('Optimal Choice'!$B$19*AV252))</f>
        <v>354.8632979</v>
      </c>
      <c r="O252" s="11">
        <f>(AB252/$B252)+(AB252/('Optimal Choice'!$B$24*AW252))</f>
        <v>339.2649922</v>
      </c>
      <c r="R252" s="12">
        <f t="shared" ref="R252:V252" si="262">if(min($K251:$O251)=K251,R251+1,R251)</f>
        <v>132</v>
      </c>
      <c r="S252" s="12">
        <f t="shared" si="262"/>
        <v>44</v>
      </c>
      <c r="T252" s="12">
        <f t="shared" si="262"/>
        <v>38</v>
      </c>
      <c r="U252" s="12">
        <f t="shared" si="262"/>
        <v>21</v>
      </c>
      <c r="V252" s="12">
        <f t="shared" si="262"/>
        <v>16</v>
      </c>
      <c r="X252" s="13">
        <f> 'Optimal Choice'!$B$5*'Optimal Choice'!$B$6^(R252+1)</f>
        <v>32366.99818</v>
      </c>
      <c r="Y252" s="13">
        <f> 'Optimal Choice'!$B$10*'Optimal Choice'!$B$11^(S252+1)</f>
        <v>32326.15614</v>
      </c>
      <c r="Z252" s="13">
        <f> 'Optimal Choice'!$B$15*'Optimal Choice'!$B$16^(T252+1)</f>
        <v>119294.8509</v>
      </c>
      <c r="AA252" s="13">
        <f> 'Optimal Choice'!$B$20*'Optimal Choice'!$B$21^(U252+1)</f>
        <v>127127.4978</v>
      </c>
      <c r="AB252" s="13">
        <f> 'Optimal Choice'!$B$25*'Optimal Choice'!$B$26^(V252+1)</f>
        <v>711871.1193</v>
      </c>
      <c r="AE252" s="12">
        <f t="shared" si="4"/>
        <v>60</v>
      </c>
      <c r="AF252" s="12">
        <f t="shared" si="5"/>
        <v>5</v>
      </c>
      <c r="AG252" s="12">
        <f t="shared" si="6"/>
        <v>4</v>
      </c>
      <c r="AH252" s="14">
        <f t="shared" si="7"/>
        <v>1</v>
      </c>
      <c r="AI252" s="14">
        <f t="shared" si="8"/>
        <v>1</v>
      </c>
      <c r="AL252" s="14">
        <f>R252*'Optimal Choice'!$B$4*AE252</f>
        <v>13226.4</v>
      </c>
      <c r="AM252" s="14">
        <f>S252*'Optimal Choice'!$B$9*AF252</f>
        <v>4400</v>
      </c>
      <c r="AN252" s="14">
        <f>T252*'Optimal Choice'!$B$14*AG252</f>
        <v>13680</v>
      </c>
      <c r="AO252" s="14">
        <f>U252*'Optimal Choice'!$B$19*AH252</f>
        <v>7560</v>
      </c>
      <c r="AP252" s="14">
        <f>V252*'Optimal Choice'!$B$24*AI252</f>
        <v>34560</v>
      </c>
      <c r="AS252" s="12">
        <f t="shared" si="9"/>
        <v>60</v>
      </c>
      <c r="AT252" s="12">
        <f t="shared" si="10"/>
        <v>5</v>
      </c>
      <c r="AU252" s="12">
        <f t="shared" si="11"/>
        <v>4</v>
      </c>
      <c r="AV252" s="14">
        <f t="shared" si="12"/>
        <v>1</v>
      </c>
      <c r="AW252" s="14">
        <f t="shared" si="13"/>
        <v>1</v>
      </c>
      <c r="AY252" s="11">
        <f t="shared" si="14"/>
        <v>0.006875562217</v>
      </c>
    </row>
    <row r="253" ht="15.75" customHeight="1">
      <c r="A253" s="15">
        <f t="shared" si="2"/>
        <v>5.545126335</v>
      </c>
      <c r="B253" s="7">
        <f>(sum(AL253:AP253))*'Optimal Choice'!$B$28</f>
        <v>73526.6</v>
      </c>
      <c r="C253" s="11"/>
      <c r="D253" s="12"/>
      <c r="E253" s="12"/>
      <c r="F253" s="11"/>
      <c r="G253" s="11"/>
      <c r="H253" s="11"/>
      <c r="I253" s="11"/>
      <c r="J253" s="11"/>
      <c r="K253" s="11">
        <f>(X253/$B253)+(X253/('Optimal Choice'!$B$4*AS253))</f>
        <v>346.1066319</v>
      </c>
      <c r="L253" s="11">
        <f>(Y253/$B253)+(Y253/('Optimal Choice'!$B$9*AT253))</f>
        <v>323.7012139</v>
      </c>
      <c r="M253" s="11">
        <f>(Z253/$B253)+(Z253/('Optimal Choice'!$B$14*AU253))</f>
        <v>332.9970577</v>
      </c>
      <c r="N253" s="11">
        <f>(AA253/$B253)+(AA253/('Optimal Choice'!$B$19*AV253))</f>
        <v>354.8609385</v>
      </c>
      <c r="O253" s="11">
        <f>(AB253/$B253)+(AB253/('Optimal Choice'!$B$24*AW253))</f>
        <v>339.2517801</v>
      </c>
      <c r="R253" s="12">
        <f t="shared" ref="R253:V253" si="263">if(min($K252:$O252)=K252,R252+1,R252)</f>
        <v>133</v>
      </c>
      <c r="S253" s="12">
        <f t="shared" si="263"/>
        <v>44</v>
      </c>
      <c r="T253" s="12">
        <f t="shared" si="263"/>
        <v>38</v>
      </c>
      <c r="U253" s="12">
        <f t="shared" si="263"/>
        <v>21</v>
      </c>
      <c r="V253" s="12">
        <f t="shared" si="263"/>
        <v>16</v>
      </c>
      <c r="X253" s="13">
        <f> 'Optimal Choice'!$B$5*'Optimal Choice'!$B$6^(R253+1)</f>
        <v>34632.68806</v>
      </c>
      <c r="Y253" s="13">
        <f> 'Optimal Choice'!$B$10*'Optimal Choice'!$B$11^(S253+1)</f>
        <v>32326.15614</v>
      </c>
      <c r="Z253" s="13">
        <f> 'Optimal Choice'!$B$15*'Optimal Choice'!$B$16^(T253+1)</f>
        <v>119294.8509</v>
      </c>
      <c r="AA253" s="13">
        <f> 'Optimal Choice'!$B$20*'Optimal Choice'!$B$21^(U253+1)</f>
        <v>127127.4978</v>
      </c>
      <c r="AB253" s="13">
        <f> 'Optimal Choice'!$B$25*'Optimal Choice'!$B$26^(V253+1)</f>
        <v>711871.1193</v>
      </c>
      <c r="AE253" s="12">
        <f t="shared" si="4"/>
        <v>60</v>
      </c>
      <c r="AF253" s="12">
        <f t="shared" si="5"/>
        <v>5</v>
      </c>
      <c r="AG253" s="12">
        <f t="shared" si="6"/>
        <v>4</v>
      </c>
      <c r="AH253" s="14">
        <f t="shared" si="7"/>
        <v>1</v>
      </c>
      <c r="AI253" s="14">
        <f t="shared" si="8"/>
        <v>1</v>
      </c>
      <c r="AL253" s="14">
        <f>R253*'Optimal Choice'!$B$4*AE253</f>
        <v>13326.6</v>
      </c>
      <c r="AM253" s="14">
        <f>S253*'Optimal Choice'!$B$9*AF253</f>
        <v>4400</v>
      </c>
      <c r="AN253" s="14">
        <f>T253*'Optimal Choice'!$B$14*AG253</f>
        <v>13680</v>
      </c>
      <c r="AO253" s="14">
        <f>U253*'Optimal Choice'!$B$19*AH253</f>
        <v>7560</v>
      </c>
      <c r="AP253" s="14">
        <f>V253*'Optimal Choice'!$B$24*AI253</f>
        <v>34560</v>
      </c>
      <c r="AS253" s="12">
        <f t="shared" si="9"/>
        <v>60</v>
      </c>
      <c r="AT253" s="12">
        <f t="shared" si="10"/>
        <v>5</v>
      </c>
      <c r="AU253" s="12">
        <f t="shared" si="11"/>
        <v>4</v>
      </c>
      <c r="AV253" s="14">
        <f t="shared" si="12"/>
        <v>1</v>
      </c>
      <c r="AW253" s="14">
        <f t="shared" si="13"/>
        <v>1</v>
      </c>
      <c r="AY253" s="11">
        <f t="shared" si="14"/>
        <v>0.007346812179</v>
      </c>
    </row>
    <row r="254" ht="15.75" customHeight="1">
      <c r="A254" s="15">
        <f t="shared" si="2"/>
        <v>5.552453877</v>
      </c>
      <c r="B254" s="7">
        <f>(sum(AL254:AP254))*'Optimal Choice'!$B$28</f>
        <v>73626.6</v>
      </c>
      <c r="C254" s="11"/>
      <c r="D254" s="12"/>
      <c r="E254" s="12"/>
      <c r="F254" s="11"/>
      <c r="G254" s="11"/>
      <c r="H254" s="11"/>
      <c r="I254" s="11"/>
      <c r="J254" s="11"/>
      <c r="K254" s="11">
        <f>(X254/$B254)+(X254/('Optimal Choice'!$B$4*AS254))</f>
        <v>346.1059922</v>
      </c>
      <c r="L254" s="11">
        <f>(Y254/$B254)+(Y254/('Optimal Choice'!$B$9*AT254))</f>
        <v>372.2557093</v>
      </c>
      <c r="M254" s="11">
        <f>(Z254/$B254)+(Z254/('Optimal Choice'!$B$14*AU254))</f>
        <v>332.9948541</v>
      </c>
      <c r="N254" s="11">
        <f>(AA254/$B254)+(AA254/('Optimal Choice'!$B$19*AV254))</f>
        <v>354.8585902</v>
      </c>
      <c r="O254" s="11">
        <f>(AB254/$B254)+(AB254/('Optimal Choice'!$B$24*AW254))</f>
        <v>339.2386302</v>
      </c>
      <c r="R254" s="12">
        <f t="shared" ref="R254:V254" si="264">if(min($K253:$O253)=K253,R253+1,R253)</f>
        <v>133</v>
      </c>
      <c r="S254" s="12">
        <f t="shared" si="264"/>
        <v>45</v>
      </c>
      <c r="T254" s="12">
        <f t="shared" si="264"/>
        <v>38</v>
      </c>
      <c r="U254" s="12">
        <f t="shared" si="264"/>
        <v>21</v>
      </c>
      <c r="V254" s="12">
        <f t="shared" si="264"/>
        <v>16</v>
      </c>
      <c r="X254" s="13">
        <f> 'Optimal Choice'!$B$5*'Optimal Choice'!$B$6^(R254+1)</f>
        <v>34632.68806</v>
      </c>
      <c r="Y254" s="13">
        <f> 'Optimal Choice'!$B$10*'Optimal Choice'!$B$11^(S254+1)</f>
        <v>37175.07956</v>
      </c>
      <c r="Z254" s="13">
        <f> 'Optimal Choice'!$B$15*'Optimal Choice'!$B$16^(T254+1)</f>
        <v>119294.8509</v>
      </c>
      <c r="AA254" s="13">
        <f> 'Optimal Choice'!$B$20*'Optimal Choice'!$B$21^(U254+1)</f>
        <v>127127.4978</v>
      </c>
      <c r="AB254" s="13">
        <f> 'Optimal Choice'!$B$25*'Optimal Choice'!$B$26^(V254+1)</f>
        <v>711871.1193</v>
      </c>
      <c r="AE254" s="12">
        <f t="shared" si="4"/>
        <v>60</v>
      </c>
      <c r="AF254" s="12">
        <f t="shared" si="5"/>
        <v>5</v>
      </c>
      <c r="AG254" s="12">
        <f t="shared" si="6"/>
        <v>4</v>
      </c>
      <c r="AH254" s="14">
        <f t="shared" si="7"/>
        <v>1</v>
      </c>
      <c r="AI254" s="14">
        <f t="shared" si="8"/>
        <v>1</v>
      </c>
      <c r="AL254" s="14">
        <f>R254*'Optimal Choice'!$B$4*AE254</f>
        <v>13326.6</v>
      </c>
      <c r="AM254" s="14">
        <f>S254*'Optimal Choice'!$B$9*AF254</f>
        <v>4500</v>
      </c>
      <c r="AN254" s="14">
        <f>T254*'Optimal Choice'!$B$14*AG254</f>
        <v>13680</v>
      </c>
      <c r="AO254" s="14">
        <f>U254*'Optimal Choice'!$B$19*AH254</f>
        <v>7560</v>
      </c>
      <c r="AP254" s="14">
        <f>V254*'Optimal Choice'!$B$24*AI254</f>
        <v>34560</v>
      </c>
      <c r="AS254" s="12">
        <f t="shared" si="9"/>
        <v>60</v>
      </c>
      <c r="AT254" s="12">
        <f t="shared" si="10"/>
        <v>5</v>
      </c>
      <c r="AU254" s="12">
        <f t="shared" si="11"/>
        <v>4</v>
      </c>
      <c r="AV254" s="14">
        <f t="shared" si="12"/>
        <v>1</v>
      </c>
      <c r="AW254" s="14">
        <f t="shared" si="13"/>
        <v>1</v>
      </c>
      <c r="AY254" s="11">
        <f t="shared" si="14"/>
        <v>0.007327542263</v>
      </c>
    </row>
    <row r="255" ht="15.75" customHeight="1">
      <c r="A255" s="15">
        <f t="shared" si="2"/>
        <v>5.57945835</v>
      </c>
      <c r="B255" s="7">
        <f>(sum(AL255:AP255))*'Optimal Choice'!$B$28</f>
        <v>73986.6</v>
      </c>
      <c r="C255" s="11"/>
      <c r="D255" s="12"/>
      <c r="E255" s="12"/>
      <c r="F255" s="11"/>
      <c r="G255" s="11"/>
      <c r="H255" s="11"/>
      <c r="I255" s="11"/>
      <c r="J255" s="11"/>
      <c r="K255" s="11">
        <f>(X255/$B255)+(X255/('Optimal Choice'!$B$4*AS255))</f>
        <v>346.1037034</v>
      </c>
      <c r="L255" s="11">
        <f>(Y255/$B255)+(Y255/('Optimal Choice'!$B$9*AT255))</f>
        <v>372.2532525</v>
      </c>
      <c r="M255" s="11">
        <f>(Z255/$B255)+(Z255/('Optimal Choice'!$B$14*AU255))</f>
        <v>379.6051461</v>
      </c>
      <c r="N255" s="11">
        <f>(AA255/$B255)+(AA255/('Optimal Choice'!$B$19*AV255))</f>
        <v>354.8501887</v>
      </c>
      <c r="O255" s="11">
        <f>(AB255/$B255)+(AB255/('Optimal Choice'!$B$24*AW255))</f>
        <v>339.1915849</v>
      </c>
      <c r="R255" s="12">
        <f t="shared" ref="R255:V255" si="265">if(min($K254:$O254)=K254,R254+1,R254)</f>
        <v>133</v>
      </c>
      <c r="S255" s="12">
        <f t="shared" si="265"/>
        <v>45</v>
      </c>
      <c r="T255" s="12">
        <f t="shared" si="265"/>
        <v>39</v>
      </c>
      <c r="U255" s="12">
        <f t="shared" si="265"/>
        <v>21</v>
      </c>
      <c r="V255" s="12">
        <f t="shared" si="265"/>
        <v>16</v>
      </c>
      <c r="X255" s="13">
        <f> 'Optimal Choice'!$B$5*'Optimal Choice'!$B$6^(R255+1)</f>
        <v>34632.68806</v>
      </c>
      <c r="Y255" s="13">
        <f> 'Optimal Choice'!$B$10*'Optimal Choice'!$B$11^(S255+1)</f>
        <v>37175.07956</v>
      </c>
      <c r="Z255" s="13">
        <f> 'Optimal Choice'!$B$15*'Optimal Choice'!$B$16^(T255+1)</f>
        <v>135996.13</v>
      </c>
      <c r="AA255" s="13">
        <f> 'Optimal Choice'!$B$20*'Optimal Choice'!$B$21^(U255+1)</f>
        <v>127127.4978</v>
      </c>
      <c r="AB255" s="13">
        <f> 'Optimal Choice'!$B$25*'Optimal Choice'!$B$26^(V255+1)</f>
        <v>711871.1193</v>
      </c>
      <c r="AE255" s="12">
        <f t="shared" si="4"/>
        <v>60</v>
      </c>
      <c r="AF255" s="12">
        <f t="shared" si="5"/>
        <v>5</v>
      </c>
      <c r="AG255" s="12">
        <f t="shared" si="6"/>
        <v>4</v>
      </c>
      <c r="AH255" s="14">
        <f t="shared" si="7"/>
        <v>1</v>
      </c>
      <c r="AI255" s="14">
        <f t="shared" si="8"/>
        <v>1</v>
      </c>
      <c r="AL255" s="14">
        <f>R255*'Optimal Choice'!$B$4*AE255</f>
        <v>13326.6</v>
      </c>
      <c r="AM255" s="14">
        <f>S255*'Optimal Choice'!$B$9*AF255</f>
        <v>4500</v>
      </c>
      <c r="AN255" s="14">
        <f>T255*'Optimal Choice'!$B$14*AG255</f>
        <v>14040</v>
      </c>
      <c r="AO255" s="14">
        <f>U255*'Optimal Choice'!$B$19*AH255</f>
        <v>7560</v>
      </c>
      <c r="AP255" s="14">
        <f>V255*'Optimal Choice'!$B$24*AI255</f>
        <v>34560</v>
      </c>
      <c r="AS255" s="12">
        <f t="shared" si="9"/>
        <v>60</v>
      </c>
      <c r="AT255" s="12">
        <f t="shared" si="10"/>
        <v>5</v>
      </c>
      <c r="AU255" s="12">
        <f t="shared" si="11"/>
        <v>4</v>
      </c>
      <c r="AV255" s="14">
        <f t="shared" si="12"/>
        <v>1</v>
      </c>
      <c r="AW255" s="14">
        <f t="shared" si="13"/>
        <v>1</v>
      </c>
      <c r="AY255" s="11">
        <f t="shared" si="14"/>
        <v>0.02700447276</v>
      </c>
    </row>
    <row r="256" ht="15.75" customHeight="1">
      <c r="A256" s="15">
        <f t="shared" si="2"/>
        <v>5.739818721</v>
      </c>
      <c r="B256" s="7">
        <f>(sum(AL256:AP256))*'Optimal Choice'!$B$28</f>
        <v>76146.6</v>
      </c>
      <c r="C256" s="11"/>
      <c r="D256" s="12"/>
      <c r="E256" s="12"/>
      <c r="F256" s="11"/>
      <c r="G256" s="11"/>
      <c r="H256" s="11"/>
      <c r="I256" s="11"/>
      <c r="J256" s="11"/>
      <c r="K256" s="11">
        <f>(X256/$B256)+(X256/('Optimal Choice'!$B$4*AS256))</f>
        <v>346.0904253</v>
      </c>
      <c r="L256" s="11">
        <f>(Y256/$B256)+(Y256/('Optimal Choice'!$B$9*AT256))</f>
        <v>372.2389997</v>
      </c>
      <c r="M256" s="11">
        <f>(Z256/$B256)+(Z256/('Optimal Choice'!$B$14*AU256))</f>
        <v>379.5530054</v>
      </c>
      <c r="N256" s="11">
        <f>(AA256/$B256)+(AA256/('Optimal Choice'!$B$19*AV256))</f>
        <v>354.8014482</v>
      </c>
      <c r="O256" s="11">
        <f>(AB256/$B256)+(AB256/('Optimal Choice'!$B$24*AW256))</f>
        <v>379.5888933</v>
      </c>
      <c r="R256" s="12">
        <f t="shared" ref="R256:V256" si="266">if(min($K255:$O255)=K255,R255+1,R255)</f>
        <v>133</v>
      </c>
      <c r="S256" s="12">
        <f t="shared" si="266"/>
        <v>45</v>
      </c>
      <c r="T256" s="12">
        <f t="shared" si="266"/>
        <v>39</v>
      </c>
      <c r="U256" s="12">
        <f t="shared" si="266"/>
        <v>21</v>
      </c>
      <c r="V256" s="12">
        <f t="shared" si="266"/>
        <v>17</v>
      </c>
      <c r="X256" s="13">
        <f> 'Optimal Choice'!$B$5*'Optimal Choice'!$B$6^(R256+1)</f>
        <v>34632.68806</v>
      </c>
      <c r="Y256" s="13">
        <f> 'Optimal Choice'!$B$10*'Optimal Choice'!$B$11^(S256+1)</f>
        <v>37175.07956</v>
      </c>
      <c r="Z256" s="13">
        <f> 'Optimal Choice'!$B$15*'Optimal Choice'!$B$16^(T256+1)</f>
        <v>135996.13</v>
      </c>
      <c r="AA256" s="13">
        <f> 'Optimal Choice'!$B$20*'Optimal Choice'!$B$21^(U256+1)</f>
        <v>127127.4978</v>
      </c>
      <c r="AB256" s="13">
        <f> 'Optimal Choice'!$B$25*'Optimal Choice'!$B$26^(V256+1)</f>
        <v>797295.6536</v>
      </c>
      <c r="AE256" s="12">
        <f t="shared" si="4"/>
        <v>60</v>
      </c>
      <c r="AF256" s="12">
        <f t="shared" si="5"/>
        <v>5</v>
      </c>
      <c r="AG256" s="12">
        <f t="shared" si="6"/>
        <v>4</v>
      </c>
      <c r="AH256" s="14">
        <f t="shared" si="7"/>
        <v>1</v>
      </c>
      <c r="AI256" s="14">
        <f t="shared" si="8"/>
        <v>1</v>
      </c>
      <c r="AL256" s="14">
        <f>R256*'Optimal Choice'!$B$4*AE256</f>
        <v>13326.6</v>
      </c>
      <c r="AM256" s="14">
        <f>S256*'Optimal Choice'!$B$9*AF256</f>
        <v>4500</v>
      </c>
      <c r="AN256" s="14">
        <f>T256*'Optimal Choice'!$B$14*AG256</f>
        <v>14040</v>
      </c>
      <c r="AO256" s="14">
        <f>U256*'Optimal Choice'!$B$19*AH256</f>
        <v>7560</v>
      </c>
      <c r="AP256" s="14">
        <f>V256*'Optimal Choice'!$B$24*AI256</f>
        <v>36720</v>
      </c>
      <c r="AS256" s="12">
        <f t="shared" si="9"/>
        <v>60</v>
      </c>
      <c r="AT256" s="12">
        <f t="shared" si="10"/>
        <v>5</v>
      </c>
      <c r="AU256" s="12">
        <f t="shared" si="11"/>
        <v>4</v>
      </c>
      <c r="AV256" s="14">
        <f t="shared" si="12"/>
        <v>1</v>
      </c>
      <c r="AW256" s="14">
        <f t="shared" si="13"/>
        <v>1</v>
      </c>
      <c r="AY256" s="11">
        <f t="shared" si="14"/>
        <v>0.1603603714</v>
      </c>
    </row>
    <row r="257" ht="15.75" customHeight="1">
      <c r="A257" s="15">
        <f t="shared" si="2"/>
        <v>5.747398987</v>
      </c>
      <c r="B257" s="7">
        <f>(sum(AL257:AP257))*'Optimal Choice'!$B$28</f>
        <v>76246.8</v>
      </c>
      <c r="C257" s="11"/>
      <c r="D257" s="12"/>
      <c r="E257" s="12"/>
      <c r="F257" s="11"/>
      <c r="G257" s="11"/>
      <c r="H257" s="11"/>
      <c r="I257" s="11"/>
      <c r="J257" s="11"/>
      <c r="K257" s="11">
        <f>(X257/$B257)+(X257/('Optimal Choice'!$B$4*AS257))</f>
        <v>370.3161155</v>
      </c>
      <c r="L257" s="11">
        <f>(Y257/$B257)+(Y257/('Optimal Choice'!$B$9*AT257))</f>
        <v>372.2383581</v>
      </c>
      <c r="M257" s="11">
        <f>(Z257/$B257)+(Z257/('Optimal Choice'!$B$14*AU257))</f>
        <v>379.5506584</v>
      </c>
      <c r="N257" s="11">
        <f>(AA257/$B257)+(AA257/('Optimal Choice'!$B$19*AV257))</f>
        <v>354.7992542</v>
      </c>
      <c r="O257" s="11">
        <f>(AB257/$B257)+(AB257/('Optimal Choice'!$B$24*AW257))</f>
        <v>379.5751334</v>
      </c>
      <c r="R257" s="12">
        <f t="shared" ref="R257:V257" si="267">if(min($K256:$O256)=K256,R256+1,R256)</f>
        <v>134</v>
      </c>
      <c r="S257" s="12">
        <f t="shared" si="267"/>
        <v>45</v>
      </c>
      <c r="T257" s="12">
        <f t="shared" si="267"/>
        <v>39</v>
      </c>
      <c r="U257" s="12">
        <f t="shared" si="267"/>
        <v>21</v>
      </c>
      <c r="V257" s="12">
        <f t="shared" si="267"/>
        <v>17</v>
      </c>
      <c r="X257" s="13">
        <f> 'Optimal Choice'!$B$5*'Optimal Choice'!$B$6^(R257+1)</f>
        <v>37056.97622</v>
      </c>
      <c r="Y257" s="13">
        <f> 'Optimal Choice'!$B$10*'Optimal Choice'!$B$11^(S257+1)</f>
        <v>37175.07956</v>
      </c>
      <c r="Z257" s="13">
        <f> 'Optimal Choice'!$B$15*'Optimal Choice'!$B$16^(T257+1)</f>
        <v>135996.13</v>
      </c>
      <c r="AA257" s="13">
        <f> 'Optimal Choice'!$B$20*'Optimal Choice'!$B$21^(U257+1)</f>
        <v>127127.4978</v>
      </c>
      <c r="AB257" s="13">
        <f> 'Optimal Choice'!$B$25*'Optimal Choice'!$B$26^(V257+1)</f>
        <v>797295.6536</v>
      </c>
      <c r="AE257" s="12">
        <f t="shared" si="4"/>
        <v>60</v>
      </c>
      <c r="AF257" s="12">
        <f t="shared" si="5"/>
        <v>5</v>
      </c>
      <c r="AG257" s="12">
        <f t="shared" si="6"/>
        <v>4</v>
      </c>
      <c r="AH257" s="14">
        <f t="shared" si="7"/>
        <v>1</v>
      </c>
      <c r="AI257" s="14">
        <f t="shared" si="8"/>
        <v>1</v>
      </c>
      <c r="AL257" s="14">
        <f>R257*'Optimal Choice'!$B$4*AE257</f>
        <v>13426.8</v>
      </c>
      <c r="AM257" s="14">
        <f>S257*'Optimal Choice'!$B$9*AF257</f>
        <v>4500</v>
      </c>
      <c r="AN257" s="14">
        <f>T257*'Optimal Choice'!$B$14*AG257</f>
        <v>14040</v>
      </c>
      <c r="AO257" s="14">
        <f>U257*'Optimal Choice'!$B$19*AH257</f>
        <v>7560</v>
      </c>
      <c r="AP257" s="14">
        <f>V257*'Optimal Choice'!$B$24*AI257</f>
        <v>36720</v>
      </c>
      <c r="AS257" s="12">
        <f t="shared" si="9"/>
        <v>60</v>
      </c>
      <c r="AT257" s="12">
        <f t="shared" si="10"/>
        <v>5</v>
      </c>
      <c r="AU257" s="12">
        <f t="shared" si="11"/>
        <v>4</v>
      </c>
      <c r="AV257" s="14">
        <f t="shared" si="12"/>
        <v>1</v>
      </c>
      <c r="AW257" s="14">
        <f t="shared" si="13"/>
        <v>1</v>
      </c>
      <c r="AY257" s="11">
        <f t="shared" si="14"/>
        <v>0.007580265798</v>
      </c>
    </row>
    <row r="258" ht="15.75" customHeight="1">
      <c r="A258" s="15">
        <f t="shared" si="2"/>
        <v>5.775187584</v>
      </c>
      <c r="B258" s="7">
        <f>(sum(AL258:AP258))*'Optimal Choice'!$B$28</f>
        <v>76606.8</v>
      </c>
      <c r="C258" s="11"/>
      <c r="D258" s="12"/>
      <c r="E258" s="12"/>
      <c r="F258" s="11"/>
      <c r="G258" s="11"/>
      <c r="H258" s="11"/>
      <c r="I258" s="11"/>
      <c r="J258" s="11"/>
      <c r="K258" s="11">
        <f>(X258/$B258)+(X258/('Optimal Choice'!$B$4*AS258))</f>
        <v>370.3138316</v>
      </c>
      <c r="L258" s="11">
        <f>(Y258/$B258)+(Y258/('Optimal Choice'!$B$9*AT258))</f>
        <v>372.2360669</v>
      </c>
      <c r="M258" s="11">
        <f>(Z258/$B258)+(Z258/('Optimal Choice'!$B$14*AU258))</f>
        <v>379.5422765</v>
      </c>
      <c r="N258" s="11">
        <f>(AA258/$B258)+(AA258/('Optimal Choice'!$B$19*AV258))</f>
        <v>400.9143035</v>
      </c>
      <c r="O258" s="11">
        <f>(AB258/$B258)+(AB258/('Optimal Choice'!$B$24*AW258))</f>
        <v>379.5259937</v>
      </c>
      <c r="R258" s="12">
        <f t="shared" ref="R258:V258" si="268">if(min($K257:$O257)=K257,R257+1,R257)</f>
        <v>134</v>
      </c>
      <c r="S258" s="12">
        <f t="shared" si="268"/>
        <v>45</v>
      </c>
      <c r="T258" s="12">
        <f t="shared" si="268"/>
        <v>39</v>
      </c>
      <c r="U258" s="12">
        <f t="shared" si="268"/>
        <v>22</v>
      </c>
      <c r="V258" s="12">
        <f t="shared" si="268"/>
        <v>17</v>
      </c>
      <c r="X258" s="13">
        <f> 'Optimal Choice'!$B$5*'Optimal Choice'!$B$6^(R258+1)</f>
        <v>37056.97622</v>
      </c>
      <c r="Y258" s="13">
        <f> 'Optimal Choice'!$B$10*'Optimal Choice'!$B$11^(S258+1)</f>
        <v>37175.07956</v>
      </c>
      <c r="Z258" s="13">
        <f> 'Optimal Choice'!$B$15*'Optimal Choice'!$B$16^(T258+1)</f>
        <v>135996.13</v>
      </c>
      <c r="AA258" s="13">
        <f> 'Optimal Choice'!$B$20*'Optimal Choice'!$B$21^(U258+1)</f>
        <v>143654.0725</v>
      </c>
      <c r="AB258" s="13">
        <f> 'Optimal Choice'!$B$25*'Optimal Choice'!$B$26^(V258+1)</f>
        <v>797295.6536</v>
      </c>
      <c r="AE258" s="12">
        <f t="shared" si="4"/>
        <v>60</v>
      </c>
      <c r="AF258" s="12">
        <f t="shared" si="5"/>
        <v>5</v>
      </c>
      <c r="AG258" s="12">
        <f t="shared" si="6"/>
        <v>4</v>
      </c>
      <c r="AH258" s="14">
        <f t="shared" si="7"/>
        <v>1</v>
      </c>
      <c r="AI258" s="14">
        <f t="shared" si="8"/>
        <v>1</v>
      </c>
      <c r="AL258" s="14">
        <f>R258*'Optimal Choice'!$B$4*AE258</f>
        <v>13426.8</v>
      </c>
      <c r="AM258" s="14">
        <f>S258*'Optimal Choice'!$B$9*AF258</f>
        <v>4500</v>
      </c>
      <c r="AN258" s="14">
        <f>T258*'Optimal Choice'!$B$14*AG258</f>
        <v>14040</v>
      </c>
      <c r="AO258" s="14">
        <f>U258*'Optimal Choice'!$B$19*AH258</f>
        <v>7920</v>
      </c>
      <c r="AP258" s="14">
        <f>V258*'Optimal Choice'!$B$24*AI258</f>
        <v>36720</v>
      </c>
      <c r="AS258" s="12">
        <f t="shared" si="9"/>
        <v>60</v>
      </c>
      <c r="AT258" s="12">
        <f t="shared" si="10"/>
        <v>5</v>
      </c>
      <c r="AU258" s="12">
        <f t="shared" si="11"/>
        <v>4</v>
      </c>
      <c r="AV258" s="14">
        <f t="shared" si="12"/>
        <v>1</v>
      </c>
      <c r="AW258" s="14">
        <f t="shared" si="13"/>
        <v>1</v>
      </c>
      <c r="AY258" s="11">
        <f t="shared" si="14"/>
        <v>0.02778859743</v>
      </c>
    </row>
    <row r="259" ht="15.75" customHeight="1">
      <c r="A259" s="15">
        <f t="shared" si="2"/>
        <v>5.783249744</v>
      </c>
      <c r="B259" s="7">
        <f>(sum(AL259:AP259))*'Optimal Choice'!$B$28</f>
        <v>76707</v>
      </c>
      <c r="C259" s="11"/>
      <c r="D259" s="12"/>
      <c r="E259" s="12"/>
      <c r="F259" s="11"/>
      <c r="G259" s="11"/>
      <c r="H259" s="11"/>
      <c r="I259" s="11"/>
      <c r="J259" s="11"/>
      <c r="K259" s="11">
        <f>(X259/$B259)+(X259/('Optimal Choice'!$B$4*AS259))</f>
        <v>396.2351237</v>
      </c>
      <c r="L259" s="11">
        <f>(Y259/$B259)+(Y259/('Optimal Choice'!$B$9*AT259))</f>
        <v>372.235433</v>
      </c>
      <c r="M259" s="11">
        <f>(Z259/$B259)+(Z259/('Optimal Choice'!$B$14*AU259))</f>
        <v>379.5399576</v>
      </c>
      <c r="N259" s="11">
        <f>(AA259/$B259)+(AA259/('Optimal Choice'!$B$19*AV259))</f>
        <v>400.9118539</v>
      </c>
      <c r="O259" s="11">
        <f>(AB259/$B259)+(AB259/('Optimal Choice'!$B$24*AW259))</f>
        <v>379.5123985</v>
      </c>
      <c r="R259" s="12">
        <f t="shared" ref="R259:V259" si="269">if(min($K258:$O258)=K258,R258+1,R258)</f>
        <v>135</v>
      </c>
      <c r="S259" s="12">
        <f t="shared" si="269"/>
        <v>45</v>
      </c>
      <c r="T259" s="12">
        <f t="shared" si="269"/>
        <v>39</v>
      </c>
      <c r="U259" s="12">
        <f t="shared" si="269"/>
        <v>22</v>
      </c>
      <c r="V259" s="12">
        <f t="shared" si="269"/>
        <v>17</v>
      </c>
      <c r="X259" s="13">
        <f> 'Optimal Choice'!$B$5*'Optimal Choice'!$B$6^(R259+1)</f>
        <v>39650.96456</v>
      </c>
      <c r="Y259" s="13">
        <f> 'Optimal Choice'!$B$10*'Optimal Choice'!$B$11^(S259+1)</f>
        <v>37175.07956</v>
      </c>
      <c r="Z259" s="13">
        <f> 'Optimal Choice'!$B$15*'Optimal Choice'!$B$16^(T259+1)</f>
        <v>135996.13</v>
      </c>
      <c r="AA259" s="13">
        <f> 'Optimal Choice'!$B$20*'Optimal Choice'!$B$21^(U259+1)</f>
        <v>143654.0725</v>
      </c>
      <c r="AB259" s="13">
        <f> 'Optimal Choice'!$B$25*'Optimal Choice'!$B$26^(V259+1)</f>
        <v>797295.6536</v>
      </c>
      <c r="AE259" s="12">
        <f t="shared" si="4"/>
        <v>60</v>
      </c>
      <c r="AF259" s="12">
        <f t="shared" si="5"/>
        <v>5</v>
      </c>
      <c r="AG259" s="12">
        <f t="shared" si="6"/>
        <v>4</v>
      </c>
      <c r="AH259" s="14">
        <f t="shared" si="7"/>
        <v>1</v>
      </c>
      <c r="AI259" s="14">
        <f t="shared" si="8"/>
        <v>1</v>
      </c>
      <c r="AL259" s="14">
        <f>R259*'Optimal Choice'!$B$4*AE259</f>
        <v>13527</v>
      </c>
      <c r="AM259" s="14">
        <f>S259*'Optimal Choice'!$B$9*AF259</f>
        <v>4500</v>
      </c>
      <c r="AN259" s="14">
        <f>T259*'Optimal Choice'!$B$14*AG259</f>
        <v>14040</v>
      </c>
      <c r="AO259" s="14">
        <f>U259*'Optimal Choice'!$B$19*AH259</f>
        <v>7920</v>
      </c>
      <c r="AP259" s="14">
        <f>V259*'Optimal Choice'!$B$24*AI259</f>
        <v>36720</v>
      </c>
      <c r="AS259" s="12">
        <f t="shared" si="9"/>
        <v>60</v>
      </c>
      <c r="AT259" s="12">
        <f t="shared" si="10"/>
        <v>5</v>
      </c>
      <c r="AU259" s="12">
        <f t="shared" si="11"/>
        <v>4</v>
      </c>
      <c r="AV259" s="14">
        <f t="shared" si="12"/>
        <v>1</v>
      </c>
      <c r="AW259" s="14">
        <f t="shared" si="13"/>
        <v>1</v>
      </c>
      <c r="AY259" s="11">
        <f t="shared" si="14"/>
        <v>0.008062159891</v>
      </c>
    </row>
    <row r="260" ht="15.75" customHeight="1">
      <c r="A260" s="15">
        <f t="shared" si="2"/>
        <v>5.791327034</v>
      </c>
      <c r="B260" s="7">
        <f>(sum(AL260:AP260))*'Optimal Choice'!$B$28</f>
        <v>76807</v>
      </c>
      <c r="C260" s="11"/>
      <c r="D260" s="12"/>
      <c r="E260" s="12"/>
      <c r="F260" s="11"/>
      <c r="G260" s="11"/>
      <c r="H260" s="11"/>
      <c r="I260" s="11"/>
      <c r="J260" s="11"/>
      <c r="K260" s="11">
        <f>(X260/$B260)+(X260/('Optimal Choice'!$B$4*AS260))</f>
        <v>396.2344507</v>
      </c>
      <c r="L260" s="11">
        <f>(Y260/$B260)+(Y260/('Optimal Choice'!$B$9*AT260))</f>
        <v>428.0700223</v>
      </c>
      <c r="M260" s="11">
        <f>(Z260/$B260)+(Z260/('Optimal Choice'!$B$14*AU260))</f>
        <v>379.5376493</v>
      </c>
      <c r="N260" s="11">
        <f>(AA260/$B260)+(AA260/('Optimal Choice'!$B$19*AV260))</f>
        <v>400.9094157</v>
      </c>
      <c r="O260" s="11">
        <f>(AB260/$B260)+(AB260/('Optimal Choice'!$B$24*AW260))</f>
        <v>379.4988658</v>
      </c>
      <c r="R260" s="12">
        <f t="shared" ref="R260:V260" si="270">if(min($K259:$O259)=K259,R259+1,R259)</f>
        <v>135</v>
      </c>
      <c r="S260" s="12">
        <f t="shared" si="270"/>
        <v>46</v>
      </c>
      <c r="T260" s="12">
        <f t="shared" si="270"/>
        <v>39</v>
      </c>
      <c r="U260" s="12">
        <f t="shared" si="270"/>
        <v>22</v>
      </c>
      <c r="V260" s="12">
        <f t="shared" si="270"/>
        <v>17</v>
      </c>
      <c r="X260" s="13">
        <f> 'Optimal Choice'!$B$5*'Optimal Choice'!$B$6^(R260+1)</f>
        <v>39650.96456</v>
      </c>
      <c r="Y260" s="13">
        <f> 'Optimal Choice'!$B$10*'Optimal Choice'!$B$11^(S260+1)</f>
        <v>42751.34149</v>
      </c>
      <c r="Z260" s="13">
        <f> 'Optimal Choice'!$B$15*'Optimal Choice'!$B$16^(T260+1)</f>
        <v>135996.13</v>
      </c>
      <c r="AA260" s="13">
        <f> 'Optimal Choice'!$B$20*'Optimal Choice'!$B$21^(U260+1)</f>
        <v>143654.0725</v>
      </c>
      <c r="AB260" s="13">
        <f> 'Optimal Choice'!$B$25*'Optimal Choice'!$B$26^(V260+1)</f>
        <v>797295.6536</v>
      </c>
      <c r="AE260" s="12">
        <f t="shared" si="4"/>
        <v>60</v>
      </c>
      <c r="AF260" s="12">
        <f t="shared" si="5"/>
        <v>5</v>
      </c>
      <c r="AG260" s="12">
        <f t="shared" si="6"/>
        <v>4</v>
      </c>
      <c r="AH260" s="14">
        <f t="shared" si="7"/>
        <v>1</v>
      </c>
      <c r="AI260" s="14">
        <f t="shared" si="8"/>
        <v>1</v>
      </c>
      <c r="AL260" s="14">
        <f>R260*'Optimal Choice'!$B$4*AE260</f>
        <v>13527</v>
      </c>
      <c r="AM260" s="14">
        <f>S260*'Optimal Choice'!$B$9*AF260</f>
        <v>4600</v>
      </c>
      <c r="AN260" s="14">
        <f>T260*'Optimal Choice'!$B$14*AG260</f>
        <v>14040</v>
      </c>
      <c r="AO260" s="14">
        <f>U260*'Optimal Choice'!$B$19*AH260</f>
        <v>7920</v>
      </c>
      <c r="AP260" s="14">
        <f>V260*'Optimal Choice'!$B$24*AI260</f>
        <v>36720</v>
      </c>
      <c r="AS260" s="12">
        <f t="shared" si="9"/>
        <v>60</v>
      </c>
      <c r="AT260" s="12">
        <f t="shared" si="10"/>
        <v>5</v>
      </c>
      <c r="AU260" s="12">
        <f t="shared" si="11"/>
        <v>4</v>
      </c>
      <c r="AV260" s="14">
        <f t="shared" si="12"/>
        <v>1</v>
      </c>
      <c r="AW260" s="14">
        <f t="shared" si="13"/>
        <v>1</v>
      </c>
      <c r="AY260" s="11">
        <f t="shared" si="14"/>
        <v>0.008077289678</v>
      </c>
    </row>
    <row r="261" ht="15.75" customHeight="1">
      <c r="A261" s="15">
        <f t="shared" si="2"/>
        <v>5.964335495</v>
      </c>
      <c r="B261" s="7">
        <f>(sum(AL261:AP261))*'Optimal Choice'!$B$28</f>
        <v>78967</v>
      </c>
      <c r="C261" s="11"/>
      <c r="D261" s="12"/>
      <c r="E261" s="12"/>
      <c r="F261" s="11"/>
      <c r="G261" s="11"/>
      <c r="H261" s="11"/>
      <c r="I261" s="11"/>
      <c r="J261" s="11"/>
      <c r="K261" s="11">
        <f>(X261/$B261)+(X261/('Optimal Choice'!$B$4*AS261))</f>
        <v>396.2203298</v>
      </c>
      <c r="L261" s="11">
        <f>(Y261/$B261)+(Y261/('Optimal Choice'!$B$9*AT261))</f>
        <v>428.0547973</v>
      </c>
      <c r="M261" s="11">
        <f>(Z261/$B261)+(Z261/('Optimal Choice'!$B$14*AU261))</f>
        <v>379.4892171</v>
      </c>
      <c r="N261" s="11">
        <f>(AA261/$B261)+(AA261/('Optimal Choice'!$B$19*AV261))</f>
        <v>400.8582563</v>
      </c>
      <c r="O261" s="11">
        <f>(AB261/$B261)+(AB261/('Optimal Choice'!$B$24*AW261))</f>
        <v>424.7207169</v>
      </c>
      <c r="R261" s="12">
        <f t="shared" ref="R261:V261" si="271">if(min($K260:$O260)=K260,R260+1,R260)</f>
        <v>135</v>
      </c>
      <c r="S261" s="12">
        <f t="shared" si="271"/>
        <v>46</v>
      </c>
      <c r="T261" s="12">
        <f t="shared" si="271"/>
        <v>39</v>
      </c>
      <c r="U261" s="12">
        <f t="shared" si="271"/>
        <v>22</v>
      </c>
      <c r="V261" s="12">
        <f t="shared" si="271"/>
        <v>18</v>
      </c>
      <c r="X261" s="13">
        <f> 'Optimal Choice'!$B$5*'Optimal Choice'!$B$6^(R261+1)</f>
        <v>39650.96456</v>
      </c>
      <c r="Y261" s="13">
        <f> 'Optimal Choice'!$B$10*'Optimal Choice'!$B$11^(S261+1)</f>
        <v>42751.34149</v>
      </c>
      <c r="Z261" s="13">
        <f> 'Optimal Choice'!$B$15*'Optimal Choice'!$B$16^(T261+1)</f>
        <v>135996.13</v>
      </c>
      <c r="AA261" s="13">
        <f> 'Optimal Choice'!$B$20*'Optimal Choice'!$B$21^(U261+1)</f>
        <v>143654.0725</v>
      </c>
      <c r="AB261" s="13">
        <f> 'Optimal Choice'!$B$25*'Optimal Choice'!$B$26^(V261+1)</f>
        <v>892971.1321</v>
      </c>
      <c r="AE261" s="12">
        <f t="shared" si="4"/>
        <v>60</v>
      </c>
      <c r="AF261" s="12">
        <f t="shared" si="5"/>
        <v>5</v>
      </c>
      <c r="AG261" s="12">
        <f t="shared" si="6"/>
        <v>4</v>
      </c>
      <c r="AH261" s="14">
        <f t="shared" si="7"/>
        <v>1</v>
      </c>
      <c r="AI261" s="14">
        <f t="shared" si="8"/>
        <v>1</v>
      </c>
      <c r="AL261" s="14">
        <f>R261*'Optimal Choice'!$B$4*AE261</f>
        <v>13527</v>
      </c>
      <c r="AM261" s="14">
        <f>S261*'Optimal Choice'!$B$9*AF261</f>
        <v>4600</v>
      </c>
      <c r="AN261" s="14">
        <f>T261*'Optimal Choice'!$B$14*AG261</f>
        <v>14040</v>
      </c>
      <c r="AO261" s="14">
        <f>U261*'Optimal Choice'!$B$19*AH261</f>
        <v>7920</v>
      </c>
      <c r="AP261" s="14">
        <f>V261*'Optimal Choice'!$B$24*AI261</f>
        <v>38880</v>
      </c>
      <c r="AS261" s="12">
        <f t="shared" si="9"/>
        <v>60</v>
      </c>
      <c r="AT261" s="12">
        <f t="shared" si="10"/>
        <v>5</v>
      </c>
      <c r="AU261" s="12">
        <f t="shared" si="11"/>
        <v>4</v>
      </c>
      <c r="AV261" s="14">
        <f t="shared" si="12"/>
        <v>1</v>
      </c>
      <c r="AW261" s="14">
        <f t="shared" si="13"/>
        <v>1</v>
      </c>
      <c r="AY261" s="11">
        <f t="shared" si="14"/>
        <v>0.1730084614</v>
      </c>
    </row>
    <row r="262" ht="15.75" customHeight="1">
      <c r="A262" s="15">
        <f t="shared" si="2"/>
        <v>5.993038652</v>
      </c>
      <c r="B262" s="7">
        <f>(sum(AL262:AP262))*'Optimal Choice'!$B$28</f>
        <v>79327</v>
      </c>
      <c r="C262" s="11"/>
      <c r="D262" s="12"/>
      <c r="E262" s="12"/>
      <c r="F262" s="11"/>
      <c r="G262" s="11"/>
      <c r="H262" s="11"/>
      <c r="I262" s="11"/>
      <c r="J262" s="11"/>
      <c r="K262" s="11">
        <f>(X262/$B262)+(X262/('Optimal Choice'!$B$4*AS262))</f>
        <v>396.2180511</v>
      </c>
      <c r="L262" s="11">
        <f>(Y262/$B262)+(Y262/('Optimal Choice'!$B$9*AT262))</f>
        <v>428.0523404</v>
      </c>
      <c r="M262" s="11">
        <f>(Z262/$B262)+(Z262/('Optimal Choice'!$B$14*AU262))</f>
        <v>432.6087977</v>
      </c>
      <c r="N262" s="11">
        <f>(AA262/$B262)+(AA262/('Optimal Choice'!$B$19*AV262))</f>
        <v>400.8500006</v>
      </c>
      <c r="O262" s="11">
        <f>(AB262/$B262)+(AB262/('Optimal Choice'!$B$24*AW262))</f>
        <v>424.6693984</v>
      </c>
      <c r="R262" s="12">
        <f t="shared" ref="R262:V262" si="272">if(min($K261:$O261)=K261,R261+1,R261)</f>
        <v>135</v>
      </c>
      <c r="S262" s="12">
        <f t="shared" si="272"/>
        <v>46</v>
      </c>
      <c r="T262" s="12">
        <f t="shared" si="272"/>
        <v>40</v>
      </c>
      <c r="U262" s="12">
        <f t="shared" si="272"/>
        <v>22</v>
      </c>
      <c r="V262" s="12">
        <f t="shared" si="272"/>
        <v>18</v>
      </c>
      <c r="X262" s="13">
        <f> 'Optimal Choice'!$B$5*'Optimal Choice'!$B$6^(R262+1)</f>
        <v>39650.96456</v>
      </c>
      <c r="Y262" s="13">
        <f> 'Optimal Choice'!$B$10*'Optimal Choice'!$B$11^(S262+1)</f>
        <v>42751.34149</v>
      </c>
      <c r="Z262" s="13">
        <f> 'Optimal Choice'!$B$15*'Optimal Choice'!$B$16^(T262+1)</f>
        <v>155035.5882</v>
      </c>
      <c r="AA262" s="13">
        <f> 'Optimal Choice'!$B$20*'Optimal Choice'!$B$21^(U262+1)</f>
        <v>143654.0725</v>
      </c>
      <c r="AB262" s="13">
        <f> 'Optimal Choice'!$B$25*'Optimal Choice'!$B$26^(V262+1)</f>
        <v>892971.1321</v>
      </c>
      <c r="AE262" s="12">
        <f t="shared" si="4"/>
        <v>60</v>
      </c>
      <c r="AF262" s="12">
        <f t="shared" si="5"/>
        <v>5</v>
      </c>
      <c r="AG262" s="12">
        <f t="shared" si="6"/>
        <v>4</v>
      </c>
      <c r="AH262" s="14">
        <f t="shared" si="7"/>
        <v>1</v>
      </c>
      <c r="AI262" s="14">
        <f t="shared" si="8"/>
        <v>1</v>
      </c>
      <c r="AL262" s="14">
        <f>R262*'Optimal Choice'!$B$4*AE262</f>
        <v>13527</v>
      </c>
      <c r="AM262" s="14">
        <f>S262*'Optimal Choice'!$B$9*AF262</f>
        <v>4600</v>
      </c>
      <c r="AN262" s="14">
        <f>T262*'Optimal Choice'!$B$14*AG262</f>
        <v>14400</v>
      </c>
      <c r="AO262" s="14">
        <f>U262*'Optimal Choice'!$B$19*AH262</f>
        <v>7920</v>
      </c>
      <c r="AP262" s="14">
        <f>V262*'Optimal Choice'!$B$24*AI262</f>
        <v>38880</v>
      </c>
      <c r="AS262" s="12">
        <f t="shared" si="9"/>
        <v>60</v>
      </c>
      <c r="AT262" s="12">
        <f t="shared" si="10"/>
        <v>5</v>
      </c>
      <c r="AU262" s="12">
        <f t="shared" si="11"/>
        <v>4</v>
      </c>
      <c r="AV262" s="14">
        <f t="shared" si="12"/>
        <v>1</v>
      </c>
      <c r="AW262" s="14">
        <f t="shared" si="13"/>
        <v>1</v>
      </c>
      <c r="AY262" s="11">
        <f t="shared" si="14"/>
        <v>0.02870315659</v>
      </c>
    </row>
    <row r="263" ht="15.75" customHeight="1">
      <c r="A263" s="15">
        <f t="shared" si="2"/>
        <v>6.001369351</v>
      </c>
      <c r="B263" s="7">
        <f>(sum(AL263:AP263))*'Optimal Choice'!$B$28</f>
        <v>79427.2</v>
      </c>
      <c r="C263" s="11"/>
      <c r="D263" s="12"/>
      <c r="E263" s="12"/>
      <c r="F263" s="11"/>
      <c r="G263" s="11"/>
      <c r="H263" s="11"/>
      <c r="I263" s="11"/>
      <c r="J263" s="11"/>
      <c r="K263" s="11">
        <f>(X263/$B263)+(X263/('Optimal Choice'!$B$4*AS263))</f>
        <v>423.95264</v>
      </c>
      <c r="L263" s="11">
        <f>(Y263/$B263)+(Y263/('Optimal Choice'!$B$9*AT263))</f>
        <v>428.0516605</v>
      </c>
      <c r="M263" s="11">
        <f>(Z263/$B263)+(Z263/('Optimal Choice'!$B$14*AU263))</f>
        <v>432.6063322</v>
      </c>
      <c r="N263" s="11">
        <f>(AA263/$B263)+(AA263/('Optimal Choice'!$B$19*AV263))</f>
        <v>400.8477161</v>
      </c>
      <c r="O263" s="11">
        <f>(AB263/$B263)+(AB263/('Optimal Choice'!$B$24*AW263))</f>
        <v>424.6551976</v>
      </c>
      <c r="R263" s="12">
        <f t="shared" ref="R263:V263" si="273">if(min($K262:$O262)=K262,R262+1,R262)</f>
        <v>136</v>
      </c>
      <c r="S263" s="12">
        <f t="shared" si="273"/>
        <v>46</v>
      </c>
      <c r="T263" s="12">
        <f t="shared" si="273"/>
        <v>40</v>
      </c>
      <c r="U263" s="12">
        <f t="shared" si="273"/>
        <v>22</v>
      </c>
      <c r="V263" s="12">
        <f t="shared" si="273"/>
        <v>18</v>
      </c>
      <c r="X263" s="13">
        <f> 'Optimal Choice'!$B$5*'Optimal Choice'!$B$6^(R263+1)</f>
        <v>42426.53208</v>
      </c>
      <c r="Y263" s="13">
        <f> 'Optimal Choice'!$B$10*'Optimal Choice'!$B$11^(S263+1)</f>
        <v>42751.34149</v>
      </c>
      <c r="Z263" s="13">
        <f> 'Optimal Choice'!$B$15*'Optimal Choice'!$B$16^(T263+1)</f>
        <v>155035.5882</v>
      </c>
      <c r="AA263" s="13">
        <f> 'Optimal Choice'!$B$20*'Optimal Choice'!$B$21^(U263+1)</f>
        <v>143654.0725</v>
      </c>
      <c r="AB263" s="13">
        <f> 'Optimal Choice'!$B$25*'Optimal Choice'!$B$26^(V263+1)</f>
        <v>892971.1321</v>
      </c>
      <c r="AE263" s="12">
        <f t="shared" si="4"/>
        <v>60</v>
      </c>
      <c r="AF263" s="12">
        <f t="shared" si="5"/>
        <v>5</v>
      </c>
      <c r="AG263" s="12">
        <f t="shared" si="6"/>
        <v>4</v>
      </c>
      <c r="AH263" s="14">
        <f t="shared" si="7"/>
        <v>1</v>
      </c>
      <c r="AI263" s="14">
        <f t="shared" si="8"/>
        <v>1</v>
      </c>
      <c r="AL263" s="14">
        <f>R263*'Optimal Choice'!$B$4*AE263</f>
        <v>13627.2</v>
      </c>
      <c r="AM263" s="14">
        <f>S263*'Optimal Choice'!$B$9*AF263</f>
        <v>4600</v>
      </c>
      <c r="AN263" s="14">
        <f>T263*'Optimal Choice'!$B$14*AG263</f>
        <v>14400</v>
      </c>
      <c r="AO263" s="14">
        <f>U263*'Optimal Choice'!$B$19*AH263</f>
        <v>7920</v>
      </c>
      <c r="AP263" s="14">
        <f>V263*'Optimal Choice'!$B$24*AI263</f>
        <v>38880</v>
      </c>
      <c r="AS263" s="12">
        <f t="shared" si="9"/>
        <v>60</v>
      </c>
      <c r="AT263" s="12">
        <f t="shared" si="10"/>
        <v>5</v>
      </c>
      <c r="AU263" s="12">
        <f t="shared" si="11"/>
        <v>4</v>
      </c>
      <c r="AV263" s="14">
        <f t="shared" si="12"/>
        <v>1</v>
      </c>
      <c r="AW263" s="14">
        <f t="shared" si="13"/>
        <v>1</v>
      </c>
      <c r="AY263" s="11">
        <f t="shared" si="14"/>
        <v>0.008330699627</v>
      </c>
    </row>
    <row r="264" ht="15.75" customHeight="1">
      <c r="A264" s="15">
        <f t="shared" si="2"/>
        <v>6.031513113</v>
      </c>
      <c r="B264" s="7">
        <f>(sum(AL264:AP264))*'Optimal Choice'!$B$28</f>
        <v>79787.2</v>
      </c>
      <c r="C264" s="11"/>
      <c r="D264" s="12"/>
      <c r="E264" s="12"/>
      <c r="F264" s="11"/>
      <c r="G264" s="11"/>
      <c r="H264" s="11"/>
      <c r="I264" s="11"/>
      <c r="J264" s="11"/>
      <c r="K264" s="11">
        <f>(X264/$B264)+(X264/('Optimal Choice'!$B$4*AS264))</f>
        <v>423.9502299</v>
      </c>
      <c r="L264" s="11">
        <f>(Y264/$B264)+(Y264/('Optimal Choice'!$B$9*AT264))</f>
        <v>428.049232</v>
      </c>
      <c r="M264" s="11">
        <f>(Z264/$B264)+(Z264/('Optimal Choice'!$B$14*AU264))</f>
        <v>432.5975251</v>
      </c>
      <c r="N264" s="11">
        <f>(AA264/$B264)+(AA264/('Optimal Choice'!$B$19*AV264))</f>
        <v>452.9486978</v>
      </c>
      <c r="O264" s="11">
        <f>(AB264/$B264)+(AB264/('Optimal Choice'!$B$24*AW264))</f>
        <v>424.6044708</v>
      </c>
      <c r="R264" s="12">
        <f t="shared" ref="R264:V264" si="274">if(min($K263:$O263)=K263,R263+1,R263)</f>
        <v>136</v>
      </c>
      <c r="S264" s="12">
        <f t="shared" si="274"/>
        <v>46</v>
      </c>
      <c r="T264" s="12">
        <f t="shared" si="274"/>
        <v>40</v>
      </c>
      <c r="U264" s="12">
        <f t="shared" si="274"/>
        <v>23</v>
      </c>
      <c r="V264" s="12">
        <f t="shared" si="274"/>
        <v>18</v>
      </c>
      <c r="X264" s="13">
        <f> 'Optimal Choice'!$B$5*'Optimal Choice'!$B$6^(R264+1)</f>
        <v>42426.53208</v>
      </c>
      <c r="Y264" s="13">
        <f> 'Optimal Choice'!$B$10*'Optimal Choice'!$B$11^(S264+1)</f>
        <v>42751.34149</v>
      </c>
      <c r="Z264" s="13">
        <f> 'Optimal Choice'!$B$15*'Optimal Choice'!$B$16^(T264+1)</f>
        <v>155035.5882</v>
      </c>
      <c r="AA264" s="13">
        <f> 'Optimal Choice'!$B$20*'Optimal Choice'!$B$21^(U264+1)</f>
        <v>162329.102</v>
      </c>
      <c r="AB264" s="13">
        <f> 'Optimal Choice'!$B$25*'Optimal Choice'!$B$26^(V264+1)</f>
        <v>892971.1321</v>
      </c>
      <c r="AE264" s="12">
        <f t="shared" si="4"/>
        <v>60</v>
      </c>
      <c r="AF264" s="12">
        <f t="shared" si="5"/>
        <v>5</v>
      </c>
      <c r="AG264" s="12">
        <f t="shared" si="6"/>
        <v>4</v>
      </c>
      <c r="AH264" s="14">
        <f t="shared" si="7"/>
        <v>1</v>
      </c>
      <c r="AI264" s="14">
        <f t="shared" si="8"/>
        <v>1</v>
      </c>
      <c r="AL264" s="14">
        <f>R264*'Optimal Choice'!$B$4*AE264</f>
        <v>13627.2</v>
      </c>
      <c r="AM264" s="14">
        <f>S264*'Optimal Choice'!$B$9*AF264</f>
        <v>4600</v>
      </c>
      <c r="AN264" s="14">
        <f>T264*'Optimal Choice'!$B$14*AG264</f>
        <v>14400</v>
      </c>
      <c r="AO264" s="14">
        <f>U264*'Optimal Choice'!$B$19*AH264</f>
        <v>8280</v>
      </c>
      <c r="AP264" s="14">
        <f>V264*'Optimal Choice'!$B$24*AI264</f>
        <v>38880</v>
      </c>
      <c r="AS264" s="12">
        <f t="shared" si="9"/>
        <v>60</v>
      </c>
      <c r="AT264" s="12">
        <f t="shared" si="10"/>
        <v>5</v>
      </c>
      <c r="AU264" s="12">
        <f t="shared" si="11"/>
        <v>4</v>
      </c>
      <c r="AV264" s="14">
        <f t="shared" si="12"/>
        <v>1</v>
      </c>
      <c r="AW264" s="14">
        <f t="shared" si="13"/>
        <v>1</v>
      </c>
      <c r="AY264" s="11">
        <f t="shared" si="14"/>
        <v>0.03014376111</v>
      </c>
    </row>
    <row r="265" ht="15.75" customHeight="1">
      <c r="A265" s="15">
        <f t="shared" si="2"/>
        <v>6.040375547</v>
      </c>
      <c r="B265" s="7">
        <f>(sum(AL265:AP265))*'Optimal Choice'!$B$28</f>
        <v>79887.4</v>
      </c>
      <c r="C265" s="11"/>
      <c r="D265" s="12"/>
      <c r="E265" s="12"/>
      <c r="F265" s="11"/>
      <c r="G265" s="11"/>
      <c r="H265" s="11"/>
      <c r="I265" s="11"/>
      <c r="J265" s="11"/>
      <c r="K265" s="11">
        <f>(X265/$B265)+(X265/('Optimal Choice'!$B$4*AS265))</f>
        <v>453.6260323</v>
      </c>
      <c r="L265" s="11">
        <f>(Y265/$B265)+(Y265/('Optimal Choice'!$B$9*AT265))</f>
        <v>428.0485599</v>
      </c>
      <c r="M265" s="11">
        <f>(Z265/$B265)+(Z265/('Optimal Choice'!$B$14*AU265))</f>
        <v>432.5950879</v>
      </c>
      <c r="N265" s="11">
        <f>(AA265/$B265)+(AA265/('Optimal Choice'!$B$19*AV265))</f>
        <v>452.9461459</v>
      </c>
      <c r="O265" s="11">
        <f>(AB265/$B265)+(AB265/('Optimal Choice'!$B$24*AW265))</f>
        <v>424.5904331</v>
      </c>
      <c r="R265" s="12">
        <f t="shared" ref="R265:V265" si="275">if(min($K264:$O264)=K264,R264+1,R264)</f>
        <v>137</v>
      </c>
      <c r="S265" s="12">
        <f t="shared" si="275"/>
        <v>46</v>
      </c>
      <c r="T265" s="12">
        <f t="shared" si="275"/>
        <v>40</v>
      </c>
      <c r="U265" s="12">
        <f t="shared" si="275"/>
        <v>23</v>
      </c>
      <c r="V265" s="12">
        <f t="shared" si="275"/>
        <v>18</v>
      </c>
      <c r="X265" s="13">
        <f> 'Optimal Choice'!$B$5*'Optimal Choice'!$B$6^(R265+1)</f>
        <v>45396.38932</v>
      </c>
      <c r="Y265" s="13">
        <f> 'Optimal Choice'!$B$10*'Optimal Choice'!$B$11^(S265+1)</f>
        <v>42751.34149</v>
      </c>
      <c r="Z265" s="13">
        <f> 'Optimal Choice'!$B$15*'Optimal Choice'!$B$16^(T265+1)</f>
        <v>155035.5882</v>
      </c>
      <c r="AA265" s="13">
        <f> 'Optimal Choice'!$B$20*'Optimal Choice'!$B$21^(U265+1)</f>
        <v>162329.102</v>
      </c>
      <c r="AB265" s="13">
        <f> 'Optimal Choice'!$B$25*'Optimal Choice'!$B$26^(V265+1)</f>
        <v>892971.1321</v>
      </c>
      <c r="AE265" s="12">
        <f t="shared" si="4"/>
        <v>60</v>
      </c>
      <c r="AF265" s="12">
        <f t="shared" si="5"/>
        <v>5</v>
      </c>
      <c r="AG265" s="12">
        <f t="shared" si="6"/>
        <v>4</v>
      </c>
      <c r="AH265" s="14">
        <f t="shared" si="7"/>
        <v>1</v>
      </c>
      <c r="AI265" s="14">
        <f t="shared" si="8"/>
        <v>1</v>
      </c>
      <c r="AL265" s="14">
        <f>R265*'Optimal Choice'!$B$4*AE265</f>
        <v>13727.4</v>
      </c>
      <c r="AM265" s="14">
        <f>S265*'Optimal Choice'!$B$9*AF265</f>
        <v>4600</v>
      </c>
      <c r="AN265" s="14">
        <f>T265*'Optimal Choice'!$B$14*AG265</f>
        <v>14400</v>
      </c>
      <c r="AO265" s="14">
        <f>U265*'Optimal Choice'!$B$19*AH265</f>
        <v>8280</v>
      </c>
      <c r="AP265" s="14">
        <f>V265*'Optimal Choice'!$B$24*AI265</f>
        <v>38880</v>
      </c>
      <c r="AS265" s="12">
        <f t="shared" si="9"/>
        <v>60</v>
      </c>
      <c r="AT265" s="12">
        <f t="shared" si="10"/>
        <v>5</v>
      </c>
      <c r="AU265" s="12">
        <f t="shared" si="11"/>
        <v>4</v>
      </c>
      <c r="AV265" s="14">
        <f t="shared" si="12"/>
        <v>1</v>
      </c>
      <c r="AW265" s="14">
        <f t="shared" si="13"/>
        <v>1</v>
      </c>
      <c r="AY265" s="11">
        <f t="shared" si="14"/>
        <v>0.008862434926</v>
      </c>
    </row>
    <row r="266" ht="15.75" customHeight="1">
      <c r="A266" s="15">
        <f t="shared" si="2"/>
        <v>6.226673414</v>
      </c>
      <c r="B266" s="7">
        <f>(sum(AL266:AP266))*'Optimal Choice'!$B$28</f>
        <v>82047.4</v>
      </c>
      <c r="C266" s="11"/>
      <c r="D266" s="12"/>
      <c r="E266" s="12"/>
      <c r="F266" s="11"/>
      <c r="G266" s="11"/>
      <c r="H266" s="11"/>
      <c r="I266" s="11"/>
      <c r="J266" s="11"/>
      <c r="K266" s="11">
        <f>(X266/$B266)+(X266/('Optimal Choice'!$B$4*AS266))</f>
        <v>453.6110723</v>
      </c>
      <c r="L266" s="11">
        <f>(Y266/$B266)+(Y266/('Optimal Choice'!$B$9*AT266))</f>
        <v>428.0344716</v>
      </c>
      <c r="M266" s="11">
        <f>(Z266/$B266)+(Z266/('Optimal Choice'!$B$14*AU266))</f>
        <v>432.5439972</v>
      </c>
      <c r="N266" s="11">
        <f>(AA266/$B266)+(AA266/('Optimal Choice'!$B$19*AV266))</f>
        <v>452.8926517</v>
      </c>
      <c r="O266" s="11">
        <f>(AB266/$B266)+(AB266/('Optimal Choice'!$B$24*AW266))</f>
        <v>475.2117012</v>
      </c>
      <c r="R266" s="12">
        <f t="shared" ref="R266:V266" si="276">if(min($K265:$O265)=K265,R265+1,R265)</f>
        <v>137</v>
      </c>
      <c r="S266" s="12">
        <f t="shared" si="276"/>
        <v>46</v>
      </c>
      <c r="T266" s="12">
        <f t="shared" si="276"/>
        <v>40</v>
      </c>
      <c r="U266" s="12">
        <f t="shared" si="276"/>
        <v>23</v>
      </c>
      <c r="V266" s="12">
        <f t="shared" si="276"/>
        <v>19</v>
      </c>
      <c r="X266" s="13">
        <f> 'Optimal Choice'!$B$5*'Optimal Choice'!$B$6^(R266+1)</f>
        <v>45396.38932</v>
      </c>
      <c r="Y266" s="13">
        <f> 'Optimal Choice'!$B$10*'Optimal Choice'!$B$11^(S266+1)</f>
        <v>42751.34149</v>
      </c>
      <c r="Z266" s="13">
        <f> 'Optimal Choice'!$B$15*'Optimal Choice'!$B$16^(T266+1)</f>
        <v>155035.5882</v>
      </c>
      <c r="AA266" s="13">
        <f> 'Optimal Choice'!$B$20*'Optimal Choice'!$B$21^(U266+1)</f>
        <v>162329.102</v>
      </c>
      <c r="AB266" s="13">
        <f> 'Optimal Choice'!$B$25*'Optimal Choice'!$B$26^(V266+1)</f>
        <v>1000127.668</v>
      </c>
      <c r="AE266" s="12">
        <f t="shared" si="4"/>
        <v>60</v>
      </c>
      <c r="AF266" s="12">
        <f t="shared" si="5"/>
        <v>5</v>
      </c>
      <c r="AG266" s="12">
        <f t="shared" si="6"/>
        <v>4</v>
      </c>
      <c r="AH266" s="14">
        <f t="shared" si="7"/>
        <v>1</v>
      </c>
      <c r="AI266" s="14">
        <f t="shared" si="8"/>
        <v>1</v>
      </c>
      <c r="AL266" s="14">
        <f>R266*'Optimal Choice'!$B$4*AE266</f>
        <v>13727.4</v>
      </c>
      <c r="AM266" s="14">
        <f>S266*'Optimal Choice'!$B$9*AF266</f>
        <v>4600</v>
      </c>
      <c r="AN266" s="14">
        <f>T266*'Optimal Choice'!$B$14*AG266</f>
        <v>14400</v>
      </c>
      <c r="AO266" s="14">
        <f>U266*'Optimal Choice'!$B$19*AH266</f>
        <v>8280</v>
      </c>
      <c r="AP266" s="14">
        <f>V266*'Optimal Choice'!$B$24*AI266</f>
        <v>41040</v>
      </c>
      <c r="AS266" s="12">
        <f t="shared" si="9"/>
        <v>60</v>
      </c>
      <c r="AT266" s="12">
        <f t="shared" si="10"/>
        <v>5</v>
      </c>
      <c r="AU266" s="12">
        <f t="shared" si="11"/>
        <v>4</v>
      </c>
      <c r="AV266" s="14">
        <f t="shared" si="12"/>
        <v>1</v>
      </c>
      <c r="AW266" s="14">
        <f t="shared" si="13"/>
        <v>1</v>
      </c>
      <c r="AY266" s="11">
        <f t="shared" si="14"/>
        <v>0.1862978668</v>
      </c>
    </row>
    <row r="267" ht="15.75" customHeight="1">
      <c r="A267" s="15">
        <f t="shared" si="2"/>
        <v>6.235357691</v>
      </c>
      <c r="B267" s="7">
        <f>(sum(AL267:AP267))*'Optimal Choice'!$B$28</f>
        <v>82147.4</v>
      </c>
      <c r="C267" s="11"/>
      <c r="D267" s="12"/>
      <c r="E267" s="12"/>
      <c r="F267" s="11"/>
      <c r="G267" s="11"/>
      <c r="H267" s="11"/>
      <c r="I267" s="11"/>
      <c r="J267" s="11"/>
      <c r="K267" s="11">
        <f>(X267/$B267)+(X267/('Optimal Choice'!$B$4*AS267))</f>
        <v>453.6103988</v>
      </c>
      <c r="L267" s="11">
        <f>(Y267/$B267)+(Y267/('Optimal Choice'!$B$9*AT267))</f>
        <v>492.2389129</v>
      </c>
      <c r="M267" s="11">
        <f>(Z267/$B267)+(Z267/('Optimal Choice'!$B$14*AU267))</f>
        <v>432.541697</v>
      </c>
      <c r="N267" s="11">
        <f>(AA267/$B267)+(AA267/('Optimal Choice'!$B$19*AV267))</f>
        <v>452.8902432</v>
      </c>
      <c r="O267" s="11">
        <f>(AB267/$B267)+(AB267/('Optimal Choice'!$B$24*AW267))</f>
        <v>475.1968624</v>
      </c>
      <c r="R267" s="12">
        <f t="shared" ref="R267:V267" si="277">if(min($K266:$O266)=K266,R266+1,R266)</f>
        <v>137</v>
      </c>
      <c r="S267" s="12">
        <f t="shared" si="277"/>
        <v>47</v>
      </c>
      <c r="T267" s="12">
        <f t="shared" si="277"/>
        <v>40</v>
      </c>
      <c r="U267" s="12">
        <f t="shared" si="277"/>
        <v>23</v>
      </c>
      <c r="V267" s="12">
        <f t="shared" si="277"/>
        <v>19</v>
      </c>
      <c r="X267" s="13">
        <f> 'Optimal Choice'!$B$5*'Optimal Choice'!$B$6^(R267+1)</f>
        <v>45396.38932</v>
      </c>
      <c r="Y267" s="13">
        <f> 'Optimal Choice'!$B$10*'Optimal Choice'!$B$11^(S267+1)</f>
        <v>49164.04272</v>
      </c>
      <c r="Z267" s="13">
        <f> 'Optimal Choice'!$B$15*'Optimal Choice'!$B$16^(T267+1)</f>
        <v>155035.5882</v>
      </c>
      <c r="AA267" s="13">
        <f> 'Optimal Choice'!$B$20*'Optimal Choice'!$B$21^(U267+1)</f>
        <v>162329.102</v>
      </c>
      <c r="AB267" s="13">
        <f> 'Optimal Choice'!$B$25*'Optimal Choice'!$B$26^(V267+1)</f>
        <v>1000127.668</v>
      </c>
      <c r="AE267" s="12">
        <f t="shared" si="4"/>
        <v>60</v>
      </c>
      <c r="AF267" s="12">
        <f t="shared" si="5"/>
        <v>5</v>
      </c>
      <c r="AG267" s="12">
        <f t="shared" si="6"/>
        <v>4</v>
      </c>
      <c r="AH267" s="14">
        <f t="shared" si="7"/>
        <v>1</v>
      </c>
      <c r="AI267" s="14">
        <f t="shared" si="8"/>
        <v>1</v>
      </c>
      <c r="AL267" s="14">
        <f>R267*'Optimal Choice'!$B$4*AE267</f>
        <v>13727.4</v>
      </c>
      <c r="AM267" s="14">
        <f>S267*'Optimal Choice'!$B$9*AF267</f>
        <v>4700</v>
      </c>
      <c r="AN267" s="14">
        <f>T267*'Optimal Choice'!$B$14*AG267</f>
        <v>14400</v>
      </c>
      <c r="AO267" s="14">
        <f>U267*'Optimal Choice'!$B$19*AH267</f>
        <v>8280</v>
      </c>
      <c r="AP267" s="14">
        <f>V267*'Optimal Choice'!$B$24*AI267</f>
        <v>41040</v>
      </c>
      <c r="AS267" s="12">
        <f t="shared" si="9"/>
        <v>60</v>
      </c>
      <c r="AT267" s="12">
        <f t="shared" si="10"/>
        <v>5</v>
      </c>
      <c r="AU267" s="12">
        <f t="shared" si="11"/>
        <v>4</v>
      </c>
      <c r="AV267" s="14">
        <f t="shared" si="12"/>
        <v>1</v>
      </c>
      <c r="AW267" s="14">
        <f t="shared" si="13"/>
        <v>1</v>
      </c>
      <c r="AY267" s="11">
        <f t="shared" si="14"/>
        <v>0.008684277116</v>
      </c>
    </row>
    <row r="268" ht="15.75" customHeight="1">
      <c r="A268" s="15">
        <f t="shared" si="2"/>
        <v>6.266812448</v>
      </c>
      <c r="B268" s="7">
        <f>(sum(AL268:AP268))*'Optimal Choice'!$B$28</f>
        <v>82507.4</v>
      </c>
      <c r="C268" s="11"/>
      <c r="D268" s="12"/>
      <c r="E268" s="12"/>
      <c r="F268" s="11"/>
      <c r="G268" s="11"/>
      <c r="H268" s="11"/>
      <c r="I268" s="11"/>
      <c r="J268" s="11"/>
      <c r="K268" s="11">
        <f>(X268/$B268)+(X268/('Optimal Choice'!$B$4*AS268))</f>
        <v>453.6079876</v>
      </c>
      <c r="L268" s="11">
        <f>(Y268/$B268)+(Y268/('Optimal Choice'!$B$9*AT268))</f>
        <v>492.2363015</v>
      </c>
      <c r="M268" s="11">
        <f>(Z268/$B268)+(Z268/('Optimal Choice'!$B$14*AU268))</f>
        <v>493.088147</v>
      </c>
      <c r="N268" s="11">
        <f>(AA268/$B268)+(AA268/('Optimal Choice'!$B$19*AV268))</f>
        <v>452.8816212</v>
      </c>
      <c r="O268" s="11">
        <f>(AB268/$B268)+(AB268/('Optimal Choice'!$B$24*AW268))</f>
        <v>475.1437408</v>
      </c>
      <c r="R268" s="12">
        <f t="shared" ref="R268:V268" si="278">if(min($K267:$O267)=K267,R267+1,R267)</f>
        <v>137</v>
      </c>
      <c r="S268" s="12">
        <f t="shared" si="278"/>
        <v>47</v>
      </c>
      <c r="T268" s="12">
        <f t="shared" si="278"/>
        <v>41</v>
      </c>
      <c r="U268" s="12">
        <f t="shared" si="278"/>
        <v>23</v>
      </c>
      <c r="V268" s="12">
        <f t="shared" si="278"/>
        <v>19</v>
      </c>
      <c r="X268" s="13">
        <f> 'Optimal Choice'!$B$5*'Optimal Choice'!$B$6^(R268+1)</f>
        <v>45396.38932</v>
      </c>
      <c r="Y268" s="13">
        <f> 'Optimal Choice'!$B$10*'Optimal Choice'!$B$11^(S268+1)</f>
        <v>49164.04272</v>
      </c>
      <c r="Z268" s="13">
        <f> 'Optimal Choice'!$B$15*'Optimal Choice'!$B$16^(T268+1)</f>
        <v>176740.5705</v>
      </c>
      <c r="AA268" s="13">
        <f> 'Optimal Choice'!$B$20*'Optimal Choice'!$B$21^(U268+1)</f>
        <v>162329.102</v>
      </c>
      <c r="AB268" s="13">
        <f> 'Optimal Choice'!$B$25*'Optimal Choice'!$B$26^(V268+1)</f>
        <v>1000127.668</v>
      </c>
      <c r="AE268" s="12">
        <f t="shared" si="4"/>
        <v>60</v>
      </c>
      <c r="AF268" s="12">
        <f t="shared" si="5"/>
        <v>5</v>
      </c>
      <c r="AG268" s="12">
        <f t="shared" si="6"/>
        <v>4</v>
      </c>
      <c r="AH268" s="14">
        <f t="shared" si="7"/>
        <v>1</v>
      </c>
      <c r="AI268" s="14">
        <f t="shared" si="8"/>
        <v>1</v>
      </c>
      <c r="AL268" s="14">
        <f>R268*'Optimal Choice'!$B$4*AE268</f>
        <v>13727.4</v>
      </c>
      <c r="AM268" s="14">
        <f>S268*'Optimal Choice'!$B$9*AF268</f>
        <v>4700</v>
      </c>
      <c r="AN268" s="14">
        <f>T268*'Optimal Choice'!$B$14*AG268</f>
        <v>14760</v>
      </c>
      <c r="AO268" s="14">
        <f>U268*'Optimal Choice'!$B$19*AH268</f>
        <v>8280</v>
      </c>
      <c r="AP268" s="14">
        <f>V268*'Optimal Choice'!$B$24*AI268</f>
        <v>41040</v>
      </c>
      <c r="AS268" s="12">
        <f t="shared" si="9"/>
        <v>60</v>
      </c>
      <c r="AT268" s="12">
        <f t="shared" si="10"/>
        <v>5</v>
      </c>
      <c r="AU268" s="12">
        <f t="shared" si="11"/>
        <v>4</v>
      </c>
      <c r="AV268" s="14">
        <f t="shared" si="12"/>
        <v>1</v>
      </c>
      <c r="AW268" s="14">
        <f t="shared" si="13"/>
        <v>1</v>
      </c>
      <c r="AY268" s="11">
        <f t="shared" si="14"/>
        <v>0.03145475657</v>
      </c>
    </row>
    <row r="269" ht="15.75" customHeight="1">
      <c r="A269" s="15">
        <f t="shared" si="2"/>
        <v>6.299603265</v>
      </c>
      <c r="B269" s="7">
        <f>(sum(AL269:AP269))*'Optimal Choice'!$B$28</f>
        <v>82867.4</v>
      </c>
      <c r="C269" s="11"/>
      <c r="D269" s="12"/>
      <c r="E269" s="12"/>
      <c r="F269" s="11"/>
      <c r="G269" s="11"/>
      <c r="H269" s="11"/>
      <c r="I269" s="11"/>
      <c r="J269" s="11"/>
      <c r="K269" s="11">
        <f>(X269/$B269)+(X269/('Optimal Choice'!$B$4*AS269))</f>
        <v>453.6055973</v>
      </c>
      <c r="L269" s="11">
        <f>(Y269/$B269)+(Y269/('Optimal Choice'!$B$9*AT269))</f>
        <v>492.2337129</v>
      </c>
      <c r="M269" s="11">
        <f>(Z269/$B269)+(Z269/('Optimal Choice'!$B$14*AU269))</f>
        <v>493.078841</v>
      </c>
      <c r="N269" s="11">
        <f>(AA269/$B269)+(AA269/('Optimal Choice'!$B$19*AV269))</f>
        <v>256.9800663</v>
      </c>
      <c r="O269" s="11">
        <f>(AB269/$B269)+(AB269/('Optimal Choice'!$B$24*AW269))</f>
        <v>475.0910808</v>
      </c>
      <c r="R269" s="12">
        <f t="shared" ref="R269:V269" si="279">if(min($K268:$O268)=K268,R268+1,R268)</f>
        <v>137</v>
      </c>
      <c r="S269" s="12">
        <f t="shared" si="279"/>
        <v>47</v>
      </c>
      <c r="T269" s="12">
        <f t="shared" si="279"/>
        <v>41</v>
      </c>
      <c r="U269" s="12">
        <f t="shared" si="279"/>
        <v>24</v>
      </c>
      <c r="V269" s="12">
        <f t="shared" si="279"/>
        <v>19</v>
      </c>
      <c r="X269" s="13">
        <f> 'Optimal Choice'!$B$5*'Optimal Choice'!$B$6^(R269+1)</f>
        <v>45396.38932</v>
      </c>
      <c r="Y269" s="13">
        <f> 'Optimal Choice'!$B$10*'Optimal Choice'!$B$11^(S269+1)</f>
        <v>49164.04272</v>
      </c>
      <c r="Z269" s="13">
        <f> 'Optimal Choice'!$B$15*'Optimal Choice'!$B$16^(T269+1)</f>
        <v>176740.5705</v>
      </c>
      <c r="AA269" s="13">
        <f> 'Optimal Choice'!$B$20*'Optimal Choice'!$B$21^(U269+1)</f>
        <v>183431.8852</v>
      </c>
      <c r="AB269" s="13">
        <f> 'Optimal Choice'!$B$25*'Optimal Choice'!$B$26^(V269+1)</f>
        <v>1000127.668</v>
      </c>
      <c r="AE269" s="12">
        <f t="shared" si="4"/>
        <v>60</v>
      </c>
      <c r="AF269" s="12">
        <f t="shared" si="5"/>
        <v>5</v>
      </c>
      <c r="AG269" s="12">
        <f t="shared" si="6"/>
        <v>4</v>
      </c>
      <c r="AH269" s="14">
        <f t="shared" si="7"/>
        <v>1</v>
      </c>
      <c r="AI269" s="14">
        <f t="shared" si="8"/>
        <v>1</v>
      </c>
      <c r="AL269" s="14">
        <f>R269*'Optimal Choice'!$B$4*AE269</f>
        <v>13727.4</v>
      </c>
      <c r="AM269" s="14">
        <f>S269*'Optimal Choice'!$B$9*AF269</f>
        <v>4700</v>
      </c>
      <c r="AN269" s="14">
        <f>T269*'Optimal Choice'!$B$14*AG269</f>
        <v>14760</v>
      </c>
      <c r="AO269" s="14">
        <f>U269*'Optimal Choice'!$B$19*AH269</f>
        <v>8640</v>
      </c>
      <c r="AP269" s="14">
        <f>V269*'Optimal Choice'!$B$24*AI269</f>
        <v>41040</v>
      </c>
      <c r="AS269" s="12">
        <f t="shared" si="9"/>
        <v>60</v>
      </c>
      <c r="AT269" s="12">
        <f t="shared" si="10"/>
        <v>5</v>
      </c>
      <c r="AU269" s="12">
        <f t="shared" si="11"/>
        <v>4</v>
      </c>
      <c r="AV269" s="12">
        <f t="shared" si="12"/>
        <v>2</v>
      </c>
      <c r="AW269" s="14">
        <f t="shared" si="13"/>
        <v>1</v>
      </c>
      <c r="AY269" s="11">
        <f t="shared" si="14"/>
        <v>0.03279081674</v>
      </c>
    </row>
    <row r="270" ht="15.75" customHeight="1">
      <c r="A270" s="15">
        <f t="shared" si="2"/>
        <v>6.336495916</v>
      </c>
      <c r="B270" s="7">
        <f>(sum(AL270:AP270))*'Optimal Choice'!$B$28</f>
        <v>92227.4</v>
      </c>
      <c r="C270" s="11"/>
      <c r="D270" s="12"/>
      <c r="E270" s="12"/>
      <c r="F270" s="11"/>
      <c r="G270" s="11"/>
      <c r="H270" s="11"/>
      <c r="I270" s="11"/>
      <c r="J270" s="11"/>
      <c r="K270" s="11">
        <f>(X270/$B270)+(X270/('Optimal Choice'!$B$4*AS270))</f>
        <v>453.55</v>
      </c>
      <c r="L270" s="11">
        <f>(Y270/$B270)+(Y270/('Optimal Choice'!$B$9*AT270))</f>
        <v>492.1735013</v>
      </c>
      <c r="M270" s="11">
        <f>(Z270/$B270)+(Z270/('Optimal Choice'!$B$14*AU270))</f>
        <v>492.8623856</v>
      </c>
      <c r="N270" s="11">
        <f>(AA270/$B270)+(AA270/('Optimal Choice'!$B$19*AV270))</f>
        <v>290.1336201</v>
      </c>
      <c r="O270" s="11">
        <f>(AB270/$B270)+(AB270/('Optimal Choice'!$B$24*AW270))</f>
        <v>473.8662175</v>
      </c>
      <c r="R270" s="12">
        <f t="shared" ref="R270:V270" si="280">if(min($K269:$O269)=K269,R269+1,R269)</f>
        <v>137</v>
      </c>
      <c r="S270" s="12">
        <f t="shared" si="280"/>
        <v>47</v>
      </c>
      <c r="T270" s="12">
        <f t="shared" si="280"/>
        <v>41</v>
      </c>
      <c r="U270" s="12">
        <f t="shared" si="280"/>
        <v>25</v>
      </c>
      <c r="V270" s="12">
        <f t="shared" si="280"/>
        <v>19</v>
      </c>
      <c r="X270" s="13">
        <f> 'Optimal Choice'!$B$5*'Optimal Choice'!$B$6^(R270+1)</f>
        <v>45396.38932</v>
      </c>
      <c r="Y270" s="13">
        <f> 'Optimal Choice'!$B$10*'Optimal Choice'!$B$11^(S270+1)</f>
        <v>49164.04272</v>
      </c>
      <c r="Z270" s="13">
        <f> 'Optimal Choice'!$B$15*'Optimal Choice'!$B$16^(T270+1)</f>
        <v>176740.5705</v>
      </c>
      <c r="AA270" s="13">
        <f> 'Optimal Choice'!$B$20*'Optimal Choice'!$B$21^(U270+1)</f>
        <v>207278.0303</v>
      </c>
      <c r="AB270" s="13">
        <f> 'Optimal Choice'!$B$25*'Optimal Choice'!$B$26^(V270+1)</f>
        <v>1000127.668</v>
      </c>
      <c r="AE270" s="12">
        <f t="shared" si="4"/>
        <v>60</v>
      </c>
      <c r="AF270" s="12">
        <f t="shared" si="5"/>
        <v>5</v>
      </c>
      <c r="AG270" s="12">
        <f t="shared" si="6"/>
        <v>4</v>
      </c>
      <c r="AH270" s="12">
        <f t="shared" si="7"/>
        <v>2</v>
      </c>
      <c r="AI270" s="14">
        <f t="shared" si="8"/>
        <v>1</v>
      </c>
      <c r="AL270" s="14">
        <f>R270*'Optimal Choice'!$B$4*AE270</f>
        <v>13727.4</v>
      </c>
      <c r="AM270" s="14">
        <f>S270*'Optimal Choice'!$B$9*AF270</f>
        <v>4700</v>
      </c>
      <c r="AN270" s="14">
        <f>T270*'Optimal Choice'!$B$14*AG270</f>
        <v>14760</v>
      </c>
      <c r="AO270" s="14">
        <f>U270*'Optimal Choice'!$B$19*AH270</f>
        <v>18000</v>
      </c>
      <c r="AP270" s="14">
        <f>V270*'Optimal Choice'!$B$24*AI270</f>
        <v>41040</v>
      </c>
      <c r="AS270" s="12">
        <f t="shared" si="9"/>
        <v>60</v>
      </c>
      <c r="AT270" s="12">
        <f t="shared" si="10"/>
        <v>5</v>
      </c>
      <c r="AU270" s="12">
        <f t="shared" si="11"/>
        <v>4</v>
      </c>
      <c r="AV270" s="12">
        <f t="shared" si="12"/>
        <v>2</v>
      </c>
      <c r="AW270" s="14">
        <f t="shared" si="13"/>
        <v>1</v>
      </c>
      <c r="AY270" s="11">
        <f t="shared" si="14"/>
        <v>0.03689265124</v>
      </c>
    </row>
    <row r="271" ht="15.75" customHeight="1">
      <c r="A271" s="15">
        <f t="shared" si="2"/>
        <v>6.373953698</v>
      </c>
      <c r="B271" s="7">
        <f>(sum(AL271:AP271))*'Optimal Choice'!$B$28</f>
        <v>92947.4</v>
      </c>
      <c r="C271" s="11"/>
      <c r="D271" s="12"/>
      <c r="E271" s="12"/>
      <c r="F271" s="11"/>
      <c r="G271" s="11"/>
      <c r="H271" s="11"/>
      <c r="I271" s="11"/>
      <c r="J271" s="11"/>
      <c r="K271" s="11">
        <f>(X271/$B271)+(X271/('Optimal Choice'!$B$4*AS271))</f>
        <v>453.5461871</v>
      </c>
      <c r="L271" s="11">
        <f>(Y271/$B271)+(Y271/('Optimal Choice'!$B$9*AT271))</f>
        <v>492.169372</v>
      </c>
      <c r="M271" s="11">
        <f>(Z271/$B271)+(Z271/('Optimal Choice'!$B$14*AU271))</f>
        <v>492.8475409</v>
      </c>
      <c r="N271" s="11">
        <f>(AA271/$B271)+(AA271/('Optimal Choice'!$B$19*AV271))</f>
        <v>327.8313179</v>
      </c>
      <c r="O271" s="11">
        <f>(AB271/$B271)+(AB271/('Optimal Choice'!$B$24*AW271))</f>
        <v>473.7822153</v>
      </c>
      <c r="R271" s="12">
        <f t="shared" ref="R271:V271" si="281">if(min($K270:$O270)=K270,R270+1,R270)</f>
        <v>137</v>
      </c>
      <c r="S271" s="12">
        <f t="shared" si="281"/>
        <v>47</v>
      </c>
      <c r="T271" s="12">
        <f t="shared" si="281"/>
        <v>41</v>
      </c>
      <c r="U271" s="12">
        <f t="shared" si="281"/>
        <v>26</v>
      </c>
      <c r="V271" s="12">
        <f t="shared" si="281"/>
        <v>19</v>
      </c>
      <c r="X271" s="13">
        <f> 'Optimal Choice'!$B$5*'Optimal Choice'!$B$6^(R271+1)</f>
        <v>45396.38932</v>
      </c>
      <c r="Y271" s="13">
        <f> 'Optimal Choice'!$B$10*'Optimal Choice'!$B$11^(S271+1)</f>
        <v>49164.04272</v>
      </c>
      <c r="Z271" s="13">
        <f> 'Optimal Choice'!$B$15*'Optimal Choice'!$B$16^(T271+1)</f>
        <v>176740.5705</v>
      </c>
      <c r="AA271" s="13">
        <f> 'Optimal Choice'!$B$20*'Optimal Choice'!$B$21^(U271+1)</f>
        <v>234224.1742</v>
      </c>
      <c r="AB271" s="13">
        <f> 'Optimal Choice'!$B$25*'Optimal Choice'!$B$26^(V271+1)</f>
        <v>1000127.668</v>
      </c>
      <c r="AE271" s="12">
        <f t="shared" si="4"/>
        <v>60</v>
      </c>
      <c r="AF271" s="12">
        <f t="shared" si="5"/>
        <v>5</v>
      </c>
      <c r="AG271" s="12">
        <f t="shared" si="6"/>
        <v>4</v>
      </c>
      <c r="AH271" s="12">
        <f t="shared" si="7"/>
        <v>2</v>
      </c>
      <c r="AI271" s="14">
        <f t="shared" si="8"/>
        <v>1</v>
      </c>
      <c r="AL271" s="14">
        <f>R271*'Optimal Choice'!$B$4*AE271</f>
        <v>13727.4</v>
      </c>
      <c r="AM271" s="14">
        <f>S271*'Optimal Choice'!$B$9*AF271</f>
        <v>4700</v>
      </c>
      <c r="AN271" s="14">
        <f>T271*'Optimal Choice'!$B$14*AG271</f>
        <v>14760</v>
      </c>
      <c r="AO271" s="14">
        <f>U271*'Optimal Choice'!$B$19*AH271</f>
        <v>18720</v>
      </c>
      <c r="AP271" s="14">
        <f>V271*'Optimal Choice'!$B$24*AI271</f>
        <v>41040</v>
      </c>
      <c r="AS271" s="12">
        <f t="shared" si="9"/>
        <v>60</v>
      </c>
      <c r="AT271" s="12">
        <f t="shared" si="10"/>
        <v>5</v>
      </c>
      <c r="AU271" s="12">
        <f t="shared" si="11"/>
        <v>4</v>
      </c>
      <c r="AV271" s="12">
        <f t="shared" si="12"/>
        <v>2</v>
      </c>
      <c r="AW271" s="14">
        <f t="shared" si="13"/>
        <v>1</v>
      </c>
      <c r="AY271" s="11">
        <f t="shared" si="14"/>
        <v>0.03745778194</v>
      </c>
    </row>
    <row r="272" ht="15.75" customHeight="1">
      <c r="A272" s="15">
        <f t="shared" si="2"/>
        <v>6.415953111</v>
      </c>
      <c r="B272" s="7">
        <f>(sum(AL272:AP272))*'Optimal Choice'!$B$28</f>
        <v>93667.4</v>
      </c>
      <c r="C272" s="11"/>
      <c r="D272" s="12"/>
      <c r="E272" s="12"/>
      <c r="F272" s="11"/>
      <c r="G272" s="11"/>
      <c r="H272" s="11"/>
      <c r="I272" s="11"/>
      <c r="J272" s="11"/>
      <c r="K272" s="11">
        <f>(X272/$B272)+(X272/('Optimal Choice'!$B$4*AS272))</f>
        <v>453.5424328</v>
      </c>
      <c r="L272" s="11">
        <f>(Y272/$B272)+(Y272/('Optimal Choice'!$B$9*AT272))</f>
        <v>492.1653061</v>
      </c>
      <c r="M272" s="11">
        <f>(Z272/$B272)+(Z272/('Optimal Choice'!$B$14*AU272))</f>
        <v>492.8329245</v>
      </c>
      <c r="N272" s="11">
        <f>(AA272/$B272)+(AA272/('Optimal Choice'!$B$19*AV272))</f>
        <v>370.4275007</v>
      </c>
      <c r="O272" s="11">
        <f>(AB272/$B272)+(AB272/('Optimal Choice'!$B$24*AW272))</f>
        <v>473.6995045</v>
      </c>
      <c r="R272" s="12">
        <f t="shared" ref="R272:V272" si="282">if(min($K271:$O271)=K271,R271+1,R271)</f>
        <v>137</v>
      </c>
      <c r="S272" s="12">
        <f t="shared" si="282"/>
        <v>47</v>
      </c>
      <c r="T272" s="12">
        <f t="shared" si="282"/>
        <v>41</v>
      </c>
      <c r="U272" s="12">
        <f t="shared" si="282"/>
        <v>27</v>
      </c>
      <c r="V272" s="12">
        <f t="shared" si="282"/>
        <v>19</v>
      </c>
      <c r="X272" s="13">
        <f> 'Optimal Choice'!$B$5*'Optimal Choice'!$B$6^(R272+1)</f>
        <v>45396.38932</v>
      </c>
      <c r="Y272" s="13">
        <f> 'Optimal Choice'!$B$10*'Optimal Choice'!$B$11^(S272+1)</f>
        <v>49164.04272</v>
      </c>
      <c r="Z272" s="13">
        <f> 'Optimal Choice'!$B$15*'Optimal Choice'!$B$16^(T272+1)</f>
        <v>176740.5705</v>
      </c>
      <c r="AA272" s="13">
        <f> 'Optimal Choice'!$B$20*'Optimal Choice'!$B$21^(U272+1)</f>
        <v>264673.3169</v>
      </c>
      <c r="AB272" s="13">
        <f> 'Optimal Choice'!$B$25*'Optimal Choice'!$B$26^(V272+1)</f>
        <v>1000127.668</v>
      </c>
      <c r="AE272" s="12">
        <f t="shared" si="4"/>
        <v>60</v>
      </c>
      <c r="AF272" s="12">
        <f t="shared" si="5"/>
        <v>5</v>
      </c>
      <c r="AG272" s="12">
        <f t="shared" si="6"/>
        <v>4</v>
      </c>
      <c r="AH272" s="12">
        <f t="shared" si="7"/>
        <v>2</v>
      </c>
      <c r="AI272" s="14">
        <f t="shared" si="8"/>
        <v>1</v>
      </c>
      <c r="AL272" s="14">
        <f>R272*'Optimal Choice'!$B$4*AE272</f>
        <v>13727.4</v>
      </c>
      <c r="AM272" s="14">
        <f>S272*'Optimal Choice'!$B$9*AF272</f>
        <v>4700</v>
      </c>
      <c r="AN272" s="14">
        <f>T272*'Optimal Choice'!$B$14*AG272</f>
        <v>14760</v>
      </c>
      <c r="AO272" s="14">
        <f>U272*'Optimal Choice'!$B$19*AH272</f>
        <v>19440</v>
      </c>
      <c r="AP272" s="14">
        <f>V272*'Optimal Choice'!$B$24*AI272</f>
        <v>41040</v>
      </c>
      <c r="AS272" s="12">
        <f t="shared" si="9"/>
        <v>60</v>
      </c>
      <c r="AT272" s="12">
        <f t="shared" si="10"/>
        <v>5</v>
      </c>
      <c r="AU272" s="12">
        <f t="shared" si="11"/>
        <v>4</v>
      </c>
      <c r="AV272" s="12">
        <f t="shared" si="12"/>
        <v>2</v>
      </c>
      <c r="AW272" s="14">
        <f t="shared" si="13"/>
        <v>1</v>
      </c>
      <c r="AY272" s="11">
        <f t="shared" si="14"/>
        <v>0.04199941297</v>
      </c>
    </row>
    <row r="273" ht="15.75" customHeight="1">
      <c r="A273" s="15">
        <f t="shared" si="2"/>
        <v>6.463047638</v>
      </c>
      <c r="B273" s="7">
        <f>(sum(AL273:AP273))*'Optimal Choice'!$B$28</f>
        <v>94387.4</v>
      </c>
      <c r="C273" s="11"/>
      <c r="D273" s="12"/>
      <c r="E273" s="12"/>
      <c r="F273" s="11"/>
      <c r="G273" s="11"/>
      <c r="H273" s="11"/>
      <c r="I273" s="11"/>
      <c r="J273" s="11"/>
      <c r="K273" s="11">
        <f>(X273/$B273)+(X273/('Optimal Choice'!$B$4*AS273))</f>
        <v>453.5387358</v>
      </c>
      <c r="L273" s="11">
        <f>(Y273/$B273)+(Y273/('Optimal Choice'!$B$9*AT273))</f>
        <v>492.1613022</v>
      </c>
      <c r="M273" s="11">
        <f>(Z273/$B273)+(Z273/('Optimal Choice'!$B$14*AU273))</f>
        <v>492.818531</v>
      </c>
      <c r="N273" s="11">
        <f>(AA273/$B273)+(AA273/('Optimal Choice'!$B$19*AV273))</f>
        <v>418.5587191</v>
      </c>
      <c r="O273" s="11">
        <f>(AB273/$B273)+(AB273/('Optimal Choice'!$B$24*AW273))</f>
        <v>473.6180555</v>
      </c>
      <c r="R273" s="12">
        <f t="shared" ref="R273:V273" si="283">if(min($K272:$O272)=K272,R272+1,R272)</f>
        <v>137</v>
      </c>
      <c r="S273" s="12">
        <f t="shared" si="283"/>
        <v>47</v>
      </c>
      <c r="T273" s="12">
        <f t="shared" si="283"/>
        <v>41</v>
      </c>
      <c r="U273" s="12">
        <f t="shared" si="283"/>
        <v>28</v>
      </c>
      <c r="V273" s="12">
        <f t="shared" si="283"/>
        <v>19</v>
      </c>
      <c r="X273" s="13">
        <f> 'Optimal Choice'!$B$5*'Optimal Choice'!$B$6^(R273+1)</f>
        <v>45396.38932</v>
      </c>
      <c r="Y273" s="13">
        <f> 'Optimal Choice'!$B$10*'Optimal Choice'!$B$11^(S273+1)</f>
        <v>49164.04272</v>
      </c>
      <c r="Z273" s="13">
        <f> 'Optimal Choice'!$B$15*'Optimal Choice'!$B$16^(T273+1)</f>
        <v>176740.5705</v>
      </c>
      <c r="AA273" s="13">
        <f> 'Optimal Choice'!$B$20*'Optimal Choice'!$B$21^(U273+1)</f>
        <v>299080.8481</v>
      </c>
      <c r="AB273" s="13">
        <f> 'Optimal Choice'!$B$25*'Optimal Choice'!$B$26^(V273+1)</f>
        <v>1000127.668</v>
      </c>
      <c r="AE273" s="12">
        <f t="shared" si="4"/>
        <v>60</v>
      </c>
      <c r="AF273" s="12">
        <f t="shared" si="5"/>
        <v>5</v>
      </c>
      <c r="AG273" s="12">
        <f t="shared" si="6"/>
        <v>4</v>
      </c>
      <c r="AH273" s="12">
        <f t="shared" si="7"/>
        <v>2</v>
      </c>
      <c r="AI273" s="14">
        <f t="shared" si="8"/>
        <v>1</v>
      </c>
      <c r="AL273" s="14">
        <f>R273*'Optimal Choice'!$B$4*AE273</f>
        <v>13727.4</v>
      </c>
      <c r="AM273" s="14">
        <f>S273*'Optimal Choice'!$B$9*AF273</f>
        <v>4700</v>
      </c>
      <c r="AN273" s="14">
        <f>T273*'Optimal Choice'!$B$14*AG273</f>
        <v>14760</v>
      </c>
      <c r="AO273" s="14">
        <f>U273*'Optimal Choice'!$B$19*AH273</f>
        <v>20160</v>
      </c>
      <c r="AP273" s="14">
        <f>V273*'Optimal Choice'!$B$24*AI273</f>
        <v>41040</v>
      </c>
      <c r="AS273" s="12">
        <f t="shared" si="9"/>
        <v>60</v>
      </c>
      <c r="AT273" s="12">
        <f t="shared" si="10"/>
        <v>5</v>
      </c>
      <c r="AU273" s="12">
        <f t="shared" si="11"/>
        <v>4</v>
      </c>
      <c r="AV273" s="12">
        <f t="shared" si="12"/>
        <v>2</v>
      </c>
      <c r="AW273" s="14">
        <f t="shared" si="13"/>
        <v>1</v>
      </c>
      <c r="AY273" s="11">
        <f t="shared" si="14"/>
        <v>0.04709452753</v>
      </c>
    </row>
    <row r="274" ht="15.75" customHeight="1">
      <c r="A274" s="15">
        <f t="shared" si="2"/>
        <v>6.515858509</v>
      </c>
      <c r="B274" s="7">
        <f>(sum(AL274:AP274))*'Optimal Choice'!$B$28</f>
        <v>95107.4</v>
      </c>
      <c r="C274" s="11"/>
      <c r="D274" s="12"/>
      <c r="E274" s="12"/>
      <c r="F274" s="11"/>
      <c r="G274" s="11"/>
      <c r="H274" s="11"/>
      <c r="I274" s="11"/>
      <c r="J274" s="11"/>
      <c r="K274" s="11">
        <f>(X274/$B274)+(X274/('Optimal Choice'!$B$4*AS274))</f>
        <v>453.5350948</v>
      </c>
      <c r="L274" s="11">
        <f>(Y274/$B274)+(Y274/('Optimal Choice'!$B$9*AT274))</f>
        <v>492.157359</v>
      </c>
      <c r="M274" s="11">
        <f>(Z274/$B274)+(Z274/('Optimal Choice'!$B$14*AU274))</f>
        <v>492.8043554</v>
      </c>
      <c r="N274" s="11">
        <f>(AA274/$B274)+(AA274/('Optimal Choice'!$B$19*AV274))</f>
        <v>472.9442462</v>
      </c>
      <c r="O274" s="11">
        <f>(AB274/$B274)+(AB274/('Optimal Choice'!$B$24*AW274))</f>
        <v>473.5378398</v>
      </c>
      <c r="R274" s="12">
        <f t="shared" ref="R274:V274" si="284">if(min($K273:$O273)=K273,R273+1,R273)</f>
        <v>137</v>
      </c>
      <c r="S274" s="12">
        <f t="shared" si="284"/>
        <v>47</v>
      </c>
      <c r="T274" s="12">
        <f t="shared" si="284"/>
        <v>41</v>
      </c>
      <c r="U274" s="12">
        <f t="shared" si="284"/>
        <v>29</v>
      </c>
      <c r="V274" s="12">
        <f t="shared" si="284"/>
        <v>19</v>
      </c>
      <c r="X274" s="13">
        <f> 'Optimal Choice'!$B$5*'Optimal Choice'!$B$6^(R274+1)</f>
        <v>45396.38932</v>
      </c>
      <c r="Y274" s="13">
        <f> 'Optimal Choice'!$B$10*'Optimal Choice'!$B$11^(S274+1)</f>
        <v>49164.04272</v>
      </c>
      <c r="Z274" s="13">
        <f> 'Optimal Choice'!$B$15*'Optimal Choice'!$B$16^(T274+1)</f>
        <v>176740.5705</v>
      </c>
      <c r="AA274" s="13">
        <f> 'Optimal Choice'!$B$20*'Optimal Choice'!$B$21^(U274+1)</f>
        <v>337961.3584</v>
      </c>
      <c r="AB274" s="13">
        <f> 'Optimal Choice'!$B$25*'Optimal Choice'!$B$26^(V274+1)</f>
        <v>1000127.668</v>
      </c>
      <c r="AE274" s="12">
        <f t="shared" si="4"/>
        <v>60</v>
      </c>
      <c r="AF274" s="12">
        <f t="shared" si="5"/>
        <v>5</v>
      </c>
      <c r="AG274" s="12">
        <f t="shared" si="6"/>
        <v>4</v>
      </c>
      <c r="AH274" s="12">
        <f t="shared" si="7"/>
        <v>2</v>
      </c>
      <c r="AI274" s="14">
        <f t="shared" si="8"/>
        <v>1</v>
      </c>
      <c r="AL274" s="14">
        <f>R274*'Optimal Choice'!$B$4*AE274</f>
        <v>13727.4</v>
      </c>
      <c r="AM274" s="14">
        <f>S274*'Optimal Choice'!$B$9*AF274</f>
        <v>4700</v>
      </c>
      <c r="AN274" s="14">
        <f>T274*'Optimal Choice'!$B$14*AG274</f>
        <v>14760</v>
      </c>
      <c r="AO274" s="14">
        <f>U274*'Optimal Choice'!$B$19*AH274</f>
        <v>20880</v>
      </c>
      <c r="AP274" s="14">
        <f>V274*'Optimal Choice'!$B$24*AI274</f>
        <v>41040</v>
      </c>
      <c r="AS274" s="12">
        <f t="shared" si="9"/>
        <v>60</v>
      </c>
      <c r="AT274" s="12">
        <f t="shared" si="10"/>
        <v>5</v>
      </c>
      <c r="AU274" s="12">
        <f t="shared" si="11"/>
        <v>4</v>
      </c>
      <c r="AV274" s="12">
        <f t="shared" si="12"/>
        <v>2</v>
      </c>
      <c r="AW274" s="14">
        <f t="shared" si="13"/>
        <v>1</v>
      </c>
      <c r="AY274" s="11">
        <f t="shared" si="14"/>
        <v>0.05281087096</v>
      </c>
    </row>
    <row r="275" ht="15.75" customHeight="1">
      <c r="A275" s="15">
        <f t="shared" si="2"/>
        <v>6.523813794</v>
      </c>
      <c r="B275" s="7">
        <f>(sum(AL275:AP275))*'Optimal Choice'!$B$28</f>
        <v>95207.6</v>
      </c>
      <c r="C275" s="11"/>
      <c r="D275" s="12"/>
      <c r="E275" s="12"/>
      <c r="F275" s="11"/>
      <c r="G275" s="11"/>
      <c r="H275" s="11"/>
      <c r="I275" s="11"/>
      <c r="J275" s="11"/>
      <c r="K275" s="11">
        <f>(X275/$B275)+(X275/('Optimal Choice'!$B$4*AS275))</f>
        <v>485.2820139</v>
      </c>
      <c r="L275" s="11">
        <f>(Y275/$B275)+(Y275/('Optimal Choice'!$B$9*AT275))</f>
        <v>492.156815</v>
      </c>
      <c r="M275" s="11">
        <f>(Z275/$B275)+(Z275/('Optimal Choice'!$B$14*AU275))</f>
        <v>492.8023996</v>
      </c>
      <c r="N275" s="11">
        <f>(AA275/$B275)+(AA275/('Optimal Choice'!$B$19*AV275))</f>
        <v>472.9405064</v>
      </c>
      <c r="O275" s="11">
        <f>(AB275/$B275)+(AB275/('Optimal Choice'!$B$24*AW275))</f>
        <v>473.5267726</v>
      </c>
      <c r="R275" s="12">
        <f t="shared" ref="R275:V275" si="285">if(min($K274:$O274)=K274,R274+1,R274)</f>
        <v>138</v>
      </c>
      <c r="S275" s="12">
        <f t="shared" si="285"/>
        <v>47</v>
      </c>
      <c r="T275" s="12">
        <f t="shared" si="285"/>
        <v>41</v>
      </c>
      <c r="U275" s="12">
        <f t="shared" si="285"/>
        <v>29</v>
      </c>
      <c r="V275" s="12">
        <f t="shared" si="285"/>
        <v>19</v>
      </c>
      <c r="X275" s="13">
        <f> 'Optimal Choice'!$B$5*'Optimal Choice'!$B$6^(R275+1)</f>
        <v>48574.13657</v>
      </c>
      <c r="Y275" s="13">
        <f> 'Optimal Choice'!$B$10*'Optimal Choice'!$B$11^(S275+1)</f>
        <v>49164.04272</v>
      </c>
      <c r="Z275" s="13">
        <f> 'Optimal Choice'!$B$15*'Optimal Choice'!$B$16^(T275+1)</f>
        <v>176740.5705</v>
      </c>
      <c r="AA275" s="13">
        <f> 'Optimal Choice'!$B$20*'Optimal Choice'!$B$21^(U275+1)</f>
        <v>337961.3584</v>
      </c>
      <c r="AB275" s="13">
        <f> 'Optimal Choice'!$B$25*'Optimal Choice'!$B$26^(V275+1)</f>
        <v>1000127.668</v>
      </c>
      <c r="AE275" s="12">
        <f t="shared" si="4"/>
        <v>60</v>
      </c>
      <c r="AF275" s="12">
        <f t="shared" si="5"/>
        <v>5</v>
      </c>
      <c r="AG275" s="12">
        <f t="shared" si="6"/>
        <v>4</v>
      </c>
      <c r="AH275" s="12">
        <f t="shared" si="7"/>
        <v>2</v>
      </c>
      <c r="AI275" s="14">
        <f t="shared" si="8"/>
        <v>1</v>
      </c>
      <c r="AL275" s="14">
        <f>R275*'Optimal Choice'!$B$4*AE275</f>
        <v>13827.6</v>
      </c>
      <c r="AM275" s="14">
        <f>S275*'Optimal Choice'!$B$9*AF275</f>
        <v>4700</v>
      </c>
      <c r="AN275" s="14">
        <f>T275*'Optimal Choice'!$B$14*AG275</f>
        <v>14760</v>
      </c>
      <c r="AO275" s="14">
        <f>U275*'Optimal Choice'!$B$19*AH275</f>
        <v>20880</v>
      </c>
      <c r="AP275" s="14">
        <f>V275*'Optimal Choice'!$B$24*AI275</f>
        <v>41040</v>
      </c>
      <c r="AS275" s="12">
        <f t="shared" si="9"/>
        <v>60</v>
      </c>
      <c r="AT275" s="12">
        <f t="shared" si="10"/>
        <v>5</v>
      </c>
      <c r="AU275" s="12">
        <f t="shared" si="11"/>
        <v>4</v>
      </c>
      <c r="AV275" s="12">
        <f t="shared" si="12"/>
        <v>2</v>
      </c>
      <c r="AW275" s="14">
        <f t="shared" si="13"/>
        <v>1</v>
      </c>
      <c r="AY275" s="11">
        <f t="shared" si="14"/>
        <v>0.007955285169</v>
      </c>
    </row>
    <row r="276" ht="15.75" customHeight="1">
      <c r="A276" s="15">
        <f t="shared" si="2"/>
        <v>6.582975976</v>
      </c>
      <c r="B276" s="7">
        <f>(sum(AL276:AP276))*'Optimal Choice'!$B$28</f>
        <v>95927.6</v>
      </c>
      <c r="C276" s="11"/>
      <c r="D276" s="12"/>
      <c r="E276" s="12"/>
      <c r="F276" s="11"/>
      <c r="G276" s="11"/>
      <c r="H276" s="11"/>
      <c r="I276" s="11"/>
      <c r="J276" s="11"/>
      <c r="K276" s="11">
        <f>(X276/$B276)+(X276/('Optimal Choice'!$B$4*AS276))</f>
        <v>485.2781846</v>
      </c>
      <c r="L276" s="11">
        <f>(Y276/$B276)+(Y276/('Optimal Choice'!$B$9*AT276))</f>
        <v>492.1529391</v>
      </c>
      <c r="M276" s="11">
        <f>(Z276/$B276)+(Z276/('Optimal Choice'!$B$14*AU276))</f>
        <v>492.7884663</v>
      </c>
      <c r="N276" s="11">
        <f>(AA276/$B276)+(AA276/('Optimal Choice'!$B$19*AV276))</f>
        <v>534.3926655</v>
      </c>
      <c r="O276" s="11">
        <f>(AB276/$B276)+(AB276/('Optimal Choice'!$B$24*AW276))</f>
        <v>473.4479279</v>
      </c>
      <c r="R276" s="12">
        <f t="shared" ref="R276:V276" si="286">if(min($K275:$O275)=K275,R275+1,R275)</f>
        <v>138</v>
      </c>
      <c r="S276" s="12">
        <f t="shared" si="286"/>
        <v>47</v>
      </c>
      <c r="T276" s="12">
        <f t="shared" si="286"/>
        <v>41</v>
      </c>
      <c r="U276" s="12">
        <f t="shared" si="286"/>
        <v>30</v>
      </c>
      <c r="V276" s="12">
        <f t="shared" si="286"/>
        <v>19</v>
      </c>
      <c r="X276" s="13">
        <f> 'Optimal Choice'!$B$5*'Optimal Choice'!$B$6^(R276+1)</f>
        <v>48574.13657</v>
      </c>
      <c r="Y276" s="13">
        <f> 'Optimal Choice'!$B$10*'Optimal Choice'!$B$11^(S276+1)</f>
        <v>49164.04272</v>
      </c>
      <c r="Z276" s="13">
        <f> 'Optimal Choice'!$B$15*'Optimal Choice'!$B$16^(T276+1)</f>
        <v>176740.5705</v>
      </c>
      <c r="AA276" s="13">
        <f> 'Optimal Choice'!$B$20*'Optimal Choice'!$B$21^(U276+1)</f>
        <v>381896.3349</v>
      </c>
      <c r="AB276" s="13">
        <f> 'Optimal Choice'!$B$25*'Optimal Choice'!$B$26^(V276+1)</f>
        <v>1000127.668</v>
      </c>
      <c r="AE276" s="12">
        <f t="shared" si="4"/>
        <v>60</v>
      </c>
      <c r="AF276" s="12">
        <f t="shared" si="5"/>
        <v>5</v>
      </c>
      <c r="AG276" s="12">
        <f t="shared" si="6"/>
        <v>4</v>
      </c>
      <c r="AH276" s="12">
        <f t="shared" si="7"/>
        <v>2</v>
      </c>
      <c r="AI276" s="14">
        <f t="shared" si="8"/>
        <v>1</v>
      </c>
      <c r="AL276" s="14">
        <f>R276*'Optimal Choice'!$B$4*AE276</f>
        <v>13827.6</v>
      </c>
      <c r="AM276" s="14">
        <f>S276*'Optimal Choice'!$B$9*AF276</f>
        <v>4700</v>
      </c>
      <c r="AN276" s="14">
        <f>T276*'Optimal Choice'!$B$14*AG276</f>
        <v>14760</v>
      </c>
      <c r="AO276" s="14">
        <f>U276*'Optimal Choice'!$B$19*AH276</f>
        <v>21600</v>
      </c>
      <c r="AP276" s="14">
        <f>V276*'Optimal Choice'!$B$24*AI276</f>
        <v>41040</v>
      </c>
      <c r="AS276" s="12">
        <f t="shared" si="9"/>
        <v>60</v>
      </c>
      <c r="AT276" s="12">
        <f t="shared" si="10"/>
        <v>5</v>
      </c>
      <c r="AU276" s="12">
        <f t="shared" si="11"/>
        <v>4</v>
      </c>
      <c r="AV276" s="12">
        <f t="shared" si="12"/>
        <v>2</v>
      </c>
      <c r="AW276" s="14">
        <f t="shared" si="13"/>
        <v>1</v>
      </c>
      <c r="AY276" s="11">
        <f t="shared" si="14"/>
        <v>0.05916218144</v>
      </c>
    </row>
    <row r="277" ht="15.75" customHeight="1">
      <c r="A277" s="15">
        <f t="shared" si="2"/>
        <v>6.756740299</v>
      </c>
      <c r="B277" s="7">
        <f>(sum(AL277:AP277))*'Optimal Choice'!$B$28</f>
        <v>98087.6</v>
      </c>
      <c r="C277" s="11"/>
      <c r="D277" s="12"/>
      <c r="E277" s="12"/>
      <c r="F277" s="11"/>
      <c r="G277" s="11"/>
      <c r="H277" s="11"/>
      <c r="I277" s="11"/>
      <c r="J277" s="11"/>
      <c r="K277" s="11">
        <f>(X277/$B277)+(X277/('Optimal Choice'!$B$4*AS277))</f>
        <v>485.2670339</v>
      </c>
      <c r="L277" s="11">
        <f>(Y277/$B277)+(Y277/('Optimal Choice'!$B$9*AT277))</f>
        <v>492.1416531</v>
      </c>
      <c r="M277" s="11">
        <f>(Z277/$B277)+(Z277/('Optimal Choice'!$B$14*AU277))</f>
        <v>492.7478938</v>
      </c>
      <c r="N277" s="11">
        <f>(AA277/$B277)+(AA277/('Optimal Choice'!$B$19*AV277))</f>
        <v>534.3049974</v>
      </c>
      <c r="O277" s="11">
        <f>(AB277/$B277)+(AB277/('Optimal Choice'!$B$24*AW277))</f>
        <v>530.0045393</v>
      </c>
      <c r="R277" s="12">
        <f t="shared" ref="R277:V277" si="287">if(min($K276:$O276)=K276,R276+1,R276)</f>
        <v>138</v>
      </c>
      <c r="S277" s="12">
        <f t="shared" si="287"/>
        <v>47</v>
      </c>
      <c r="T277" s="12">
        <f t="shared" si="287"/>
        <v>41</v>
      </c>
      <c r="U277" s="12">
        <f t="shared" si="287"/>
        <v>30</v>
      </c>
      <c r="V277" s="12">
        <f t="shared" si="287"/>
        <v>20</v>
      </c>
      <c r="X277" s="13">
        <f> 'Optimal Choice'!$B$5*'Optimal Choice'!$B$6^(R277+1)</f>
        <v>48574.13657</v>
      </c>
      <c r="Y277" s="13">
        <f> 'Optimal Choice'!$B$10*'Optimal Choice'!$B$11^(S277+1)</f>
        <v>49164.04272</v>
      </c>
      <c r="Z277" s="13">
        <f> 'Optimal Choice'!$B$15*'Optimal Choice'!$B$16^(T277+1)</f>
        <v>176740.5705</v>
      </c>
      <c r="AA277" s="13">
        <f> 'Optimal Choice'!$B$20*'Optimal Choice'!$B$21^(U277+1)</f>
        <v>381896.3349</v>
      </c>
      <c r="AB277" s="13">
        <f> 'Optimal Choice'!$B$25*'Optimal Choice'!$B$26^(V277+1)</f>
        <v>1120142.988</v>
      </c>
      <c r="AE277" s="12">
        <f t="shared" si="4"/>
        <v>60</v>
      </c>
      <c r="AF277" s="12">
        <f t="shared" si="5"/>
        <v>5</v>
      </c>
      <c r="AG277" s="12">
        <f t="shared" si="6"/>
        <v>4</v>
      </c>
      <c r="AH277" s="12">
        <f t="shared" si="7"/>
        <v>2</v>
      </c>
      <c r="AI277" s="14">
        <f t="shared" si="8"/>
        <v>1</v>
      </c>
      <c r="AL277" s="14">
        <f>R277*'Optimal Choice'!$B$4*AE277</f>
        <v>13827.6</v>
      </c>
      <c r="AM277" s="14">
        <f>S277*'Optimal Choice'!$B$9*AF277</f>
        <v>4700</v>
      </c>
      <c r="AN277" s="14">
        <f>T277*'Optimal Choice'!$B$14*AG277</f>
        <v>14760</v>
      </c>
      <c r="AO277" s="14">
        <f>U277*'Optimal Choice'!$B$19*AH277</f>
        <v>21600</v>
      </c>
      <c r="AP277" s="14">
        <f>V277*'Optimal Choice'!$B$24*AI277</f>
        <v>43200</v>
      </c>
      <c r="AS277" s="12">
        <f t="shared" si="9"/>
        <v>60</v>
      </c>
      <c r="AT277" s="12">
        <f t="shared" si="10"/>
        <v>5</v>
      </c>
      <c r="AU277" s="12">
        <f t="shared" si="11"/>
        <v>4</v>
      </c>
      <c r="AV277" s="12">
        <f t="shared" si="12"/>
        <v>2</v>
      </c>
      <c r="AW277" s="14">
        <f t="shared" si="13"/>
        <v>1</v>
      </c>
      <c r="AY277" s="11">
        <f t="shared" si="14"/>
        <v>0.1737643229</v>
      </c>
    </row>
    <row r="278" ht="15.75" customHeight="1">
      <c r="A278" s="15">
        <f t="shared" si="2"/>
        <v>6.764993829</v>
      </c>
      <c r="B278" s="7">
        <f>(sum(AL278:AP278))*'Optimal Choice'!$B$28</f>
        <v>98187.8</v>
      </c>
      <c r="C278" s="11"/>
      <c r="D278" s="12"/>
      <c r="E278" s="12"/>
      <c r="F278" s="11"/>
      <c r="G278" s="11"/>
      <c r="H278" s="11"/>
      <c r="I278" s="11"/>
      <c r="J278" s="11"/>
      <c r="K278" s="11">
        <f>(X278/$B278)+(X278/('Optimal Choice'!$B$4*AS278))</f>
        <v>519.2351855</v>
      </c>
      <c r="L278" s="11">
        <f>(Y278/$B278)+(Y278/('Optimal Choice'!$B$9*AT278))</f>
        <v>492.1411416</v>
      </c>
      <c r="M278" s="11">
        <f>(Z278/$B278)+(Z278/('Optimal Choice'!$B$14*AU278))</f>
        <v>492.746055</v>
      </c>
      <c r="N278" s="11">
        <f>(AA278/$B278)+(AA278/('Optimal Choice'!$B$19*AV278))</f>
        <v>534.3010242</v>
      </c>
      <c r="O278" s="11">
        <f>(AB278/$B278)+(AB278/('Optimal Choice'!$B$24*AW278))</f>
        <v>529.9928854</v>
      </c>
      <c r="R278" s="12">
        <f t="shared" ref="R278:V278" si="288">if(min($K277:$O277)=K277,R277+1,R277)</f>
        <v>139</v>
      </c>
      <c r="S278" s="12">
        <f t="shared" si="288"/>
        <v>47</v>
      </c>
      <c r="T278" s="12">
        <f t="shared" si="288"/>
        <v>41</v>
      </c>
      <c r="U278" s="12">
        <f t="shared" si="288"/>
        <v>30</v>
      </c>
      <c r="V278" s="12">
        <f t="shared" si="288"/>
        <v>20</v>
      </c>
      <c r="X278" s="13">
        <f> 'Optimal Choice'!$B$5*'Optimal Choice'!$B$6^(R278+1)</f>
        <v>51974.32613</v>
      </c>
      <c r="Y278" s="13">
        <f> 'Optimal Choice'!$B$10*'Optimal Choice'!$B$11^(S278+1)</f>
        <v>49164.04272</v>
      </c>
      <c r="Z278" s="13">
        <f> 'Optimal Choice'!$B$15*'Optimal Choice'!$B$16^(T278+1)</f>
        <v>176740.5705</v>
      </c>
      <c r="AA278" s="13">
        <f> 'Optimal Choice'!$B$20*'Optimal Choice'!$B$21^(U278+1)</f>
        <v>381896.3349</v>
      </c>
      <c r="AB278" s="13">
        <f> 'Optimal Choice'!$B$25*'Optimal Choice'!$B$26^(V278+1)</f>
        <v>1120142.988</v>
      </c>
      <c r="AE278" s="12">
        <f t="shared" si="4"/>
        <v>60</v>
      </c>
      <c r="AF278" s="12">
        <f t="shared" si="5"/>
        <v>5</v>
      </c>
      <c r="AG278" s="12">
        <f t="shared" si="6"/>
        <v>4</v>
      </c>
      <c r="AH278" s="12">
        <f t="shared" si="7"/>
        <v>2</v>
      </c>
      <c r="AI278" s="14">
        <f t="shared" si="8"/>
        <v>1</v>
      </c>
      <c r="AL278" s="14">
        <f>R278*'Optimal Choice'!$B$4*AE278</f>
        <v>13927.8</v>
      </c>
      <c r="AM278" s="14">
        <f>S278*'Optimal Choice'!$B$9*AF278</f>
        <v>4700</v>
      </c>
      <c r="AN278" s="14">
        <f>T278*'Optimal Choice'!$B$14*AG278</f>
        <v>14760</v>
      </c>
      <c r="AO278" s="14">
        <f>U278*'Optimal Choice'!$B$19*AH278</f>
        <v>21600</v>
      </c>
      <c r="AP278" s="14">
        <f>V278*'Optimal Choice'!$B$24*AI278</f>
        <v>43200</v>
      </c>
      <c r="AS278" s="12">
        <f t="shared" si="9"/>
        <v>60</v>
      </c>
      <c r="AT278" s="12">
        <f t="shared" si="10"/>
        <v>5</v>
      </c>
      <c r="AU278" s="12">
        <f t="shared" si="11"/>
        <v>4</v>
      </c>
      <c r="AV278" s="12">
        <f t="shared" si="12"/>
        <v>2</v>
      </c>
      <c r="AW278" s="14">
        <f t="shared" si="13"/>
        <v>1</v>
      </c>
      <c r="AY278" s="11">
        <f t="shared" si="14"/>
        <v>0.008253529936</v>
      </c>
    </row>
    <row r="279" ht="15.75" customHeight="1">
      <c r="A279" s="15">
        <f t="shared" si="2"/>
        <v>6.773339068</v>
      </c>
      <c r="B279" s="7">
        <f>(sum(AL279:AP279))*'Optimal Choice'!$B$28</f>
        <v>98287.8</v>
      </c>
      <c r="C279" s="11"/>
      <c r="D279" s="12"/>
      <c r="E279" s="12"/>
      <c r="F279" s="11"/>
      <c r="G279" s="11"/>
      <c r="H279" s="11"/>
      <c r="I279" s="11"/>
      <c r="J279" s="11"/>
      <c r="K279" s="11">
        <f>(X279/$B279)+(X279/('Optimal Choice'!$B$4*AS279))</f>
        <v>519.234647</v>
      </c>
      <c r="L279" s="11">
        <f>(Y279/$B279)+(Y279/('Optimal Choice'!$B$9*AT279))</f>
        <v>565.9617269</v>
      </c>
      <c r="M279" s="11">
        <f>(Z279/$B279)+(Z279/('Optimal Choice'!$B$14*AU279))</f>
        <v>492.7442236</v>
      </c>
      <c r="N279" s="11">
        <f>(AA279/$B279)+(AA279/('Optimal Choice'!$B$19*AV279))</f>
        <v>534.297067</v>
      </c>
      <c r="O279" s="11">
        <f>(AB279/$B279)+(AB279/('Optimal Choice'!$B$24*AW279))</f>
        <v>529.9812785</v>
      </c>
      <c r="R279" s="12">
        <f t="shared" ref="R279:V279" si="289">if(min($K278:$O278)=K278,R278+1,R278)</f>
        <v>139</v>
      </c>
      <c r="S279" s="12">
        <f t="shared" si="289"/>
        <v>48</v>
      </c>
      <c r="T279" s="12">
        <f t="shared" si="289"/>
        <v>41</v>
      </c>
      <c r="U279" s="12">
        <f t="shared" si="289"/>
        <v>30</v>
      </c>
      <c r="V279" s="12">
        <f t="shared" si="289"/>
        <v>20</v>
      </c>
      <c r="X279" s="13">
        <f> 'Optimal Choice'!$B$5*'Optimal Choice'!$B$6^(R279+1)</f>
        <v>51974.32613</v>
      </c>
      <c r="Y279" s="13">
        <f> 'Optimal Choice'!$B$10*'Optimal Choice'!$B$11^(S279+1)</f>
        <v>56538.64913</v>
      </c>
      <c r="Z279" s="13">
        <f> 'Optimal Choice'!$B$15*'Optimal Choice'!$B$16^(T279+1)</f>
        <v>176740.5705</v>
      </c>
      <c r="AA279" s="13">
        <f> 'Optimal Choice'!$B$20*'Optimal Choice'!$B$21^(U279+1)</f>
        <v>381896.3349</v>
      </c>
      <c r="AB279" s="13">
        <f> 'Optimal Choice'!$B$25*'Optimal Choice'!$B$26^(V279+1)</f>
        <v>1120142.988</v>
      </c>
      <c r="AE279" s="12">
        <f t="shared" si="4"/>
        <v>60</v>
      </c>
      <c r="AF279" s="12">
        <f t="shared" si="5"/>
        <v>5</v>
      </c>
      <c r="AG279" s="12">
        <f t="shared" si="6"/>
        <v>4</v>
      </c>
      <c r="AH279" s="12">
        <f t="shared" si="7"/>
        <v>2</v>
      </c>
      <c r="AI279" s="14">
        <f t="shared" si="8"/>
        <v>1</v>
      </c>
      <c r="AL279" s="14">
        <f>R279*'Optimal Choice'!$B$4*AE279</f>
        <v>13927.8</v>
      </c>
      <c r="AM279" s="14">
        <f>S279*'Optimal Choice'!$B$9*AF279</f>
        <v>4800</v>
      </c>
      <c r="AN279" s="14">
        <f>T279*'Optimal Choice'!$B$14*AG279</f>
        <v>14760</v>
      </c>
      <c r="AO279" s="14">
        <f>U279*'Optimal Choice'!$B$19*AH279</f>
        <v>21600</v>
      </c>
      <c r="AP279" s="14">
        <f>V279*'Optimal Choice'!$B$24*AI279</f>
        <v>43200</v>
      </c>
      <c r="AS279" s="12">
        <f t="shared" si="9"/>
        <v>60</v>
      </c>
      <c r="AT279" s="12">
        <f t="shared" si="10"/>
        <v>5</v>
      </c>
      <c r="AU279" s="12">
        <f t="shared" si="11"/>
        <v>4</v>
      </c>
      <c r="AV279" s="12">
        <f t="shared" si="12"/>
        <v>2</v>
      </c>
      <c r="AW279" s="14">
        <f t="shared" si="13"/>
        <v>1</v>
      </c>
      <c r="AY279" s="11">
        <f t="shared" si="14"/>
        <v>0.008345239551</v>
      </c>
    </row>
    <row r="280" ht="15.75" customHeight="1">
      <c r="A280" s="15">
        <f t="shared" si="2"/>
        <v>6.803308975</v>
      </c>
      <c r="B280" s="7">
        <f>(sum(AL280:AP280))*'Optimal Choice'!$B$28</f>
        <v>98647.8</v>
      </c>
      <c r="C280" s="11"/>
      <c r="D280" s="12"/>
      <c r="E280" s="12"/>
      <c r="F280" s="11"/>
      <c r="G280" s="11"/>
      <c r="H280" s="11"/>
      <c r="I280" s="11"/>
      <c r="J280" s="11"/>
      <c r="K280" s="11">
        <f>(X280/$B280)+(X280/('Optimal Choice'!$B$4*AS280))</f>
        <v>519.2327172</v>
      </c>
      <c r="L280" s="11">
        <f>(Y280/$B280)+(Y280/('Optimal Choice'!$B$9*AT280))</f>
        <v>565.9596277</v>
      </c>
      <c r="M280" s="11">
        <f>(Z280/$B280)+(Z280/('Optimal Choice'!$B$14*AU280))</f>
        <v>561.720934</v>
      </c>
      <c r="N280" s="11">
        <f>(AA280/$B280)+(AA280/('Optimal Choice'!$B$19*AV280))</f>
        <v>534.2828875</v>
      </c>
      <c r="O280" s="11">
        <f>(AB280/$B280)+(AB280/('Optimal Choice'!$B$24*AW280))</f>
        <v>529.9396885</v>
      </c>
      <c r="R280" s="12">
        <f t="shared" ref="R280:V280" si="290">if(min($K279:$O279)=K279,R279+1,R279)</f>
        <v>139</v>
      </c>
      <c r="S280" s="12">
        <f t="shared" si="290"/>
        <v>48</v>
      </c>
      <c r="T280" s="12">
        <f t="shared" si="290"/>
        <v>42</v>
      </c>
      <c r="U280" s="12">
        <f t="shared" si="290"/>
        <v>30</v>
      </c>
      <c r="V280" s="12">
        <f t="shared" si="290"/>
        <v>20</v>
      </c>
      <c r="X280" s="13">
        <f> 'Optimal Choice'!$B$5*'Optimal Choice'!$B$6^(R280+1)</f>
        <v>51974.32613</v>
      </c>
      <c r="Y280" s="13">
        <f> 'Optimal Choice'!$B$10*'Optimal Choice'!$B$11^(S280+1)</f>
        <v>56538.64913</v>
      </c>
      <c r="Z280" s="13">
        <f> 'Optimal Choice'!$B$15*'Optimal Choice'!$B$16^(T280+1)</f>
        <v>201484.2504</v>
      </c>
      <c r="AA280" s="13">
        <f> 'Optimal Choice'!$B$20*'Optimal Choice'!$B$21^(U280+1)</f>
        <v>381896.3349</v>
      </c>
      <c r="AB280" s="13">
        <f> 'Optimal Choice'!$B$25*'Optimal Choice'!$B$26^(V280+1)</f>
        <v>1120142.988</v>
      </c>
      <c r="AE280" s="12">
        <f t="shared" si="4"/>
        <v>60</v>
      </c>
      <c r="AF280" s="12">
        <f t="shared" si="5"/>
        <v>5</v>
      </c>
      <c r="AG280" s="12">
        <f t="shared" si="6"/>
        <v>4</v>
      </c>
      <c r="AH280" s="12">
        <f t="shared" si="7"/>
        <v>2</v>
      </c>
      <c r="AI280" s="14">
        <f t="shared" si="8"/>
        <v>1</v>
      </c>
      <c r="AL280" s="14">
        <f>R280*'Optimal Choice'!$B$4*AE280</f>
        <v>13927.8</v>
      </c>
      <c r="AM280" s="14">
        <f>S280*'Optimal Choice'!$B$9*AF280</f>
        <v>4800</v>
      </c>
      <c r="AN280" s="14">
        <f>T280*'Optimal Choice'!$B$14*AG280</f>
        <v>15120</v>
      </c>
      <c r="AO280" s="14">
        <f>U280*'Optimal Choice'!$B$19*AH280</f>
        <v>21600</v>
      </c>
      <c r="AP280" s="14">
        <f>V280*'Optimal Choice'!$B$24*AI280</f>
        <v>43200</v>
      </c>
      <c r="AS280" s="12">
        <f t="shared" si="9"/>
        <v>60</v>
      </c>
      <c r="AT280" s="12">
        <f t="shared" si="10"/>
        <v>5</v>
      </c>
      <c r="AU280" s="12">
        <f t="shared" si="11"/>
        <v>4</v>
      </c>
      <c r="AV280" s="12">
        <f t="shared" si="12"/>
        <v>2</v>
      </c>
      <c r="AW280" s="14">
        <f t="shared" si="13"/>
        <v>1</v>
      </c>
      <c r="AY280" s="11">
        <f t="shared" si="14"/>
        <v>0.02996990649</v>
      </c>
    </row>
    <row r="281" ht="15.75" customHeight="1">
      <c r="A281" s="15">
        <f t="shared" si="2"/>
        <v>6.812090101</v>
      </c>
      <c r="B281" s="7">
        <f>(sum(AL281:AP281))*'Optimal Choice'!$B$28</f>
        <v>98748</v>
      </c>
      <c r="C281" s="11"/>
      <c r="D281" s="12"/>
      <c r="E281" s="12"/>
      <c r="F281" s="11"/>
      <c r="G281" s="11"/>
      <c r="H281" s="11"/>
      <c r="I281" s="11"/>
      <c r="J281" s="11"/>
      <c r="K281" s="11">
        <f>(X281/$B281)+(X281/('Optimal Choice'!$B$4*AS281))</f>
        <v>555.5784354</v>
      </c>
      <c r="L281" s="11">
        <f>(Y281/$B281)+(Y281/('Optimal Choice'!$B$9*AT281))</f>
        <v>565.9590461</v>
      </c>
      <c r="M281" s="11">
        <f>(Z281/$B281)+(Z281/('Optimal Choice'!$B$14*AU281))</f>
        <v>561.7188615</v>
      </c>
      <c r="N281" s="11">
        <f>(AA281/$B281)+(AA281/('Optimal Choice'!$B$19*AV281))</f>
        <v>534.2789593</v>
      </c>
      <c r="O281" s="11">
        <f>(AB281/$B281)+(AB281/('Optimal Choice'!$B$24*AW281))</f>
        <v>529.9281666</v>
      </c>
      <c r="R281" s="12">
        <f t="shared" ref="R281:V281" si="291">if(min($K280:$O280)=K280,R280+1,R280)</f>
        <v>140</v>
      </c>
      <c r="S281" s="12">
        <f t="shared" si="291"/>
        <v>48</v>
      </c>
      <c r="T281" s="12">
        <f t="shared" si="291"/>
        <v>42</v>
      </c>
      <c r="U281" s="12">
        <f t="shared" si="291"/>
        <v>30</v>
      </c>
      <c r="V281" s="12">
        <f t="shared" si="291"/>
        <v>20</v>
      </c>
      <c r="X281" s="13">
        <f> 'Optimal Choice'!$B$5*'Optimal Choice'!$B$6^(R281+1)</f>
        <v>55612.52896</v>
      </c>
      <c r="Y281" s="13">
        <f> 'Optimal Choice'!$B$10*'Optimal Choice'!$B$11^(S281+1)</f>
        <v>56538.64913</v>
      </c>
      <c r="Z281" s="13">
        <f> 'Optimal Choice'!$B$15*'Optimal Choice'!$B$16^(T281+1)</f>
        <v>201484.2504</v>
      </c>
      <c r="AA281" s="13">
        <f> 'Optimal Choice'!$B$20*'Optimal Choice'!$B$21^(U281+1)</f>
        <v>381896.3349</v>
      </c>
      <c r="AB281" s="13">
        <f> 'Optimal Choice'!$B$25*'Optimal Choice'!$B$26^(V281+1)</f>
        <v>1120142.988</v>
      </c>
      <c r="AE281" s="12">
        <f t="shared" si="4"/>
        <v>60</v>
      </c>
      <c r="AF281" s="12">
        <f t="shared" si="5"/>
        <v>5</v>
      </c>
      <c r="AG281" s="12">
        <f t="shared" si="6"/>
        <v>4</v>
      </c>
      <c r="AH281" s="12">
        <f t="shared" si="7"/>
        <v>2</v>
      </c>
      <c r="AI281" s="14">
        <f t="shared" si="8"/>
        <v>1</v>
      </c>
      <c r="AL281" s="14">
        <f>R281*'Optimal Choice'!$B$4*AE281</f>
        <v>14028</v>
      </c>
      <c r="AM281" s="14">
        <f>S281*'Optimal Choice'!$B$9*AF281</f>
        <v>4800</v>
      </c>
      <c r="AN281" s="14">
        <f>T281*'Optimal Choice'!$B$14*AG281</f>
        <v>15120</v>
      </c>
      <c r="AO281" s="14">
        <f>U281*'Optimal Choice'!$B$19*AH281</f>
        <v>21600</v>
      </c>
      <c r="AP281" s="14">
        <f>V281*'Optimal Choice'!$B$24*AI281</f>
        <v>43200</v>
      </c>
      <c r="AS281" s="12">
        <f t="shared" si="9"/>
        <v>60</v>
      </c>
      <c r="AT281" s="12">
        <f t="shared" si="10"/>
        <v>5</v>
      </c>
      <c r="AU281" s="12">
        <f t="shared" si="11"/>
        <v>4</v>
      </c>
      <c r="AV281" s="12">
        <f t="shared" si="12"/>
        <v>2</v>
      </c>
      <c r="AW281" s="14">
        <f t="shared" si="13"/>
        <v>1</v>
      </c>
      <c r="AY281" s="11">
        <f t="shared" si="14"/>
        <v>0.008781126076</v>
      </c>
    </row>
    <row r="282" ht="15.75" customHeight="1">
      <c r="A282" s="15">
        <f t="shared" si="2"/>
        <v>7.001147599</v>
      </c>
      <c r="B282" s="7">
        <f>(sum(AL282:AP282))*'Optimal Choice'!$B$28</f>
        <v>100908</v>
      </c>
      <c r="C282" s="11"/>
      <c r="D282" s="12"/>
      <c r="E282" s="12"/>
      <c r="F282" s="11"/>
      <c r="G282" s="11"/>
      <c r="H282" s="11"/>
      <c r="I282" s="11"/>
      <c r="J282" s="11"/>
      <c r="K282" s="11">
        <f>(X282/$B282)+(X282/('Optimal Choice'!$B$4*AS282))</f>
        <v>555.5663802</v>
      </c>
      <c r="L282" s="11">
        <f>(Y282/$B282)+(Y282/('Optimal Choice'!$B$9*AT282))</f>
        <v>565.9467902</v>
      </c>
      <c r="M282" s="11">
        <f>(Z282/$B282)+(Z282/('Optimal Choice'!$B$14*AU282))</f>
        <v>561.6751857</v>
      </c>
      <c r="N282" s="11">
        <f>(AA282/$B282)+(AA282/('Optimal Choice'!$B$19*AV282))</f>
        <v>534.1961755</v>
      </c>
      <c r="O282" s="11">
        <f>(AB282/$B282)+(AB282/('Optimal Choice'!$B$24*AW282))</f>
        <v>593.2475951</v>
      </c>
      <c r="R282" s="12">
        <f t="shared" ref="R282:V282" si="292">if(min($K281:$O281)=K281,R281+1,R281)</f>
        <v>140</v>
      </c>
      <c r="S282" s="12">
        <f t="shared" si="292"/>
        <v>48</v>
      </c>
      <c r="T282" s="12">
        <f t="shared" si="292"/>
        <v>42</v>
      </c>
      <c r="U282" s="12">
        <f t="shared" si="292"/>
        <v>30</v>
      </c>
      <c r="V282" s="12">
        <f t="shared" si="292"/>
        <v>21</v>
      </c>
      <c r="X282" s="13">
        <f> 'Optimal Choice'!$B$5*'Optimal Choice'!$B$6^(R282+1)</f>
        <v>55612.52896</v>
      </c>
      <c r="Y282" s="13">
        <f> 'Optimal Choice'!$B$10*'Optimal Choice'!$B$11^(S282+1)</f>
        <v>56538.64913</v>
      </c>
      <c r="Z282" s="13">
        <f> 'Optimal Choice'!$B$15*'Optimal Choice'!$B$16^(T282+1)</f>
        <v>201484.2504</v>
      </c>
      <c r="AA282" s="13">
        <f> 'Optimal Choice'!$B$20*'Optimal Choice'!$B$21^(U282+1)</f>
        <v>381896.3349</v>
      </c>
      <c r="AB282" s="13">
        <f> 'Optimal Choice'!$B$25*'Optimal Choice'!$B$26^(V282+1)</f>
        <v>1254560.147</v>
      </c>
      <c r="AE282" s="12">
        <f t="shared" si="4"/>
        <v>60</v>
      </c>
      <c r="AF282" s="12">
        <f t="shared" si="5"/>
        <v>5</v>
      </c>
      <c r="AG282" s="12">
        <f t="shared" si="6"/>
        <v>4</v>
      </c>
      <c r="AH282" s="12">
        <f t="shared" si="7"/>
        <v>2</v>
      </c>
      <c r="AI282" s="14">
        <f t="shared" si="8"/>
        <v>1</v>
      </c>
      <c r="AL282" s="14">
        <f>R282*'Optimal Choice'!$B$4*AE282</f>
        <v>14028</v>
      </c>
      <c r="AM282" s="14">
        <f>S282*'Optimal Choice'!$B$9*AF282</f>
        <v>4800</v>
      </c>
      <c r="AN282" s="14">
        <f>T282*'Optimal Choice'!$B$14*AG282</f>
        <v>15120</v>
      </c>
      <c r="AO282" s="14">
        <f>U282*'Optimal Choice'!$B$19*AH282</f>
        <v>21600</v>
      </c>
      <c r="AP282" s="14">
        <f>V282*'Optimal Choice'!$B$24*AI282</f>
        <v>45360</v>
      </c>
      <c r="AS282" s="12">
        <f t="shared" si="9"/>
        <v>60</v>
      </c>
      <c r="AT282" s="12">
        <f t="shared" si="10"/>
        <v>5</v>
      </c>
      <c r="AU282" s="12">
        <f t="shared" si="11"/>
        <v>4</v>
      </c>
      <c r="AV282" s="12">
        <f t="shared" si="12"/>
        <v>2</v>
      </c>
      <c r="AW282" s="14">
        <f t="shared" si="13"/>
        <v>1</v>
      </c>
      <c r="AY282" s="11">
        <f t="shared" si="14"/>
        <v>0.1890574979</v>
      </c>
    </row>
    <row r="283" ht="15.75" customHeight="1">
      <c r="A283" s="15">
        <f t="shared" si="2"/>
        <v>7.064224252</v>
      </c>
      <c r="B283" s="7">
        <f>(sum(AL283:AP283))*'Optimal Choice'!$B$28</f>
        <v>101628</v>
      </c>
      <c r="C283" s="11"/>
      <c r="D283" s="12"/>
      <c r="E283" s="12"/>
      <c r="F283" s="11"/>
      <c r="G283" s="11"/>
      <c r="H283" s="11"/>
      <c r="I283" s="11"/>
      <c r="J283" s="11"/>
      <c r="K283" s="11">
        <f>(X283/$B283)+(X283/('Optimal Choice'!$B$4*AS283))</f>
        <v>555.5624757</v>
      </c>
      <c r="L283" s="11">
        <f>(Y283/$B283)+(Y283/('Optimal Choice'!$B$9*AT283))</f>
        <v>565.9428207</v>
      </c>
      <c r="M283" s="11">
        <f>(Z283/$B283)+(Z283/('Optimal Choice'!$B$14*AU283))</f>
        <v>561.6610396</v>
      </c>
      <c r="N283" s="11">
        <f>(AA283/$B283)+(AA283/('Optimal Choice'!$B$19*AV283))</f>
        <v>603.6113801</v>
      </c>
      <c r="O283" s="11">
        <f>(AB283/$B283)+(AB283/('Optimal Choice'!$B$24*AW283))</f>
        <v>593.1595136</v>
      </c>
      <c r="R283" s="12">
        <f t="shared" ref="R283:V283" si="293">if(min($K282:$O282)=K282,R282+1,R282)</f>
        <v>140</v>
      </c>
      <c r="S283" s="12">
        <f t="shared" si="293"/>
        <v>48</v>
      </c>
      <c r="T283" s="12">
        <f t="shared" si="293"/>
        <v>42</v>
      </c>
      <c r="U283" s="12">
        <f t="shared" si="293"/>
        <v>31</v>
      </c>
      <c r="V283" s="12">
        <f t="shared" si="293"/>
        <v>21</v>
      </c>
      <c r="X283" s="13">
        <f> 'Optimal Choice'!$B$5*'Optimal Choice'!$B$6^(R283+1)</f>
        <v>55612.52896</v>
      </c>
      <c r="Y283" s="13">
        <f> 'Optimal Choice'!$B$10*'Optimal Choice'!$B$11^(S283+1)</f>
        <v>56538.64913</v>
      </c>
      <c r="Z283" s="13">
        <f> 'Optimal Choice'!$B$15*'Optimal Choice'!$B$16^(T283+1)</f>
        <v>201484.2504</v>
      </c>
      <c r="AA283" s="13">
        <f> 'Optimal Choice'!$B$20*'Optimal Choice'!$B$21^(U283+1)</f>
        <v>431542.8585</v>
      </c>
      <c r="AB283" s="13">
        <f> 'Optimal Choice'!$B$25*'Optimal Choice'!$B$26^(V283+1)</f>
        <v>1254560.147</v>
      </c>
      <c r="AE283" s="12">
        <f t="shared" si="4"/>
        <v>60</v>
      </c>
      <c r="AF283" s="12">
        <f t="shared" si="5"/>
        <v>5</v>
      </c>
      <c r="AG283" s="12">
        <f t="shared" si="6"/>
        <v>4</v>
      </c>
      <c r="AH283" s="12">
        <f t="shared" si="7"/>
        <v>2</v>
      </c>
      <c r="AI283" s="14">
        <f t="shared" si="8"/>
        <v>1</v>
      </c>
      <c r="AL283" s="14">
        <f>R283*'Optimal Choice'!$B$4*AE283</f>
        <v>14028</v>
      </c>
      <c r="AM283" s="14">
        <f>S283*'Optimal Choice'!$B$9*AF283</f>
        <v>4800</v>
      </c>
      <c r="AN283" s="14">
        <f>T283*'Optimal Choice'!$B$14*AG283</f>
        <v>15120</v>
      </c>
      <c r="AO283" s="14">
        <f>U283*'Optimal Choice'!$B$19*AH283</f>
        <v>22320</v>
      </c>
      <c r="AP283" s="14">
        <f>V283*'Optimal Choice'!$B$24*AI283</f>
        <v>45360</v>
      </c>
      <c r="AS283" s="12">
        <f t="shared" si="9"/>
        <v>60</v>
      </c>
      <c r="AT283" s="12">
        <f t="shared" si="10"/>
        <v>5</v>
      </c>
      <c r="AU283" s="12">
        <f t="shared" si="11"/>
        <v>4</v>
      </c>
      <c r="AV283" s="12">
        <f t="shared" si="12"/>
        <v>2</v>
      </c>
      <c r="AW283" s="14">
        <f t="shared" si="13"/>
        <v>1</v>
      </c>
      <c r="AY283" s="11">
        <f t="shared" si="14"/>
        <v>0.06307665315</v>
      </c>
    </row>
    <row r="284" ht="15.75" customHeight="1">
      <c r="A284" s="15">
        <f t="shared" si="2"/>
        <v>7.073344529</v>
      </c>
      <c r="B284" s="7">
        <f>(sum(AL284:AP284))*'Optimal Choice'!$B$28</f>
        <v>101728.2</v>
      </c>
      <c r="C284" s="11"/>
      <c r="D284" s="12"/>
      <c r="E284" s="12"/>
      <c r="F284" s="11"/>
      <c r="G284" s="11"/>
      <c r="H284" s="11"/>
      <c r="I284" s="11"/>
      <c r="J284" s="11"/>
      <c r="K284" s="11">
        <f>(X284/$B284)+(X284/('Optimal Choice'!$B$4*AS284))</f>
        <v>594.4512723</v>
      </c>
      <c r="L284" s="11">
        <f>(Y284/$B284)+(Y284/('Optimal Choice'!$B$9*AT284))</f>
        <v>565.9422727</v>
      </c>
      <c r="M284" s="11">
        <f>(Z284/$B284)+(Z284/('Optimal Choice'!$B$14*AU284))</f>
        <v>561.6590869</v>
      </c>
      <c r="N284" s="11">
        <f>(AA284/$B284)+(AA284/('Optimal Choice'!$B$19*AV284))</f>
        <v>603.6071976</v>
      </c>
      <c r="O284" s="11">
        <f>(AB284/$B284)+(AB284/('Optimal Choice'!$B$24*AW284))</f>
        <v>593.1473544</v>
      </c>
      <c r="R284" s="12">
        <f t="shared" ref="R284:V284" si="294">if(min($K283:$O283)=K283,R283+1,R283)</f>
        <v>141</v>
      </c>
      <c r="S284" s="12">
        <f t="shared" si="294"/>
        <v>48</v>
      </c>
      <c r="T284" s="12">
        <f t="shared" si="294"/>
        <v>42</v>
      </c>
      <c r="U284" s="12">
        <f t="shared" si="294"/>
        <v>31</v>
      </c>
      <c r="V284" s="12">
        <f t="shared" si="294"/>
        <v>21</v>
      </c>
      <c r="X284" s="13">
        <f> 'Optimal Choice'!$B$5*'Optimal Choice'!$B$6^(R284+1)</f>
        <v>59505.40599</v>
      </c>
      <c r="Y284" s="13">
        <f> 'Optimal Choice'!$B$10*'Optimal Choice'!$B$11^(S284+1)</f>
        <v>56538.64913</v>
      </c>
      <c r="Z284" s="13">
        <f> 'Optimal Choice'!$B$15*'Optimal Choice'!$B$16^(T284+1)</f>
        <v>201484.2504</v>
      </c>
      <c r="AA284" s="13">
        <f> 'Optimal Choice'!$B$20*'Optimal Choice'!$B$21^(U284+1)</f>
        <v>431542.8585</v>
      </c>
      <c r="AB284" s="13">
        <f> 'Optimal Choice'!$B$25*'Optimal Choice'!$B$26^(V284+1)</f>
        <v>1254560.147</v>
      </c>
      <c r="AE284" s="12">
        <f t="shared" si="4"/>
        <v>60</v>
      </c>
      <c r="AF284" s="12">
        <f t="shared" si="5"/>
        <v>5</v>
      </c>
      <c r="AG284" s="12">
        <f t="shared" si="6"/>
        <v>4</v>
      </c>
      <c r="AH284" s="12">
        <f t="shared" si="7"/>
        <v>2</v>
      </c>
      <c r="AI284" s="14">
        <f t="shared" si="8"/>
        <v>1</v>
      </c>
      <c r="AL284" s="14">
        <f>R284*'Optimal Choice'!$B$4*AE284</f>
        <v>14128.2</v>
      </c>
      <c r="AM284" s="14">
        <f>S284*'Optimal Choice'!$B$9*AF284</f>
        <v>4800</v>
      </c>
      <c r="AN284" s="14">
        <f>T284*'Optimal Choice'!$B$14*AG284</f>
        <v>15120</v>
      </c>
      <c r="AO284" s="14">
        <f>U284*'Optimal Choice'!$B$19*AH284</f>
        <v>22320</v>
      </c>
      <c r="AP284" s="14">
        <f>V284*'Optimal Choice'!$B$24*AI284</f>
        <v>45360</v>
      </c>
      <c r="AS284" s="12">
        <f t="shared" si="9"/>
        <v>60</v>
      </c>
      <c r="AT284" s="12">
        <f t="shared" si="10"/>
        <v>5</v>
      </c>
      <c r="AU284" s="12">
        <f t="shared" si="11"/>
        <v>4</v>
      </c>
      <c r="AV284" s="12">
        <f t="shared" si="12"/>
        <v>2</v>
      </c>
      <c r="AW284" s="14">
        <f t="shared" si="13"/>
        <v>1</v>
      </c>
      <c r="AY284" s="11">
        <f t="shared" si="14"/>
        <v>0.009120276722</v>
      </c>
    </row>
    <row r="285" ht="15.75" customHeight="1">
      <c r="A285" s="15">
        <f t="shared" si="2"/>
        <v>7.106354754</v>
      </c>
      <c r="B285" s="7">
        <f>(sum(AL285:AP285))*'Optimal Choice'!$B$28</f>
        <v>102088.2</v>
      </c>
      <c r="C285" s="11"/>
      <c r="D285" s="12"/>
      <c r="E285" s="12"/>
      <c r="F285" s="11"/>
      <c r="G285" s="11"/>
      <c r="H285" s="11"/>
      <c r="I285" s="11"/>
      <c r="J285" s="11"/>
      <c r="K285" s="11">
        <f>(X285/$B285)+(X285/('Optimal Choice'!$B$4*AS285))</f>
        <v>594.4492096</v>
      </c>
      <c r="L285" s="11">
        <f>(Y285/$B285)+(Y285/('Optimal Choice'!$B$9*AT285))</f>
        <v>565.9403129</v>
      </c>
      <c r="M285" s="11">
        <f>(Z285/$B285)+(Z285/('Optimal Choice'!$B$14*AU285))</f>
        <v>640.2833968</v>
      </c>
      <c r="N285" s="11">
        <f>(AA285/$B285)+(AA285/('Optimal Choice'!$B$19*AV285))</f>
        <v>603.5922383</v>
      </c>
      <c r="O285" s="11">
        <f>(AB285/$B285)+(AB285/('Optimal Choice'!$B$24*AW285))</f>
        <v>593.1038656</v>
      </c>
      <c r="R285" s="12">
        <f t="shared" ref="R285:V285" si="295">if(min($K284:$O284)=K284,R284+1,R284)</f>
        <v>141</v>
      </c>
      <c r="S285" s="12">
        <f t="shared" si="295"/>
        <v>48</v>
      </c>
      <c r="T285" s="12">
        <f t="shared" si="295"/>
        <v>43</v>
      </c>
      <c r="U285" s="12">
        <f t="shared" si="295"/>
        <v>31</v>
      </c>
      <c r="V285" s="12">
        <f t="shared" si="295"/>
        <v>21</v>
      </c>
      <c r="X285" s="13">
        <f> 'Optimal Choice'!$B$5*'Optimal Choice'!$B$6^(R285+1)</f>
        <v>59505.40599</v>
      </c>
      <c r="Y285" s="13">
        <f> 'Optimal Choice'!$B$10*'Optimal Choice'!$B$11^(S285+1)</f>
        <v>56538.64913</v>
      </c>
      <c r="Z285" s="13">
        <f> 'Optimal Choice'!$B$15*'Optimal Choice'!$B$16^(T285+1)</f>
        <v>229692.0454</v>
      </c>
      <c r="AA285" s="13">
        <f> 'Optimal Choice'!$B$20*'Optimal Choice'!$B$21^(U285+1)</f>
        <v>431542.8585</v>
      </c>
      <c r="AB285" s="13">
        <f> 'Optimal Choice'!$B$25*'Optimal Choice'!$B$26^(V285+1)</f>
        <v>1254560.147</v>
      </c>
      <c r="AE285" s="12">
        <f t="shared" si="4"/>
        <v>60</v>
      </c>
      <c r="AF285" s="12">
        <f t="shared" si="5"/>
        <v>5</v>
      </c>
      <c r="AG285" s="12">
        <f t="shared" si="6"/>
        <v>4</v>
      </c>
      <c r="AH285" s="12">
        <f t="shared" si="7"/>
        <v>2</v>
      </c>
      <c r="AI285" s="14">
        <f t="shared" si="8"/>
        <v>1</v>
      </c>
      <c r="AL285" s="14">
        <f>R285*'Optimal Choice'!$B$4*AE285</f>
        <v>14128.2</v>
      </c>
      <c r="AM285" s="14">
        <f>S285*'Optimal Choice'!$B$9*AF285</f>
        <v>4800</v>
      </c>
      <c r="AN285" s="14">
        <f>T285*'Optimal Choice'!$B$14*AG285</f>
        <v>15480</v>
      </c>
      <c r="AO285" s="14">
        <f>U285*'Optimal Choice'!$B$19*AH285</f>
        <v>22320</v>
      </c>
      <c r="AP285" s="14">
        <f>V285*'Optimal Choice'!$B$24*AI285</f>
        <v>45360</v>
      </c>
      <c r="AS285" s="12">
        <f t="shared" si="9"/>
        <v>60</v>
      </c>
      <c r="AT285" s="12">
        <f t="shared" si="10"/>
        <v>5</v>
      </c>
      <c r="AU285" s="12">
        <f t="shared" si="11"/>
        <v>4</v>
      </c>
      <c r="AV285" s="12">
        <f t="shared" si="12"/>
        <v>2</v>
      </c>
      <c r="AW285" s="14">
        <f t="shared" si="13"/>
        <v>1</v>
      </c>
      <c r="AY285" s="11">
        <f t="shared" si="14"/>
        <v>0.03301022568</v>
      </c>
    </row>
    <row r="286" ht="15.75" customHeight="1">
      <c r="A286" s="15">
        <f t="shared" si="2"/>
        <v>7.115585114</v>
      </c>
      <c r="B286" s="7">
        <f>(sum(AL286:AP286))*'Optimal Choice'!$B$28</f>
        <v>102188.2</v>
      </c>
      <c r="C286" s="11"/>
      <c r="D286" s="12"/>
      <c r="E286" s="12"/>
      <c r="F286" s="11"/>
      <c r="G286" s="11"/>
      <c r="H286" s="11"/>
      <c r="I286" s="11"/>
      <c r="J286" s="11"/>
      <c r="K286" s="11">
        <f>(X286/$B286)+(X286/('Optimal Choice'!$B$4*AS286))</f>
        <v>594.4486392</v>
      </c>
      <c r="L286" s="11">
        <f>(Y286/$B286)+(Y286/('Optimal Choice'!$B$9*AT286))</f>
        <v>65.65571807</v>
      </c>
      <c r="M286" s="11">
        <f>(Z286/$B286)+(Z286/('Optimal Choice'!$B$14*AU286))</f>
        <v>640.2811951</v>
      </c>
      <c r="N286" s="11">
        <f>(AA286/$B286)+(AA286/('Optimal Choice'!$B$19*AV286))</f>
        <v>603.5881017</v>
      </c>
      <c r="O286" s="11">
        <f>(AB286/$B286)+(AB286/('Optimal Choice'!$B$24*AW286))</f>
        <v>593.0918398</v>
      </c>
      <c r="R286" s="12">
        <f t="shared" ref="R286:V286" si="296">if(min($K285:$O285)=K285,R285+1,R285)</f>
        <v>141</v>
      </c>
      <c r="S286" s="12">
        <f t="shared" si="296"/>
        <v>49</v>
      </c>
      <c r="T286" s="12">
        <f t="shared" si="296"/>
        <v>43</v>
      </c>
      <c r="U286" s="12">
        <f t="shared" si="296"/>
        <v>31</v>
      </c>
      <c r="V286" s="12">
        <f t="shared" si="296"/>
        <v>21</v>
      </c>
      <c r="X286" s="13">
        <f> 'Optimal Choice'!$B$5*'Optimal Choice'!$B$6^(R286+1)</f>
        <v>59505.40599</v>
      </c>
      <c r="Y286" s="13">
        <f> 'Optimal Choice'!$B$10*'Optimal Choice'!$B$11^(S286+1)</f>
        <v>65019.4465</v>
      </c>
      <c r="Z286" s="13">
        <f> 'Optimal Choice'!$B$15*'Optimal Choice'!$B$16^(T286+1)</f>
        <v>229692.0454</v>
      </c>
      <c r="AA286" s="13">
        <f> 'Optimal Choice'!$B$20*'Optimal Choice'!$B$21^(U286+1)</f>
        <v>431542.8585</v>
      </c>
      <c r="AB286" s="13">
        <f> 'Optimal Choice'!$B$25*'Optimal Choice'!$B$26^(V286+1)</f>
        <v>1254560.147</v>
      </c>
      <c r="AE286" s="12">
        <f t="shared" si="4"/>
        <v>60</v>
      </c>
      <c r="AF286" s="12">
        <f t="shared" si="5"/>
        <v>5</v>
      </c>
      <c r="AG286" s="12">
        <f t="shared" si="6"/>
        <v>4</v>
      </c>
      <c r="AH286" s="12">
        <f t="shared" si="7"/>
        <v>2</v>
      </c>
      <c r="AI286" s="14">
        <f t="shared" si="8"/>
        <v>1</v>
      </c>
      <c r="AL286" s="14">
        <f>R286*'Optimal Choice'!$B$4*AE286</f>
        <v>14128.2</v>
      </c>
      <c r="AM286" s="14">
        <f>S286*'Optimal Choice'!$B$9*AF286</f>
        <v>4900</v>
      </c>
      <c r="AN286" s="14">
        <f>T286*'Optimal Choice'!$B$14*AG286</f>
        <v>15480</v>
      </c>
      <c r="AO286" s="14">
        <f>U286*'Optimal Choice'!$B$19*AH286</f>
        <v>22320</v>
      </c>
      <c r="AP286" s="14">
        <f>V286*'Optimal Choice'!$B$24*AI286</f>
        <v>45360</v>
      </c>
      <c r="AS286" s="12">
        <f t="shared" si="9"/>
        <v>60</v>
      </c>
      <c r="AT286" s="12">
        <f t="shared" si="10"/>
        <v>50</v>
      </c>
      <c r="AU286" s="12">
        <f t="shared" si="11"/>
        <v>4</v>
      </c>
      <c r="AV286" s="12">
        <f t="shared" si="12"/>
        <v>2</v>
      </c>
      <c r="AW286" s="14">
        <f t="shared" si="13"/>
        <v>1</v>
      </c>
      <c r="AY286" s="11">
        <f t="shared" si="14"/>
        <v>0.009230359814</v>
      </c>
    </row>
    <row r="287" ht="15.75" customHeight="1">
      <c r="A287" s="15">
        <f t="shared" si="2"/>
        <v>7.12618964</v>
      </c>
      <c r="B287" s="7">
        <f>(sum(AL287:AP287))*'Optimal Choice'!$B$28</f>
        <v>147288.2</v>
      </c>
      <c r="C287" s="11"/>
      <c r="D287" s="12"/>
      <c r="E287" s="12"/>
      <c r="F287" s="11"/>
      <c r="G287" s="11"/>
      <c r="H287" s="11"/>
      <c r="I287" s="11"/>
      <c r="J287" s="11"/>
      <c r="K287" s="11">
        <f>(X287/$B287)+(X287/('Optimal Choice'!$B$4*AS287))</f>
        <v>594.2703339</v>
      </c>
      <c r="L287" s="11">
        <f>(Y287/$B287)+(Y287/('Optimal Choice'!$B$9*AT287))</f>
        <v>75.28002371</v>
      </c>
      <c r="M287" s="11">
        <f>(Z287/$B287)+(Z287/('Optimal Choice'!$B$14*AU287))</f>
        <v>639.5929331</v>
      </c>
      <c r="N287" s="11">
        <f>(AA287/$B287)+(AA287/('Optimal Choice'!$B$19*AV287))</f>
        <v>602.2950027</v>
      </c>
      <c r="O287" s="11">
        <f>(AB287/$B287)+(AB287/('Optimal Choice'!$B$24*AW287))</f>
        <v>589.3326061</v>
      </c>
      <c r="R287" s="12">
        <f t="shared" ref="R287:V287" si="297">if(min($K286:$O286)=K286,R286+1,R286)</f>
        <v>141</v>
      </c>
      <c r="S287" s="12">
        <f t="shared" si="297"/>
        <v>50</v>
      </c>
      <c r="T287" s="12">
        <f t="shared" si="297"/>
        <v>43</v>
      </c>
      <c r="U287" s="12">
        <f t="shared" si="297"/>
        <v>31</v>
      </c>
      <c r="V287" s="12">
        <f t="shared" si="297"/>
        <v>21</v>
      </c>
      <c r="X287" s="13">
        <f> 'Optimal Choice'!$B$5*'Optimal Choice'!$B$6^(R287+1)</f>
        <v>59505.40599</v>
      </c>
      <c r="Y287" s="13">
        <f> 'Optimal Choice'!$B$10*'Optimal Choice'!$B$11^(S287+1)</f>
        <v>74772.36347</v>
      </c>
      <c r="Z287" s="13">
        <f> 'Optimal Choice'!$B$15*'Optimal Choice'!$B$16^(T287+1)</f>
        <v>229692.0454</v>
      </c>
      <c r="AA287" s="13">
        <f> 'Optimal Choice'!$B$20*'Optimal Choice'!$B$21^(U287+1)</f>
        <v>431542.8585</v>
      </c>
      <c r="AB287" s="13">
        <f> 'Optimal Choice'!$B$25*'Optimal Choice'!$B$26^(V287+1)</f>
        <v>1254560.147</v>
      </c>
      <c r="AE287" s="12">
        <f t="shared" si="4"/>
        <v>60</v>
      </c>
      <c r="AF287" s="12">
        <f t="shared" si="5"/>
        <v>50</v>
      </c>
      <c r="AG287" s="12">
        <f t="shared" si="6"/>
        <v>4</v>
      </c>
      <c r="AH287" s="12">
        <f t="shared" si="7"/>
        <v>2</v>
      </c>
      <c r="AI287" s="14">
        <f t="shared" si="8"/>
        <v>1</v>
      </c>
      <c r="AL287" s="14">
        <f>R287*'Optimal Choice'!$B$4*AE287</f>
        <v>14128.2</v>
      </c>
      <c r="AM287" s="14">
        <f>S287*'Optimal Choice'!$B$9*AF287</f>
        <v>50000</v>
      </c>
      <c r="AN287" s="14">
        <f>T287*'Optimal Choice'!$B$14*AG287</f>
        <v>15480</v>
      </c>
      <c r="AO287" s="14">
        <f>U287*'Optimal Choice'!$B$19*AH287</f>
        <v>22320</v>
      </c>
      <c r="AP287" s="14">
        <f>V287*'Optimal Choice'!$B$24*AI287</f>
        <v>45360</v>
      </c>
      <c r="AS287" s="12">
        <f t="shared" si="9"/>
        <v>60</v>
      </c>
      <c r="AT287" s="12">
        <f t="shared" si="10"/>
        <v>50</v>
      </c>
      <c r="AU287" s="12">
        <f t="shared" si="11"/>
        <v>4</v>
      </c>
      <c r="AV287" s="12">
        <f t="shared" si="12"/>
        <v>2</v>
      </c>
      <c r="AW287" s="14">
        <f t="shared" si="13"/>
        <v>1</v>
      </c>
      <c r="AY287" s="11">
        <f t="shared" si="14"/>
        <v>0.01060452617</v>
      </c>
    </row>
    <row r="288" ht="15.75" customHeight="1">
      <c r="A288" s="15">
        <f t="shared" si="2"/>
        <v>7.134650644</v>
      </c>
      <c r="B288" s="7">
        <f>(sum(AL288:AP288))*'Optimal Choice'!$B$28</f>
        <v>148288.2</v>
      </c>
      <c r="C288" s="11"/>
      <c r="D288" s="12"/>
      <c r="E288" s="12"/>
      <c r="F288" s="11"/>
      <c r="G288" s="11"/>
      <c r="H288" s="11"/>
      <c r="I288" s="11"/>
      <c r="J288" s="11"/>
      <c r="K288" s="11">
        <f>(X288/$B288)+(X288/('Optimal Choice'!$B$4*AS288))</f>
        <v>594.2676094</v>
      </c>
      <c r="L288" s="11">
        <f>(Y288/$B288)+(Y288/('Optimal Choice'!$B$9*AT288))</f>
        <v>86.56809028</v>
      </c>
      <c r="M288" s="11">
        <f>(Z288/$B288)+(Z288/('Optimal Choice'!$B$14*AU288))</f>
        <v>639.5824166</v>
      </c>
      <c r="N288" s="11">
        <f>(AA288/$B288)+(AA288/('Optimal Choice'!$B$19*AV288))</f>
        <v>602.2752444</v>
      </c>
      <c r="O288" s="11">
        <f>(AB288/$B288)+(AB288/('Optimal Choice'!$B$24*AW288))</f>
        <v>589.2751658</v>
      </c>
      <c r="R288" s="12">
        <f t="shared" ref="R288:V288" si="298">if(min($K287:$O287)=K287,R287+1,R287)</f>
        <v>141</v>
      </c>
      <c r="S288" s="12">
        <f t="shared" si="298"/>
        <v>51</v>
      </c>
      <c r="T288" s="12">
        <f t="shared" si="298"/>
        <v>43</v>
      </c>
      <c r="U288" s="12">
        <f t="shared" si="298"/>
        <v>31</v>
      </c>
      <c r="V288" s="12">
        <f t="shared" si="298"/>
        <v>21</v>
      </c>
      <c r="X288" s="13">
        <f> 'Optimal Choice'!$B$5*'Optimal Choice'!$B$6^(R288+1)</f>
        <v>59505.40599</v>
      </c>
      <c r="Y288" s="13">
        <f> 'Optimal Choice'!$B$10*'Optimal Choice'!$B$11^(S288+1)</f>
        <v>85988.21799</v>
      </c>
      <c r="Z288" s="13">
        <f> 'Optimal Choice'!$B$15*'Optimal Choice'!$B$16^(T288+1)</f>
        <v>229692.0454</v>
      </c>
      <c r="AA288" s="13">
        <f> 'Optimal Choice'!$B$20*'Optimal Choice'!$B$21^(U288+1)</f>
        <v>431542.8585</v>
      </c>
      <c r="AB288" s="13">
        <f> 'Optimal Choice'!$B$25*'Optimal Choice'!$B$26^(V288+1)</f>
        <v>1254560.147</v>
      </c>
      <c r="AE288" s="12">
        <f t="shared" si="4"/>
        <v>60</v>
      </c>
      <c r="AF288" s="12">
        <f t="shared" si="5"/>
        <v>50</v>
      </c>
      <c r="AG288" s="12">
        <f t="shared" si="6"/>
        <v>4</v>
      </c>
      <c r="AH288" s="12">
        <f t="shared" si="7"/>
        <v>2</v>
      </c>
      <c r="AI288" s="14">
        <f t="shared" si="8"/>
        <v>1</v>
      </c>
      <c r="AL288" s="14">
        <f>R288*'Optimal Choice'!$B$4*AE288</f>
        <v>14128.2</v>
      </c>
      <c r="AM288" s="14">
        <f>S288*'Optimal Choice'!$B$9*AF288</f>
        <v>51000</v>
      </c>
      <c r="AN288" s="14">
        <f>T288*'Optimal Choice'!$B$14*AG288</f>
        <v>15480</v>
      </c>
      <c r="AO288" s="14">
        <f>U288*'Optimal Choice'!$B$19*AH288</f>
        <v>22320</v>
      </c>
      <c r="AP288" s="14">
        <f>V288*'Optimal Choice'!$B$24*AI288</f>
        <v>45360</v>
      </c>
      <c r="AS288" s="12">
        <f t="shared" si="9"/>
        <v>60</v>
      </c>
      <c r="AT288" s="12">
        <f t="shared" si="10"/>
        <v>50</v>
      </c>
      <c r="AU288" s="12">
        <f t="shared" si="11"/>
        <v>4</v>
      </c>
      <c r="AV288" s="12">
        <f t="shared" si="12"/>
        <v>2</v>
      </c>
      <c r="AW288" s="14">
        <f t="shared" si="13"/>
        <v>1</v>
      </c>
      <c r="AY288" s="11">
        <f t="shared" si="14"/>
        <v>0.008461004057</v>
      </c>
    </row>
    <row r="289" ht="15.75" customHeight="1">
      <c r="A289" s="15">
        <f t="shared" si="2"/>
        <v>7.144315183</v>
      </c>
      <c r="B289" s="7">
        <f>(sum(AL289:AP289))*'Optimal Choice'!$B$28</f>
        <v>149288.2</v>
      </c>
      <c r="C289" s="11"/>
      <c r="D289" s="12"/>
      <c r="E289" s="12"/>
      <c r="F289" s="11"/>
      <c r="G289" s="11"/>
      <c r="H289" s="11"/>
      <c r="I289" s="11"/>
      <c r="J289" s="11"/>
      <c r="K289" s="11">
        <f>(X289/$B289)+(X289/('Optimal Choice'!$B$4*AS289))</f>
        <v>594.2649214</v>
      </c>
      <c r="L289" s="11">
        <f>(Y289/$B289)+(Y289/('Optimal Choice'!$B$9*AT289))</f>
        <v>99.54883694</v>
      </c>
      <c r="M289" s="11">
        <f>(Z289/$B289)+(Z289/('Optimal Choice'!$B$14*AU289))</f>
        <v>639.572041</v>
      </c>
      <c r="N289" s="11">
        <f>(AA289/$B289)+(AA289/('Optimal Choice'!$B$19*AV289))</f>
        <v>602.2557508</v>
      </c>
      <c r="O289" s="11">
        <f>(AB289/$B289)+(AB289/('Optimal Choice'!$B$24*AW289))</f>
        <v>589.2184949</v>
      </c>
      <c r="R289" s="12">
        <f t="shared" ref="R289:V289" si="299">if(min($K288:$O288)=K288,R288+1,R288)</f>
        <v>141</v>
      </c>
      <c r="S289" s="12">
        <f t="shared" si="299"/>
        <v>52</v>
      </c>
      <c r="T289" s="12">
        <f t="shared" si="299"/>
        <v>43</v>
      </c>
      <c r="U289" s="12">
        <f t="shared" si="299"/>
        <v>31</v>
      </c>
      <c r="V289" s="12">
        <f t="shared" si="299"/>
        <v>21</v>
      </c>
      <c r="X289" s="13">
        <f> 'Optimal Choice'!$B$5*'Optimal Choice'!$B$6^(R289+1)</f>
        <v>59505.40599</v>
      </c>
      <c r="Y289" s="13">
        <f> 'Optimal Choice'!$B$10*'Optimal Choice'!$B$11^(S289+1)</f>
        <v>98886.45069</v>
      </c>
      <c r="Z289" s="13">
        <f> 'Optimal Choice'!$B$15*'Optimal Choice'!$B$16^(T289+1)</f>
        <v>229692.0454</v>
      </c>
      <c r="AA289" s="13">
        <f> 'Optimal Choice'!$B$20*'Optimal Choice'!$B$21^(U289+1)</f>
        <v>431542.8585</v>
      </c>
      <c r="AB289" s="13">
        <f> 'Optimal Choice'!$B$25*'Optimal Choice'!$B$26^(V289+1)</f>
        <v>1254560.147</v>
      </c>
      <c r="AE289" s="12">
        <f t="shared" si="4"/>
        <v>60</v>
      </c>
      <c r="AF289" s="12">
        <f t="shared" si="5"/>
        <v>50</v>
      </c>
      <c r="AG289" s="12">
        <f t="shared" si="6"/>
        <v>4</v>
      </c>
      <c r="AH289" s="12">
        <f t="shared" si="7"/>
        <v>2</v>
      </c>
      <c r="AI289" s="14">
        <f t="shared" si="8"/>
        <v>1</v>
      </c>
      <c r="AL289" s="14">
        <f>R289*'Optimal Choice'!$B$4*AE289</f>
        <v>14128.2</v>
      </c>
      <c r="AM289" s="14">
        <f>S289*'Optimal Choice'!$B$9*AF289</f>
        <v>52000</v>
      </c>
      <c r="AN289" s="14">
        <f>T289*'Optimal Choice'!$B$14*AG289</f>
        <v>15480</v>
      </c>
      <c r="AO289" s="14">
        <f>U289*'Optimal Choice'!$B$19*AH289</f>
        <v>22320</v>
      </c>
      <c r="AP289" s="14">
        <f>V289*'Optimal Choice'!$B$24*AI289</f>
        <v>45360</v>
      </c>
      <c r="AS289" s="12">
        <f t="shared" si="9"/>
        <v>60</v>
      </c>
      <c r="AT289" s="12">
        <f t="shared" si="10"/>
        <v>50</v>
      </c>
      <c r="AU289" s="12">
        <f t="shared" si="11"/>
        <v>4</v>
      </c>
      <c r="AV289" s="12">
        <f t="shared" si="12"/>
        <v>2</v>
      </c>
      <c r="AW289" s="14">
        <f t="shared" si="13"/>
        <v>1</v>
      </c>
      <c r="AY289" s="11">
        <f t="shared" si="14"/>
        <v>0.009664538153</v>
      </c>
    </row>
    <row r="290" ht="15.75" customHeight="1">
      <c r="A290" s="15">
        <f t="shared" si="2"/>
        <v>7.155354953</v>
      </c>
      <c r="B290" s="7">
        <f>(sum(AL290:AP290))*'Optimal Choice'!$B$28</f>
        <v>150288.2</v>
      </c>
      <c r="C290" s="11"/>
      <c r="D290" s="12"/>
      <c r="E290" s="12"/>
      <c r="F290" s="11"/>
      <c r="G290" s="11"/>
      <c r="H290" s="11"/>
      <c r="I290" s="11"/>
      <c r="J290" s="11"/>
      <c r="K290" s="11">
        <f>(X290/$B290)+(X290/('Optimal Choice'!$B$4*AS290))</f>
        <v>594.2622692</v>
      </c>
      <c r="L290" s="11">
        <f>(Y290/$B290)+(Y290/('Optimal Choice'!$B$9*AT290))</f>
        <v>114.4760939</v>
      </c>
      <c r="M290" s="11">
        <f>(Z290/$B290)+(Z290/('Optimal Choice'!$B$14*AU290))</f>
        <v>639.5618034</v>
      </c>
      <c r="N290" s="11">
        <f>(AA290/$B290)+(AA290/('Optimal Choice'!$B$19*AV290))</f>
        <v>602.2365166</v>
      </c>
      <c r="O290" s="11">
        <f>(AB290/$B290)+(AB290/('Optimal Choice'!$B$24*AW290))</f>
        <v>589.1625783</v>
      </c>
      <c r="R290" s="12">
        <f t="shared" ref="R290:V290" si="300">if(min($K289:$O289)=K289,R289+1,R289)</f>
        <v>141</v>
      </c>
      <c r="S290" s="12">
        <f t="shared" si="300"/>
        <v>53</v>
      </c>
      <c r="T290" s="12">
        <f t="shared" si="300"/>
        <v>43</v>
      </c>
      <c r="U290" s="12">
        <f t="shared" si="300"/>
        <v>31</v>
      </c>
      <c r="V290" s="12">
        <f t="shared" si="300"/>
        <v>21</v>
      </c>
      <c r="X290" s="13">
        <f> 'Optimal Choice'!$B$5*'Optimal Choice'!$B$6^(R290+1)</f>
        <v>59505.40599</v>
      </c>
      <c r="Y290" s="13">
        <f> 'Optimal Choice'!$B$10*'Optimal Choice'!$B$11^(S290+1)</f>
        <v>113719.4183</v>
      </c>
      <c r="Z290" s="13">
        <f> 'Optimal Choice'!$B$15*'Optimal Choice'!$B$16^(T290+1)</f>
        <v>229692.0454</v>
      </c>
      <c r="AA290" s="13">
        <f> 'Optimal Choice'!$B$20*'Optimal Choice'!$B$21^(U290+1)</f>
        <v>431542.8585</v>
      </c>
      <c r="AB290" s="13">
        <f> 'Optimal Choice'!$B$25*'Optimal Choice'!$B$26^(V290+1)</f>
        <v>1254560.147</v>
      </c>
      <c r="AE290" s="12">
        <f t="shared" si="4"/>
        <v>60</v>
      </c>
      <c r="AF290" s="12">
        <f t="shared" si="5"/>
        <v>50</v>
      </c>
      <c r="AG290" s="12">
        <f t="shared" si="6"/>
        <v>4</v>
      </c>
      <c r="AH290" s="12">
        <f t="shared" si="7"/>
        <v>2</v>
      </c>
      <c r="AI290" s="14">
        <f t="shared" si="8"/>
        <v>1</v>
      </c>
      <c r="AL290" s="14">
        <f>R290*'Optimal Choice'!$B$4*AE290</f>
        <v>14128.2</v>
      </c>
      <c r="AM290" s="14">
        <f>S290*'Optimal Choice'!$B$9*AF290</f>
        <v>53000</v>
      </c>
      <c r="AN290" s="14">
        <f>T290*'Optimal Choice'!$B$14*AG290</f>
        <v>15480</v>
      </c>
      <c r="AO290" s="14">
        <f>U290*'Optimal Choice'!$B$19*AH290</f>
        <v>22320</v>
      </c>
      <c r="AP290" s="14">
        <f>V290*'Optimal Choice'!$B$24*AI290</f>
        <v>45360</v>
      </c>
      <c r="AS290" s="12">
        <f t="shared" si="9"/>
        <v>60</v>
      </c>
      <c r="AT290" s="12">
        <f t="shared" si="10"/>
        <v>50</v>
      </c>
      <c r="AU290" s="12">
        <f t="shared" si="11"/>
        <v>4</v>
      </c>
      <c r="AV290" s="12">
        <f t="shared" si="12"/>
        <v>2</v>
      </c>
      <c r="AW290" s="14">
        <f t="shared" si="13"/>
        <v>1</v>
      </c>
      <c r="AY290" s="11">
        <f t="shared" si="14"/>
        <v>0.0110397708</v>
      </c>
    </row>
    <row r="291" ht="15.75" customHeight="1">
      <c r="A291" s="15">
        <f t="shared" si="2"/>
        <v>7.167966214</v>
      </c>
      <c r="B291" s="7">
        <f>(sum(AL291:AP291))*'Optimal Choice'!$B$28</f>
        <v>151288.2</v>
      </c>
      <c r="C291" s="11"/>
      <c r="D291" s="12"/>
      <c r="E291" s="12"/>
      <c r="F291" s="11"/>
      <c r="G291" s="11"/>
      <c r="H291" s="11"/>
      <c r="I291" s="11"/>
      <c r="J291" s="11"/>
      <c r="K291" s="11">
        <f>(X291/$B291)+(X291/('Optimal Choice'!$B$4*AS291))</f>
        <v>594.2596521</v>
      </c>
      <c r="L291" s="11">
        <f>(Y291/$B291)+(Y291/('Optimal Choice'!$B$9*AT291))</f>
        <v>131.6417562</v>
      </c>
      <c r="M291" s="11">
        <f>(Z291/$B291)+(Z291/('Optimal Choice'!$B$14*AU291))</f>
        <v>639.5517012</v>
      </c>
      <c r="N291" s="11">
        <f>(AA291/$B291)+(AA291/('Optimal Choice'!$B$19*AV291))</f>
        <v>602.2175367</v>
      </c>
      <c r="O291" s="11">
        <f>(AB291/$B291)+(AB291/('Optimal Choice'!$B$24*AW291))</f>
        <v>589.1074009</v>
      </c>
      <c r="R291" s="12">
        <f t="shared" ref="R291:V291" si="301">if(min($K290:$O290)=K290,R290+1,R290)</f>
        <v>141</v>
      </c>
      <c r="S291" s="12">
        <f t="shared" si="301"/>
        <v>54</v>
      </c>
      <c r="T291" s="12">
        <f t="shared" si="301"/>
        <v>43</v>
      </c>
      <c r="U291" s="12">
        <f t="shared" si="301"/>
        <v>31</v>
      </c>
      <c r="V291" s="12">
        <f t="shared" si="301"/>
        <v>21</v>
      </c>
      <c r="X291" s="13">
        <f> 'Optimal Choice'!$B$5*'Optimal Choice'!$B$6^(R291+1)</f>
        <v>59505.40599</v>
      </c>
      <c r="Y291" s="13">
        <f> 'Optimal Choice'!$B$10*'Optimal Choice'!$B$11^(S291+1)</f>
        <v>130777.331</v>
      </c>
      <c r="Z291" s="13">
        <f> 'Optimal Choice'!$B$15*'Optimal Choice'!$B$16^(T291+1)</f>
        <v>229692.0454</v>
      </c>
      <c r="AA291" s="13">
        <f> 'Optimal Choice'!$B$20*'Optimal Choice'!$B$21^(U291+1)</f>
        <v>431542.8585</v>
      </c>
      <c r="AB291" s="13">
        <f> 'Optimal Choice'!$B$25*'Optimal Choice'!$B$26^(V291+1)</f>
        <v>1254560.147</v>
      </c>
      <c r="AE291" s="12">
        <f t="shared" si="4"/>
        <v>60</v>
      </c>
      <c r="AF291" s="12">
        <f t="shared" si="5"/>
        <v>50</v>
      </c>
      <c r="AG291" s="12">
        <f t="shared" si="6"/>
        <v>4</v>
      </c>
      <c r="AH291" s="12">
        <f t="shared" si="7"/>
        <v>2</v>
      </c>
      <c r="AI291" s="14">
        <f t="shared" si="8"/>
        <v>1</v>
      </c>
      <c r="AL291" s="14">
        <f>R291*'Optimal Choice'!$B$4*AE291</f>
        <v>14128.2</v>
      </c>
      <c r="AM291" s="14">
        <f>S291*'Optimal Choice'!$B$9*AF291</f>
        <v>54000</v>
      </c>
      <c r="AN291" s="14">
        <f>T291*'Optimal Choice'!$B$14*AG291</f>
        <v>15480</v>
      </c>
      <c r="AO291" s="14">
        <f>U291*'Optimal Choice'!$B$19*AH291</f>
        <v>22320</v>
      </c>
      <c r="AP291" s="14">
        <f>V291*'Optimal Choice'!$B$24*AI291</f>
        <v>45360</v>
      </c>
      <c r="AS291" s="12">
        <f t="shared" si="9"/>
        <v>60</v>
      </c>
      <c r="AT291" s="12">
        <f t="shared" si="10"/>
        <v>50</v>
      </c>
      <c r="AU291" s="12">
        <f t="shared" si="11"/>
        <v>4</v>
      </c>
      <c r="AV291" s="12">
        <f t="shared" si="12"/>
        <v>2</v>
      </c>
      <c r="AW291" s="14">
        <f t="shared" si="13"/>
        <v>1</v>
      </c>
      <c r="AY291" s="11">
        <f t="shared" si="14"/>
        <v>0.01261126049</v>
      </c>
    </row>
    <row r="292" ht="15.75" customHeight="1">
      <c r="A292" s="15">
        <f t="shared" si="2"/>
        <v>7.1823733</v>
      </c>
      <c r="B292" s="7">
        <f>(sum(AL292:AP292))*'Optimal Choice'!$B$28</f>
        <v>152288.2</v>
      </c>
      <c r="C292" s="11"/>
      <c r="D292" s="12"/>
      <c r="E292" s="12"/>
      <c r="F292" s="11"/>
      <c r="G292" s="11"/>
      <c r="H292" s="11"/>
      <c r="I292" s="11"/>
      <c r="J292" s="11"/>
      <c r="K292" s="11">
        <f>(X292/$B292)+(X292/('Optimal Choice'!$B$4*AS292))</f>
        <v>594.2570693</v>
      </c>
      <c r="L292" s="11">
        <f>(Y292/$B292)+(Y292/('Optimal Choice'!$B$9*AT292))</f>
        <v>151.381492</v>
      </c>
      <c r="M292" s="11">
        <f>(Z292/$B292)+(Z292/('Optimal Choice'!$B$14*AU292))</f>
        <v>639.5417317</v>
      </c>
      <c r="N292" s="11">
        <f>(AA292/$B292)+(AA292/('Optimal Choice'!$B$19*AV292))</f>
        <v>602.1988061</v>
      </c>
      <c r="O292" s="11">
        <f>(AB292/$B292)+(AB292/('Optimal Choice'!$B$24*AW292))</f>
        <v>589.0529481</v>
      </c>
      <c r="R292" s="12">
        <f t="shared" ref="R292:V292" si="302">if(min($K291:$O291)=K291,R291+1,R291)</f>
        <v>141</v>
      </c>
      <c r="S292" s="12">
        <f t="shared" si="302"/>
        <v>55</v>
      </c>
      <c r="T292" s="12">
        <f t="shared" si="302"/>
        <v>43</v>
      </c>
      <c r="U292" s="12">
        <f t="shared" si="302"/>
        <v>31</v>
      </c>
      <c r="V292" s="12">
        <f t="shared" si="302"/>
        <v>21</v>
      </c>
      <c r="X292" s="13">
        <f> 'Optimal Choice'!$B$5*'Optimal Choice'!$B$6^(R292+1)</f>
        <v>59505.40599</v>
      </c>
      <c r="Y292" s="13">
        <f> 'Optimal Choice'!$B$10*'Optimal Choice'!$B$11^(S292+1)</f>
        <v>150393.9307</v>
      </c>
      <c r="Z292" s="13">
        <f> 'Optimal Choice'!$B$15*'Optimal Choice'!$B$16^(T292+1)</f>
        <v>229692.0454</v>
      </c>
      <c r="AA292" s="13">
        <f> 'Optimal Choice'!$B$20*'Optimal Choice'!$B$21^(U292+1)</f>
        <v>431542.8585</v>
      </c>
      <c r="AB292" s="13">
        <f> 'Optimal Choice'!$B$25*'Optimal Choice'!$B$26^(V292+1)</f>
        <v>1254560.147</v>
      </c>
      <c r="AE292" s="12">
        <f t="shared" si="4"/>
        <v>60</v>
      </c>
      <c r="AF292" s="12">
        <f t="shared" si="5"/>
        <v>50</v>
      </c>
      <c r="AG292" s="12">
        <f t="shared" si="6"/>
        <v>4</v>
      </c>
      <c r="AH292" s="12">
        <f t="shared" si="7"/>
        <v>2</v>
      </c>
      <c r="AI292" s="14">
        <f t="shared" si="8"/>
        <v>1</v>
      </c>
      <c r="AL292" s="14">
        <f>R292*'Optimal Choice'!$B$4*AE292</f>
        <v>14128.2</v>
      </c>
      <c r="AM292" s="14">
        <f>S292*'Optimal Choice'!$B$9*AF292</f>
        <v>55000</v>
      </c>
      <c r="AN292" s="14">
        <f>T292*'Optimal Choice'!$B$14*AG292</f>
        <v>15480</v>
      </c>
      <c r="AO292" s="14">
        <f>U292*'Optimal Choice'!$B$19*AH292</f>
        <v>22320</v>
      </c>
      <c r="AP292" s="14">
        <f>V292*'Optimal Choice'!$B$24*AI292</f>
        <v>45360</v>
      </c>
      <c r="AS292" s="12">
        <f t="shared" si="9"/>
        <v>60</v>
      </c>
      <c r="AT292" s="12">
        <f t="shared" si="10"/>
        <v>50</v>
      </c>
      <c r="AU292" s="12">
        <f t="shared" si="11"/>
        <v>4</v>
      </c>
      <c r="AV292" s="12">
        <f t="shared" si="12"/>
        <v>2</v>
      </c>
      <c r="AW292" s="14">
        <f t="shared" si="13"/>
        <v>1</v>
      </c>
      <c r="AY292" s="11">
        <f t="shared" si="14"/>
        <v>0.0144070865</v>
      </c>
    </row>
    <row r="293" ht="15.75" customHeight="1">
      <c r="A293" s="15">
        <f t="shared" si="2"/>
        <v>7.198832655</v>
      </c>
      <c r="B293" s="7">
        <f>(sum(AL293:AP293))*'Optimal Choice'!$B$28</f>
        <v>153288.2</v>
      </c>
      <c r="C293" s="11"/>
      <c r="D293" s="12"/>
      <c r="E293" s="12"/>
      <c r="F293" s="11"/>
      <c r="G293" s="11"/>
      <c r="H293" s="11"/>
      <c r="I293" s="11"/>
      <c r="J293" s="11"/>
      <c r="K293" s="11">
        <f>(X293/$B293)+(X293/('Optimal Choice'!$B$4*AS293))</f>
        <v>594.2545203</v>
      </c>
      <c r="L293" s="11">
        <f>(Y293/$B293)+(Y293/('Optimal Choice'!$B$9*AT293))</f>
        <v>174.0813069</v>
      </c>
      <c r="M293" s="11">
        <f>(Z293/$B293)+(Z293/('Optimal Choice'!$B$14*AU293))</f>
        <v>639.5318922</v>
      </c>
      <c r="N293" s="11">
        <f>(AA293/$B293)+(AA293/('Optimal Choice'!$B$19*AV293))</f>
        <v>602.1803198</v>
      </c>
      <c r="O293" s="11">
        <f>(AB293/$B293)+(AB293/('Optimal Choice'!$B$24*AW293))</f>
        <v>588.9992057</v>
      </c>
      <c r="R293" s="12">
        <f t="shared" ref="R293:V293" si="303">if(min($K292:$O292)=K292,R292+1,R292)</f>
        <v>141</v>
      </c>
      <c r="S293" s="12">
        <f t="shared" si="303"/>
        <v>56</v>
      </c>
      <c r="T293" s="12">
        <f t="shared" si="303"/>
        <v>43</v>
      </c>
      <c r="U293" s="12">
        <f t="shared" si="303"/>
        <v>31</v>
      </c>
      <c r="V293" s="12">
        <f t="shared" si="303"/>
        <v>21</v>
      </c>
      <c r="X293" s="13">
        <f> 'Optimal Choice'!$B$5*'Optimal Choice'!$B$6^(R293+1)</f>
        <v>59505.40599</v>
      </c>
      <c r="Y293" s="13">
        <f> 'Optimal Choice'!$B$10*'Optimal Choice'!$B$11^(S293+1)</f>
        <v>172953.0203</v>
      </c>
      <c r="Z293" s="13">
        <f> 'Optimal Choice'!$B$15*'Optimal Choice'!$B$16^(T293+1)</f>
        <v>229692.0454</v>
      </c>
      <c r="AA293" s="13">
        <f> 'Optimal Choice'!$B$20*'Optimal Choice'!$B$21^(U293+1)</f>
        <v>431542.8585</v>
      </c>
      <c r="AB293" s="13">
        <f> 'Optimal Choice'!$B$25*'Optimal Choice'!$B$26^(V293+1)</f>
        <v>1254560.147</v>
      </c>
      <c r="AE293" s="12">
        <f t="shared" si="4"/>
        <v>60</v>
      </c>
      <c r="AF293" s="12">
        <f t="shared" si="5"/>
        <v>50</v>
      </c>
      <c r="AG293" s="12">
        <f t="shared" si="6"/>
        <v>4</v>
      </c>
      <c r="AH293" s="12">
        <f t="shared" si="7"/>
        <v>2</v>
      </c>
      <c r="AI293" s="14">
        <f t="shared" si="8"/>
        <v>1</v>
      </c>
      <c r="AL293" s="14">
        <f>R293*'Optimal Choice'!$B$4*AE293</f>
        <v>14128.2</v>
      </c>
      <c r="AM293" s="14">
        <f>S293*'Optimal Choice'!$B$9*AF293</f>
        <v>56000</v>
      </c>
      <c r="AN293" s="14">
        <f>T293*'Optimal Choice'!$B$14*AG293</f>
        <v>15480</v>
      </c>
      <c r="AO293" s="14">
        <f>U293*'Optimal Choice'!$B$19*AH293</f>
        <v>22320</v>
      </c>
      <c r="AP293" s="14">
        <f>V293*'Optimal Choice'!$B$24*AI293</f>
        <v>45360</v>
      </c>
      <c r="AS293" s="12">
        <f t="shared" si="9"/>
        <v>60</v>
      </c>
      <c r="AT293" s="12">
        <f t="shared" si="10"/>
        <v>50</v>
      </c>
      <c r="AU293" s="12">
        <f t="shared" si="11"/>
        <v>4</v>
      </c>
      <c r="AV293" s="12">
        <f t="shared" si="12"/>
        <v>2</v>
      </c>
      <c r="AW293" s="14">
        <f t="shared" si="13"/>
        <v>1</v>
      </c>
      <c r="AY293" s="11">
        <f t="shared" si="14"/>
        <v>0.01645935477</v>
      </c>
    </row>
    <row r="294" ht="15.75" customHeight="1">
      <c r="A294" s="15">
        <f t="shared" si="2"/>
        <v>7.217637432</v>
      </c>
      <c r="B294" s="7">
        <f>(sum(AL294:AP294))*'Optimal Choice'!$B$28</f>
        <v>154288.2</v>
      </c>
      <c r="C294" s="11"/>
      <c r="D294" s="12"/>
      <c r="E294" s="12"/>
      <c r="F294" s="11"/>
      <c r="G294" s="11"/>
      <c r="H294" s="11"/>
      <c r="I294" s="11"/>
      <c r="J294" s="11"/>
      <c r="K294" s="11">
        <f>(X294/$B294)+(X294/('Optimal Choice'!$B$4*AS294))</f>
        <v>594.2520042</v>
      </c>
      <c r="L294" s="11">
        <f>(Y294/$B294)+(Y294/('Optimal Choice'!$B$9*AT294))</f>
        <v>200.1850931</v>
      </c>
      <c r="M294" s="11">
        <f>(Z294/$B294)+(Z294/('Optimal Choice'!$B$14*AU294))</f>
        <v>639.5221803</v>
      </c>
      <c r="N294" s="11">
        <f>(AA294/$B294)+(AA294/('Optimal Choice'!$B$19*AV294))</f>
        <v>602.1620732</v>
      </c>
      <c r="O294" s="11">
        <f>(AB294/$B294)+(AB294/('Optimal Choice'!$B$24*AW294))</f>
        <v>588.9461601</v>
      </c>
      <c r="R294" s="12">
        <f t="shared" ref="R294:V294" si="304">if(min($K293:$O293)=K293,R293+1,R293)</f>
        <v>141</v>
      </c>
      <c r="S294" s="12">
        <f t="shared" si="304"/>
        <v>57</v>
      </c>
      <c r="T294" s="12">
        <f t="shared" si="304"/>
        <v>43</v>
      </c>
      <c r="U294" s="12">
        <f t="shared" si="304"/>
        <v>31</v>
      </c>
      <c r="V294" s="12">
        <f t="shared" si="304"/>
        <v>21</v>
      </c>
      <c r="X294" s="13">
        <f> 'Optimal Choice'!$B$5*'Optimal Choice'!$B$6^(R294+1)</f>
        <v>59505.40599</v>
      </c>
      <c r="Y294" s="13">
        <f> 'Optimal Choice'!$B$10*'Optimal Choice'!$B$11^(S294+1)</f>
        <v>198895.9733</v>
      </c>
      <c r="Z294" s="13">
        <f> 'Optimal Choice'!$B$15*'Optimal Choice'!$B$16^(T294+1)</f>
        <v>229692.0454</v>
      </c>
      <c r="AA294" s="13">
        <f> 'Optimal Choice'!$B$20*'Optimal Choice'!$B$21^(U294+1)</f>
        <v>431542.8585</v>
      </c>
      <c r="AB294" s="13">
        <f> 'Optimal Choice'!$B$25*'Optimal Choice'!$B$26^(V294+1)</f>
        <v>1254560.147</v>
      </c>
      <c r="AE294" s="12">
        <f t="shared" si="4"/>
        <v>60</v>
      </c>
      <c r="AF294" s="12">
        <f t="shared" si="5"/>
        <v>50</v>
      </c>
      <c r="AG294" s="12">
        <f t="shared" si="6"/>
        <v>4</v>
      </c>
      <c r="AH294" s="12">
        <f t="shared" si="7"/>
        <v>2</v>
      </c>
      <c r="AI294" s="14">
        <f t="shared" si="8"/>
        <v>1</v>
      </c>
      <c r="AL294" s="14">
        <f>R294*'Optimal Choice'!$B$4*AE294</f>
        <v>14128.2</v>
      </c>
      <c r="AM294" s="14">
        <f>S294*'Optimal Choice'!$B$9*AF294</f>
        <v>57000</v>
      </c>
      <c r="AN294" s="14">
        <f>T294*'Optimal Choice'!$B$14*AG294</f>
        <v>15480</v>
      </c>
      <c r="AO294" s="14">
        <f>U294*'Optimal Choice'!$B$19*AH294</f>
        <v>22320</v>
      </c>
      <c r="AP294" s="14">
        <f>V294*'Optimal Choice'!$B$24*AI294</f>
        <v>45360</v>
      </c>
      <c r="AS294" s="12">
        <f t="shared" si="9"/>
        <v>60</v>
      </c>
      <c r="AT294" s="12">
        <f t="shared" si="10"/>
        <v>50</v>
      </c>
      <c r="AU294" s="12">
        <f t="shared" si="11"/>
        <v>4</v>
      </c>
      <c r="AV294" s="12">
        <f t="shared" si="12"/>
        <v>2</v>
      </c>
      <c r="AW294" s="14">
        <f t="shared" si="13"/>
        <v>1</v>
      </c>
      <c r="AY294" s="11">
        <f t="shared" si="14"/>
        <v>0.01880477648</v>
      </c>
    </row>
    <row r="295" ht="15.75" customHeight="1">
      <c r="A295" s="15">
        <f t="shared" si="2"/>
        <v>7.239122762</v>
      </c>
      <c r="B295" s="7">
        <f>(sum(AL295:AP295))*'Optimal Choice'!$B$28</f>
        <v>155288.2</v>
      </c>
      <c r="C295" s="11"/>
      <c r="D295" s="12"/>
      <c r="E295" s="12"/>
      <c r="F295" s="11"/>
      <c r="G295" s="11"/>
      <c r="H295" s="11"/>
      <c r="I295" s="11"/>
      <c r="J295" s="11"/>
      <c r="K295" s="11">
        <f>(X295/$B295)+(X295/('Optimal Choice'!$B$4*AS295))</f>
        <v>594.2495206</v>
      </c>
      <c r="L295" s="11">
        <f>(Y295/$B295)+(Y295/('Optimal Choice'!$B$9*AT295))</f>
        <v>230.2033104</v>
      </c>
      <c r="M295" s="11">
        <f>(Z295/$B295)+(Z295/('Optimal Choice'!$B$14*AU295))</f>
        <v>639.5125935</v>
      </c>
      <c r="N295" s="11">
        <f>(AA295/$B295)+(AA295/('Optimal Choice'!$B$19*AV295))</f>
        <v>602.1440616</v>
      </c>
      <c r="O295" s="11">
        <f>(AB295/$B295)+(AB295/('Optimal Choice'!$B$24*AW295))</f>
        <v>588.8937976</v>
      </c>
      <c r="R295" s="12">
        <f t="shared" ref="R295:V295" si="305">if(min($K294:$O294)=K294,R294+1,R294)</f>
        <v>141</v>
      </c>
      <c r="S295" s="12">
        <f t="shared" si="305"/>
        <v>58</v>
      </c>
      <c r="T295" s="12">
        <f t="shared" si="305"/>
        <v>43</v>
      </c>
      <c r="U295" s="12">
        <f t="shared" si="305"/>
        <v>31</v>
      </c>
      <c r="V295" s="12">
        <f t="shared" si="305"/>
        <v>21</v>
      </c>
      <c r="X295" s="13">
        <f> 'Optimal Choice'!$B$5*'Optimal Choice'!$B$6^(R295+1)</f>
        <v>59505.40599</v>
      </c>
      <c r="Y295" s="13">
        <f> 'Optimal Choice'!$B$10*'Optimal Choice'!$B$11^(S295+1)</f>
        <v>228730.3693</v>
      </c>
      <c r="Z295" s="13">
        <f> 'Optimal Choice'!$B$15*'Optimal Choice'!$B$16^(T295+1)</f>
        <v>229692.0454</v>
      </c>
      <c r="AA295" s="13">
        <f> 'Optimal Choice'!$B$20*'Optimal Choice'!$B$21^(U295+1)</f>
        <v>431542.8585</v>
      </c>
      <c r="AB295" s="13">
        <f> 'Optimal Choice'!$B$25*'Optimal Choice'!$B$26^(V295+1)</f>
        <v>1254560.147</v>
      </c>
      <c r="AE295" s="12">
        <f t="shared" si="4"/>
        <v>60</v>
      </c>
      <c r="AF295" s="12">
        <f t="shared" si="5"/>
        <v>50</v>
      </c>
      <c r="AG295" s="12">
        <f t="shared" si="6"/>
        <v>4</v>
      </c>
      <c r="AH295" s="12">
        <f t="shared" si="7"/>
        <v>2</v>
      </c>
      <c r="AI295" s="14">
        <f t="shared" si="8"/>
        <v>1</v>
      </c>
      <c r="AL295" s="14">
        <f>R295*'Optimal Choice'!$B$4*AE295</f>
        <v>14128.2</v>
      </c>
      <c r="AM295" s="14">
        <f>S295*'Optimal Choice'!$B$9*AF295</f>
        <v>58000</v>
      </c>
      <c r="AN295" s="14">
        <f>T295*'Optimal Choice'!$B$14*AG295</f>
        <v>15480</v>
      </c>
      <c r="AO295" s="14">
        <f>U295*'Optimal Choice'!$B$19*AH295</f>
        <v>22320</v>
      </c>
      <c r="AP295" s="14">
        <f>V295*'Optimal Choice'!$B$24*AI295</f>
        <v>45360</v>
      </c>
      <c r="AS295" s="12">
        <f t="shared" si="9"/>
        <v>60</v>
      </c>
      <c r="AT295" s="12">
        <f t="shared" si="10"/>
        <v>50</v>
      </c>
      <c r="AU295" s="12">
        <f t="shared" si="11"/>
        <v>4</v>
      </c>
      <c r="AV295" s="12">
        <f t="shared" si="12"/>
        <v>2</v>
      </c>
      <c r="AW295" s="14">
        <f t="shared" si="13"/>
        <v>1</v>
      </c>
      <c r="AY295" s="11">
        <f t="shared" si="14"/>
        <v>0.02148532998</v>
      </c>
    </row>
    <row r="296" ht="15.75" customHeight="1">
      <c r="A296" s="15">
        <f t="shared" si="2"/>
        <v>7.26367178</v>
      </c>
      <c r="B296" s="7">
        <f>(sum(AL296:AP296))*'Optimal Choice'!$B$28</f>
        <v>156288.2</v>
      </c>
      <c r="C296" s="11"/>
      <c r="D296" s="12"/>
      <c r="E296" s="12"/>
      <c r="F296" s="11"/>
      <c r="G296" s="11"/>
      <c r="H296" s="11"/>
      <c r="I296" s="11"/>
      <c r="J296" s="11"/>
      <c r="K296" s="11">
        <f>(X296/$B296)+(X296/('Optimal Choice'!$B$4*AS296))</f>
        <v>594.2470688</v>
      </c>
      <c r="L296" s="11">
        <f>(Y296/$B296)+(Y296/('Optimal Choice'!$B$9*AT296))</f>
        <v>264.7229688</v>
      </c>
      <c r="M296" s="11">
        <f>(Z296/$B296)+(Z296/('Optimal Choice'!$B$14*AU296))</f>
        <v>639.5031294</v>
      </c>
      <c r="N296" s="11">
        <f>(AA296/$B296)+(AA296/('Optimal Choice'!$B$19*AV296))</f>
        <v>602.1262805</v>
      </c>
      <c r="O296" s="11">
        <f>(AB296/$B296)+(AB296/('Optimal Choice'!$B$24*AW296))</f>
        <v>588.8421051</v>
      </c>
      <c r="R296" s="12">
        <f t="shared" ref="R296:V296" si="306">if(min($K295:$O295)=K295,R295+1,R295)</f>
        <v>141</v>
      </c>
      <c r="S296" s="12">
        <f t="shared" si="306"/>
        <v>59</v>
      </c>
      <c r="T296" s="12">
        <f t="shared" si="306"/>
        <v>43</v>
      </c>
      <c r="U296" s="12">
        <f t="shared" si="306"/>
        <v>31</v>
      </c>
      <c r="V296" s="12">
        <f t="shared" si="306"/>
        <v>21</v>
      </c>
      <c r="X296" s="13">
        <f> 'Optimal Choice'!$B$5*'Optimal Choice'!$B$6^(R296+1)</f>
        <v>59505.40599</v>
      </c>
      <c r="Y296" s="13">
        <f> 'Optimal Choice'!$B$10*'Optimal Choice'!$B$11^(S296+1)</f>
        <v>263039.9247</v>
      </c>
      <c r="Z296" s="13">
        <f> 'Optimal Choice'!$B$15*'Optimal Choice'!$B$16^(T296+1)</f>
        <v>229692.0454</v>
      </c>
      <c r="AA296" s="13">
        <f> 'Optimal Choice'!$B$20*'Optimal Choice'!$B$21^(U296+1)</f>
        <v>431542.8585</v>
      </c>
      <c r="AB296" s="13">
        <f> 'Optimal Choice'!$B$25*'Optimal Choice'!$B$26^(V296+1)</f>
        <v>1254560.147</v>
      </c>
      <c r="AE296" s="12">
        <f t="shared" si="4"/>
        <v>60</v>
      </c>
      <c r="AF296" s="12">
        <f t="shared" si="5"/>
        <v>50</v>
      </c>
      <c r="AG296" s="12">
        <f t="shared" si="6"/>
        <v>4</v>
      </c>
      <c r="AH296" s="12">
        <f t="shared" si="7"/>
        <v>2</v>
      </c>
      <c r="AI296" s="14">
        <f t="shared" si="8"/>
        <v>1</v>
      </c>
      <c r="AL296" s="14">
        <f>R296*'Optimal Choice'!$B$4*AE296</f>
        <v>14128.2</v>
      </c>
      <c r="AM296" s="14">
        <f>S296*'Optimal Choice'!$B$9*AF296</f>
        <v>59000</v>
      </c>
      <c r="AN296" s="14">
        <f>T296*'Optimal Choice'!$B$14*AG296</f>
        <v>15480</v>
      </c>
      <c r="AO296" s="14">
        <f>U296*'Optimal Choice'!$B$19*AH296</f>
        <v>22320</v>
      </c>
      <c r="AP296" s="14">
        <f>V296*'Optimal Choice'!$B$24*AI296</f>
        <v>45360</v>
      </c>
      <c r="AS296" s="12">
        <f t="shared" si="9"/>
        <v>60</v>
      </c>
      <c r="AT296" s="12">
        <f t="shared" si="10"/>
        <v>50</v>
      </c>
      <c r="AU296" s="12">
        <f t="shared" si="11"/>
        <v>4</v>
      </c>
      <c r="AV296" s="12">
        <f t="shared" si="12"/>
        <v>2</v>
      </c>
      <c r="AW296" s="14">
        <f t="shared" si="13"/>
        <v>1</v>
      </c>
      <c r="AY296" s="11">
        <f t="shared" si="14"/>
        <v>0.02454901803</v>
      </c>
    </row>
    <row r="297" ht="15.75" customHeight="1">
      <c r="A297" s="15">
        <f t="shared" si="2"/>
        <v>7.291722514</v>
      </c>
      <c r="B297" s="7">
        <f>(sum(AL297:AP297))*'Optimal Choice'!$B$28</f>
        <v>157288.2</v>
      </c>
      <c r="C297" s="11"/>
      <c r="D297" s="12"/>
      <c r="E297" s="12"/>
      <c r="F297" s="11"/>
      <c r="G297" s="11"/>
      <c r="H297" s="11"/>
      <c r="I297" s="11"/>
      <c r="J297" s="11"/>
      <c r="K297" s="11">
        <f>(X297/$B297)+(X297/('Optimal Choice'!$B$4*AS297))</f>
        <v>594.2446481</v>
      </c>
      <c r="L297" s="11">
        <f>(Y297/$B297)+(Y297/('Optimal Choice'!$B$9*AT297))</f>
        <v>304.4191087</v>
      </c>
      <c r="M297" s="11">
        <f>(Z297/$B297)+(Z297/('Optimal Choice'!$B$14*AU297))</f>
        <v>639.4937856</v>
      </c>
      <c r="N297" s="11">
        <f>(AA297/$B297)+(AA297/('Optimal Choice'!$B$19*AV297))</f>
        <v>602.1087254</v>
      </c>
      <c r="O297" s="11">
        <f>(AB297/$B297)+(AB297/('Optimal Choice'!$B$24*AW297))</f>
        <v>588.79107</v>
      </c>
      <c r="R297" s="12">
        <f t="shared" ref="R297:V297" si="307">if(min($K296:$O296)=K296,R296+1,R296)</f>
        <v>141</v>
      </c>
      <c r="S297" s="12">
        <f t="shared" si="307"/>
        <v>60</v>
      </c>
      <c r="T297" s="12">
        <f t="shared" si="307"/>
        <v>43</v>
      </c>
      <c r="U297" s="12">
        <f t="shared" si="307"/>
        <v>31</v>
      </c>
      <c r="V297" s="12">
        <f t="shared" si="307"/>
        <v>21</v>
      </c>
      <c r="X297" s="13">
        <f> 'Optimal Choice'!$B$5*'Optimal Choice'!$B$6^(R297+1)</f>
        <v>59505.40599</v>
      </c>
      <c r="Y297" s="13">
        <f> 'Optimal Choice'!$B$10*'Optimal Choice'!$B$11^(S297+1)</f>
        <v>302495.9135</v>
      </c>
      <c r="Z297" s="13">
        <f> 'Optimal Choice'!$B$15*'Optimal Choice'!$B$16^(T297+1)</f>
        <v>229692.0454</v>
      </c>
      <c r="AA297" s="13">
        <f> 'Optimal Choice'!$B$20*'Optimal Choice'!$B$21^(U297+1)</f>
        <v>431542.8585</v>
      </c>
      <c r="AB297" s="13">
        <f> 'Optimal Choice'!$B$25*'Optimal Choice'!$B$26^(V297+1)</f>
        <v>1254560.147</v>
      </c>
      <c r="AE297" s="12">
        <f t="shared" si="4"/>
        <v>60</v>
      </c>
      <c r="AF297" s="12">
        <f t="shared" si="5"/>
        <v>50</v>
      </c>
      <c r="AG297" s="12">
        <f t="shared" si="6"/>
        <v>4</v>
      </c>
      <c r="AH297" s="12">
        <f t="shared" si="7"/>
        <v>2</v>
      </c>
      <c r="AI297" s="14">
        <f t="shared" si="8"/>
        <v>1</v>
      </c>
      <c r="AL297" s="14">
        <f>R297*'Optimal Choice'!$B$4*AE297</f>
        <v>14128.2</v>
      </c>
      <c r="AM297" s="14">
        <f>S297*'Optimal Choice'!$B$9*AF297</f>
        <v>60000</v>
      </c>
      <c r="AN297" s="14">
        <f>T297*'Optimal Choice'!$B$14*AG297</f>
        <v>15480</v>
      </c>
      <c r="AO297" s="14">
        <f>U297*'Optimal Choice'!$B$19*AH297</f>
        <v>22320</v>
      </c>
      <c r="AP297" s="14">
        <f>V297*'Optimal Choice'!$B$24*AI297</f>
        <v>45360</v>
      </c>
      <c r="AS297" s="12">
        <f t="shared" si="9"/>
        <v>60</v>
      </c>
      <c r="AT297" s="12">
        <f t="shared" si="10"/>
        <v>50</v>
      </c>
      <c r="AU297" s="12">
        <f t="shared" si="11"/>
        <v>4</v>
      </c>
      <c r="AV297" s="12">
        <f t="shared" si="12"/>
        <v>2</v>
      </c>
      <c r="AW297" s="14">
        <f t="shared" si="13"/>
        <v>1</v>
      </c>
      <c r="AY297" s="11">
        <f t="shared" si="14"/>
        <v>0.02805073413</v>
      </c>
    </row>
    <row r="298" ht="15.75" customHeight="1">
      <c r="A298" s="15">
        <f t="shared" si="2"/>
        <v>7.323775767</v>
      </c>
      <c r="B298" s="7">
        <f>(sum(AL298:AP298))*'Optimal Choice'!$B$28</f>
        <v>158288.2</v>
      </c>
      <c r="C298" s="11"/>
      <c r="D298" s="12"/>
      <c r="E298" s="12"/>
      <c r="F298" s="11"/>
      <c r="G298" s="11"/>
      <c r="H298" s="11"/>
      <c r="I298" s="11"/>
      <c r="J298" s="11"/>
      <c r="K298" s="11">
        <f>(X298/$B298)+(X298/('Optimal Choice'!$B$4*AS298))</f>
        <v>594.242258</v>
      </c>
      <c r="L298" s="11">
        <f>(Y298/$B298)+(Y298/('Optimal Choice'!$B$9*AT298))</f>
        <v>350.0680025</v>
      </c>
      <c r="M298" s="11">
        <f>(Z298/$B298)+(Z298/('Optimal Choice'!$B$14*AU298))</f>
        <v>639.4845598</v>
      </c>
      <c r="N298" s="11">
        <f>(AA298/$B298)+(AA298/('Optimal Choice'!$B$19*AV298))</f>
        <v>602.0913922</v>
      </c>
      <c r="O298" s="11">
        <f>(AB298/$B298)+(AB298/('Optimal Choice'!$B$24*AW298))</f>
        <v>588.7406797</v>
      </c>
      <c r="R298" s="12">
        <f t="shared" ref="R298:V298" si="308">if(min($K297:$O297)=K297,R297+1,R297)</f>
        <v>141</v>
      </c>
      <c r="S298" s="12">
        <f t="shared" si="308"/>
        <v>61</v>
      </c>
      <c r="T298" s="12">
        <f t="shared" si="308"/>
        <v>43</v>
      </c>
      <c r="U298" s="12">
        <f t="shared" si="308"/>
        <v>31</v>
      </c>
      <c r="V298" s="12">
        <f t="shared" si="308"/>
        <v>21</v>
      </c>
      <c r="X298" s="13">
        <f> 'Optimal Choice'!$B$5*'Optimal Choice'!$B$6^(R298+1)</f>
        <v>59505.40599</v>
      </c>
      <c r="Y298" s="13">
        <f> 'Optimal Choice'!$B$10*'Optimal Choice'!$B$11^(S298+1)</f>
        <v>347870.3005</v>
      </c>
      <c r="Z298" s="13">
        <f> 'Optimal Choice'!$B$15*'Optimal Choice'!$B$16^(T298+1)</f>
        <v>229692.0454</v>
      </c>
      <c r="AA298" s="13">
        <f> 'Optimal Choice'!$B$20*'Optimal Choice'!$B$21^(U298+1)</f>
        <v>431542.8585</v>
      </c>
      <c r="AB298" s="13">
        <f> 'Optimal Choice'!$B$25*'Optimal Choice'!$B$26^(V298+1)</f>
        <v>1254560.147</v>
      </c>
      <c r="AE298" s="12">
        <f t="shared" si="4"/>
        <v>60</v>
      </c>
      <c r="AF298" s="12">
        <f t="shared" si="5"/>
        <v>50</v>
      </c>
      <c r="AG298" s="12">
        <f t="shared" si="6"/>
        <v>4</v>
      </c>
      <c r="AH298" s="12">
        <f t="shared" si="7"/>
        <v>2</v>
      </c>
      <c r="AI298" s="14">
        <f t="shared" si="8"/>
        <v>1</v>
      </c>
      <c r="AL298" s="14">
        <f>R298*'Optimal Choice'!$B$4*AE298</f>
        <v>14128.2</v>
      </c>
      <c r="AM298" s="14">
        <f>S298*'Optimal Choice'!$B$9*AF298</f>
        <v>61000</v>
      </c>
      <c r="AN298" s="14">
        <f>T298*'Optimal Choice'!$B$14*AG298</f>
        <v>15480</v>
      </c>
      <c r="AO298" s="14">
        <f>U298*'Optimal Choice'!$B$19*AH298</f>
        <v>22320</v>
      </c>
      <c r="AP298" s="14">
        <f>V298*'Optimal Choice'!$B$24*AI298</f>
        <v>45360</v>
      </c>
      <c r="AS298" s="12">
        <f t="shared" si="9"/>
        <v>60</v>
      </c>
      <c r="AT298" s="12">
        <f t="shared" si="10"/>
        <v>50</v>
      </c>
      <c r="AU298" s="12">
        <f t="shared" si="11"/>
        <v>4</v>
      </c>
      <c r="AV298" s="12">
        <f t="shared" si="12"/>
        <v>2</v>
      </c>
      <c r="AW298" s="14">
        <f t="shared" si="13"/>
        <v>1</v>
      </c>
      <c r="AY298" s="11">
        <f t="shared" si="14"/>
        <v>0.03205325357</v>
      </c>
    </row>
    <row r="299" ht="15.75" customHeight="1">
      <c r="A299" s="15">
        <f t="shared" si="2"/>
        <v>7.360404135</v>
      </c>
      <c r="B299" s="7">
        <f>(sum(AL299:AP299))*'Optimal Choice'!$B$28</f>
        <v>159288.2</v>
      </c>
      <c r="C299" s="11"/>
      <c r="D299" s="12"/>
      <c r="E299" s="12"/>
      <c r="F299" s="11"/>
      <c r="G299" s="11"/>
      <c r="H299" s="11"/>
      <c r="I299" s="11"/>
      <c r="J299" s="11"/>
      <c r="K299" s="11">
        <f>(X299/$B299)+(X299/('Optimal Choice'!$B$4*AS299))</f>
        <v>594.239898</v>
      </c>
      <c r="L299" s="11">
        <f>(Y299/$B299)+(Y299/('Optimal Choice'!$B$9*AT299))</f>
        <v>402.5623363</v>
      </c>
      <c r="M299" s="11">
        <f>(Z299/$B299)+(Z299/('Optimal Choice'!$B$14*AU299))</f>
        <v>639.4754499</v>
      </c>
      <c r="N299" s="11">
        <f>(AA299/$B299)+(AA299/('Optimal Choice'!$B$19*AV299))</f>
        <v>602.0742766</v>
      </c>
      <c r="O299" s="11">
        <f>(AB299/$B299)+(AB299/('Optimal Choice'!$B$24*AW299))</f>
        <v>588.6909221</v>
      </c>
      <c r="R299" s="12">
        <f t="shared" ref="R299:V299" si="309">if(min($K298:$O298)=K298,R298+1,R298)</f>
        <v>141</v>
      </c>
      <c r="S299" s="12">
        <f t="shared" si="309"/>
        <v>62</v>
      </c>
      <c r="T299" s="12">
        <f t="shared" si="309"/>
        <v>43</v>
      </c>
      <c r="U299" s="12">
        <f t="shared" si="309"/>
        <v>31</v>
      </c>
      <c r="V299" s="12">
        <f t="shared" si="309"/>
        <v>21</v>
      </c>
      <c r="X299" s="13">
        <f> 'Optimal Choice'!$B$5*'Optimal Choice'!$B$6^(R299+1)</f>
        <v>59505.40599</v>
      </c>
      <c r="Y299" s="13">
        <f> 'Optimal Choice'!$B$10*'Optimal Choice'!$B$11^(S299+1)</f>
        <v>400050.8455</v>
      </c>
      <c r="Z299" s="13">
        <f> 'Optimal Choice'!$B$15*'Optimal Choice'!$B$16^(T299+1)</f>
        <v>229692.0454</v>
      </c>
      <c r="AA299" s="13">
        <f> 'Optimal Choice'!$B$20*'Optimal Choice'!$B$21^(U299+1)</f>
        <v>431542.8585</v>
      </c>
      <c r="AB299" s="13">
        <f> 'Optimal Choice'!$B$25*'Optimal Choice'!$B$26^(V299+1)</f>
        <v>1254560.147</v>
      </c>
      <c r="AE299" s="12">
        <f t="shared" si="4"/>
        <v>60</v>
      </c>
      <c r="AF299" s="12">
        <f t="shared" si="5"/>
        <v>50</v>
      </c>
      <c r="AG299" s="12">
        <f t="shared" si="6"/>
        <v>4</v>
      </c>
      <c r="AH299" s="12">
        <f t="shared" si="7"/>
        <v>2</v>
      </c>
      <c r="AI299" s="14">
        <f t="shared" si="8"/>
        <v>1</v>
      </c>
      <c r="AL299" s="14">
        <f>R299*'Optimal Choice'!$B$4*AE299</f>
        <v>14128.2</v>
      </c>
      <c r="AM299" s="14">
        <f>S299*'Optimal Choice'!$B$9*AF299</f>
        <v>62000</v>
      </c>
      <c r="AN299" s="14">
        <f>T299*'Optimal Choice'!$B$14*AG299</f>
        <v>15480</v>
      </c>
      <c r="AO299" s="14">
        <f>U299*'Optimal Choice'!$B$19*AH299</f>
        <v>22320</v>
      </c>
      <c r="AP299" s="14">
        <f>V299*'Optimal Choice'!$B$24*AI299</f>
        <v>45360</v>
      </c>
      <c r="AS299" s="12">
        <f t="shared" si="9"/>
        <v>60</v>
      </c>
      <c r="AT299" s="12">
        <f t="shared" si="10"/>
        <v>50</v>
      </c>
      <c r="AU299" s="12">
        <f t="shared" si="11"/>
        <v>4</v>
      </c>
      <c r="AV299" s="12">
        <f t="shared" si="12"/>
        <v>2</v>
      </c>
      <c r="AW299" s="14">
        <f t="shared" si="13"/>
        <v>1</v>
      </c>
      <c r="AY299" s="11">
        <f t="shared" si="14"/>
        <v>0.03662836738</v>
      </c>
    </row>
    <row r="300" ht="15.75" customHeight="1">
      <c r="A300" s="15">
        <f t="shared" si="2"/>
        <v>7.402262314</v>
      </c>
      <c r="B300" s="7">
        <f>(sum(AL300:AP300))*'Optimal Choice'!$B$28</f>
        <v>160288.2</v>
      </c>
      <c r="C300" s="11"/>
      <c r="D300" s="12"/>
      <c r="E300" s="12"/>
      <c r="F300" s="11"/>
      <c r="G300" s="11"/>
      <c r="H300" s="11"/>
      <c r="I300" s="11"/>
      <c r="J300" s="11"/>
      <c r="K300" s="11">
        <f>(X300/$B300)+(X300/('Optimal Choice'!$B$4*AS300))</f>
        <v>594.2375673</v>
      </c>
      <c r="L300" s="11">
        <f>(Y300/$B300)+(Y300/('Optimal Choice'!$B$9*AT300))</f>
        <v>462.9286679</v>
      </c>
      <c r="M300" s="11">
        <f>(Z300/$B300)+(Z300/('Optimal Choice'!$B$14*AU300))</f>
        <v>639.4664537</v>
      </c>
      <c r="N300" s="11">
        <f>(AA300/$B300)+(AA300/('Optimal Choice'!$B$19*AV300))</f>
        <v>602.0573746</v>
      </c>
      <c r="O300" s="11">
        <f>(AB300/$B300)+(AB300/('Optimal Choice'!$B$24*AW300))</f>
        <v>588.6417854</v>
      </c>
      <c r="R300" s="12">
        <f t="shared" ref="R300:V300" si="310">if(min($K299:$O299)=K299,R299+1,R299)</f>
        <v>141</v>
      </c>
      <c r="S300" s="12">
        <f t="shared" si="310"/>
        <v>63</v>
      </c>
      <c r="T300" s="12">
        <f t="shared" si="310"/>
        <v>43</v>
      </c>
      <c r="U300" s="12">
        <f t="shared" si="310"/>
        <v>31</v>
      </c>
      <c r="V300" s="12">
        <f t="shared" si="310"/>
        <v>21</v>
      </c>
      <c r="X300" s="13">
        <f> 'Optimal Choice'!$B$5*'Optimal Choice'!$B$6^(R300+1)</f>
        <v>59505.40599</v>
      </c>
      <c r="Y300" s="13">
        <f> 'Optimal Choice'!$B$10*'Optimal Choice'!$B$11^(S300+1)</f>
        <v>460058.4724</v>
      </c>
      <c r="Z300" s="13">
        <f> 'Optimal Choice'!$B$15*'Optimal Choice'!$B$16^(T300+1)</f>
        <v>229692.0454</v>
      </c>
      <c r="AA300" s="13">
        <f> 'Optimal Choice'!$B$20*'Optimal Choice'!$B$21^(U300+1)</f>
        <v>431542.8585</v>
      </c>
      <c r="AB300" s="13">
        <f> 'Optimal Choice'!$B$25*'Optimal Choice'!$B$26^(V300+1)</f>
        <v>1254560.147</v>
      </c>
      <c r="AE300" s="12">
        <f t="shared" si="4"/>
        <v>60</v>
      </c>
      <c r="AF300" s="12">
        <f t="shared" si="5"/>
        <v>50</v>
      </c>
      <c r="AG300" s="12">
        <f t="shared" si="6"/>
        <v>4</v>
      </c>
      <c r="AH300" s="12">
        <f t="shared" si="7"/>
        <v>2</v>
      </c>
      <c r="AI300" s="14">
        <f t="shared" si="8"/>
        <v>1</v>
      </c>
      <c r="AL300" s="14">
        <f>R300*'Optimal Choice'!$B$4*AE300</f>
        <v>14128.2</v>
      </c>
      <c r="AM300" s="14">
        <f>S300*'Optimal Choice'!$B$9*AF300</f>
        <v>63000</v>
      </c>
      <c r="AN300" s="14">
        <f>T300*'Optimal Choice'!$B$14*AG300</f>
        <v>15480</v>
      </c>
      <c r="AO300" s="14">
        <f>U300*'Optimal Choice'!$B$19*AH300</f>
        <v>22320</v>
      </c>
      <c r="AP300" s="14">
        <f>V300*'Optimal Choice'!$B$24*AI300</f>
        <v>45360</v>
      </c>
      <c r="AS300" s="12">
        <f t="shared" si="9"/>
        <v>60</v>
      </c>
      <c r="AT300" s="12">
        <f t="shared" si="10"/>
        <v>50</v>
      </c>
      <c r="AU300" s="12">
        <f t="shared" si="11"/>
        <v>4</v>
      </c>
      <c r="AV300" s="12">
        <f t="shared" si="12"/>
        <v>2</v>
      </c>
      <c r="AW300" s="14">
        <f t="shared" si="13"/>
        <v>1</v>
      </c>
      <c r="AY300" s="11">
        <f t="shared" si="14"/>
        <v>0.04185817965</v>
      </c>
    </row>
    <row r="301" ht="15.75" customHeight="1">
      <c r="A301" s="15">
        <f t="shared" si="2"/>
        <v>7.450098906</v>
      </c>
      <c r="B301" s="7">
        <f>(sum(AL301:AP301))*'Optimal Choice'!$B$28</f>
        <v>161288.2</v>
      </c>
      <c r="C301" s="11"/>
      <c r="D301" s="12"/>
      <c r="E301" s="12"/>
      <c r="F301" s="11"/>
      <c r="G301" s="11"/>
      <c r="H301" s="11"/>
      <c r="I301" s="11"/>
      <c r="J301" s="11"/>
      <c r="K301" s="11">
        <f>(X301/$B301)+(X301/('Optimal Choice'!$B$4*AS301))</f>
        <v>594.2352656</v>
      </c>
      <c r="L301" s="11">
        <f>(Y301/$B301)+(Y301/('Optimal Choice'!$B$9*AT301))</f>
        <v>532.3475033</v>
      </c>
      <c r="M301" s="11">
        <f>(Z301/$B301)+(Z301/('Optimal Choice'!$B$14*AU301))</f>
        <v>639.457569</v>
      </c>
      <c r="N301" s="11">
        <f>(AA301/$B301)+(AA301/('Optimal Choice'!$B$19*AV301))</f>
        <v>602.0406822</v>
      </c>
      <c r="O301" s="11">
        <f>(AB301/$B301)+(AB301/('Optimal Choice'!$B$24*AW301))</f>
        <v>588.593258</v>
      </c>
      <c r="R301" s="12">
        <f t="shared" ref="R301:V301" si="311">if(min($K300:$O300)=K300,R300+1,R300)</f>
        <v>141</v>
      </c>
      <c r="S301" s="12">
        <f t="shared" si="311"/>
        <v>64</v>
      </c>
      <c r="T301" s="12">
        <f t="shared" si="311"/>
        <v>43</v>
      </c>
      <c r="U301" s="12">
        <f t="shared" si="311"/>
        <v>31</v>
      </c>
      <c r="V301" s="12">
        <f t="shared" si="311"/>
        <v>21</v>
      </c>
      <c r="X301" s="13">
        <f> 'Optimal Choice'!$B$5*'Optimal Choice'!$B$6^(R301+1)</f>
        <v>59505.40599</v>
      </c>
      <c r="Y301" s="13">
        <f> 'Optimal Choice'!$B$10*'Optimal Choice'!$B$11^(S301+1)</f>
        <v>529067.2432</v>
      </c>
      <c r="Z301" s="13">
        <f> 'Optimal Choice'!$B$15*'Optimal Choice'!$B$16^(T301+1)</f>
        <v>229692.0454</v>
      </c>
      <c r="AA301" s="13">
        <f> 'Optimal Choice'!$B$20*'Optimal Choice'!$B$21^(U301+1)</f>
        <v>431542.8585</v>
      </c>
      <c r="AB301" s="13">
        <f> 'Optimal Choice'!$B$25*'Optimal Choice'!$B$26^(V301+1)</f>
        <v>1254560.147</v>
      </c>
      <c r="AE301" s="12">
        <f t="shared" si="4"/>
        <v>60</v>
      </c>
      <c r="AF301" s="12">
        <f t="shared" si="5"/>
        <v>50</v>
      </c>
      <c r="AG301" s="12">
        <f t="shared" si="6"/>
        <v>4</v>
      </c>
      <c r="AH301" s="12">
        <f t="shared" si="7"/>
        <v>2</v>
      </c>
      <c r="AI301" s="14">
        <f t="shared" si="8"/>
        <v>1</v>
      </c>
      <c r="AL301" s="14">
        <f>R301*'Optimal Choice'!$B$4*AE301</f>
        <v>14128.2</v>
      </c>
      <c r="AM301" s="14">
        <f>S301*'Optimal Choice'!$B$9*AF301</f>
        <v>64000</v>
      </c>
      <c r="AN301" s="14">
        <f>T301*'Optimal Choice'!$B$14*AG301</f>
        <v>15480</v>
      </c>
      <c r="AO301" s="14">
        <f>U301*'Optimal Choice'!$B$19*AH301</f>
        <v>22320</v>
      </c>
      <c r="AP301" s="14">
        <f>V301*'Optimal Choice'!$B$24*AI301</f>
        <v>45360</v>
      </c>
      <c r="AS301" s="12">
        <f t="shared" si="9"/>
        <v>60</v>
      </c>
      <c r="AT301" s="12">
        <f t="shared" si="10"/>
        <v>50</v>
      </c>
      <c r="AU301" s="12">
        <f t="shared" si="11"/>
        <v>4</v>
      </c>
      <c r="AV301" s="12">
        <f t="shared" si="12"/>
        <v>2</v>
      </c>
      <c r="AW301" s="14">
        <f t="shared" si="13"/>
        <v>1</v>
      </c>
      <c r="AY301" s="11">
        <f t="shared" si="14"/>
        <v>0.04783659188</v>
      </c>
    </row>
    <row r="302" ht="15.75" customHeight="1">
      <c r="A302" s="15">
        <f t="shared" si="2"/>
        <v>7.504769907</v>
      </c>
      <c r="B302" s="7">
        <f>(sum(AL302:AP302))*'Optimal Choice'!$B$28</f>
        <v>162288.2</v>
      </c>
      <c r="C302" s="11"/>
      <c r="D302" s="12"/>
      <c r="E302" s="12"/>
      <c r="F302" s="11"/>
      <c r="G302" s="11"/>
      <c r="H302" s="11"/>
      <c r="I302" s="11"/>
      <c r="J302" s="11"/>
      <c r="K302" s="11">
        <f>(X302/$B302)+(X302/('Optimal Choice'!$B$4*AS302))</f>
        <v>594.2329923</v>
      </c>
      <c r="L302" s="11">
        <f>(Y302/$B302)+(Y302/('Optimal Choice'!$B$9*AT302))</f>
        <v>612.1763844</v>
      </c>
      <c r="M302" s="11">
        <f>(Z302/$B302)+(Z302/('Optimal Choice'!$B$14*AU302))</f>
        <v>639.4487938</v>
      </c>
      <c r="N302" s="11">
        <f>(AA302/$B302)+(AA302/('Optimal Choice'!$B$19*AV302))</f>
        <v>602.0241954</v>
      </c>
      <c r="O302" s="11">
        <f>(AB302/$B302)+(AB302/('Optimal Choice'!$B$24*AW302))</f>
        <v>588.5453286</v>
      </c>
      <c r="R302" s="12">
        <f t="shared" ref="R302:V302" si="312">if(min($K301:$O301)=K301,R301+1,R301)</f>
        <v>141</v>
      </c>
      <c r="S302" s="12">
        <f t="shared" si="312"/>
        <v>65</v>
      </c>
      <c r="T302" s="12">
        <f t="shared" si="312"/>
        <v>43</v>
      </c>
      <c r="U302" s="12">
        <f t="shared" si="312"/>
        <v>31</v>
      </c>
      <c r="V302" s="12">
        <f t="shared" si="312"/>
        <v>21</v>
      </c>
      <c r="X302" s="13">
        <f> 'Optimal Choice'!$B$5*'Optimal Choice'!$B$6^(R302+1)</f>
        <v>59505.40599</v>
      </c>
      <c r="Y302" s="13">
        <f> 'Optimal Choice'!$B$10*'Optimal Choice'!$B$11^(S302+1)</f>
        <v>608427.3297</v>
      </c>
      <c r="Z302" s="13">
        <f> 'Optimal Choice'!$B$15*'Optimal Choice'!$B$16^(T302+1)</f>
        <v>229692.0454</v>
      </c>
      <c r="AA302" s="13">
        <f> 'Optimal Choice'!$B$20*'Optimal Choice'!$B$21^(U302+1)</f>
        <v>431542.8585</v>
      </c>
      <c r="AB302" s="13">
        <f> 'Optimal Choice'!$B$25*'Optimal Choice'!$B$26^(V302+1)</f>
        <v>1254560.147</v>
      </c>
      <c r="AE302" s="12">
        <f t="shared" si="4"/>
        <v>60</v>
      </c>
      <c r="AF302" s="12">
        <f t="shared" si="5"/>
        <v>50</v>
      </c>
      <c r="AG302" s="12">
        <f t="shared" si="6"/>
        <v>4</v>
      </c>
      <c r="AH302" s="12">
        <f t="shared" si="7"/>
        <v>2</v>
      </c>
      <c r="AI302" s="14">
        <f t="shared" si="8"/>
        <v>1</v>
      </c>
      <c r="AL302" s="14">
        <f>R302*'Optimal Choice'!$B$4*AE302</f>
        <v>14128.2</v>
      </c>
      <c r="AM302" s="14">
        <f>S302*'Optimal Choice'!$B$9*AF302</f>
        <v>65000</v>
      </c>
      <c r="AN302" s="14">
        <f>T302*'Optimal Choice'!$B$14*AG302</f>
        <v>15480</v>
      </c>
      <c r="AO302" s="14">
        <f>U302*'Optimal Choice'!$B$19*AH302</f>
        <v>22320</v>
      </c>
      <c r="AP302" s="14">
        <f>V302*'Optimal Choice'!$B$24*AI302</f>
        <v>45360</v>
      </c>
      <c r="AS302" s="12">
        <f t="shared" si="9"/>
        <v>60</v>
      </c>
      <c r="AT302" s="12">
        <f t="shared" si="10"/>
        <v>50</v>
      </c>
      <c r="AU302" s="12">
        <f t="shared" si="11"/>
        <v>4</v>
      </c>
      <c r="AV302" s="12">
        <f t="shared" si="12"/>
        <v>2</v>
      </c>
      <c r="AW302" s="14">
        <f t="shared" si="13"/>
        <v>1</v>
      </c>
      <c r="AY302" s="11">
        <f t="shared" si="14"/>
        <v>0.05467100127</v>
      </c>
    </row>
    <row r="303" ht="15.75" customHeight="1">
      <c r="A303" s="15">
        <f t="shared" si="2"/>
        <v>7.633610672</v>
      </c>
      <c r="B303" s="7">
        <f>(sum(AL303:AP303))*'Optimal Choice'!$B$28</f>
        <v>164448.2</v>
      </c>
      <c r="C303" s="11"/>
      <c r="D303" s="12"/>
      <c r="E303" s="12"/>
      <c r="F303" s="11"/>
      <c r="G303" s="11"/>
      <c r="H303" s="11"/>
      <c r="I303" s="11"/>
      <c r="J303" s="11"/>
      <c r="K303" s="11">
        <f>(X303/$B303)+(X303/('Optimal Choice'!$B$4*AS303))</f>
        <v>594.2281762</v>
      </c>
      <c r="L303" s="11">
        <f>(Y303/$B303)+(Y303/('Optimal Choice'!$B$9*AT303))</f>
        <v>612.1271411</v>
      </c>
      <c r="M303" s="11">
        <f>(Z303/$B303)+(Z303/('Optimal Choice'!$B$14*AU303))</f>
        <v>639.4302036</v>
      </c>
      <c r="N303" s="11">
        <f>(AA303/$B303)+(AA303/('Optimal Choice'!$B$19*AV303))</f>
        <v>601.9892684</v>
      </c>
      <c r="O303" s="11">
        <f>(AB303/$B303)+(AB303/('Optimal Choice'!$B$24*AW303))</f>
        <v>659.0570453</v>
      </c>
      <c r="R303" s="12">
        <f t="shared" ref="R303:V303" si="313">if(min($K302:$O302)=K302,R302+1,R302)</f>
        <v>141</v>
      </c>
      <c r="S303" s="12">
        <f t="shared" si="313"/>
        <v>65</v>
      </c>
      <c r="T303" s="12">
        <f t="shared" si="313"/>
        <v>43</v>
      </c>
      <c r="U303" s="12">
        <f t="shared" si="313"/>
        <v>31</v>
      </c>
      <c r="V303" s="12">
        <f t="shared" si="313"/>
        <v>22</v>
      </c>
      <c r="X303" s="13">
        <f> 'Optimal Choice'!$B$5*'Optimal Choice'!$B$6^(R303+1)</f>
        <v>59505.40599</v>
      </c>
      <c r="Y303" s="13">
        <f> 'Optimal Choice'!$B$10*'Optimal Choice'!$B$11^(S303+1)</f>
        <v>608427.3297</v>
      </c>
      <c r="Z303" s="13">
        <f> 'Optimal Choice'!$B$15*'Optimal Choice'!$B$16^(T303+1)</f>
        <v>229692.0454</v>
      </c>
      <c r="AA303" s="13">
        <f> 'Optimal Choice'!$B$20*'Optimal Choice'!$B$21^(U303+1)</f>
        <v>431542.8585</v>
      </c>
      <c r="AB303" s="13">
        <f> 'Optimal Choice'!$B$25*'Optimal Choice'!$B$26^(V303+1)</f>
        <v>1405107.364</v>
      </c>
      <c r="AE303" s="12">
        <f t="shared" si="4"/>
        <v>60</v>
      </c>
      <c r="AF303" s="12">
        <f t="shared" si="5"/>
        <v>50</v>
      </c>
      <c r="AG303" s="12">
        <f t="shared" si="6"/>
        <v>4</v>
      </c>
      <c r="AH303" s="12">
        <f t="shared" si="7"/>
        <v>2</v>
      </c>
      <c r="AI303" s="14">
        <f t="shared" si="8"/>
        <v>1</v>
      </c>
      <c r="AL303" s="14">
        <f>R303*'Optimal Choice'!$B$4*AE303</f>
        <v>14128.2</v>
      </c>
      <c r="AM303" s="14">
        <f>S303*'Optimal Choice'!$B$9*AF303</f>
        <v>65000</v>
      </c>
      <c r="AN303" s="14">
        <f>T303*'Optimal Choice'!$B$14*AG303</f>
        <v>15480</v>
      </c>
      <c r="AO303" s="14">
        <f>U303*'Optimal Choice'!$B$19*AH303</f>
        <v>22320</v>
      </c>
      <c r="AP303" s="14">
        <f>V303*'Optimal Choice'!$B$24*AI303</f>
        <v>47520</v>
      </c>
      <c r="AS303" s="12">
        <f t="shared" si="9"/>
        <v>60</v>
      </c>
      <c r="AT303" s="12">
        <f t="shared" si="10"/>
        <v>50</v>
      </c>
      <c r="AU303" s="12">
        <f t="shared" si="11"/>
        <v>4</v>
      </c>
      <c r="AV303" s="12">
        <f t="shared" si="12"/>
        <v>2</v>
      </c>
      <c r="AW303" s="14">
        <f t="shared" si="13"/>
        <v>1</v>
      </c>
      <c r="AY303" s="11">
        <f t="shared" si="14"/>
        <v>0.1288407646</v>
      </c>
    </row>
    <row r="304" ht="15.75" customHeight="1">
      <c r="A304" s="15">
        <f t="shared" si="2"/>
        <v>7.639641488</v>
      </c>
      <c r="B304" s="7">
        <f>(sum(AL304:AP304))*'Optimal Choice'!$B$28</f>
        <v>164548.4</v>
      </c>
      <c r="C304" s="11"/>
      <c r="D304" s="12"/>
      <c r="E304" s="12"/>
      <c r="F304" s="11"/>
      <c r="G304" s="11"/>
      <c r="H304" s="11"/>
      <c r="I304" s="11"/>
      <c r="J304" s="11"/>
      <c r="K304" s="11">
        <f>(X304/$B304)+(X304/('Optimal Choice'!$B$4*AS304))</f>
        <v>635.8239128</v>
      </c>
      <c r="L304" s="11">
        <f>(Y304/$B304)+(Y304/('Optimal Choice'!$B$9*AT304))</f>
        <v>612.1248882</v>
      </c>
      <c r="M304" s="11">
        <f>(Z304/$B304)+(Z304/('Optimal Choice'!$B$14*AU304))</f>
        <v>639.4293531</v>
      </c>
      <c r="N304" s="11">
        <f>(AA304/$B304)+(AA304/('Optimal Choice'!$B$19*AV304))</f>
        <v>601.9876704</v>
      </c>
      <c r="O304" s="11">
        <f>(AB304/$B304)+(AB304/('Optimal Choice'!$B$24*AW304))</f>
        <v>659.0518423</v>
      </c>
      <c r="R304" s="12">
        <f t="shared" ref="R304:V304" si="314">if(min($K303:$O303)=K303,R303+1,R303)</f>
        <v>142</v>
      </c>
      <c r="S304" s="12">
        <f t="shared" si="314"/>
        <v>65</v>
      </c>
      <c r="T304" s="12">
        <f t="shared" si="314"/>
        <v>43</v>
      </c>
      <c r="U304" s="12">
        <f t="shared" si="314"/>
        <v>31</v>
      </c>
      <c r="V304" s="12">
        <f t="shared" si="314"/>
        <v>22</v>
      </c>
      <c r="X304" s="13">
        <f> 'Optimal Choice'!$B$5*'Optimal Choice'!$B$6^(R304+1)</f>
        <v>63670.78441</v>
      </c>
      <c r="Y304" s="13">
        <f> 'Optimal Choice'!$B$10*'Optimal Choice'!$B$11^(S304+1)</f>
        <v>608427.3297</v>
      </c>
      <c r="Z304" s="13">
        <f> 'Optimal Choice'!$B$15*'Optimal Choice'!$B$16^(T304+1)</f>
        <v>229692.0454</v>
      </c>
      <c r="AA304" s="13">
        <f> 'Optimal Choice'!$B$20*'Optimal Choice'!$B$21^(U304+1)</f>
        <v>431542.8585</v>
      </c>
      <c r="AB304" s="13">
        <f> 'Optimal Choice'!$B$25*'Optimal Choice'!$B$26^(V304+1)</f>
        <v>1405107.364</v>
      </c>
      <c r="AE304" s="12">
        <f t="shared" si="4"/>
        <v>60</v>
      </c>
      <c r="AF304" s="12">
        <f t="shared" si="5"/>
        <v>50</v>
      </c>
      <c r="AG304" s="12">
        <f t="shared" si="6"/>
        <v>4</v>
      </c>
      <c r="AH304" s="12">
        <f t="shared" si="7"/>
        <v>2</v>
      </c>
      <c r="AI304" s="14">
        <f t="shared" si="8"/>
        <v>1</v>
      </c>
      <c r="AL304" s="14">
        <f>R304*'Optimal Choice'!$B$4*AE304</f>
        <v>14228.4</v>
      </c>
      <c r="AM304" s="14">
        <f>S304*'Optimal Choice'!$B$9*AF304</f>
        <v>65000</v>
      </c>
      <c r="AN304" s="14">
        <f>T304*'Optimal Choice'!$B$14*AG304</f>
        <v>15480</v>
      </c>
      <c r="AO304" s="14">
        <f>U304*'Optimal Choice'!$B$19*AH304</f>
        <v>22320</v>
      </c>
      <c r="AP304" s="14">
        <f>V304*'Optimal Choice'!$B$24*AI304</f>
        <v>47520</v>
      </c>
      <c r="AS304" s="12">
        <f t="shared" si="9"/>
        <v>60</v>
      </c>
      <c r="AT304" s="12">
        <f t="shared" si="10"/>
        <v>50</v>
      </c>
      <c r="AU304" s="12">
        <f t="shared" si="11"/>
        <v>4</v>
      </c>
      <c r="AV304" s="12">
        <f t="shared" si="12"/>
        <v>2</v>
      </c>
      <c r="AW304" s="14">
        <f t="shared" si="13"/>
        <v>1</v>
      </c>
      <c r="AY304" s="11">
        <f t="shared" si="14"/>
        <v>0.006030815579</v>
      </c>
    </row>
    <row r="305" ht="15.75" customHeight="1">
      <c r="A305" s="15">
        <f t="shared" si="2"/>
        <v>7.683351308</v>
      </c>
      <c r="B305" s="7">
        <f>(sum(AL305:AP305))*'Optimal Choice'!$B$28</f>
        <v>165268.4</v>
      </c>
      <c r="C305" s="11"/>
      <c r="D305" s="12"/>
      <c r="E305" s="12"/>
      <c r="F305" s="11"/>
      <c r="G305" s="11"/>
      <c r="H305" s="11"/>
      <c r="I305" s="11"/>
      <c r="J305" s="11"/>
      <c r="K305" s="11">
        <f>(X305/$B305)+(X305/('Optimal Choice'!$B$4*AS305))</f>
        <v>635.822227</v>
      </c>
      <c r="L305" s="11">
        <f>(Y305/$B305)+(Y305/('Optimal Choice'!$B$9*AT305))</f>
        <v>612.1087796</v>
      </c>
      <c r="M305" s="11">
        <f>(Z305/$B305)+(Z305/('Optimal Choice'!$B$14*AU305))</f>
        <v>639.4232718</v>
      </c>
      <c r="N305" s="11">
        <f>(AA305/$B305)+(AA305/('Optimal Choice'!$B$19*AV305))</f>
        <v>680.2331568</v>
      </c>
      <c r="O305" s="11">
        <f>(AB305/$B305)+(AB305/('Optimal Choice'!$B$24*AW305))</f>
        <v>659.014641</v>
      </c>
      <c r="R305" s="12">
        <f t="shared" ref="R305:V305" si="315">if(min($K304:$O304)=K304,R304+1,R304)</f>
        <v>142</v>
      </c>
      <c r="S305" s="12">
        <f t="shared" si="315"/>
        <v>65</v>
      </c>
      <c r="T305" s="12">
        <f t="shared" si="315"/>
        <v>43</v>
      </c>
      <c r="U305" s="12">
        <f t="shared" si="315"/>
        <v>32</v>
      </c>
      <c r="V305" s="12">
        <f t="shared" si="315"/>
        <v>22</v>
      </c>
      <c r="X305" s="13">
        <f> 'Optimal Choice'!$B$5*'Optimal Choice'!$B$6^(R305+1)</f>
        <v>63670.78441</v>
      </c>
      <c r="Y305" s="13">
        <f> 'Optimal Choice'!$B$10*'Optimal Choice'!$B$11^(S305+1)</f>
        <v>608427.3297</v>
      </c>
      <c r="Z305" s="13">
        <f> 'Optimal Choice'!$B$15*'Optimal Choice'!$B$16^(T305+1)</f>
        <v>229692.0454</v>
      </c>
      <c r="AA305" s="13">
        <f> 'Optimal Choice'!$B$20*'Optimal Choice'!$B$21^(U305+1)</f>
        <v>487643.4301</v>
      </c>
      <c r="AB305" s="13">
        <f> 'Optimal Choice'!$B$25*'Optimal Choice'!$B$26^(V305+1)</f>
        <v>1405107.364</v>
      </c>
      <c r="AE305" s="12">
        <f t="shared" si="4"/>
        <v>60</v>
      </c>
      <c r="AF305" s="12">
        <f t="shared" si="5"/>
        <v>50</v>
      </c>
      <c r="AG305" s="12">
        <f t="shared" si="6"/>
        <v>4</v>
      </c>
      <c r="AH305" s="12">
        <f t="shared" si="7"/>
        <v>2</v>
      </c>
      <c r="AI305" s="14">
        <f t="shared" si="8"/>
        <v>1</v>
      </c>
      <c r="AL305" s="14">
        <f>R305*'Optimal Choice'!$B$4*AE305</f>
        <v>14228.4</v>
      </c>
      <c r="AM305" s="14">
        <f>S305*'Optimal Choice'!$B$9*AF305</f>
        <v>65000</v>
      </c>
      <c r="AN305" s="14">
        <f>T305*'Optimal Choice'!$B$14*AG305</f>
        <v>15480</v>
      </c>
      <c r="AO305" s="14">
        <f>U305*'Optimal Choice'!$B$19*AH305</f>
        <v>23040</v>
      </c>
      <c r="AP305" s="14">
        <f>V305*'Optimal Choice'!$B$24*AI305</f>
        <v>47520</v>
      </c>
      <c r="AS305" s="12">
        <f t="shared" si="9"/>
        <v>60</v>
      </c>
      <c r="AT305" s="12">
        <f t="shared" si="10"/>
        <v>50</v>
      </c>
      <c r="AU305" s="12">
        <f t="shared" si="11"/>
        <v>4</v>
      </c>
      <c r="AV305" s="12">
        <f t="shared" si="12"/>
        <v>2</v>
      </c>
      <c r="AW305" s="14">
        <f t="shared" si="13"/>
        <v>1</v>
      </c>
      <c r="AY305" s="11">
        <f t="shared" si="14"/>
        <v>0.04370982018</v>
      </c>
    </row>
    <row r="306" ht="15.75" customHeight="1">
      <c r="A306" s="15">
        <f t="shared" si="2"/>
        <v>7.744708806</v>
      </c>
      <c r="B306" s="7">
        <f>(sum(AL306:AP306))*'Optimal Choice'!$B$28</f>
        <v>166268.4</v>
      </c>
      <c r="C306" s="11"/>
      <c r="D306" s="12"/>
      <c r="E306" s="12"/>
      <c r="F306" s="11"/>
      <c r="G306" s="11"/>
      <c r="H306" s="11"/>
      <c r="I306" s="11"/>
      <c r="J306" s="11"/>
      <c r="K306" s="11">
        <f>(X306/$B306)+(X306/('Optimal Choice'!$B$4*AS306))</f>
        <v>635.8199099</v>
      </c>
      <c r="L306" s="11">
        <f>(Y306/$B306)+(Y306/('Optimal Choice'!$B$9*AT306))</f>
        <v>703.8996337</v>
      </c>
      <c r="M306" s="11">
        <f>(Z306/$B306)+(Z306/('Optimal Choice'!$B$14*AU306))</f>
        <v>639.414913</v>
      </c>
      <c r="N306" s="11">
        <f>(AA306/$B306)+(AA306/('Optimal Choice'!$B$19*AV306))</f>
        <v>680.2154107</v>
      </c>
      <c r="O306" s="11">
        <f>(AB306/$B306)+(AB306/('Optimal Choice'!$B$24*AW306))</f>
        <v>658.9635069</v>
      </c>
      <c r="R306" s="12">
        <f t="shared" ref="R306:V306" si="316">if(min($K305:$O305)=K305,R305+1,R305)</f>
        <v>142</v>
      </c>
      <c r="S306" s="12">
        <f t="shared" si="316"/>
        <v>66</v>
      </c>
      <c r="T306" s="12">
        <f t="shared" si="316"/>
        <v>43</v>
      </c>
      <c r="U306" s="12">
        <f t="shared" si="316"/>
        <v>32</v>
      </c>
      <c r="V306" s="12">
        <f t="shared" si="316"/>
        <v>22</v>
      </c>
      <c r="X306" s="13">
        <f> 'Optimal Choice'!$B$5*'Optimal Choice'!$B$6^(R306+1)</f>
        <v>63670.78441</v>
      </c>
      <c r="Y306" s="13">
        <f> 'Optimal Choice'!$B$10*'Optimal Choice'!$B$11^(S306+1)</f>
        <v>699691.4292</v>
      </c>
      <c r="Z306" s="13">
        <f> 'Optimal Choice'!$B$15*'Optimal Choice'!$B$16^(T306+1)</f>
        <v>229692.0454</v>
      </c>
      <c r="AA306" s="13">
        <f> 'Optimal Choice'!$B$20*'Optimal Choice'!$B$21^(U306+1)</f>
        <v>487643.4301</v>
      </c>
      <c r="AB306" s="13">
        <f> 'Optimal Choice'!$B$25*'Optimal Choice'!$B$26^(V306+1)</f>
        <v>1405107.364</v>
      </c>
      <c r="AE306" s="12">
        <f t="shared" si="4"/>
        <v>60</v>
      </c>
      <c r="AF306" s="12">
        <f t="shared" si="5"/>
        <v>50</v>
      </c>
      <c r="AG306" s="12">
        <f t="shared" si="6"/>
        <v>4</v>
      </c>
      <c r="AH306" s="12">
        <f t="shared" si="7"/>
        <v>2</v>
      </c>
      <c r="AI306" s="14">
        <f t="shared" si="8"/>
        <v>1</v>
      </c>
      <c r="AL306" s="14">
        <f>R306*'Optimal Choice'!$B$4*AE306</f>
        <v>14228.4</v>
      </c>
      <c r="AM306" s="14">
        <f>S306*'Optimal Choice'!$B$9*AF306</f>
        <v>66000</v>
      </c>
      <c r="AN306" s="14">
        <f>T306*'Optimal Choice'!$B$14*AG306</f>
        <v>15480</v>
      </c>
      <c r="AO306" s="14">
        <f>U306*'Optimal Choice'!$B$19*AH306</f>
        <v>23040</v>
      </c>
      <c r="AP306" s="14">
        <f>V306*'Optimal Choice'!$B$24*AI306</f>
        <v>47520</v>
      </c>
      <c r="AS306" s="12">
        <f t="shared" si="9"/>
        <v>60</v>
      </c>
      <c r="AT306" s="12">
        <f t="shared" si="10"/>
        <v>50</v>
      </c>
      <c r="AU306" s="12">
        <f t="shared" si="11"/>
        <v>4</v>
      </c>
      <c r="AV306" s="12">
        <f t="shared" si="12"/>
        <v>2</v>
      </c>
      <c r="AW306" s="14">
        <f t="shared" si="13"/>
        <v>1</v>
      </c>
      <c r="AY306" s="11">
        <f t="shared" si="14"/>
        <v>0.06135749783</v>
      </c>
    </row>
    <row r="307" ht="15.75" customHeight="1">
      <c r="A307" s="15">
        <f t="shared" si="2"/>
        <v>7.751091135</v>
      </c>
      <c r="B307" s="7">
        <f>(sum(AL307:AP307))*'Optimal Choice'!$B$28</f>
        <v>166368.6</v>
      </c>
      <c r="C307" s="11"/>
      <c r="D307" s="12"/>
      <c r="E307" s="12"/>
      <c r="F307" s="11"/>
      <c r="G307" s="11"/>
      <c r="H307" s="11"/>
      <c r="I307" s="11"/>
      <c r="J307" s="11"/>
      <c r="K307" s="11">
        <f>(X307/$B307)+(X307/('Optimal Choice'!$B$4*AS307))</f>
        <v>680.3270569</v>
      </c>
      <c r="L307" s="11">
        <f>(Y307/$B307)+(Y307/('Optimal Choice'!$B$9*AT307))</f>
        <v>703.8970992</v>
      </c>
      <c r="M307" s="11">
        <f>(Z307/$B307)+(Z307/('Optimal Choice'!$B$14*AU307))</f>
        <v>639.4140809</v>
      </c>
      <c r="N307" s="11">
        <f>(AA307/$B307)+(AA307/('Optimal Choice'!$B$19*AV307))</f>
        <v>680.2136443</v>
      </c>
      <c r="O307" s="11">
        <f>(AB307/$B307)+(AB307/('Optimal Choice'!$B$24*AW307))</f>
        <v>658.9584172</v>
      </c>
      <c r="R307" s="12">
        <f t="shared" ref="R307:V307" si="317">if(min($K306:$O306)=K306,R306+1,R306)</f>
        <v>143</v>
      </c>
      <c r="S307" s="12">
        <f t="shared" si="317"/>
        <v>66</v>
      </c>
      <c r="T307" s="12">
        <f t="shared" si="317"/>
        <v>43</v>
      </c>
      <c r="U307" s="12">
        <f t="shared" si="317"/>
        <v>32</v>
      </c>
      <c r="V307" s="12">
        <f t="shared" si="317"/>
        <v>22</v>
      </c>
      <c r="X307" s="13">
        <f> 'Optimal Choice'!$B$5*'Optimal Choice'!$B$6^(R307+1)</f>
        <v>68127.73932</v>
      </c>
      <c r="Y307" s="13">
        <f> 'Optimal Choice'!$B$10*'Optimal Choice'!$B$11^(S307+1)</f>
        <v>699691.4292</v>
      </c>
      <c r="Z307" s="13">
        <f> 'Optimal Choice'!$B$15*'Optimal Choice'!$B$16^(T307+1)</f>
        <v>229692.0454</v>
      </c>
      <c r="AA307" s="13">
        <f> 'Optimal Choice'!$B$20*'Optimal Choice'!$B$21^(U307+1)</f>
        <v>487643.4301</v>
      </c>
      <c r="AB307" s="13">
        <f> 'Optimal Choice'!$B$25*'Optimal Choice'!$B$26^(V307+1)</f>
        <v>1405107.364</v>
      </c>
      <c r="AE307" s="12">
        <f t="shared" si="4"/>
        <v>60</v>
      </c>
      <c r="AF307" s="12">
        <f t="shared" si="5"/>
        <v>50</v>
      </c>
      <c r="AG307" s="12">
        <f t="shared" si="6"/>
        <v>4</v>
      </c>
      <c r="AH307" s="12">
        <f t="shared" si="7"/>
        <v>2</v>
      </c>
      <c r="AI307" s="14">
        <f t="shared" si="8"/>
        <v>1</v>
      </c>
      <c r="AL307" s="14">
        <f>R307*'Optimal Choice'!$B$4*AE307</f>
        <v>14328.6</v>
      </c>
      <c r="AM307" s="14">
        <f>S307*'Optimal Choice'!$B$9*AF307</f>
        <v>66000</v>
      </c>
      <c r="AN307" s="14">
        <f>T307*'Optimal Choice'!$B$14*AG307</f>
        <v>15480</v>
      </c>
      <c r="AO307" s="14">
        <f>U307*'Optimal Choice'!$B$19*AH307</f>
        <v>23040</v>
      </c>
      <c r="AP307" s="14">
        <f>V307*'Optimal Choice'!$B$24*AI307</f>
        <v>47520</v>
      </c>
      <c r="AS307" s="12">
        <f t="shared" si="9"/>
        <v>60</v>
      </c>
      <c r="AT307" s="12">
        <f t="shared" si="10"/>
        <v>50</v>
      </c>
      <c r="AU307" s="12">
        <f t="shared" si="11"/>
        <v>4</v>
      </c>
      <c r="AV307" s="12">
        <f t="shared" si="12"/>
        <v>2</v>
      </c>
      <c r="AW307" s="14">
        <f t="shared" si="13"/>
        <v>1</v>
      </c>
      <c r="AY307" s="11">
        <f t="shared" si="14"/>
        <v>0.006382329656</v>
      </c>
    </row>
    <row r="308" ht="15.75" customHeight="1">
      <c r="A308" s="15">
        <f t="shared" si="2"/>
        <v>7.774101492</v>
      </c>
      <c r="B308" s="7">
        <f>(sum(AL308:AP308))*'Optimal Choice'!$B$28</f>
        <v>166728.6</v>
      </c>
      <c r="C308" s="11"/>
      <c r="D308" s="12"/>
      <c r="E308" s="12"/>
      <c r="F308" s="11"/>
      <c r="G308" s="11"/>
      <c r="H308" s="11"/>
      <c r="I308" s="11"/>
      <c r="J308" s="11"/>
      <c r="K308" s="11">
        <f>(X308/$B308)+(X308/('Optimal Choice'!$B$4*AS308))</f>
        <v>680.3261727</v>
      </c>
      <c r="L308" s="11">
        <f>(Y308/$B308)+(Y308/('Optimal Choice'!$B$9*AT308))</f>
        <v>703.8880183</v>
      </c>
      <c r="M308" s="11">
        <f>(Z308/$B308)+(Z308/('Optimal Choice'!$B$14*AU308))</f>
        <v>728.9286539</v>
      </c>
      <c r="N308" s="11">
        <f>(AA308/$B308)+(AA308/('Optimal Choice'!$B$19*AV308))</f>
        <v>680.2073155</v>
      </c>
      <c r="O308" s="11">
        <f>(AB308/$B308)+(AB308/('Optimal Choice'!$B$24*AW308))</f>
        <v>658.9401811</v>
      </c>
      <c r="R308" s="12">
        <f t="shared" ref="R308:V308" si="318">if(min($K307:$O307)=K307,R307+1,R307)</f>
        <v>143</v>
      </c>
      <c r="S308" s="12">
        <f t="shared" si="318"/>
        <v>66</v>
      </c>
      <c r="T308" s="12">
        <f t="shared" si="318"/>
        <v>44</v>
      </c>
      <c r="U308" s="12">
        <f t="shared" si="318"/>
        <v>32</v>
      </c>
      <c r="V308" s="12">
        <f t="shared" si="318"/>
        <v>22</v>
      </c>
      <c r="X308" s="13">
        <f> 'Optimal Choice'!$B$5*'Optimal Choice'!$B$6^(R308+1)</f>
        <v>68127.73932</v>
      </c>
      <c r="Y308" s="13">
        <f> 'Optimal Choice'!$B$10*'Optimal Choice'!$B$11^(S308+1)</f>
        <v>699691.4292</v>
      </c>
      <c r="Z308" s="13">
        <f> 'Optimal Choice'!$B$15*'Optimal Choice'!$B$16^(T308+1)</f>
        <v>261848.9318</v>
      </c>
      <c r="AA308" s="13">
        <f> 'Optimal Choice'!$B$20*'Optimal Choice'!$B$21^(U308+1)</f>
        <v>487643.4301</v>
      </c>
      <c r="AB308" s="13">
        <f> 'Optimal Choice'!$B$25*'Optimal Choice'!$B$26^(V308+1)</f>
        <v>1405107.364</v>
      </c>
      <c r="AE308" s="12">
        <f t="shared" si="4"/>
        <v>60</v>
      </c>
      <c r="AF308" s="12">
        <f t="shared" si="5"/>
        <v>50</v>
      </c>
      <c r="AG308" s="12">
        <f t="shared" si="6"/>
        <v>4</v>
      </c>
      <c r="AH308" s="12">
        <f t="shared" si="7"/>
        <v>2</v>
      </c>
      <c r="AI308" s="14">
        <f t="shared" si="8"/>
        <v>1</v>
      </c>
      <c r="AL308" s="14">
        <f>R308*'Optimal Choice'!$B$4*AE308</f>
        <v>14328.6</v>
      </c>
      <c r="AM308" s="14">
        <f>S308*'Optimal Choice'!$B$9*AF308</f>
        <v>66000</v>
      </c>
      <c r="AN308" s="14">
        <f>T308*'Optimal Choice'!$B$14*AG308</f>
        <v>15840</v>
      </c>
      <c r="AO308" s="14">
        <f>U308*'Optimal Choice'!$B$19*AH308</f>
        <v>23040</v>
      </c>
      <c r="AP308" s="14">
        <f>V308*'Optimal Choice'!$B$24*AI308</f>
        <v>47520</v>
      </c>
      <c r="AS308" s="12">
        <f t="shared" si="9"/>
        <v>60</v>
      </c>
      <c r="AT308" s="12">
        <f t="shared" si="10"/>
        <v>50</v>
      </c>
      <c r="AU308" s="12">
        <f t="shared" si="11"/>
        <v>4</v>
      </c>
      <c r="AV308" s="12">
        <f t="shared" si="12"/>
        <v>2</v>
      </c>
      <c r="AW308" s="14">
        <f t="shared" si="13"/>
        <v>1</v>
      </c>
      <c r="AY308" s="11">
        <f t="shared" si="14"/>
        <v>0.02301035627</v>
      </c>
    </row>
    <row r="309" ht="15.75" customHeight="1">
      <c r="A309" s="15">
        <f t="shared" si="2"/>
        <v>7.914560034</v>
      </c>
      <c r="B309" s="7">
        <f>(sum(AL309:AP309))*'Optimal Choice'!$B$28</f>
        <v>168888.6</v>
      </c>
      <c r="C309" s="11"/>
      <c r="D309" s="12"/>
      <c r="E309" s="12"/>
      <c r="F309" s="11"/>
      <c r="G309" s="11"/>
      <c r="H309" s="11"/>
      <c r="I309" s="11"/>
      <c r="J309" s="11"/>
      <c r="K309" s="11">
        <f>(X309/$B309)+(X309/('Optimal Choice'!$B$4*AS309))</f>
        <v>680.3209467</v>
      </c>
      <c r="L309" s="11">
        <f>(Y309/$B309)+(Y309/('Optimal Choice'!$B$9*AT309))</f>
        <v>703.834346</v>
      </c>
      <c r="M309" s="11">
        <f>(Z309/$B309)+(Z309/('Optimal Choice'!$B$14*AU309))</f>
        <v>728.9085679</v>
      </c>
      <c r="N309" s="11">
        <f>(AA309/$B309)+(AA309/('Optimal Choice'!$B$19*AV309))</f>
        <v>680.1699091</v>
      </c>
      <c r="O309" s="11">
        <f>(AB309/$B309)+(AB309/('Optimal Choice'!$B$24*AW309))</f>
        <v>737.8922852</v>
      </c>
      <c r="R309" s="12">
        <f t="shared" ref="R309:V309" si="319">if(min($K308:$O308)=K308,R308+1,R308)</f>
        <v>143</v>
      </c>
      <c r="S309" s="12">
        <f t="shared" si="319"/>
        <v>66</v>
      </c>
      <c r="T309" s="12">
        <f t="shared" si="319"/>
        <v>44</v>
      </c>
      <c r="U309" s="12">
        <f t="shared" si="319"/>
        <v>32</v>
      </c>
      <c r="V309" s="12">
        <f t="shared" si="319"/>
        <v>23</v>
      </c>
      <c r="X309" s="13">
        <f> 'Optimal Choice'!$B$5*'Optimal Choice'!$B$6^(R309+1)</f>
        <v>68127.73932</v>
      </c>
      <c r="Y309" s="13">
        <f> 'Optimal Choice'!$B$10*'Optimal Choice'!$B$11^(S309+1)</f>
        <v>699691.4292</v>
      </c>
      <c r="Z309" s="13">
        <f> 'Optimal Choice'!$B$15*'Optimal Choice'!$B$16^(T309+1)</f>
        <v>261848.9318</v>
      </c>
      <c r="AA309" s="13">
        <f> 'Optimal Choice'!$B$20*'Optimal Choice'!$B$21^(U309+1)</f>
        <v>487643.4301</v>
      </c>
      <c r="AB309" s="13">
        <f> 'Optimal Choice'!$B$25*'Optimal Choice'!$B$26^(V309+1)</f>
        <v>1573720.248</v>
      </c>
      <c r="AE309" s="12">
        <f t="shared" si="4"/>
        <v>60</v>
      </c>
      <c r="AF309" s="12">
        <f t="shared" si="5"/>
        <v>50</v>
      </c>
      <c r="AG309" s="12">
        <f t="shared" si="6"/>
        <v>4</v>
      </c>
      <c r="AH309" s="12">
        <f t="shared" si="7"/>
        <v>2</v>
      </c>
      <c r="AI309" s="14">
        <f t="shared" si="8"/>
        <v>1</v>
      </c>
      <c r="AL309" s="14">
        <f>R309*'Optimal Choice'!$B$4*AE309</f>
        <v>14328.6</v>
      </c>
      <c r="AM309" s="14">
        <f>S309*'Optimal Choice'!$B$9*AF309</f>
        <v>66000</v>
      </c>
      <c r="AN309" s="14">
        <f>T309*'Optimal Choice'!$B$14*AG309</f>
        <v>15840</v>
      </c>
      <c r="AO309" s="14">
        <f>U309*'Optimal Choice'!$B$19*AH309</f>
        <v>23040</v>
      </c>
      <c r="AP309" s="14">
        <f>V309*'Optimal Choice'!$B$24*AI309</f>
        <v>49680</v>
      </c>
      <c r="AS309" s="12">
        <f t="shared" si="9"/>
        <v>60</v>
      </c>
      <c r="AT309" s="12">
        <f t="shared" si="10"/>
        <v>50</v>
      </c>
      <c r="AU309" s="12">
        <f t="shared" si="11"/>
        <v>4</v>
      </c>
      <c r="AV309" s="12">
        <f t="shared" si="12"/>
        <v>2</v>
      </c>
      <c r="AW309" s="14">
        <f t="shared" si="13"/>
        <v>1</v>
      </c>
      <c r="AY309" s="11">
        <f t="shared" si="14"/>
        <v>0.140458542</v>
      </c>
    </row>
    <row r="310" ht="15.75" customHeight="1">
      <c r="A310" s="15">
        <f t="shared" si="2"/>
        <v>7.962682823</v>
      </c>
      <c r="B310" s="7">
        <f>(sum(AL310:AP310))*'Optimal Choice'!$B$28</f>
        <v>169608.6</v>
      </c>
      <c r="C310" s="11"/>
      <c r="D310" s="12"/>
      <c r="E310" s="12"/>
      <c r="F310" s="11"/>
      <c r="G310" s="11"/>
      <c r="H310" s="11"/>
      <c r="I310" s="11"/>
      <c r="J310" s="11"/>
      <c r="K310" s="11">
        <f>(X310/$B310)+(X310/('Optimal Choice'!$B$4*AS310))</f>
        <v>680.3192343</v>
      </c>
      <c r="L310" s="11">
        <f>(Y310/$B310)+(Y310/('Optimal Choice'!$B$9*AT310))</f>
        <v>703.8167591</v>
      </c>
      <c r="M310" s="11">
        <f>(Z310/$B310)+(Z310/('Optimal Choice'!$B$14*AU310))</f>
        <v>728.9019862</v>
      </c>
      <c r="N310" s="11">
        <f>(AA310/$B310)+(AA310/('Optimal Choice'!$B$19*AV310))</f>
        <v>768.5781468</v>
      </c>
      <c r="O310" s="11">
        <f>(AB310/$B310)+(AB310/('Optimal Choice'!$B$24*AW310))</f>
        <v>737.8527293</v>
      </c>
      <c r="R310" s="12">
        <f t="shared" ref="R310:V310" si="320">if(min($K309:$O309)=K309,R309+1,R309)</f>
        <v>143</v>
      </c>
      <c r="S310" s="12">
        <f t="shared" si="320"/>
        <v>66</v>
      </c>
      <c r="T310" s="12">
        <f t="shared" si="320"/>
        <v>44</v>
      </c>
      <c r="U310" s="12">
        <f t="shared" si="320"/>
        <v>33</v>
      </c>
      <c r="V310" s="12">
        <f t="shared" si="320"/>
        <v>23</v>
      </c>
      <c r="X310" s="13">
        <f> 'Optimal Choice'!$B$5*'Optimal Choice'!$B$6^(R310+1)</f>
        <v>68127.73932</v>
      </c>
      <c r="Y310" s="13">
        <f> 'Optimal Choice'!$B$10*'Optimal Choice'!$B$11^(S310+1)</f>
        <v>699691.4292</v>
      </c>
      <c r="Z310" s="13">
        <f> 'Optimal Choice'!$B$15*'Optimal Choice'!$B$16^(T310+1)</f>
        <v>261848.9318</v>
      </c>
      <c r="AA310" s="13">
        <f> 'Optimal Choice'!$B$20*'Optimal Choice'!$B$21^(U310+1)</f>
        <v>551037.076</v>
      </c>
      <c r="AB310" s="13">
        <f> 'Optimal Choice'!$B$25*'Optimal Choice'!$B$26^(V310+1)</f>
        <v>1573720.248</v>
      </c>
      <c r="AE310" s="12">
        <f t="shared" si="4"/>
        <v>60</v>
      </c>
      <c r="AF310" s="12">
        <f t="shared" si="5"/>
        <v>50</v>
      </c>
      <c r="AG310" s="12">
        <f t="shared" si="6"/>
        <v>4</v>
      </c>
      <c r="AH310" s="12">
        <f t="shared" si="7"/>
        <v>2</v>
      </c>
      <c r="AI310" s="14">
        <f t="shared" si="8"/>
        <v>1</v>
      </c>
      <c r="AL310" s="14">
        <f>R310*'Optimal Choice'!$B$4*AE310</f>
        <v>14328.6</v>
      </c>
      <c r="AM310" s="14">
        <f>S310*'Optimal Choice'!$B$9*AF310</f>
        <v>66000</v>
      </c>
      <c r="AN310" s="14">
        <f>T310*'Optimal Choice'!$B$14*AG310</f>
        <v>15840</v>
      </c>
      <c r="AO310" s="14">
        <f>U310*'Optimal Choice'!$B$19*AH310</f>
        <v>23760</v>
      </c>
      <c r="AP310" s="14">
        <f>V310*'Optimal Choice'!$B$24*AI310</f>
        <v>49680</v>
      </c>
      <c r="AS310" s="12">
        <f t="shared" si="9"/>
        <v>60</v>
      </c>
      <c r="AT310" s="12">
        <f t="shared" si="10"/>
        <v>50</v>
      </c>
      <c r="AU310" s="12">
        <f t="shared" si="11"/>
        <v>4</v>
      </c>
      <c r="AV310" s="12">
        <f t="shared" si="12"/>
        <v>2</v>
      </c>
      <c r="AW310" s="14">
        <f t="shared" si="13"/>
        <v>1</v>
      </c>
      <c r="AY310" s="11">
        <f t="shared" si="14"/>
        <v>0.04812278923</v>
      </c>
    </row>
    <row r="311" ht="15.75" customHeight="1">
      <c r="A311" s="15">
        <f t="shared" si="2"/>
        <v>7.969377426</v>
      </c>
      <c r="B311" s="7">
        <f>(sum(AL311:AP311))*'Optimal Choice'!$B$28</f>
        <v>169708.8</v>
      </c>
      <c r="C311" s="11"/>
      <c r="D311" s="12"/>
      <c r="E311" s="12"/>
      <c r="F311" s="11"/>
      <c r="G311" s="11"/>
      <c r="H311" s="11"/>
      <c r="I311" s="11"/>
      <c r="J311" s="11"/>
      <c r="K311" s="11">
        <f>(X311/$B311)+(X311/('Optimal Choice'!$B$4*AS311))</f>
        <v>727.9413269</v>
      </c>
      <c r="L311" s="11">
        <f>(Y311/$B311)+(Y311/('Optimal Choice'!$B$9*AT311))</f>
        <v>703.8143234</v>
      </c>
      <c r="M311" s="11">
        <f>(Z311/$B311)+(Z311/('Optimal Choice'!$B$14*AU311))</f>
        <v>728.9010747</v>
      </c>
      <c r="N311" s="11">
        <f>(AA311/$B311)+(AA311/('Optimal Choice'!$B$19*AV311))</f>
        <v>768.5762286</v>
      </c>
      <c r="O311" s="11">
        <f>(AB311/$B311)+(AB311/('Optimal Choice'!$B$24*AW311))</f>
        <v>737.847251</v>
      </c>
      <c r="R311" s="12">
        <f t="shared" ref="R311:V311" si="321">if(min($K310:$O310)=K310,R310+1,R310)</f>
        <v>144</v>
      </c>
      <c r="S311" s="12">
        <f t="shared" si="321"/>
        <v>66</v>
      </c>
      <c r="T311" s="12">
        <f t="shared" si="321"/>
        <v>44</v>
      </c>
      <c r="U311" s="12">
        <f t="shared" si="321"/>
        <v>33</v>
      </c>
      <c r="V311" s="12">
        <f t="shared" si="321"/>
        <v>23</v>
      </c>
      <c r="X311" s="13">
        <f> 'Optimal Choice'!$B$5*'Optimal Choice'!$B$6^(R311+1)</f>
        <v>72896.68107</v>
      </c>
      <c r="Y311" s="13">
        <f> 'Optimal Choice'!$B$10*'Optimal Choice'!$B$11^(S311+1)</f>
        <v>699691.4292</v>
      </c>
      <c r="Z311" s="13">
        <f> 'Optimal Choice'!$B$15*'Optimal Choice'!$B$16^(T311+1)</f>
        <v>261848.9318</v>
      </c>
      <c r="AA311" s="13">
        <f> 'Optimal Choice'!$B$20*'Optimal Choice'!$B$21^(U311+1)</f>
        <v>551037.076</v>
      </c>
      <c r="AB311" s="13">
        <f> 'Optimal Choice'!$B$25*'Optimal Choice'!$B$26^(V311+1)</f>
        <v>1573720.248</v>
      </c>
      <c r="AE311" s="12">
        <f t="shared" si="4"/>
        <v>60</v>
      </c>
      <c r="AF311" s="12">
        <f t="shared" si="5"/>
        <v>50</v>
      </c>
      <c r="AG311" s="12">
        <f t="shared" si="6"/>
        <v>4</v>
      </c>
      <c r="AH311" s="12">
        <f t="shared" si="7"/>
        <v>2</v>
      </c>
      <c r="AI311" s="14">
        <f t="shared" si="8"/>
        <v>1</v>
      </c>
      <c r="AL311" s="14">
        <f>R311*'Optimal Choice'!$B$4*AE311</f>
        <v>14428.8</v>
      </c>
      <c r="AM311" s="14">
        <f>S311*'Optimal Choice'!$B$9*AF311</f>
        <v>66000</v>
      </c>
      <c r="AN311" s="14">
        <f>T311*'Optimal Choice'!$B$14*AG311</f>
        <v>15840</v>
      </c>
      <c r="AO311" s="14">
        <f>U311*'Optimal Choice'!$B$19*AH311</f>
        <v>23760</v>
      </c>
      <c r="AP311" s="14">
        <f>V311*'Optimal Choice'!$B$24*AI311</f>
        <v>49680</v>
      </c>
      <c r="AS311" s="12">
        <f t="shared" si="9"/>
        <v>60</v>
      </c>
      <c r="AT311" s="12">
        <f t="shared" si="10"/>
        <v>50</v>
      </c>
      <c r="AU311" s="12">
        <f t="shared" si="11"/>
        <v>4</v>
      </c>
      <c r="AV311" s="12">
        <f t="shared" si="12"/>
        <v>2</v>
      </c>
      <c r="AW311" s="14">
        <f t="shared" si="13"/>
        <v>1</v>
      </c>
      <c r="AY311" s="11">
        <f t="shared" si="14"/>
        <v>0.006694603469</v>
      </c>
    </row>
    <row r="312" ht="15.75" customHeight="1">
      <c r="A312" s="15">
        <f t="shared" si="2"/>
        <v>8.03809233</v>
      </c>
      <c r="B312" s="7">
        <f>(sum(AL312:AP312))*'Optimal Choice'!$B$28</f>
        <v>170708.8</v>
      </c>
      <c r="C312" s="11"/>
      <c r="D312" s="12"/>
      <c r="E312" s="12"/>
      <c r="F312" s="11"/>
      <c r="G312" s="11"/>
      <c r="H312" s="11"/>
      <c r="I312" s="11"/>
      <c r="J312" s="11"/>
      <c r="K312" s="11">
        <f>(X312/$B312)+(X312/('Optimal Choice'!$B$4*AS312))</f>
        <v>727.9388107</v>
      </c>
      <c r="L312" s="11">
        <f>(Y312/$B312)+(Y312/('Optimal Choice'!$B$9*AT312))</f>
        <v>809.3586975</v>
      </c>
      <c r="M312" s="11">
        <f>(Z312/$B312)+(Z312/('Optimal Choice'!$B$14*AU312))</f>
        <v>728.8920363</v>
      </c>
      <c r="N312" s="11">
        <f>(AA312/$B312)+(AA312/('Optimal Choice'!$B$19*AV312))</f>
        <v>768.5572082</v>
      </c>
      <c r="O312" s="11">
        <f>(AB312/$B312)+(AB312/('Optimal Choice'!$B$24*AW312))</f>
        <v>737.7929301</v>
      </c>
      <c r="R312" s="12">
        <f t="shared" ref="R312:V312" si="322">if(min($K311:$O311)=K311,R311+1,R311)</f>
        <v>144</v>
      </c>
      <c r="S312" s="12">
        <f t="shared" si="322"/>
        <v>67</v>
      </c>
      <c r="T312" s="12">
        <f t="shared" si="322"/>
        <v>44</v>
      </c>
      <c r="U312" s="12">
        <f t="shared" si="322"/>
        <v>33</v>
      </c>
      <c r="V312" s="12">
        <f t="shared" si="322"/>
        <v>23</v>
      </c>
      <c r="X312" s="13">
        <f> 'Optimal Choice'!$B$5*'Optimal Choice'!$B$6^(R312+1)</f>
        <v>72896.68107</v>
      </c>
      <c r="Y312" s="13">
        <f> 'Optimal Choice'!$B$10*'Optimal Choice'!$B$11^(S312+1)</f>
        <v>804645.1435</v>
      </c>
      <c r="Z312" s="13">
        <f> 'Optimal Choice'!$B$15*'Optimal Choice'!$B$16^(T312+1)</f>
        <v>261848.9318</v>
      </c>
      <c r="AA312" s="13">
        <f> 'Optimal Choice'!$B$20*'Optimal Choice'!$B$21^(U312+1)</f>
        <v>551037.076</v>
      </c>
      <c r="AB312" s="13">
        <f> 'Optimal Choice'!$B$25*'Optimal Choice'!$B$26^(V312+1)</f>
        <v>1573720.248</v>
      </c>
      <c r="AE312" s="12">
        <f t="shared" si="4"/>
        <v>60</v>
      </c>
      <c r="AF312" s="12">
        <f t="shared" si="5"/>
        <v>50</v>
      </c>
      <c r="AG312" s="12">
        <f t="shared" si="6"/>
        <v>4</v>
      </c>
      <c r="AH312" s="12">
        <f t="shared" si="7"/>
        <v>2</v>
      </c>
      <c r="AI312" s="14">
        <f t="shared" si="8"/>
        <v>1</v>
      </c>
      <c r="AL312" s="14">
        <f>R312*'Optimal Choice'!$B$4*AE312</f>
        <v>14428.8</v>
      </c>
      <c r="AM312" s="14">
        <f>S312*'Optimal Choice'!$B$9*AF312</f>
        <v>67000</v>
      </c>
      <c r="AN312" s="14">
        <f>T312*'Optimal Choice'!$B$14*AG312</f>
        <v>15840</v>
      </c>
      <c r="AO312" s="14">
        <f>U312*'Optimal Choice'!$B$19*AH312</f>
        <v>23760</v>
      </c>
      <c r="AP312" s="14">
        <f>V312*'Optimal Choice'!$B$24*AI312</f>
        <v>49680</v>
      </c>
      <c r="AS312" s="12">
        <f t="shared" si="9"/>
        <v>60</v>
      </c>
      <c r="AT312" s="12">
        <f t="shared" si="10"/>
        <v>50</v>
      </c>
      <c r="AU312" s="12">
        <f t="shared" si="11"/>
        <v>4</v>
      </c>
      <c r="AV312" s="12">
        <f t="shared" si="12"/>
        <v>2</v>
      </c>
      <c r="AW312" s="14">
        <f t="shared" si="13"/>
        <v>1</v>
      </c>
      <c r="AY312" s="11">
        <f t="shared" si="14"/>
        <v>0.06871490353</v>
      </c>
    </row>
    <row r="313" ht="15.75" customHeight="1">
      <c r="A313" s="15">
        <f t="shared" si="2"/>
        <v>8.045209389</v>
      </c>
      <c r="B313" s="7">
        <f>(sum(AL313:AP313))*'Optimal Choice'!$B$28</f>
        <v>170809</v>
      </c>
      <c r="C313" s="11"/>
      <c r="D313" s="12"/>
      <c r="E313" s="12"/>
      <c r="F313" s="11"/>
      <c r="G313" s="11"/>
      <c r="H313" s="11"/>
      <c r="I313" s="11"/>
      <c r="J313" s="11"/>
      <c r="K313" s="11">
        <f>(X313/$B313)+(X313/('Optimal Choice'!$B$4*AS313))</f>
        <v>778.8942594</v>
      </c>
      <c r="L313" s="11">
        <f>(Y313/$B313)+(Y313/('Optimal Choice'!$B$9*AT313))</f>
        <v>809.3559325</v>
      </c>
      <c r="M313" s="11">
        <f>(Z313/$B313)+(Z313/('Optimal Choice'!$B$14*AU313))</f>
        <v>728.8911365</v>
      </c>
      <c r="N313" s="11">
        <f>(AA313/$B313)+(AA313/('Optimal Choice'!$B$19*AV313))</f>
        <v>768.5553146</v>
      </c>
      <c r="O313" s="11">
        <f>(AB313/$B313)+(AB313/('Optimal Choice'!$B$24*AW313))</f>
        <v>737.7875222</v>
      </c>
      <c r="R313" s="12">
        <f t="shared" ref="R313:V313" si="323">if(min($K312:$O312)=K312,R312+1,R312)</f>
        <v>145</v>
      </c>
      <c r="S313" s="12">
        <f t="shared" si="323"/>
        <v>67</v>
      </c>
      <c r="T313" s="12">
        <f t="shared" si="323"/>
        <v>44</v>
      </c>
      <c r="U313" s="12">
        <f t="shared" si="323"/>
        <v>33</v>
      </c>
      <c r="V313" s="12">
        <f t="shared" si="323"/>
        <v>23</v>
      </c>
      <c r="X313" s="13">
        <f> 'Optimal Choice'!$B$5*'Optimal Choice'!$B$6^(R313+1)</f>
        <v>77999.44875</v>
      </c>
      <c r="Y313" s="13">
        <f> 'Optimal Choice'!$B$10*'Optimal Choice'!$B$11^(S313+1)</f>
        <v>804645.1435</v>
      </c>
      <c r="Z313" s="13">
        <f> 'Optimal Choice'!$B$15*'Optimal Choice'!$B$16^(T313+1)</f>
        <v>261848.9318</v>
      </c>
      <c r="AA313" s="13">
        <f> 'Optimal Choice'!$B$20*'Optimal Choice'!$B$21^(U313+1)</f>
        <v>551037.076</v>
      </c>
      <c r="AB313" s="13">
        <f> 'Optimal Choice'!$B$25*'Optimal Choice'!$B$26^(V313+1)</f>
        <v>1573720.248</v>
      </c>
      <c r="AE313" s="12">
        <f t="shared" si="4"/>
        <v>60</v>
      </c>
      <c r="AF313" s="12">
        <f t="shared" si="5"/>
        <v>50</v>
      </c>
      <c r="AG313" s="12">
        <f t="shared" si="6"/>
        <v>4</v>
      </c>
      <c r="AH313" s="12">
        <f t="shared" si="7"/>
        <v>2</v>
      </c>
      <c r="AI313" s="14">
        <f t="shared" si="8"/>
        <v>1</v>
      </c>
      <c r="AL313" s="14">
        <f>R313*'Optimal Choice'!$B$4*AE313</f>
        <v>14529</v>
      </c>
      <c r="AM313" s="14">
        <f>S313*'Optimal Choice'!$B$9*AF313</f>
        <v>67000</v>
      </c>
      <c r="AN313" s="14">
        <f>T313*'Optimal Choice'!$B$14*AG313</f>
        <v>15840</v>
      </c>
      <c r="AO313" s="14">
        <f>U313*'Optimal Choice'!$B$19*AH313</f>
        <v>23760</v>
      </c>
      <c r="AP313" s="14">
        <f>V313*'Optimal Choice'!$B$24*AI313</f>
        <v>49680</v>
      </c>
      <c r="AS313" s="12">
        <f t="shared" si="9"/>
        <v>60</v>
      </c>
      <c r="AT313" s="12">
        <f t="shared" si="10"/>
        <v>50</v>
      </c>
      <c r="AU313" s="12">
        <f t="shared" si="11"/>
        <v>4</v>
      </c>
      <c r="AV313" s="12">
        <f t="shared" si="12"/>
        <v>2</v>
      </c>
      <c r="AW313" s="14">
        <f t="shared" si="13"/>
        <v>1</v>
      </c>
      <c r="AY313" s="11">
        <f t="shared" si="14"/>
        <v>0.007117059487</v>
      </c>
    </row>
    <row r="314" ht="15.75" customHeight="1">
      <c r="A314" s="15">
        <f t="shared" si="2"/>
        <v>8.070759266</v>
      </c>
      <c r="B314" s="7">
        <f>(sum(AL314:AP314))*'Optimal Choice'!$B$28</f>
        <v>171169</v>
      </c>
      <c r="C314" s="11"/>
      <c r="D314" s="12"/>
      <c r="E314" s="12"/>
      <c r="F314" s="11"/>
      <c r="G314" s="11"/>
      <c r="H314" s="11"/>
      <c r="I314" s="11"/>
      <c r="J314" s="11"/>
      <c r="K314" s="11">
        <f>(X314/$B314)+(X314/('Optimal Choice'!$B$4*AS314))</f>
        <v>778.893299</v>
      </c>
      <c r="L314" s="11">
        <f>(Y314/$B314)+(Y314/('Optimal Choice'!$B$9*AT314))</f>
        <v>809.3460248</v>
      </c>
      <c r="M314" s="11">
        <f>(Z314/$B314)+(Z314/('Optimal Choice'!$B$14*AU314))</f>
        <v>830.9322201</v>
      </c>
      <c r="N314" s="11">
        <f>(AA314/$B314)+(AA314/('Optimal Choice'!$B$19*AV314))</f>
        <v>768.5485296</v>
      </c>
      <c r="O314" s="11">
        <f>(AB314/$B314)+(AB314/('Optimal Choice'!$B$24*AW314))</f>
        <v>737.7681448</v>
      </c>
      <c r="R314" s="12">
        <f t="shared" ref="R314:V314" si="324">if(min($K313:$O313)=K313,R313+1,R313)</f>
        <v>145</v>
      </c>
      <c r="S314" s="12">
        <f t="shared" si="324"/>
        <v>67</v>
      </c>
      <c r="T314" s="12">
        <f t="shared" si="324"/>
        <v>45</v>
      </c>
      <c r="U314" s="12">
        <f t="shared" si="324"/>
        <v>33</v>
      </c>
      <c r="V314" s="12">
        <f t="shared" si="324"/>
        <v>23</v>
      </c>
      <c r="X314" s="13">
        <f> 'Optimal Choice'!$B$5*'Optimal Choice'!$B$6^(R314+1)</f>
        <v>77999.44875</v>
      </c>
      <c r="Y314" s="13">
        <f> 'Optimal Choice'!$B$10*'Optimal Choice'!$B$11^(S314+1)</f>
        <v>804645.1435</v>
      </c>
      <c r="Z314" s="13">
        <f> 'Optimal Choice'!$B$15*'Optimal Choice'!$B$16^(T314+1)</f>
        <v>298507.7823</v>
      </c>
      <c r="AA314" s="13">
        <f> 'Optimal Choice'!$B$20*'Optimal Choice'!$B$21^(U314+1)</f>
        <v>551037.076</v>
      </c>
      <c r="AB314" s="13">
        <f> 'Optimal Choice'!$B$25*'Optimal Choice'!$B$26^(V314+1)</f>
        <v>1573720.248</v>
      </c>
      <c r="AE314" s="12">
        <f t="shared" si="4"/>
        <v>60</v>
      </c>
      <c r="AF314" s="12">
        <f t="shared" si="5"/>
        <v>50</v>
      </c>
      <c r="AG314" s="12">
        <f t="shared" si="6"/>
        <v>4</v>
      </c>
      <c r="AH314" s="12">
        <f t="shared" si="7"/>
        <v>2</v>
      </c>
      <c r="AI314" s="14">
        <f t="shared" si="8"/>
        <v>1</v>
      </c>
      <c r="AL314" s="14">
        <f>R314*'Optimal Choice'!$B$4*AE314</f>
        <v>14529</v>
      </c>
      <c r="AM314" s="14">
        <f>S314*'Optimal Choice'!$B$9*AF314</f>
        <v>67000</v>
      </c>
      <c r="AN314" s="14">
        <f>T314*'Optimal Choice'!$B$14*AG314</f>
        <v>16200</v>
      </c>
      <c r="AO314" s="14">
        <f>U314*'Optimal Choice'!$B$19*AH314</f>
        <v>23760</v>
      </c>
      <c r="AP314" s="14">
        <f>V314*'Optimal Choice'!$B$24*AI314</f>
        <v>49680</v>
      </c>
      <c r="AS314" s="12">
        <f t="shared" si="9"/>
        <v>60</v>
      </c>
      <c r="AT314" s="12">
        <f t="shared" si="10"/>
        <v>50</v>
      </c>
      <c r="AU314" s="12">
        <f t="shared" si="11"/>
        <v>4</v>
      </c>
      <c r="AV314" s="12">
        <f t="shared" si="12"/>
        <v>2</v>
      </c>
      <c r="AW314" s="14">
        <f t="shared" si="13"/>
        <v>1</v>
      </c>
      <c r="AY314" s="11">
        <f t="shared" si="14"/>
        <v>0.02554987655</v>
      </c>
    </row>
    <row r="315" ht="15.75" customHeight="1">
      <c r="A315" s="15">
        <f t="shared" si="2"/>
        <v>8.223991865</v>
      </c>
      <c r="B315" s="7">
        <f>(sum(AL315:AP315))*'Optimal Choice'!$B$28</f>
        <v>173329</v>
      </c>
      <c r="C315" s="11"/>
      <c r="D315" s="12"/>
      <c r="E315" s="12"/>
      <c r="F315" s="11"/>
      <c r="G315" s="11"/>
      <c r="H315" s="11"/>
      <c r="I315" s="11"/>
      <c r="J315" s="11"/>
      <c r="K315" s="11">
        <f>(X315/$B315)+(X315/('Optimal Choice'!$B$4*AS315))</f>
        <v>778.8876203</v>
      </c>
      <c r="L315" s="11">
        <f>(Y315/$B315)+(Y315/('Optimal Choice'!$B$9*AT315))</f>
        <v>809.2874431</v>
      </c>
      <c r="M315" s="11">
        <f>(Z315/$B315)+(Z315/('Optimal Choice'!$B$14*AU315))</f>
        <v>830.9104874</v>
      </c>
      <c r="N315" s="11">
        <f>(AA315/$B315)+(AA315/('Optimal Choice'!$B$19*AV315))</f>
        <v>768.5084117</v>
      </c>
      <c r="O315" s="11">
        <f>(AB315/$B315)+(AB315/('Optimal Choice'!$B$24*AW315))</f>
        <v>554.1709691</v>
      </c>
      <c r="R315" s="12">
        <f t="shared" ref="R315:V315" si="325">if(min($K314:$O314)=K314,R314+1,R314)</f>
        <v>145</v>
      </c>
      <c r="S315" s="12">
        <f t="shared" si="325"/>
        <v>67</v>
      </c>
      <c r="T315" s="12">
        <f t="shared" si="325"/>
        <v>45</v>
      </c>
      <c r="U315" s="12">
        <f t="shared" si="325"/>
        <v>33</v>
      </c>
      <c r="V315" s="12">
        <f t="shared" si="325"/>
        <v>24</v>
      </c>
      <c r="X315" s="13">
        <f> 'Optimal Choice'!$B$5*'Optimal Choice'!$B$6^(R315+1)</f>
        <v>77999.44875</v>
      </c>
      <c r="Y315" s="13">
        <f> 'Optimal Choice'!$B$10*'Optimal Choice'!$B$11^(S315+1)</f>
        <v>804645.1435</v>
      </c>
      <c r="Z315" s="13">
        <f> 'Optimal Choice'!$B$15*'Optimal Choice'!$B$16^(T315+1)</f>
        <v>298507.7823</v>
      </c>
      <c r="AA315" s="13">
        <f> 'Optimal Choice'!$B$20*'Optimal Choice'!$B$21^(U315+1)</f>
        <v>551037.076</v>
      </c>
      <c r="AB315" s="13">
        <f> 'Optimal Choice'!$B$25*'Optimal Choice'!$B$26^(V315+1)</f>
        <v>1762566.678</v>
      </c>
      <c r="AE315" s="12">
        <f t="shared" si="4"/>
        <v>60</v>
      </c>
      <c r="AF315" s="12">
        <f t="shared" si="5"/>
        <v>50</v>
      </c>
      <c r="AG315" s="12">
        <f t="shared" si="6"/>
        <v>4</v>
      </c>
      <c r="AH315" s="12">
        <f t="shared" si="7"/>
        <v>2</v>
      </c>
      <c r="AI315" s="14">
        <f t="shared" si="8"/>
        <v>1</v>
      </c>
      <c r="AL315" s="14">
        <f>R315*'Optimal Choice'!$B$4*AE315</f>
        <v>14529</v>
      </c>
      <c r="AM315" s="14">
        <f>S315*'Optimal Choice'!$B$9*AF315</f>
        <v>67000</v>
      </c>
      <c r="AN315" s="14">
        <f>T315*'Optimal Choice'!$B$14*AG315</f>
        <v>16200</v>
      </c>
      <c r="AO315" s="14">
        <f>U315*'Optimal Choice'!$B$19*AH315</f>
        <v>23760</v>
      </c>
      <c r="AP315" s="14">
        <f>V315*'Optimal Choice'!$B$24*AI315</f>
        <v>51840</v>
      </c>
      <c r="AS315" s="12">
        <f t="shared" si="9"/>
        <v>60</v>
      </c>
      <c r="AT315" s="12">
        <f t="shared" si="10"/>
        <v>50</v>
      </c>
      <c r="AU315" s="12">
        <f t="shared" si="11"/>
        <v>4</v>
      </c>
      <c r="AV315" s="12">
        <f t="shared" si="12"/>
        <v>2</v>
      </c>
      <c r="AW315" s="12">
        <f t="shared" si="13"/>
        <v>1.5</v>
      </c>
      <c r="AY315" s="11">
        <f t="shared" si="14"/>
        <v>0.1532325994</v>
      </c>
    </row>
    <row r="316" ht="15.75" customHeight="1">
      <c r="A316" s="15">
        <f t="shared" si="2"/>
        <v>8.393473667</v>
      </c>
      <c r="B316" s="7">
        <f>(sum(AL316:AP316))*'Optimal Choice'!$B$28</f>
        <v>202489</v>
      </c>
      <c r="C316" s="11"/>
      <c r="D316" s="12"/>
      <c r="E316" s="12"/>
      <c r="F316" s="11"/>
      <c r="G316" s="11"/>
      <c r="H316" s="11"/>
      <c r="I316" s="11"/>
      <c r="J316" s="11"/>
      <c r="K316" s="11">
        <f>(X316/$B316)+(X316/('Optimal Choice'!$B$4*AS316))</f>
        <v>778.8228156</v>
      </c>
      <c r="L316" s="11">
        <f>(Y316/$B316)+(Y316/('Optimal Choice'!$B$9*AT316))</f>
        <v>808.6189157</v>
      </c>
      <c r="M316" s="11">
        <f>(Z316/$B316)+(Z316/('Optimal Choice'!$B$14*AU316))</f>
        <v>830.6624766</v>
      </c>
      <c r="N316" s="11">
        <f>(AA316/$B316)+(AA316/('Optimal Choice'!$B$19*AV316))</f>
        <v>768.0505908</v>
      </c>
      <c r="O316" s="11">
        <f>(AB316/$B316)+(AB316/('Optimal Choice'!$B$24*AW316))</f>
        <v>619.0313548</v>
      </c>
      <c r="R316" s="12">
        <f t="shared" ref="R316:V316" si="326">if(min($K315:$O315)=K315,R315+1,R315)</f>
        <v>145</v>
      </c>
      <c r="S316" s="12">
        <f t="shared" si="326"/>
        <v>67</v>
      </c>
      <c r="T316" s="12">
        <f t="shared" si="326"/>
        <v>45</v>
      </c>
      <c r="U316" s="12">
        <f t="shared" si="326"/>
        <v>33</v>
      </c>
      <c r="V316" s="12">
        <f t="shared" si="326"/>
        <v>25</v>
      </c>
      <c r="X316" s="13">
        <f> 'Optimal Choice'!$B$5*'Optimal Choice'!$B$6^(R316+1)</f>
        <v>77999.44875</v>
      </c>
      <c r="Y316" s="13">
        <f> 'Optimal Choice'!$B$10*'Optimal Choice'!$B$11^(S316+1)</f>
        <v>804645.1435</v>
      </c>
      <c r="Z316" s="13">
        <f> 'Optimal Choice'!$B$15*'Optimal Choice'!$B$16^(T316+1)</f>
        <v>298507.7823</v>
      </c>
      <c r="AA316" s="13">
        <f> 'Optimal Choice'!$B$20*'Optimal Choice'!$B$21^(U316+1)</f>
        <v>551037.076</v>
      </c>
      <c r="AB316" s="13">
        <f> 'Optimal Choice'!$B$25*'Optimal Choice'!$B$26^(V316+1)</f>
        <v>1974074.679</v>
      </c>
      <c r="AE316" s="12">
        <f t="shared" si="4"/>
        <v>60</v>
      </c>
      <c r="AF316" s="12">
        <f t="shared" si="5"/>
        <v>50</v>
      </c>
      <c r="AG316" s="12">
        <f t="shared" si="6"/>
        <v>4</v>
      </c>
      <c r="AH316" s="12">
        <f t="shared" si="7"/>
        <v>2</v>
      </c>
      <c r="AI316" s="12">
        <f t="shared" si="8"/>
        <v>1.5</v>
      </c>
      <c r="AL316" s="14">
        <f>R316*'Optimal Choice'!$B$4*AE316</f>
        <v>14529</v>
      </c>
      <c r="AM316" s="14">
        <f>S316*'Optimal Choice'!$B$9*AF316</f>
        <v>67000</v>
      </c>
      <c r="AN316" s="14">
        <f>T316*'Optimal Choice'!$B$14*AG316</f>
        <v>16200</v>
      </c>
      <c r="AO316" s="14">
        <f>U316*'Optimal Choice'!$B$19*AH316</f>
        <v>23760</v>
      </c>
      <c r="AP316" s="14">
        <f>V316*'Optimal Choice'!$B$24*AI316</f>
        <v>81000</v>
      </c>
      <c r="AS316" s="12">
        <f t="shared" si="9"/>
        <v>60</v>
      </c>
      <c r="AT316" s="12">
        <f t="shared" si="10"/>
        <v>50</v>
      </c>
      <c r="AU316" s="12">
        <f t="shared" si="11"/>
        <v>4</v>
      </c>
      <c r="AV316" s="12">
        <f t="shared" si="12"/>
        <v>2</v>
      </c>
      <c r="AW316" s="12">
        <f t="shared" si="13"/>
        <v>1.5</v>
      </c>
      <c r="AY316" s="11">
        <f t="shared" si="14"/>
        <v>0.1694818022</v>
      </c>
    </row>
    <row r="317" ht="15.75" customHeight="1">
      <c r="A317" s="15">
        <f t="shared" si="2"/>
        <v>8.555957776</v>
      </c>
      <c r="B317" s="7">
        <f>(sum(AL317:AP317))*'Optimal Choice'!$B$28</f>
        <v>205729</v>
      </c>
      <c r="C317" s="11"/>
      <c r="D317" s="12"/>
      <c r="E317" s="12"/>
      <c r="F317" s="11"/>
      <c r="G317" s="11"/>
      <c r="H317" s="11"/>
      <c r="I317" s="11"/>
      <c r="J317" s="11"/>
      <c r="K317" s="11">
        <f>(X317/$B317)+(X317/('Optimal Choice'!$B$4*AS317))</f>
        <v>778.8167491</v>
      </c>
      <c r="L317" s="11">
        <f>(Y317/$B317)+(Y317/('Optimal Choice'!$B$9*AT317))</f>
        <v>808.5563332</v>
      </c>
      <c r="M317" s="11">
        <f>(Z317/$B317)+(Z317/('Optimal Choice'!$B$14*AU317))</f>
        <v>830.6392598</v>
      </c>
      <c r="N317" s="11">
        <f>(AA317/$B317)+(AA317/('Optimal Choice'!$B$19*AV317))</f>
        <v>768.0077331</v>
      </c>
      <c r="O317" s="11">
        <f>(AB317/$B317)+(AB317/('Optimal Choice'!$B$24*AW317))</f>
        <v>693.1431565</v>
      </c>
      <c r="R317" s="12">
        <f t="shared" ref="R317:V317" si="327">if(min($K316:$O316)=K316,R316+1,R316)</f>
        <v>145</v>
      </c>
      <c r="S317" s="12">
        <f t="shared" si="327"/>
        <v>67</v>
      </c>
      <c r="T317" s="12">
        <f t="shared" si="327"/>
        <v>45</v>
      </c>
      <c r="U317" s="12">
        <f t="shared" si="327"/>
        <v>33</v>
      </c>
      <c r="V317" s="12">
        <f t="shared" si="327"/>
        <v>26</v>
      </c>
      <c r="X317" s="13">
        <f> 'Optimal Choice'!$B$5*'Optimal Choice'!$B$6^(R317+1)</f>
        <v>77999.44875</v>
      </c>
      <c r="Y317" s="13">
        <f> 'Optimal Choice'!$B$10*'Optimal Choice'!$B$11^(S317+1)</f>
        <v>804645.1435</v>
      </c>
      <c r="Z317" s="13">
        <f> 'Optimal Choice'!$B$15*'Optimal Choice'!$B$16^(T317+1)</f>
        <v>298507.7823</v>
      </c>
      <c r="AA317" s="13">
        <f> 'Optimal Choice'!$B$20*'Optimal Choice'!$B$21^(U317+1)</f>
        <v>551037.076</v>
      </c>
      <c r="AB317" s="13">
        <f> 'Optimal Choice'!$B$25*'Optimal Choice'!$B$26^(V317+1)</f>
        <v>2210963.64</v>
      </c>
      <c r="AE317" s="12">
        <f t="shared" si="4"/>
        <v>60</v>
      </c>
      <c r="AF317" s="12">
        <f t="shared" si="5"/>
        <v>50</v>
      </c>
      <c r="AG317" s="12">
        <f t="shared" si="6"/>
        <v>4</v>
      </c>
      <c r="AH317" s="12">
        <f t="shared" si="7"/>
        <v>2</v>
      </c>
      <c r="AI317" s="12">
        <f t="shared" si="8"/>
        <v>1.5</v>
      </c>
      <c r="AL317" s="14">
        <f>R317*'Optimal Choice'!$B$4*AE317</f>
        <v>14529</v>
      </c>
      <c r="AM317" s="14">
        <f>S317*'Optimal Choice'!$B$9*AF317</f>
        <v>67000</v>
      </c>
      <c r="AN317" s="14">
        <f>T317*'Optimal Choice'!$B$14*AG317</f>
        <v>16200</v>
      </c>
      <c r="AO317" s="14">
        <f>U317*'Optimal Choice'!$B$19*AH317</f>
        <v>23760</v>
      </c>
      <c r="AP317" s="14">
        <f>V317*'Optimal Choice'!$B$24*AI317</f>
        <v>84240</v>
      </c>
      <c r="AS317" s="12">
        <f t="shared" si="9"/>
        <v>60</v>
      </c>
      <c r="AT317" s="12">
        <f t="shared" si="10"/>
        <v>50</v>
      </c>
      <c r="AU317" s="12">
        <f t="shared" si="11"/>
        <v>4</v>
      </c>
      <c r="AV317" s="12">
        <f t="shared" si="12"/>
        <v>2</v>
      </c>
      <c r="AW317" s="12">
        <f t="shared" si="13"/>
        <v>1.5</v>
      </c>
      <c r="AY317" s="11">
        <f t="shared" si="14"/>
        <v>0.1624841085</v>
      </c>
    </row>
    <row r="318" ht="15.75" customHeight="1">
      <c r="A318" s="15">
        <f t="shared" si="2"/>
        <v>8.735073963</v>
      </c>
      <c r="B318" s="7">
        <f>(sum(AL318:AP318))*'Optimal Choice'!$B$28</f>
        <v>208969</v>
      </c>
      <c r="C318" s="11"/>
      <c r="D318" s="12"/>
      <c r="E318" s="12"/>
      <c r="F318" s="11"/>
      <c r="G318" s="11"/>
      <c r="H318" s="11"/>
      <c r="I318" s="11"/>
      <c r="J318" s="11"/>
      <c r="K318" s="11">
        <f>(X318/$B318)+(X318/('Optimal Choice'!$B$4*AS318))</f>
        <v>778.8108707</v>
      </c>
      <c r="L318" s="11">
        <f>(Y318/$B318)+(Y318/('Optimal Choice'!$B$9*AT318))</f>
        <v>808.4956914</v>
      </c>
      <c r="M318" s="11">
        <f>(Z318/$B318)+(Z318/('Optimal Choice'!$B$14*AU318))</f>
        <v>830.6167628</v>
      </c>
      <c r="N318" s="11">
        <f>(AA318/$B318)+(AA318/('Optimal Choice'!$B$19*AV318))</f>
        <v>767.9662044</v>
      </c>
      <c r="O318" s="11">
        <f>(AB318/$B318)+(AB318/('Optimal Choice'!$B$24*AW318))</f>
        <v>776.1337114</v>
      </c>
      <c r="R318" s="12">
        <f t="shared" ref="R318:V318" si="328">if(min($K317:$O317)=K317,R317+1,R317)</f>
        <v>145</v>
      </c>
      <c r="S318" s="12">
        <f t="shared" si="328"/>
        <v>67</v>
      </c>
      <c r="T318" s="12">
        <f t="shared" si="328"/>
        <v>45</v>
      </c>
      <c r="U318" s="12">
        <f t="shared" si="328"/>
        <v>33</v>
      </c>
      <c r="V318" s="12">
        <f t="shared" si="328"/>
        <v>27</v>
      </c>
      <c r="X318" s="13">
        <f> 'Optimal Choice'!$B$5*'Optimal Choice'!$B$6^(R318+1)</f>
        <v>77999.44875</v>
      </c>
      <c r="Y318" s="13">
        <f> 'Optimal Choice'!$B$10*'Optimal Choice'!$B$11^(S318+1)</f>
        <v>804645.1435</v>
      </c>
      <c r="Z318" s="13">
        <f> 'Optimal Choice'!$B$15*'Optimal Choice'!$B$16^(T318+1)</f>
        <v>298507.7823</v>
      </c>
      <c r="AA318" s="13">
        <f> 'Optimal Choice'!$B$20*'Optimal Choice'!$B$21^(U318+1)</f>
        <v>551037.076</v>
      </c>
      <c r="AB318" s="13">
        <f> 'Optimal Choice'!$B$25*'Optimal Choice'!$B$26^(V318+1)</f>
        <v>2476279.277</v>
      </c>
      <c r="AE318" s="12">
        <f t="shared" si="4"/>
        <v>60</v>
      </c>
      <c r="AF318" s="12">
        <f t="shared" si="5"/>
        <v>50</v>
      </c>
      <c r="AG318" s="12">
        <f t="shared" si="6"/>
        <v>4</v>
      </c>
      <c r="AH318" s="12">
        <f t="shared" si="7"/>
        <v>2</v>
      </c>
      <c r="AI318" s="12">
        <f t="shared" si="8"/>
        <v>1.5</v>
      </c>
      <c r="AL318" s="14">
        <f>R318*'Optimal Choice'!$B$4*AE318</f>
        <v>14529</v>
      </c>
      <c r="AM318" s="14">
        <f>S318*'Optimal Choice'!$B$9*AF318</f>
        <v>67000</v>
      </c>
      <c r="AN318" s="14">
        <f>T318*'Optimal Choice'!$B$14*AG318</f>
        <v>16200</v>
      </c>
      <c r="AO318" s="14">
        <f>U318*'Optimal Choice'!$B$19*AH318</f>
        <v>23760</v>
      </c>
      <c r="AP318" s="14">
        <f>V318*'Optimal Choice'!$B$24*AI318</f>
        <v>87480</v>
      </c>
      <c r="AS318" s="12">
        <f t="shared" si="9"/>
        <v>60</v>
      </c>
      <c r="AT318" s="12">
        <f t="shared" si="10"/>
        <v>50</v>
      </c>
      <c r="AU318" s="12">
        <f t="shared" si="11"/>
        <v>4</v>
      </c>
      <c r="AV318" s="12">
        <f t="shared" si="12"/>
        <v>2</v>
      </c>
      <c r="AW318" s="12">
        <f t="shared" si="13"/>
        <v>1.5</v>
      </c>
      <c r="AY318" s="11">
        <f t="shared" si="14"/>
        <v>0.1791161869</v>
      </c>
    </row>
    <row r="319" ht="15.75" customHeight="1">
      <c r="A319" s="15">
        <f t="shared" si="2"/>
        <v>8.779022832</v>
      </c>
      <c r="B319" s="7">
        <f>(sum(AL319:AP319))*'Optimal Choice'!$B$28</f>
        <v>209689</v>
      </c>
      <c r="C319" s="11"/>
      <c r="D319" s="12"/>
      <c r="E319" s="12"/>
      <c r="F319" s="11"/>
      <c r="G319" s="11"/>
      <c r="H319" s="11"/>
      <c r="I319" s="11"/>
      <c r="J319" s="11"/>
      <c r="K319" s="11">
        <f>(X319/$B319)+(X319/('Optimal Choice'!$B$4*AS319))</f>
        <v>778.8095891</v>
      </c>
      <c r="L319" s="11">
        <f>(Y319/$B319)+(Y319/('Optimal Choice'!$B$9*AT319))</f>
        <v>808.48247</v>
      </c>
      <c r="M319" s="11">
        <f>(Z319/$B319)+(Z319/('Optimal Choice'!$B$14*AU319))</f>
        <v>830.6118579</v>
      </c>
      <c r="N319" s="11">
        <f>(AA319/$B319)+(AA319/('Optimal Choice'!$B$19*AV319))</f>
        <v>867.7915796</v>
      </c>
      <c r="O319" s="11">
        <f>(AB319/$B319)+(AB319/('Optimal Choice'!$B$24*AW319))</f>
        <v>776.0930227</v>
      </c>
      <c r="R319" s="12">
        <f t="shared" ref="R319:V319" si="329">if(min($K318:$O318)=K318,R318+1,R318)</f>
        <v>145</v>
      </c>
      <c r="S319" s="12">
        <f t="shared" si="329"/>
        <v>67</v>
      </c>
      <c r="T319" s="12">
        <f t="shared" si="329"/>
        <v>45</v>
      </c>
      <c r="U319" s="12">
        <f t="shared" si="329"/>
        <v>34</v>
      </c>
      <c r="V319" s="12">
        <f t="shared" si="329"/>
        <v>27</v>
      </c>
      <c r="X319" s="13">
        <f> 'Optimal Choice'!$B$5*'Optimal Choice'!$B$6^(R319+1)</f>
        <v>77999.44875</v>
      </c>
      <c r="Y319" s="13">
        <f> 'Optimal Choice'!$B$10*'Optimal Choice'!$B$11^(S319+1)</f>
        <v>804645.1435</v>
      </c>
      <c r="Z319" s="13">
        <f> 'Optimal Choice'!$B$15*'Optimal Choice'!$B$16^(T319+1)</f>
        <v>298507.7823</v>
      </c>
      <c r="AA319" s="13">
        <f> 'Optimal Choice'!$B$20*'Optimal Choice'!$B$21^(U319+1)</f>
        <v>622671.8959</v>
      </c>
      <c r="AB319" s="13">
        <f> 'Optimal Choice'!$B$25*'Optimal Choice'!$B$26^(V319+1)</f>
        <v>2476279.277</v>
      </c>
      <c r="AE319" s="12">
        <f t="shared" si="4"/>
        <v>60</v>
      </c>
      <c r="AF319" s="12">
        <f t="shared" si="5"/>
        <v>50</v>
      </c>
      <c r="AG319" s="12">
        <f t="shared" si="6"/>
        <v>4</v>
      </c>
      <c r="AH319" s="12">
        <f t="shared" si="7"/>
        <v>2</v>
      </c>
      <c r="AI319" s="12">
        <f t="shared" si="8"/>
        <v>1.5</v>
      </c>
      <c r="AL319" s="14">
        <f>R319*'Optimal Choice'!$B$4*AE319</f>
        <v>14529</v>
      </c>
      <c r="AM319" s="14">
        <f>S319*'Optimal Choice'!$B$9*AF319</f>
        <v>67000</v>
      </c>
      <c r="AN319" s="14">
        <f>T319*'Optimal Choice'!$B$14*AG319</f>
        <v>16200</v>
      </c>
      <c r="AO319" s="14">
        <f>U319*'Optimal Choice'!$B$19*AH319</f>
        <v>24480</v>
      </c>
      <c r="AP319" s="14">
        <f>V319*'Optimal Choice'!$B$24*AI319</f>
        <v>87480</v>
      </c>
      <c r="AS319" s="12">
        <f t="shared" si="9"/>
        <v>60</v>
      </c>
      <c r="AT319" s="12">
        <f t="shared" si="10"/>
        <v>50</v>
      </c>
      <c r="AU319" s="12">
        <f t="shared" si="11"/>
        <v>4</v>
      </c>
      <c r="AV319" s="12">
        <f t="shared" si="12"/>
        <v>2</v>
      </c>
      <c r="AW319" s="12">
        <f t="shared" si="13"/>
        <v>1.5</v>
      </c>
      <c r="AY319" s="11">
        <f t="shared" si="14"/>
        <v>0.04394886929</v>
      </c>
    </row>
    <row r="320" ht="15.75" customHeight="1">
      <c r="A320" s="15">
        <f t="shared" si="2"/>
        <v>8.975844417</v>
      </c>
      <c r="B320" s="7">
        <f>(sum(AL320:AP320))*'Optimal Choice'!$B$28</f>
        <v>212929</v>
      </c>
      <c r="C320" s="11"/>
      <c r="D320" s="12"/>
      <c r="E320" s="12"/>
      <c r="F320" s="11"/>
      <c r="G320" s="11"/>
      <c r="H320" s="11"/>
      <c r="I320" s="11"/>
      <c r="J320" s="11"/>
      <c r="K320" s="11">
        <f>(X320/$B320)+(X320/('Optimal Choice'!$B$4*AS320))</f>
        <v>778.8039289</v>
      </c>
      <c r="L320" s="11">
        <f>(Y320/$B320)+(Y320/('Optimal Choice'!$B$9*AT320))</f>
        <v>808.4240799</v>
      </c>
      <c r="M320" s="11">
        <f>(Z320/$B320)+(Z320/('Optimal Choice'!$B$14*AU320))</f>
        <v>830.5901964</v>
      </c>
      <c r="N320" s="11">
        <f>(AA320/$B320)+(AA320/('Optimal Choice'!$B$19*AV320))</f>
        <v>867.7463946</v>
      </c>
      <c r="O320" s="11">
        <f>(AB320/$B320)+(AB320/('Optimal Choice'!$B$24*AW320))</f>
        <v>869.0229278</v>
      </c>
      <c r="R320" s="12">
        <f t="shared" ref="R320:V320" si="330">if(min($K319:$O319)=K319,R319+1,R319)</f>
        <v>145</v>
      </c>
      <c r="S320" s="12">
        <f t="shared" si="330"/>
        <v>67</v>
      </c>
      <c r="T320" s="12">
        <f t="shared" si="330"/>
        <v>45</v>
      </c>
      <c r="U320" s="12">
        <f t="shared" si="330"/>
        <v>34</v>
      </c>
      <c r="V320" s="12">
        <f t="shared" si="330"/>
        <v>28</v>
      </c>
      <c r="X320" s="13">
        <f> 'Optimal Choice'!$B$5*'Optimal Choice'!$B$6^(R320+1)</f>
        <v>77999.44875</v>
      </c>
      <c r="Y320" s="13">
        <f> 'Optimal Choice'!$B$10*'Optimal Choice'!$B$11^(S320+1)</f>
        <v>804645.1435</v>
      </c>
      <c r="Z320" s="13">
        <f> 'Optimal Choice'!$B$15*'Optimal Choice'!$B$16^(T320+1)</f>
        <v>298507.7823</v>
      </c>
      <c r="AA320" s="13">
        <f> 'Optimal Choice'!$B$20*'Optimal Choice'!$B$21^(U320+1)</f>
        <v>622671.8959</v>
      </c>
      <c r="AB320" s="13">
        <f> 'Optimal Choice'!$B$25*'Optimal Choice'!$B$26^(V320+1)</f>
        <v>2773432.791</v>
      </c>
      <c r="AE320" s="12">
        <f t="shared" si="4"/>
        <v>60</v>
      </c>
      <c r="AF320" s="12">
        <f t="shared" si="5"/>
        <v>50</v>
      </c>
      <c r="AG320" s="12">
        <f t="shared" si="6"/>
        <v>4</v>
      </c>
      <c r="AH320" s="12">
        <f t="shared" si="7"/>
        <v>2</v>
      </c>
      <c r="AI320" s="12">
        <f t="shared" si="8"/>
        <v>1.5</v>
      </c>
      <c r="AL320" s="14">
        <f>R320*'Optimal Choice'!$B$4*AE320</f>
        <v>14529</v>
      </c>
      <c r="AM320" s="14">
        <f>S320*'Optimal Choice'!$B$9*AF320</f>
        <v>67000</v>
      </c>
      <c r="AN320" s="14">
        <f>T320*'Optimal Choice'!$B$14*AG320</f>
        <v>16200</v>
      </c>
      <c r="AO320" s="14">
        <f>U320*'Optimal Choice'!$B$19*AH320</f>
        <v>24480</v>
      </c>
      <c r="AP320" s="14">
        <f>V320*'Optimal Choice'!$B$24*AI320</f>
        <v>90720</v>
      </c>
      <c r="AS320" s="12">
        <f t="shared" si="9"/>
        <v>60</v>
      </c>
      <c r="AT320" s="12">
        <f t="shared" si="10"/>
        <v>50</v>
      </c>
      <c r="AU320" s="12">
        <f t="shared" si="11"/>
        <v>4</v>
      </c>
      <c r="AV320" s="12">
        <f t="shared" si="12"/>
        <v>2</v>
      </c>
      <c r="AW320" s="12">
        <f t="shared" si="13"/>
        <v>1.5</v>
      </c>
      <c r="AY320" s="11">
        <f t="shared" si="14"/>
        <v>0.1968215848</v>
      </c>
    </row>
    <row r="321" ht="15.75" customHeight="1">
      <c r="A321" s="15">
        <f t="shared" si="2"/>
        <v>8.981949695</v>
      </c>
      <c r="B321" s="7">
        <f>(sum(AL321:AP321))*'Optimal Choice'!$B$28</f>
        <v>213029.2</v>
      </c>
      <c r="C321" s="11"/>
      <c r="D321" s="12"/>
      <c r="E321" s="12"/>
      <c r="F321" s="11"/>
      <c r="G321" s="11"/>
      <c r="H321" s="11"/>
      <c r="I321" s="11"/>
      <c r="J321" s="11"/>
      <c r="K321" s="11">
        <f>(X321/$B321)+(X321/('Optimal Choice'!$B$4*AS321))</f>
        <v>833.3200196</v>
      </c>
      <c r="L321" s="11">
        <f>(Y321/$B321)+(Y321/('Optimal Choice'!$B$9*AT321))</f>
        <v>808.4223025</v>
      </c>
      <c r="M321" s="11">
        <f>(Z321/$B321)+(Z321/('Optimal Choice'!$B$14*AU321))</f>
        <v>830.589537</v>
      </c>
      <c r="N321" s="11">
        <f>(AA321/$B321)+(AA321/('Optimal Choice'!$B$19*AV321))</f>
        <v>867.7450191</v>
      </c>
      <c r="O321" s="11">
        <f>(AB321/$B321)+(AB321/('Optimal Choice'!$B$24*AW321))</f>
        <v>869.0168013</v>
      </c>
      <c r="R321" s="12">
        <f t="shared" ref="R321:V321" si="331">if(min($K320:$O320)=K320,R320+1,R320)</f>
        <v>146</v>
      </c>
      <c r="S321" s="12">
        <f t="shared" si="331"/>
        <v>67</v>
      </c>
      <c r="T321" s="12">
        <f t="shared" si="331"/>
        <v>45</v>
      </c>
      <c r="U321" s="12">
        <f t="shared" si="331"/>
        <v>34</v>
      </c>
      <c r="V321" s="12">
        <f t="shared" si="331"/>
        <v>28</v>
      </c>
      <c r="X321" s="13">
        <f> 'Optimal Choice'!$B$5*'Optimal Choice'!$B$6^(R321+1)</f>
        <v>83459.41016</v>
      </c>
      <c r="Y321" s="13">
        <f> 'Optimal Choice'!$B$10*'Optimal Choice'!$B$11^(S321+1)</f>
        <v>804645.1435</v>
      </c>
      <c r="Z321" s="13">
        <f> 'Optimal Choice'!$B$15*'Optimal Choice'!$B$16^(T321+1)</f>
        <v>298507.7823</v>
      </c>
      <c r="AA321" s="13">
        <f> 'Optimal Choice'!$B$20*'Optimal Choice'!$B$21^(U321+1)</f>
        <v>622671.8959</v>
      </c>
      <c r="AB321" s="13">
        <f> 'Optimal Choice'!$B$25*'Optimal Choice'!$B$26^(V321+1)</f>
        <v>2773432.791</v>
      </c>
      <c r="AE321" s="12">
        <f t="shared" si="4"/>
        <v>60</v>
      </c>
      <c r="AF321" s="12">
        <f t="shared" si="5"/>
        <v>50</v>
      </c>
      <c r="AG321" s="12">
        <f t="shared" si="6"/>
        <v>4</v>
      </c>
      <c r="AH321" s="12">
        <f t="shared" si="7"/>
        <v>2</v>
      </c>
      <c r="AI321" s="12">
        <f t="shared" si="8"/>
        <v>1.5</v>
      </c>
      <c r="AL321" s="14">
        <f>R321*'Optimal Choice'!$B$4*AE321</f>
        <v>14629.2</v>
      </c>
      <c r="AM321" s="14">
        <f>S321*'Optimal Choice'!$B$9*AF321</f>
        <v>67000</v>
      </c>
      <c r="AN321" s="14">
        <f>T321*'Optimal Choice'!$B$14*AG321</f>
        <v>16200</v>
      </c>
      <c r="AO321" s="14">
        <f>U321*'Optimal Choice'!$B$19*AH321</f>
        <v>24480</v>
      </c>
      <c r="AP321" s="14">
        <f>V321*'Optimal Choice'!$B$24*AI321</f>
        <v>90720</v>
      </c>
      <c r="AS321" s="12">
        <f t="shared" si="9"/>
        <v>60</v>
      </c>
      <c r="AT321" s="12">
        <f t="shared" si="10"/>
        <v>50</v>
      </c>
      <c r="AU321" s="12">
        <f t="shared" si="11"/>
        <v>4</v>
      </c>
      <c r="AV321" s="12">
        <f t="shared" si="12"/>
        <v>2</v>
      </c>
      <c r="AW321" s="12">
        <f t="shared" si="13"/>
        <v>1.5</v>
      </c>
      <c r="AY321" s="11">
        <f t="shared" si="14"/>
        <v>0.006105278344</v>
      </c>
    </row>
    <row r="322" ht="15.75" customHeight="1">
      <c r="A322" s="15">
        <f t="shared" si="2"/>
        <v>9.044902344</v>
      </c>
      <c r="B322" s="7">
        <f>(sum(AL322:AP322))*'Optimal Choice'!$B$28</f>
        <v>214029.2</v>
      </c>
      <c r="C322" s="11"/>
      <c r="D322" s="12"/>
      <c r="E322" s="12"/>
      <c r="F322" s="11"/>
      <c r="G322" s="11"/>
      <c r="H322" s="11"/>
      <c r="I322" s="11"/>
      <c r="J322" s="11"/>
      <c r="K322" s="11">
        <f>(X322/$B322)+(X322/('Optimal Choice'!$B$4*AS322))</f>
        <v>833.3181891</v>
      </c>
      <c r="L322" s="11">
        <f>(Y322/$B322)+(Y322/('Optimal Choice'!$B$9*AT322))</f>
        <v>929.6653528</v>
      </c>
      <c r="M322" s="11">
        <f>(Z322/$B322)+(Z322/('Optimal Choice'!$B$14*AU322))</f>
        <v>830.5829899</v>
      </c>
      <c r="N322" s="11">
        <f>(AA322/$B322)+(AA322/('Optimal Choice'!$B$19*AV322))</f>
        <v>867.7313624</v>
      </c>
      <c r="O322" s="11">
        <f>(AB322/$B322)+(AB322/('Optimal Choice'!$B$24*AW322))</f>
        <v>868.9559731</v>
      </c>
      <c r="R322" s="12">
        <f t="shared" ref="R322:V322" si="332">if(min($K321:$O321)=K321,R321+1,R321)</f>
        <v>146</v>
      </c>
      <c r="S322" s="12">
        <f t="shared" si="332"/>
        <v>68</v>
      </c>
      <c r="T322" s="12">
        <f t="shared" si="332"/>
        <v>45</v>
      </c>
      <c r="U322" s="12">
        <f t="shared" si="332"/>
        <v>34</v>
      </c>
      <c r="V322" s="12">
        <f t="shared" si="332"/>
        <v>28</v>
      </c>
      <c r="X322" s="13">
        <f> 'Optimal Choice'!$B$5*'Optimal Choice'!$B$6^(R322+1)</f>
        <v>83459.41016</v>
      </c>
      <c r="Y322" s="13">
        <f> 'Optimal Choice'!$B$10*'Optimal Choice'!$B$11^(S322+1)</f>
        <v>925341.9151</v>
      </c>
      <c r="Z322" s="13">
        <f> 'Optimal Choice'!$B$15*'Optimal Choice'!$B$16^(T322+1)</f>
        <v>298507.7823</v>
      </c>
      <c r="AA322" s="13">
        <f> 'Optimal Choice'!$B$20*'Optimal Choice'!$B$21^(U322+1)</f>
        <v>622671.8959</v>
      </c>
      <c r="AB322" s="13">
        <f> 'Optimal Choice'!$B$25*'Optimal Choice'!$B$26^(V322+1)</f>
        <v>2773432.791</v>
      </c>
      <c r="AE322" s="12">
        <f t="shared" si="4"/>
        <v>60</v>
      </c>
      <c r="AF322" s="12">
        <f t="shared" si="5"/>
        <v>50</v>
      </c>
      <c r="AG322" s="12">
        <f t="shared" si="6"/>
        <v>4</v>
      </c>
      <c r="AH322" s="12">
        <f t="shared" si="7"/>
        <v>2</v>
      </c>
      <c r="AI322" s="12">
        <f t="shared" si="8"/>
        <v>1.5</v>
      </c>
      <c r="AL322" s="14">
        <f>R322*'Optimal Choice'!$B$4*AE322</f>
        <v>14629.2</v>
      </c>
      <c r="AM322" s="14">
        <f>S322*'Optimal Choice'!$B$9*AF322</f>
        <v>68000</v>
      </c>
      <c r="AN322" s="14">
        <f>T322*'Optimal Choice'!$B$14*AG322</f>
        <v>16200</v>
      </c>
      <c r="AO322" s="14">
        <f>U322*'Optimal Choice'!$B$19*AH322</f>
        <v>24480</v>
      </c>
      <c r="AP322" s="14">
        <f>V322*'Optimal Choice'!$B$24*AI322</f>
        <v>90720</v>
      </c>
      <c r="AS322" s="12">
        <f t="shared" si="9"/>
        <v>60</v>
      </c>
      <c r="AT322" s="12">
        <f t="shared" si="10"/>
        <v>50</v>
      </c>
      <c r="AU322" s="12">
        <f t="shared" si="11"/>
        <v>4</v>
      </c>
      <c r="AV322" s="12">
        <f t="shared" si="12"/>
        <v>2</v>
      </c>
      <c r="AW322" s="12">
        <f t="shared" si="13"/>
        <v>1.5</v>
      </c>
      <c r="AY322" s="11">
        <f t="shared" si="14"/>
        <v>0.06295264871</v>
      </c>
    </row>
    <row r="323" ht="15.75" customHeight="1">
      <c r="A323" s="15">
        <f t="shared" si="2"/>
        <v>9.068147442</v>
      </c>
      <c r="B323" s="7">
        <f>(sum(AL323:AP323))*'Optimal Choice'!$B$28</f>
        <v>214389.2</v>
      </c>
      <c r="C323" s="11"/>
      <c r="D323" s="12"/>
      <c r="E323" s="12"/>
      <c r="F323" s="11"/>
      <c r="G323" s="11"/>
      <c r="H323" s="11"/>
      <c r="I323" s="11"/>
      <c r="J323" s="11"/>
      <c r="K323" s="11">
        <f>(X323/$B323)+(X323/('Optimal Choice'!$B$4*AS323))</f>
        <v>833.3175343</v>
      </c>
      <c r="L323" s="11">
        <f>(Y323/$B323)+(Y323/('Optimal Choice'!$B$9*AT323))</f>
        <v>929.6580929</v>
      </c>
      <c r="M323" s="11">
        <f>(Z323/$B323)+(Z323/('Optimal Choice'!$B$14*AU323))</f>
        <v>946.8619387</v>
      </c>
      <c r="N323" s="11">
        <f>(AA323/$B323)+(AA323/('Optimal Choice'!$B$19*AV323))</f>
        <v>867.7264771</v>
      </c>
      <c r="O323" s="11">
        <f>(AB323/$B323)+(AB323/('Optimal Choice'!$B$24*AW323))</f>
        <v>868.9342138</v>
      </c>
      <c r="R323" s="12">
        <f t="shared" ref="R323:V323" si="333">if(min($K322:$O322)=K322,R322+1,R322)</f>
        <v>146</v>
      </c>
      <c r="S323" s="12">
        <f t="shared" si="333"/>
        <v>68</v>
      </c>
      <c r="T323" s="12">
        <f t="shared" si="333"/>
        <v>46</v>
      </c>
      <c r="U323" s="12">
        <f t="shared" si="333"/>
        <v>34</v>
      </c>
      <c r="V323" s="12">
        <f t="shared" si="333"/>
        <v>28</v>
      </c>
      <c r="X323" s="13">
        <f> 'Optimal Choice'!$B$5*'Optimal Choice'!$B$6^(R323+1)</f>
        <v>83459.41016</v>
      </c>
      <c r="Y323" s="13">
        <f> 'Optimal Choice'!$B$10*'Optimal Choice'!$B$11^(S323+1)</f>
        <v>925341.9151</v>
      </c>
      <c r="Z323" s="13">
        <f> 'Optimal Choice'!$B$15*'Optimal Choice'!$B$16^(T323+1)</f>
        <v>340298.8718</v>
      </c>
      <c r="AA323" s="13">
        <f> 'Optimal Choice'!$B$20*'Optimal Choice'!$B$21^(U323+1)</f>
        <v>622671.8959</v>
      </c>
      <c r="AB323" s="13">
        <f> 'Optimal Choice'!$B$25*'Optimal Choice'!$B$26^(V323+1)</f>
        <v>2773432.791</v>
      </c>
      <c r="AE323" s="12">
        <f t="shared" si="4"/>
        <v>60</v>
      </c>
      <c r="AF323" s="12">
        <f t="shared" si="5"/>
        <v>50</v>
      </c>
      <c r="AG323" s="12">
        <f t="shared" si="6"/>
        <v>4</v>
      </c>
      <c r="AH323" s="12">
        <f t="shared" si="7"/>
        <v>2</v>
      </c>
      <c r="AI323" s="12">
        <f t="shared" si="8"/>
        <v>1.5</v>
      </c>
      <c r="AL323" s="14">
        <f>R323*'Optimal Choice'!$B$4*AE323</f>
        <v>14629.2</v>
      </c>
      <c r="AM323" s="14">
        <f>S323*'Optimal Choice'!$B$9*AF323</f>
        <v>68000</v>
      </c>
      <c r="AN323" s="14">
        <f>T323*'Optimal Choice'!$B$14*AG323</f>
        <v>16560</v>
      </c>
      <c r="AO323" s="14">
        <f>U323*'Optimal Choice'!$B$19*AH323</f>
        <v>24480</v>
      </c>
      <c r="AP323" s="14">
        <f>V323*'Optimal Choice'!$B$24*AI323</f>
        <v>90720</v>
      </c>
      <c r="AS323" s="12">
        <f t="shared" si="9"/>
        <v>60</v>
      </c>
      <c r="AT323" s="12">
        <f t="shared" si="10"/>
        <v>50</v>
      </c>
      <c r="AU323" s="12">
        <f t="shared" si="11"/>
        <v>4</v>
      </c>
      <c r="AV323" s="12">
        <f t="shared" si="12"/>
        <v>2</v>
      </c>
      <c r="AW323" s="12">
        <f t="shared" si="13"/>
        <v>1.5</v>
      </c>
      <c r="AY323" s="11">
        <f t="shared" si="14"/>
        <v>0.02324509789</v>
      </c>
    </row>
    <row r="324" ht="15.75" customHeight="1">
      <c r="A324" s="15">
        <f t="shared" si="2"/>
        <v>9.074635596</v>
      </c>
      <c r="B324" s="7">
        <f>(sum(AL324:AP324))*'Optimal Choice'!$B$28</f>
        <v>214489.4</v>
      </c>
      <c r="C324" s="11"/>
      <c r="D324" s="12"/>
      <c r="E324" s="12"/>
      <c r="F324" s="11"/>
      <c r="G324" s="11"/>
      <c r="H324" s="11"/>
      <c r="I324" s="11"/>
      <c r="J324" s="11"/>
      <c r="K324" s="11">
        <f>(X324/$B324)+(X324/('Optimal Choice'!$B$4*AS324))</f>
        <v>891.6495672</v>
      </c>
      <c r="L324" s="11">
        <f>(Y324/$B324)+(Y324/('Optimal Choice'!$B$9*AT324))</f>
        <v>929.6560766</v>
      </c>
      <c r="M324" s="11">
        <f>(Z324/$B324)+(Z324/('Optimal Choice'!$B$14*AU324))</f>
        <v>946.8611972</v>
      </c>
      <c r="N324" s="11">
        <f>(AA324/$B324)+(AA324/('Optimal Choice'!$B$19*AV324))</f>
        <v>867.7251203</v>
      </c>
      <c r="O324" s="11">
        <f>(AB324/$B324)+(AB324/('Optimal Choice'!$B$24*AW324))</f>
        <v>868.9281705</v>
      </c>
      <c r="R324" s="12">
        <f t="shared" ref="R324:V324" si="334">if(min($K323:$O323)=K323,R323+1,R323)</f>
        <v>147</v>
      </c>
      <c r="S324" s="12">
        <f t="shared" si="334"/>
        <v>68</v>
      </c>
      <c r="T324" s="12">
        <f t="shared" si="334"/>
        <v>46</v>
      </c>
      <c r="U324" s="12">
        <f t="shared" si="334"/>
        <v>34</v>
      </c>
      <c r="V324" s="12">
        <f t="shared" si="334"/>
        <v>28</v>
      </c>
      <c r="X324" s="13">
        <f> 'Optimal Choice'!$B$5*'Optimal Choice'!$B$6^(R324+1)</f>
        <v>89301.56887</v>
      </c>
      <c r="Y324" s="13">
        <f> 'Optimal Choice'!$B$10*'Optimal Choice'!$B$11^(S324+1)</f>
        <v>925341.9151</v>
      </c>
      <c r="Z324" s="13">
        <f> 'Optimal Choice'!$B$15*'Optimal Choice'!$B$16^(T324+1)</f>
        <v>340298.8718</v>
      </c>
      <c r="AA324" s="13">
        <f> 'Optimal Choice'!$B$20*'Optimal Choice'!$B$21^(U324+1)</f>
        <v>622671.8959</v>
      </c>
      <c r="AB324" s="13">
        <f> 'Optimal Choice'!$B$25*'Optimal Choice'!$B$26^(V324+1)</f>
        <v>2773432.791</v>
      </c>
      <c r="AE324" s="12">
        <f t="shared" si="4"/>
        <v>60</v>
      </c>
      <c r="AF324" s="12">
        <f t="shared" si="5"/>
        <v>50</v>
      </c>
      <c r="AG324" s="12">
        <f t="shared" si="6"/>
        <v>4</v>
      </c>
      <c r="AH324" s="12">
        <f t="shared" si="7"/>
        <v>2</v>
      </c>
      <c r="AI324" s="12">
        <f t="shared" si="8"/>
        <v>1.5</v>
      </c>
      <c r="AL324" s="14">
        <f>R324*'Optimal Choice'!$B$4*AE324</f>
        <v>14729.4</v>
      </c>
      <c r="AM324" s="14">
        <f>S324*'Optimal Choice'!$B$9*AF324</f>
        <v>68000</v>
      </c>
      <c r="AN324" s="14">
        <f>T324*'Optimal Choice'!$B$14*AG324</f>
        <v>16560</v>
      </c>
      <c r="AO324" s="14">
        <f>U324*'Optimal Choice'!$B$19*AH324</f>
        <v>24480</v>
      </c>
      <c r="AP324" s="14">
        <f>V324*'Optimal Choice'!$B$24*AI324</f>
        <v>90720</v>
      </c>
      <c r="AS324" s="12">
        <f t="shared" si="9"/>
        <v>60</v>
      </c>
      <c r="AT324" s="12">
        <f t="shared" si="10"/>
        <v>50</v>
      </c>
      <c r="AU324" s="12">
        <f t="shared" si="11"/>
        <v>4</v>
      </c>
      <c r="AV324" s="12">
        <f t="shared" si="12"/>
        <v>2</v>
      </c>
      <c r="AW324" s="12">
        <f t="shared" si="13"/>
        <v>1.5</v>
      </c>
      <c r="AY324" s="11">
        <f t="shared" si="14"/>
        <v>0.006488154111</v>
      </c>
    </row>
    <row r="325" ht="15.75" customHeight="1">
      <c r="A325" s="15">
        <f t="shared" si="2"/>
        <v>9.123019642</v>
      </c>
      <c r="B325" s="7">
        <f>(sum(AL325:AP325))*'Optimal Choice'!$B$28</f>
        <v>215209.4</v>
      </c>
      <c r="C325" s="11"/>
      <c r="D325" s="12"/>
      <c r="E325" s="12"/>
      <c r="F325" s="11"/>
      <c r="G325" s="11"/>
      <c r="H325" s="11"/>
      <c r="I325" s="11"/>
      <c r="J325" s="11"/>
      <c r="K325" s="11">
        <f>(X325/$B325)+(X325/('Optimal Choice'!$B$4*AS325))</f>
        <v>891.6481742</v>
      </c>
      <c r="L325" s="11">
        <f>(Y325/$B325)+(Y325/('Optimal Choice'!$B$9*AT325))</f>
        <v>929.6416432</v>
      </c>
      <c r="M325" s="11">
        <f>(Z325/$B325)+(Z325/('Optimal Choice'!$B$14*AU325))</f>
        <v>946.8558892</v>
      </c>
      <c r="N325" s="11">
        <f>(AA325/$B325)+(AA325/('Optimal Choice'!$B$19*AV325))</f>
        <v>980.518411</v>
      </c>
      <c r="O325" s="11">
        <f>(AB325/$B325)+(AB325/('Optimal Choice'!$B$24*AW325))</f>
        <v>868.8849108</v>
      </c>
      <c r="R325" s="12">
        <f t="shared" ref="R325:V325" si="335">if(min($K324:$O324)=K324,R324+1,R324)</f>
        <v>147</v>
      </c>
      <c r="S325" s="12">
        <f t="shared" si="335"/>
        <v>68</v>
      </c>
      <c r="T325" s="12">
        <f t="shared" si="335"/>
        <v>46</v>
      </c>
      <c r="U325" s="12">
        <f t="shared" si="335"/>
        <v>35</v>
      </c>
      <c r="V325" s="12">
        <f t="shared" si="335"/>
        <v>28</v>
      </c>
      <c r="X325" s="13">
        <f> 'Optimal Choice'!$B$5*'Optimal Choice'!$B$6^(R325+1)</f>
        <v>89301.56887</v>
      </c>
      <c r="Y325" s="13">
        <f> 'Optimal Choice'!$B$10*'Optimal Choice'!$B$11^(S325+1)</f>
        <v>925341.9151</v>
      </c>
      <c r="Z325" s="13">
        <f> 'Optimal Choice'!$B$15*'Optimal Choice'!$B$16^(T325+1)</f>
        <v>340298.8718</v>
      </c>
      <c r="AA325" s="13">
        <f> 'Optimal Choice'!$B$20*'Optimal Choice'!$B$21^(U325+1)</f>
        <v>703619.2423</v>
      </c>
      <c r="AB325" s="13">
        <f> 'Optimal Choice'!$B$25*'Optimal Choice'!$B$26^(V325+1)</f>
        <v>2773432.791</v>
      </c>
      <c r="AE325" s="12">
        <f t="shared" si="4"/>
        <v>60</v>
      </c>
      <c r="AF325" s="12">
        <f t="shared" si="5"/>
        <v>50</v>
      </c>
      <c r="AG325" s="12">
        <f t="shared" si="6"/>
        <v>4</v>
      </c>
      <c r="AH325" s="12">
        <f t="shared" si="7"/>
        <v>2</v>
      </c>
      <c r="AI325" s="12">
        <f t="shared" si="8"/>
        <v>1.5</v>
      </c>
      <c r="AL325" s="14">
        <f>R325*'Optimal Choice'!$B$4*AE325</f>
        <v>14729.4</v>
      </c>
      <c r="AM325" s="14">
        <f>S325*'Optimal Choice'!$B$9*AF325</f>
        <v>68000</v>
      </c>
      <c r="AN325" s="14">
        <f>T325*'Optimal Choice'!$B$14*AG325</f>
        <v>16560</v>
      </c>
      <c r="AO325" s="14">
        <f>U325*'Optimal Choice'!$B$19*AH325</f>
        <v>25200</v>
      </c>
      <c r="AP325" s="14">
        <f>V325*'Optimal Choice'!$B$24*AI325</f>
        <v>90720</v>
      </c>
      <c r="AS325" s="12">
        <f t="shared" si="9"/>
        <v>60</v>
      </c>
      <c r="AT325" s="12">
        <f t="shared" si="10"/>
        <v>50</v>
      </c>
      <c r="AU325" s="12">
        <f t="shared" si="11"/>
        <v>4</v>
      </c>
      <c r="AV325" s="12">
        <f t="shared" si="12"/>
        <v>2</v>
      </c>
      <c r="AW325" s="12">
        <f t="shared" si="13"/>
        <v>1.5</v>
      </c>
      <c r="AY325" s="11">
        <f t="shared" si="14"/>
        <v>0.0483840457</v>
      </c>
    </row>
    <row r="326" ht="15.75" customHeight="1">
      <c r="A326" s="15">
        <f t="shared" si="2"/>
        <v>9.33780524</v>
      </c>
      <c r="B326" s="7">
        <f>(sum(AL326:AP326))*'Optimal Choice'!$B$28</f>
        <v>218449.4</v>
      </c>
      <c r="C326" s="11"/>
      <c r="D326" s="12"/>
      <c r="E326" s="12"/>
      <c r="F326" s="11"/>
      <c r="G326" s="11"/>
      <c r="H326" s="11"/>
      <c r="I326" s="11"/>
      <c r="J326" s="11"/>
      <c r="K326" s="11">
        <f>(X326/$B326)+(X326/('Optimal Choice'!$B$4*AS326))</f>
        <v>891.6420198</v>
      </c>
      <c r="L326" s="11">
        <f>(Y326/$B326)+(Y326/('Optimal Choice'!$B$9*AT326))</f>
        <v>929.5778705</v>
      </c>
      <c r="M326" s="11">
        <f>(Z326/$B326)+(Z326/('Optimal Choice'!$B$14*AU326))</f>
        <v>946.8324365</v>
      </c>
      <c r="N326" s="11">
        <f>(AA326/$B326)+(AA326/('Optimal Choice'!$B$19*AV326))</f>
        <v>980.469919</v>
      </c>
      <c r="O326" s="11">
        <f>(AB326/$B326)+(AB326/('Optimal Choice'!$B$24*AW326))</f>
        <v>972.9370238</v>
      </c>
      <c r="R326" s="12">
        <f t="shared" ref="R326:V326" si="336">if(min($K325:$O325)=K325,R325+1,R325)</f>
        <v>147</v>
      </c>
      <c r="S326" s="12">
        <f t="shared" si="336"/>
        <v>68</v>
      </c>
      <c r="T326" s="12">
        <f t="shared" si="336"/>
        <v>46</v>
      </c>
      <c r="U326" s="12">
        <f t="shared" si="336"/>
        <v>35</v>
      </c>
      <c r="V326" s="12">
        <f t="shared" si="336"/>
        <v>29</v>
      </c>
      <c r="X326" s="13">
        <f> 'Optimal Choice'!$B$5*'Optimal Choice'!$B$6^(R326+1)</f>
        <v>89301.56887</v>
      </c>
      <c r="Y326" s="13">
        <f> 'Optimal Choice'!$B$10*'Optimal Choice'!$B$11^(S326+1)</f>
        <v>925341.9151</v>
      </c>
      <c r="Z326" s="13">
        <f> 'Optimal Choice'!$B$15*'Optimal Choice'!$B$16^(T326+1)</f>
        <v>340298.8718</v>
      </c>
      <c r="AA326" s="13">
        <f> 'Optimal Choice'!$B$20*'Optimal Choice'!$B$21^(U326+1)</f>
        <v>703619.2423</v>
      </c>
      <c r="AB326" s="13">
        <f> 'Optimal Choice'!$B$25*'Optimal Choice'!$B$26^(V326+1)</f>
        <v>3106244.725</v>
      </c>
      <c r="AE326" s="12">
        <f t="shared" si="4"/>
        <v>60</v>
      </c>
      <c r="AF326" s="12">
        <f t="shared" si="5"/>
        <v>50</v>
      </c>
      <c r="AG326" s="12">
        <f t="shared" si="6"/>
        <v>4</v>
      </c>
      <c r="AH326" s="12">
        <f t="shared" si="7"/>
        <v>2</v>
      </c>
      <c r="AI326" s="12">
        <f t="shared" si="8"/>
        <v>1.5</v>
      </c>
      <c r="AL326" s="14">
        <f>R326*'Optimal Choice'!$B$4*AE326</f>
        <v>14729.4</v>
      </c>
      <c r="AM326" s="14">
        <f>S326*'Optimal Choice'!$B$9*AF326</f>
        <v>68000</v>
      </c>
      <c r="AN326" s="14">
        <f>T326*'Optimal Choice'!$B$14*AG326</f>
        <v>16560</v>
      </c>
      <c r="AO326" s="14">
        <f>U326*'Optimal Choice'!$B$19*AH326</f>
        <v>25200</v>
      </c>
      <c r="AP326" s="14">
        <f>V326*'Optimal Choice'!$B$24*AI326</f>
        <v>93960</v>
      </c>
      <c r="AS326" s="12">
        <f t="shared" si="9"/>
        <v>60</v>
      </c>
      <c r="AT326" s="12">
        <f t="shared" si="10"/>
        <v>50</v>
      </c>
      <c r="AU326" s="12">
        <f t="shared" si="11"/>
        <v>4</v>
      </c>
      <c r="AV326" s="12">
        <f t="shared" si="12"/>
        <v>2</v>
      </c>
      <c r="AW326" s="12">
        <f t="shared" si="13"/>
        <v>1.5</v>
      </c>
      <c r="AY326" s="11">
        <f t="shared" si="14"/>
        <v>0.2147855988</v>
      </c>
    </row>
    <row r="327" ht="15.75" customHeight="1">
      <c r="A327" s="15">
        <f t="shared" si="2"/>
        <v>9.344618532</v>
      </c>
      <c r="B327" s="7">
        <f>(sum(AL327:AP327))*'Optimal Choice'!$B$28</f>
        <v>218549.6</v>
      </c>
      <c r="C327" s="11"/>
      <c r="D327" s="12"/>
      <c r="E327" s="12"/>
      <c r="F327" s="11"/>
      <c r="G327" s="11"/>
      <c r="H327" s="11"/>
      <c r="I327" s="11"/>
      <c r="J327" s="11"/>
      <c r="K327" s="11">
        <f>(X327/$B327)+(X327/('Optimal Choice'!$B$4*AS327))</f>
        <v>954.0567606</v>
      </c>
      <c r="L327" s="11">
        <f>(Y327/$B327)+(Y327/('Optimal Choice'!$B$9*AT327))</f>
        <v>929.5759284</v>
      </c>
      <c r="M327" s="11">
        <f>(Z327/$B327)+(Z327/('Optimal Choice'!$B$14*AU327))</f>
        <v>946.8317223</v>
      </c>
      <c r="N327" s="11">
        <f>(AA327/$B327)+(AA327/('Optimal Choice'!$B$19*AV327))</f>
        <v>980.4684422</v>
      </c>
      <c r="O327" s="11">
        <f>(AB327/$B327)+(AB327/('Optimal Choice'!$B$24*AW327))</f>
        <v>972.9305045</v>
      </c>
      <c r="R327" s="12">
        <f t="shared" ref="R327:V327" si="337">if(min($K326:$O326)=K326,R326+1,R326)</f>
        <v>148</v>
      </c>
      <c r="S327" s="12">
        <f t="shared" si="337"/>
        <v>68</v>
      </c>
      <c r="T327" s="12">
        <f t="shared" si="337"/>
        <v>46</v>
      </c>
      <c r="U327" s="12">
        <f t="shared" si="337"/>
        <v>35</v>
      </c>
      <c r="V327" s="12">
        <f t="shared" si="337"/>
        <v>29</v>
      </c>
      <c r="X327" s="13">
        <f> 'Optimal Choice'!$B$5*'Optimal Choice'!$B$6^(R327+1)</f>
        <v>95552.67869</v>
      </c>
      <c r="Y327" s="13">
        <f> 'Optimal Choice'!$B$10*'Optimal Choice'!$B$11^(S327+1)</f>
        <v>925341.9151</v>
      </c>
      <c r="Z327" s="13">
        <f> 'Optimal Choice'!$B$15*'Optimal Choice'!$B$16^(T327+1)</f>
        <v>340298.8718</v>
      </c>
      <c r="AA327" s="13">
        <f> 'Optimal Choice'!$B$20*'Optimal Choice'!$B$21^(U327+1)</f>
        <v>703619.2423</v>
      </c>
      <c r="AB327" s="13">
        <f> 'Optimal Choice'!$B$25*'Optimal Choice'!$B$26^(V327+1)</f>
        <v>3106244.725</v>
      </c>
      <c r="AE327" s="12">
        <f t="shared" si="4"/>
        <v>60</v>
      </c>
      <c r="AF327" s="12">
        <f t="shared" si="5"/>
        <v>50</v>
      </c>
      <c r="AG327" s="12">
        <f t="shared" si="6"/>
        <v>4</v>
      </c>
      <c r="AH327" s="12">
        <f t="shared" si="7"/>
        <v>2</v>
      </c>
      <c r="AI327" s="12">
        <f t="shared" si="8"/>
        <v>1.5</v>
      </c>
      <c r="AL327" s="14">
        <f>R327*'Optimal Choice'!$B$4*AE327</f>
        <v>14829.6</v>
      </c>
      <c r="AM327" s="14">
        <f>S327*'Optimal Choice'!$B$9*AF327</f>
        <v>68000</v>
      </c>
      <c r="AN327" s="14">
        <f>T327*'Optimal Choice'!$B$14*AG327</f>
        <v>16560</v>
      </c>
      <c r="AO327" s="14">
        <f>U327*'Optimal Choice'!$B$19*AH327</f>
        <v>25200</v>
      </c>
      <c r="AP327" s="14">
        <f>V327*'Optimal Choice'!$B$24*AI327</f>
        <v>93960</v>
      </c>
      <c r="AS327" s="12">
        <f t="shared" si="9"/>
        <v>60</v>
      </c>
      <c r="AT327" s="12">
        <f t="shared" si="10"/>
        <v>50</v>
      </c>
      <c r="AU327" s="12">
        <f t="shared" si="11"/>
        <v>4</v>
      </c>
      <c r="AV327" s="12">
        <f t="shared" si="12"/>
        <v>2</v>
      </c>
      <c r="AW327" s="12">
        <f t="shared" si="13"/>
        <v>1.5</v>
      </c>
      <c r="AY327" s="11">
        <f t="shared" si="14"/>
        <v>0.006813291688</v>
      </c>
    </row>
    <row r="328" ht="15.75" customHeight="1">
      <c r="A328" s="15">
        <f t="shared" si="2"/>
        <v>9.415185421</v>
      </c>
      <c r="B328" s="7">
        <f>(sum(AL328:AP328))*'Optimal Choice'!$B$28</f>
        <v>219549.6</v>
      </c>
      <c r="C328" s="11"/>
      <c r="D328" s="12"/>
      <c r="E328" s="12"/>
      <c r="F328" s="11"/>
      <c r="G328" s="11"/>
      <c r="H328" s="11"/>
      <c r="I328" s="11"/>
      <c r="J328" s="11"/>
      <c r="K328" s="11">
        <f>(X328/$B328)+(X328/('Optimal Choice'!$B$4*AS328))</f>
        <v>954.0547692</v>
      </c>
      <c r="L328" s="11">
        <f>(Y328/$B328)+(Y328/('Optimal Choice'!$B$9*AT328))</f>
        <v>1068.99014</v>
      </c>
      <c r="M328" s="11">
        <f>(Z328/$B328)+(Z328/('Optimal Choice'!$B$14*AU328))</f>
        <v>946.8246301</v>
      </c>
      <c r="N328" s="11">
        <f>(AA328/$B328)+(AA328/('Optimal Choice'!$B$19*AV328))</f>
        <v>980.4537781</v>
      </c>
      <c r="O328" s="11">
        <f>(AB328/$B328)+(AB328/('Optimal Choice'!$B$24*AW328))</f>
        <v>972.8657674</v>
      </c>
      <c r="R328" s="12">
        <f t="shared" ref="R328:V328" si="338">if(min($K327:$O327)=K327,R327+1,R327)</f>
        <v>148</v>
      </c>
      <c r="S328" s="12">
        <f t="shared" si="338"/>
        <v>69</v>
      </c>
      <c r="T328" s="12">
        <f t="shared" si="338"/>
        <v>46</v>
      </c>
      <c r="U328" s="12">
        <f t="shared" si="338"/>
        <v>35</v>
      </c>
      <c r="V328" s="12">
        <f t="shared" si="338"/>
        <v>29</v>
      </c>
      <c r="X328" s="13">
        <f> 'Optimal Choice'!$B$5*'Optimal Choice'!$B$6^(R328+1)</f>
        <v>95552.67869</v>
      </c>
      <c r="Y328" s="13">
        <f> 'Optimal Choice'!$B$10*'Optimal Choice'!$B$11^(S328+1)</f>
        <v>1064143.202</v>
      </c>
      <c r="Z328" s="13">
        <f> 'Optimal Choice'!$B$15*'Optimal Choice'!$B$16^(T328+1)</f>
        <v>340298.8718</v>
      </c>
      <c r="AA328" s="13">
        <f> 'Optimal Choice'!$B$20*'Optimal Choice'!$B$21^(U328+1)</f>
        <v>703619.2423</v>
      </c>
      <c r="AB328" s="13">
        <f> 'Optimal Choice'!$B$25*'Optimal Choice'!$B$26^(V328+1)</f>
        <v>3106244.725</v>
      </c>
      <c r="AE328" s="12">
        <f t="shared" si="4"/>
        <v>60</v>
      </c>
      <c r="AF328" s="12">
        <f t="shared" si="5"/>
        <v>50</v>
      </c>
      <c r="AG328" s="12">
        <f t="shared" si="6"/>
        <v>4</v>
      </c>
      <c r="AH328" s="12">
        <f t="shared" si="7"/>
        <v>2</v>
      </c>
      <c r="AI328" s="12">
        <f t="shared" si="8"/>
        <v>1.5</v>
      </c>
      <c r="AL328" s="14">
        <f>R328*'Optimal Choice'!$B$4*AE328</f>
        <v>14829.6</v>
      </c>
      <c r="AM328" s="14">
        <f>S328*'Optimal Choice'!$B$9*AF328</f>
        <v>69000</v>
      </c>
      <c r="AN328" s="14">
        <f>T328*'Optimal Choice'!$B$14*AG328</f>
        <v>16560</v>
      </c>
      <c r="AO328" s="14">
        <f>U328*'Optimal Choice'!$B$19*AH328</f>
        <v>25200</v>
      </c>
      <c r="AP328" s="14">
        <f>V328*'Optimal Choice'!$B$24*AI328</f>
        <v>93960</v>
      </c>
      <c r="AS328" s="12">
        <f t="shared" si="9"/>
        <v>60</v>
      </c>
      <c r="AT328" s="12">
        <f t="shared" si="10"/>
        <v>50</v>
      </c>
      <c r="AU328" s="12">
        <f t="shared" si="11"/>
        <v>4</v>
      </c>
      <c r="AV328" s="12">
        <f t="shared" si="12"/>
        <v>2</v>
      </c>
      <c r="AW328" s="12">
        <f t="shared" si="13"/>
        <v>1.5</v>
      </c>
      <c r="AY328" s="11">
        <f t="shared" si="14"/>
        <v>0.07056688848</v>
      </c>
    </row>
    <row r="329" ht="15.75" customHeight="1">
      <c r="A329" s="15">
        <f t="shared" si="2"/>
        <v>9.441018526</v>
      </c>
      <c r="B329" s="7">
        <f>(sum(AL329:AP329))*'Optimal Choice'!$B$28</f>
        <v>219909.6</v>
      </c>
      <c r="C329" s="11"/>
      <c r="D329" s="12"/>
      <c r="E329" s="12"/>
      <c r="F329" s="11"/>
      <c r="G329" s="11"/>
      <c r="H329" s="11"/>
      <c r="I329" s="11"/>
      <c r="J329" s="11"/>
      <c r="K329" s="11">
        <f>(X329/$B329)+(X329/('Optimal Choice'!$B$4*AS329))</f>
        <v>954.0540567</v>
      </c>
      <c r="L329" s="11">
        <f>(Y329/$B329)+(Y329/('Optimal Choice'!$B$9*AT329))</f>
        <v>1068.982205</v>
      </c>
      <c r="M329" s="11">
        <f>(Z329/$B329)+(Z329/('Optimal Choice'!$B$14*AU329))</f>
        <v>1079.377186</v>
      </c>
      <c r="N329" s="11">
        <f>(AA329/$B329)+(AA329/('Optimal Choice'!$B$19*AV329))</f>
        <v>980.4485317</v>
      </c>
      <c r="O329" s="11">
        <f>(AB329/$B329)+(AB329/('Optimal Choice'!$B$24*AW329))</f>
        <v>972.8426062</v>
      </c>
      <c r="R329" s="12">
        <f t="shared" ref="R329:V329" si="339">if(min($K328:$O328)=K328,R328+1,R328)</f>
        <v>148</v>
      </c>
      <c r="S329" s="12">
        <f t="shared" si="339"/>
        <v>69</v>
      </c>
      <c r="T329" s="12">
        <f t="shared" si="339"/>
        <v>47</v>
      </c>
      <c r="U329" s="12">
        <f t="shared" si="339"/>
        <v>35</v>
      </c>
      <c r="V329" s="12">
        <f t="shared" si="339"/>
        <v>29</v>
      </c>
      <c r="X329" s="13">
        <f> 'Optimal Choice'!$B$5*'Optimal Choice'!$B$6^(R329+1)</f>
        <v>95552.67869</v>
      </c>
      <c r="Y329" s="13">
        <f> 'Optimal Choice'!$B$10*'Optimal Choice'!$B$11^(S329+1)</f>
        <v>1064143.202</v>
      </c>
      <c r="Z329" s="13">
        <f> 'Optimal Choice'!$B$15*'Optimal Choice'!$B$16^(T329+1)</f>
        <v>387940.7138</v>
      </c>
      <c r="AA329" s="13">
        <f> 'Optimal Choice'!$B$20*'Optimal Choice'!$B$21^(U329+1)</f>
        <v>703619.2423</v>
      </c>
      <c r="AB329" s="13">
        <f> 'Optimal Choice'!$B$25*'Optimal Choice'!$B$26^(V329+1)</f>
        <v>3106244.725</v>
      </c>
      <c r="AE329" s="12">
        <f t="shared" si="4"/>
        <v>60</v>
      </c>
      <c r="AF329" s="12">
        <f t="shared" si="5"/>
        <v>50</v>
      </c>
      <c r="AG329" s="12">
        <f t="shared" si="6"/>
        <v>4</v>
      </c>
      <c r="AH329" s="12">
        <f t="shared" si="7"/>
        <v>2</v>
      </c>
      <c r="AI329" s="12">
        <f t="shared" si="8"/>
        <v>1.5</v>
      </c>
      <c r="AL329" s="14">
        <f>R329*'Optimal Choice'!$B$4*AE329</f>
        <v>14829.6</v>
      </c>
      <c r="AM329" s="14">
        <f>S329*'Optimal Choice'!$B$9*AF329</f>
        <v>69000</v>
      </c>
      <c r="AN329" s="14">
        <f>T329*'Optimal Choice'!$B$14*AG329</f>
        <v>16920</v>
      </c>
      <c r="AO329" s="14">
        <f>U329*'Optimal Choice'!$B$19*AH329</f>
        <v>25200</v>
      </c>
      <c r="AP329" s="14">
        <f>V329*'Optimal Choice'!$B$24*AI329</f>
        <v>93960</v>
      </c>
      <c r="AS329" s="12">
        <f t="shared" si="9"/>
        <v>60</v>
      </c>
      <c r="AT329" s="12">
        <f t="shared" si="10"/>
        <v>50</v>
      </c>
      <c r="AU329" s="12">
        <f t="shared" si="11"/>
        <v>4</v>
      </c>
      <c r="AV329" s="12">
        <f t="shared" si="12"/>
        <v>2</v>
      </c>
      <c r="AW329" s="12">
        <f t="shared" si="13"/>
        <v>1.5</v>
      </c>
      <c r="AY329" s="11">
        <f t="shared" si="14"/>
        <v>0.02583310497</v>
      </c>
    </row>
    <row r="330" ht="15.75" customHeight="1">
      <c r="A330" s="15">
        <f t="shared" si="2"/>
        <v>9.448260341</v>
      </c>
      <c r="B330" s="7">
        <f>(sum(AL330:AP330))*'Optimal Choice'!$B$28</f>
        <v>220009.8</v>
      </c>
      <c r="C330" s="11"/>
      <c r="D330" s="12"/>
      <c r="E330" s="12"/>
      <c r="F330" s="11"/>
      <c r="G330" s="11"/>
      <c r="H330" s="11"/>
      <c r="I330" s="11"/>
      <c r="J330" s="11"/>
      <c r="K330" s="11">
        <f>(X330/$B330)+(X330/('Optimal Choice'!$B$4*AS330))</f>
        <v>1020.837629</v>
      </c>
      <c r="L330" s="11">
        <f>(Y330/$B330)+(Y330/('Optimal Choice'!$B$9*AT330))</f>
        <v>1068.980001</v>
      </c>
      <c r="M330" s="11">
        <f>(Z330/$B330)+(Z330/('Optimal Choice'!$B$14*AU330))</f>
        <v>1079.376382</v>
      </c>
      <c r="N330" s="11">
        <f>(AA330/$B330)+(AA330/('Optimal Choice'!$B$19*AV330))</f>
        <v>980.4470745</v>
      </c>
      <c r="O330" s="11">
        <f>(AB330/$B330)+(AB330/('Optimal Choice'!$B$24*AW330))</f>
        <v>972.8361732</v>
      </c>
      <c r="R330" s="12">
        <f t="shared" ref="R330:V330" si="340">if(min($K329:$O329)=K329,R329+1,R329)</f>
        <v>149</v>
      </c>
      <c r="S330" s="12">
        <f t="shared" si="340"/>
        <v>69</v>
      </c>
      <c r="T330" s="12">
        <f t="shared" si="340"/>
        <v>47</v>
      </c>
      <c r="U330" s="12">
        <f t="shared" si="340"/>
        <v>35</v>
      </c>
      <c r="V330" s="12">
        <f t="shared" si="340"/>
        <v>29</v>
      </c>
      <c r="X330" s="13">
        <f> 'Optimal Choice'!$B$5*'Optimal Choice'!$B$6^(R330+1)</f>
        <v>102241.3662</v>
      </c>
      <c r="Y330" s="13">
        <f> 'Optimal Choice'!$B$10*'Optimal Choice'!$B$11^(S330+1)</f>
        <v>1064143.202</v>
      </c>
      <c r="Z330" s="13">
        <f> 'Optimal Choice'!$B$15*'Optimal Choice'!$B$16^(T330+1)</f>
        <v>387940.7138</v>
      </c>
      <c r="AA330" s="13">
        <f> 'Optimal Choice'!$B$20*'Optimal Choice'!$B$21^(U330+1)</f>
        <v>703619.2423</v>
      </c>
      <c r="AB330" s="13">
        <f> 'Optimal Choice'!$B$25*'Optimal Choice'!$B$26^(V330+1)</f>
        <v>3106244.725</v>
      </c>
      <c r="AE330" s="12">
        <f t="shared" si="4"/>
        <v>60</v>
      </c>
      <c r="AF330" s="12">
        <f t="shared" si="5"/>
        <v>50</v>
      </c>
      <c r="AG330" s="12">
        <f t="shared" si="6"/>
        <v>4</v>
      </c>
      <c r="AH330" s="12">
        <f t="shared" si="7"/>
        <v>2</v>
      </c>
      <c r="AI330" s="12">
        <f t="shared" si="8"/>
        <v>1.5</v>
      </c>
      <c r="AL330" s="14">
        <f>R330*'Optimal Choice'!$B$4*AE330</f>
        <v>14929.8</v>
      </c>
      <c r="AM330" s="14">
        <f>S330*'Optimal Choice'!$B$9*AF330</f>
        <v>69000</v>
      </c>
      <c r="AN330" s="14">
        <f>T330*'Optimal Choice'!$B$14*AG330</f>
        <v>16920</v>
      </c>
      <c r="AO330" s="14">
        <f>U330*'Optimal Choice'!$B$19*AH330</f>
        <v>25200</v>
      </c>
      <c r="AP330" s="14">
        <f>V330*'Optimal Choice'!$B$24*AI330</f>
        <v>93960</v>
      </c>
      <c r="AS330" s="12">
        <f t="shared" si="9"/>
        <v>60</v>
      </c>
      <c r="AT330" s="12">
        <f t="shared" si="10"/>
        <v>50</v>
      </c>
      <c r="AU330" s="12">
        <f t="shared" si="11"/>
        <v>4</v>
      </c>
      <c r="AV330" s="12">
        <f t="shared" si="12"/>
        <v>2</v>
      </c>
      <c r="AW330" s="12">
        <f t="shared" si="13"/>
        <v>1.5</v>
      </c>
      <c r="AY330" s="11">
        <f t="shared" si="14"/>
        <v>0.007241815022</v>
      </c>
    </row>
    <row r="331" ht="15.75" customHeight="1">
      <c r="A331" s="15">
        <f t="shared" si="2"/>
        <v>9.683571429</v>
      </c>
      <c r="B331" s="7">
        <f>(sum(AL331:AP331))*'Optimal Choice'!$B$28</f>
        <v>223249.8</v>
      </c>
      <c r="C331" s="11"/>
      <c r="D331" s="12"/>
      <c r="E331" s="12"/>
      <c r="F331" s="11"/>
      <c r="G331" s="11"/>
      <c r="H331" s="11"/>
      <c r="I331" s="11"/>
      <c r="J331" s="11"/>
      <c r="K331" s="11">
        <f>(X331/$B331)+(X331/('Optimal Choice'!$B$4*AS331))</f>
        <v>1020.830885</v>
      </c>
      <c r="L331" s="11">
        <f>(Y331/$B331)+(Y331/('Optimal Choice'!$B$9*AT331))</f>
        <v>1068.909805</v>
      </c>
      <c r="M331" s="11">
        <f>(Z331/$B331)+(Z331/('Optimal Choice'!$B$14*AU331))</f>
        <v>1079.350792</v>
      </c>
      <c r="N331" s="11">
        <f>(AA331/$B331)+(AA331/('Optimal Choice'!$B$19*AV331))</f>
        <v>980.4006604</v>
      </c>
      <c r="O331" s="11">
        <f>(AB331/$B331)+(AB331/('Optimal Choice'!$B$24*AW331))</f>
        <v>1089.347023</v>
      </c>
      <c r="R331" s="12">
        <f t="shared" ref="R331:V331" si="341">if(min($K330:$O330)=K330,R330+1,R330)</f>
        <v>149</v>
      </c>
      <c r="S331" s="12">
        <f t="shared" si="341"/>
        <v>69</v>
      </c>
      <c r="T331" s="12">
        <f t="shared" si="341"/>
        <v>47</v>
      </c>
      <c r="U331" s="12">
        <f t="shared" si="341"/>
        <v>35</v>
      </c>
      <c r="V331" s="12">
        <f t="shared" si="341"/>
        <v>30</v>
      </c>
      <c r="X331" s="13">
        <f> 'Optimal Choice'!$B$5*'Optimal Choice'!$B$6^(R331+1)</f>
        <v>102241.3662</v>
      </c>
      <c r="Y331" s="13">
        <f> 'Optimal Choice'!$B$10*'Optimal Choice'!$B$11^(S331+1)</f>
        <v>1064143.202</v>
      </c>
      <c r="Z331" s="13">
        <f> 'Optimal Choice'!$B$15*'Optimal Choice'!$B$16^(T331+1)</f>
        <v>387940.7138</v>
      </c>
      <c r="AA331" s="13">
        <f> 'Optimal Choice'!$B$20*'Optimal Choice'!$B$21^(U331+1)</f>
        <v>703619.2423</v>
      </c>
      <c r="AB331" s="13">
        <f> 'Optimal Choice'!$B$25*'Optimal Choice'!$B$26^(V331+1)</f>
        <v>3478994.093</v>
      </c>
      <c r="AE331" s="12">
        <f t="shared" si="4"/>
        <v>60</v>
      </c>
      <c r="AF331" s="12">
        <f t="shared" si="5"/>
        <v>50</v>
      </c>
      <c r="AG331" s="12">
        <f t="shared" si="6"/>
        <v>4</v>
      </c>
      <c r="AH331" s="12">
        <f t="shared" si="7"/>
        <v>2</v>
      </c>
      <c r="AI331" s="12">
        <f t="shared" si="8"/>
        <v>1.5</v>
      </c>
      <c r="AL331" s="14">
        <f>R331*'Optimal Choice'!$B$4*AE331</f>
        <v>14929.8</v>
      </c>
      <c r="AM331" s="14">
        <f>S331*'Optimal Choice'!$B$9*AF331</f>
        <v>69000</v>
      </c>
      <c r="AN331" s="14">
        <f>T331*'Optimal Choice'!$B$14*AG331</f>
        <v>16920</v>
      </c>
      <c r="AO331" s="14">
        <f>U331*'Optimal Choice'!$B$19*AH331</f>
        <v>25200</v>
      </c>
      <c r="AP331" s="14">
        <f>V331*'Optimal Choice'!$B$24*AI331</f>
        <v>97200</v>
      </c>
      <c r="AS331" s="12">
        <f t="shared" si="9"/>
        <v>60</v>
      </c>
      <c r="AT331" s="12">
        <f t="shared" si="10"/>
        <v>50</v>
      </c>
      <c r="AU331" s="12">
        <f t="shared" si="11"/>
        <v>4</v>
      </c>
      <c r="AV331" s="12">
        <f t="shared" si="12"/>
        <v>2</v>
      </c>
      <c r="AW331" s="12">
        <f t="shared" si="13"/>
        <v>1.5</v>
      </c>
      <c r="AY331" s="11">
        <f t="shared" si="14"/>
        <v>0.2353110881</v>
      </c>
    </row>
    <row r="332" ht="15.75" customHeight="1">
      <c r="A332" s="15">
        <f t="shared" si="2"/>
        <v>9.736099975</v>
      </c>
      <c r="B332" s="7">
        <f>(sum(AL332:AP332))*'Optimal Choice'!$B$28</f>
        <v>223969.8</v>
      </c>
      <c r="C332" s="11"/>
      <c r="D332" s="12"/>
      <c r="E332" s="12"/>
      <c r="F332" s="11"/>
      <c r="G332" s="11"/>
      <c r="H332" s="11"/>
      <c r="I332" s="11"/>
      <c r="J332" s="11"/>
      <c r="K332" s="11">
        <f>(X332/$B332)+(X332/('Optimal Choice'!$B$4*AS332))</f>
        <v>1020.829412</v>
      </c>
      <c r="L332" s="11">
        <f>(Y332/$B332)+(Y332/('Optimal Choice'!$B$9*AT332))</f>
        <v>1068.894482</v>
      </c>
      <c r="M332" s="11">
        <f>(Z332/$B332)+(Z332/('Optimal Choice'!$B$14*AU332))</f>
        <v>1079.345206</v>
      </c>
      <c r="N332" s="11">
        <f>(AA332/$B332)+(AA332/('Optimal Choice'!$B$19*AV332))</f>
        <v>1107.841297</v>
      </c>
      <c r="O332" s="11">
        <f>(AB332/$B332)+(AB332/('Optimal Choice'!$B$24*AW332))</f>
        <v>1089.296927</v>
      </c>
      <c r="R332" s="12">
        <f t="shared" ref="R332:V332" si="342">if(min($K331:$O331)=K331,R331+1,R331)</f>
        <v>149</v>
      </c>
      <c r="S332" s="12">
        <f t="shared" si="342"/>
        <v>69</v>
      </c>
      <c r="T332" s="12">
        <f t="shared" si="342"/>
        <v>47</v>
      </c>
      <c r="U332" s="12">
        <f t="shared" si="342"/>
        <v>36</v>
      </c>
      <c r="V332" s="12">
        <f t="shared" si="342"/>
        <v>30</v>
      </c>
      <c r="X332" s="13">
        <f> 'Optimal Choice'!$B$5*'Optimal Choice'!$B$6^(R332+1)</f>
        <v>102241.3662</v>
      </c>
      <c r="Y332" s="13">
        <f> 'Optimal Choice'!$B$10*'Optimal Choice'!$B$11^(S332+1)</f>
        <v>1064143.202</v>
      </c>
      <c r="Z332" s="13">
        <f> 'Optimal Choice'!$B$15*'Optimal Choice'!$B$16^(T332+1)</f>
        <v>387940.7138</v>
      </c>
      <c r="AA332" s="13">
        <f> 'Optimal Choice'!$B$20*'Optimal Choice'!$B$21^(U332+1)</f>
        <v>795089.7438</v>
      </c>
      <c r="AB332" s="13">
        <f> 'Optimal Choice'!$B$25*'Optimal Choice'!$B$26^(V332+1)</f>
        <v>3478994.093</v>
      </c>
      <c r="AE332" s="12">
        <f t="shared" si="4"/>
        <v>60</v>
      </c>
      <c r="AF332" s="12">
        <f t="shared" si="5"/>
        <v>50</v>
      </c>
      <c r="AG332" s="12">
        <f t="shared" si="6"/>
        <v>4</v>
      </c>
      <c r="AH332" s="12">
        <f t="shared" si="7"/>
        <v>2</v>
      </c>
      <c r="AI332" s="12">
        <f t="shared" si="8"/>
        <v>1.5</v>
      </c>
      <c r="AL332" s="14">
        <f>R332*'Optimal Choice'!$B$4*AE332</f>
        <v>14929.8</v>
      </c>
      <c r="AM332" s="14">
        <f>S332*'Optimal Choice'!$B$9*AF332</f>
        <v>69000</v>
      </c>
      <c r="AN332" s="14">
        <f>T332*'Optimal Choice'!$B$14*AG332</f>
        <v>16920</v>
      </c>
      <c r="AO332" s="14">
        <f>U332*'Optimal Choice'!$B$19*AH332</f>
        <v>25920</v>
      </c>
      <c r="AP332" s="14">
        <f>V332*'Optimal Choice'!$B$24*AI332</f>
        <v>97200</v>
      </c>
      <c r="AS332" s="12">
        <f t="shared" si="9"/>
        <v>60</v>
      </c>
      <c r="AT332" s="12">
        <f t="shared" si="10"/>
        <v>50</v>
      </c>
      <c r="AU332" s="12">
        <f t="shared" si="11"/>
        <v>4</v>
      </c>
      <c r="AV332" s="12">
        <f t="shared" si="12"/>
        <v>2</v>
      </c>
      <c r="AW332" s="12">
        <f t="shared" si="13"/>
        <v>1.5</v>
      </c>
      <c r="AY332" s="11">
        <f t="shared" si="14"/>
        <v>0.05252854593</v>
      </c>
    </row>
    <row r="333" ht="15.75" customHeight="1">
      <c r="A333" s="15">
        <f t="shared" si="2"/>
        <v>9.743708245</v>
      </c>
      <c r="B333" s="7">
        <f>(sum(AL333:AP333))*'Optimal Choice'!$B$28</f>
        <v>224070</v>
      </c>
      <c r="C333" s="11"/>
      <c r="D333" s="12"/>
      <c r="E333" s="12"/>
      <c r="F333" s="11"/>
      <c r="G333" s="11"/>
      <c r="H333" s="11"/>
      <c r="I333" s="11"/>
      <c r="J333" s="11"/>
      <c r="K333" s="11">
        <f>(X333/$B333)+(X333/('Optimal Choice'!$B$4*AS333))</f>
        <v>1092.287253</v>
      </c>
      <c r="L333" s="11">
        <f>(Y333/$B333)+(Y333/('Optimal Choice'!$B$9*AT333))</f>
        <v>1068.892358</v>
      </c>
      <c r="M333" s="11">
        <f>(Z333/$B333)+(Z333/('Optimal Choice'!$B$14*AU333))</f>
        <v>1079.344431</v>
      </c>
      <c r="N333" s="11">
        <f>(AA333/$B333)+(AA333/('Optimal Choice'!$B$19*AV333))</f>
        <v>1107.83971</v>
      </c>
      <c r="O333" s="11">
        <f>(AB333/$B333)+(AB333/('Optimal Choice'!$B$24*AW333))</f>
        <v>1089.28998</v>
      </c>
      <c r="R333" s="12">
        <f t="shared" ref="R333:V333" si="343">if(min($K332:$O332)=K332,R332+1,R332)</f>
        <v>150</v>
      </c>
      <c r="S333" s="12">
        <f t="shared" si="343"/>
        <v>69</v>
      </c>
      <c r="T333" s="12">
        <f t="shared" si="343"/>
        <v>47</v>
      </c>
      <c r="U333" s="12">
        <f t="shared" si="343"/>
        <v>36</v>
      </c>
      <c r="V333" s="12">
        <f t="shared" si="343"/>
        <v>30</v>
      </c>
      <c r="X333" s="13">
        <f> 'Optimal Choice'!$B$5*'Optimal Choice'!$B$6^(R333+1)</f>
        <v>109398.2618</v>
      </c>
      <c r="Y333" s="13">
        <f> 'Optimal Choice'!$B$10*'Optimal Choice'!$B$11^(S333+1)</f>
        <v>1064143.202</v>
      </c>
      <c r="Z333" s="13">
        <f> 'Optimal Choice'!$B$15*'Optimal Choice'!$B$16^(T333+1)</f>
        <v>387940.7138</v>
      </c>
      <c r="AA333" s="13">
        <f> 'Optimal Choice'!$B$20*'Optimal Choice'!$B$21^(U333+1)</f>
        <v>795089.7438</v>
      </c>
      <c r="AB333" s="13">
        <f> 'Optimal Choice'!$B$25*'Optimal Choice'!$B$26^(V333+1)</f>
        <v>3478994.093</v>
      </c>
      <c r="AE333" s="12">
        <f t="shared" si="4"/>
        <v>60</v>
      </c>
      <c r="AF333" s="12">
        <f t="shared" si="5"/>
        <v>50</v>
      </c>
      <c r="AG333" s="12">
        <f t="shared" si="6"/>
        <v>4</v>
      </c>
      <c r="AH333" s="12">
        <f t="shared" si="7"/>
        <v>2</v>
      </c>
      <c r="AI333" s="12">
        <f t="shared" si="8"/>
        <v>1.5</v>
      </c>
      <c r="AL333" s="14">
        <f>R333*'Optimal Choice'!$B$4*AE333</f>
        <v>15030</v>
      </c>
      <c r="AM333" s="14">
        <f>S333*'Optimal Choice'!$B$9*AF333</f>
        <v>69000</v>
      </c>
      <c r="AN333" s="14">
        <f>T333*'Optimal Choice'!$B$14*AG333</f>
        <v>16920</v>
      </c>
      <c r="AO333" s="14">
        <f>U333*'Optimal Choice'!$B$19*AH333</f>
        <v>25920</v>
      </c>
      <c r="AP333" s="14">
        <f>V333*'Optimal Choice'!$B$24*AI333</f>
        <v>97200</v>
      </c>
      <c r="AS333" s="12">
        <f t="shared" si="9"/>
        <v>60</v>
      </c>
      <c r="AT333" s="12">
        <f t="shared" si="10"/>
        <v>50</v>
      </c>
      <c r="AU333" s="12">
        <f t="shared" si="11"/>
        <v>4</v>
      </c>
      <c r="AV333" s="12">
        <f t="shared" si="12"/>
        <v>2</v>
      </c>
      <c r="AW333" s="12">
        <f t="shared" si="13"/>
        <v>1.5</v>
      </c>
      <c r="AY333" s="11">
        <f t="shared" si="14"/>
        <v>0.007608270267</v>
      </c>
    </row>
    <row r="334" ht="15.75" customHeight="1">
      <c r="A334" s="15">
        <f t="shared" si="2"/>
        <v>9.822860831</v>
      </c>
      <c r="B334" s="7">
        <f>(sum(AL334:AP334))*'Optimal Choice'!$B$28</f>
        <v>225070</v>
      </c>
      <c r="C334" s="11"/>
      <c r="D334" s="12"/>
      <c r="E334" s="12"/>
      <c r="F334" s="11"/>
      <c r="G334" s="11"/>
      <c r="H334" s="11"/>
      <c r="I334" s="11"/>
      <c r="J334" s="11"/>
      <c r="K334" s="11">
        <f>(X334/$B334)+(X334/('Optimal Choice'!$B$4*AS334))</f>
        <v>1092.285084</v>
      </c>
      <c r="L334" s="11">
        <f>(Y334/$B334)+(Y334/('Optimal Choice'!$B$9*AT334))</f>
        <v>1229.201945</v>
      </c>
      <c r="M334" s="11">
        <f>(Z334/$B334)+(Z334/('Optimal Choice'!$B$14*AU334))</f>
        <v>1079.336739</v>
      </c>
      <c r="N334" s="11">
        <f>(AA334/$B334)+(AA334/('Optimal Choice'!$B$19*AV334))</f>
        <v>1107.823944</v>
      </c>
      <c r="O334" s="11">
        <f>(AB334/$B334)+(AB334/('Optimal Choice'!$B$24*AW334))</f>
        <v>1089.220996</v>
      </c>
      <c r="R334" s="12">
        <f t="shared" ref="R334:V334" si="344">if(min($K333:$O333)=K333,R333+1,R333)</f>
        <v>150</v>
      </c>
      <c r="S334" s="12">
        <f t="shared" si="344"/>
        <v>70</v>
      </c>
      <c r="T334" s="12">
        <f t="shared" si="344"/>
        <v>47</v>
      </c>
      <c r="U334" s="12">
        <f t="shared" si="344"/>
        <v>36</v>
      </c>
      <c r="V334" s="12">
        <f t="shared" si="344"/>
        <v>30</v>
      </c>
      <c r="X334" s="13">
        <f> 'Optimal Choice'!$B$5*'Optimal Choice'!$B$6^(R334+1)</f>
        <v>109398.2618</v>
      </c>
      <c r="Y334" s="13">
        <f> 'Optimal Choice'!$B$10*'Optimal Choice'!$B$11^(S334+1)</f>
        <v>1223764.683</v>
      </c>
      <c r="Z334" s="13">
        <f> 'Optimal Choice'!$B$15*'Optimal Choice'!$B$16^(T334+1)</f>
        <v>387940.7138</v>
      </c>
      <c r="AA334" s="13">
        <f> 'Optimal Choice'!$B$20*'Optimal Choice'!$B$21^(U334+1)</f>
        <v>795089.7438</v>
      </c>
      <c r="AB334" s="13">
        <f> 'Optimal Choice'!$B$25*'Optimal Choice'!$B$26^(V334+1)</f>
        <v>3478994.093</v>
      </c>
      <c r="AE334" s="12">
        <f t="shared" si="4"/>
        <v>60</v>
      </c>
      <c r="AF334" s="12">
        <f t="shared" si="5"/>
        <v>50</v>
      </c>
      <c r="AG334" s="12">
        <f t="shared" si="6"/>
        <v>4</v>
      </c>
      <c r="AH334" s="12">
        <f t="shared" si="7"/>
        <v>2</v>
      </c>
      <c r="AI334" s="12">
        <f t="shared" si="8"/>
        <v>1.5</v>
      </c>
      <c r="AL334" s="14">
        <f>R334*'Optimal Choice'!$B$4*AE334</f>
        <v>15030</v>
      </c>
      <c r="AM334" s="14">
        <f>S334*'Optimal Choice'!$B$9*AF334</f>
        <v>70000</v>
      </c>
      <c r="AN334" s="14">
        <f>T334*'Optimal Choice'!$B$14*AG334</f>
        <v>16920</v>
      </c>
      <c r="AO334" s="14">
        <f>U334*'Optimal Choice'!$B$19*AH334</f>
        <v>25920</v>
      </c>
      <c r="AP334" s="14">
        <f>V334*'Optimal Choice'!$B$24*AI334</f>
        <v>97200</v>
      </c>
      <c r="AS334" s="12">
        <f t="shared" si="9"/>
        <v>60</v>
      </c>
      <c r="AT334" s="12">
        <f t="shared" si="10"/>
        <v>50</v>
      </c>
      <c r="AU334" s="12">
        <f t="shared" si="11"/>
        <v>4</v>
      </c>
      <c r="AV334" s="12">
        <f t="shared" si="12"/>
        <v>2</v>
      </c>
      <c r="AW334" s="12">
        <f t="shared" si="13"/>
        <v>1.5</v>
      </c>
      <c r="AY334" s="11">
        <f t="shared" si="14"/>
        <v>0.07915258642</v>
      </c>
    </row>
    <row r="335" ht="15.75" customHeight="1">
      <c r="A335" s="15">
        <f t="shared" si="2"/>
        <v>9.851588243</v>
      </c>
      <c r="B335" s="7">
        <f>(sum(AL335:AP335))*'Optimal Choice'!$B$28</f>
        <v>225430</v>
      </c>
      <c r="C335" s="11"/>
      <c r="D335" s="12"/>
      <c r="E335" s="12"/>
      <c r="F335" s="11"/>
      <c r="G335" s="11"/>
      <c r="H335" s="11"/>
      <c r="I335" s="11"/>
      <c r="J335" s="11"/>
      <c r="K335" s="11">
        <f>(X335/$B335)+(X335/('Optimal Choice'!$B$4*AS335))</f>
        <v>1092.284307</v>
      </c>
      <c r="L335" s="11">
        <f>(Y335/$B335)+(Y335/('Optimal Choice'!$B$9*AT335))</f>
        <v>1229.193262</v>
      </c>
      <c r="M335" s="11">
        <f>(Z335/$B335)+(Z335/('Optimal Choice'!$B$14*AU335))</f>
        <v>1230.440744</v>
      </c>
      <c r="N335" s="11">
        <f>(AA335/$B335)+(AA335/('Optimal Choice'!$B$19*AV335))</f>
        <v>1107.818303</v>
      </c>
      <c r="O335" s="11">
        <f>(AB335/$B335)+(AB335/('Optimal Choice'!$B$24*AW335))</f>
        <v>1089.196311</v>
      </c>
      <c r="R335" s="12">
        <f t="shared" ref="R335:V335" si="345">if(min($K334:$O334)=K334,R334+1,R334)</f>
        <v>150</v>
      </c>
      <c r="S335" s="12">
        <f t="shared" si="345"/>
        <v>70</v>
      </c>
      <c r="T335" s="12">
        <f t="shared" si="345"/>
        <v>48</v>
      </c>
      <c r="U335" s="12">
        <f t="shared" si="345"/>
        <v>36</v>
      </c>
      <c r="V335" s="12">
        <f t="shared" si="345"/>
        <v>30</v>
      </c>
      <c r="X335" s="13">
        <f> 'Optimal Choice'!$B$5*'Optimal Choice'!$B$6^(R335+1)</f>
        <v>109398.2618</v>
      </c>
      <c r="Y335" s="13">
        <f> 'Optimal Choice'!$B$10*'Optimal Choice'!$B$11^(S335+1)</f>
        <v>1223764.683</v>
      </c>
      <c r="Z335" s="13">
        <f> 'Optimal Choice'!$B$15*'Optimal Choice'!$B$16^(T335+1)</f>
        <v>442252.4138</v>
      </c>
      <c r="AA335" s="13">
        <f> 'Optimal Choice'!$B$20*'Optimal Choice'!$B$21^(U335+1)</f>
        <v>795089.7438</v>
      </c>
      <c r="AB335" s="13">
        <f> 'Optimal Choice'!$B$25*'Optimal Choice'!$B$26^(V335+1)</f>
        <v>3478994.093</v>
      </c>
      <c r="AE335" s="12">
        <f t="shared" si="4"/>
        <v>60</v>
      </c>
      <c r="AF335" s="12">
        <f t="shared" si="5"/>
        <v>50</v>
      </c>
      <c r="AG335" s="12">
        <f t="shared" si="6"/>
        <v>4</v>
      </c>
      <c r="AH335" s="12">
        <f t="shared" si="7"/>
        <v>2</v>
      </c>
      <c r="AI335" s="12">
        <f t="shared" si="8"/>
        <v>1.5</v>
      </c>
      <c r="AL335" s="14">
        <f>R335*'Optimal Choice'!$B$4*AE335</f>
        <v>15030</v>
      </c>
      <c r="AM335" s="14">
        <f>S335*'Optimal Choice'!$B$9*AF335</f>
        <v>70000</v>
      </c>
      <c r="AN335" s="14">
        <f>T335*'Optimal Choice'!$B$14*AG335</f>
        <v>17280</v>
      </c>
      <c r="AO335" s="14">
        <f>U335*'Optimal Choice'!$B$19*AH335</f>
        <v>25920</v>
      </c>
      <c r="AP335" s="14">
        <f>V335*'Optimal Choice'!$B$24*AI335</f>
        <v>97200</v>
      </c>
      <c r="AS335" s="12">
        <f t="shared" si="9"/>
        <v>60</v>
      </c>
      <c r="AT335" s="12">
        <f t="shared" si="10"/>
        <v>50</v>
      </c>
      <c r="AU335" s="12">
        <f t="shared" si="11"/>
        <v>4</v>
      </c>
      <c r="AV335" s="12">
        <f t="shared" si="12"/>
        <v>2</v>
      </c>
      <c r="AW335" s="12">
        <f t="shared" si="13"/>
        <v>1.5</v>
      </c>
      <c r="AY335" s="11">
        <f t="shared" si="14"/>
        <v>0.02872741176</v>
      </c>
    </row>
    <row r="336" ht="15.75" customHeight="1">
      <c r="A336" s="15">
        <f t="shared" si="2"/>
        <v>10.10879995</v>
      </c>
      <c r="B336" s="7">
        <f>(sum(AL336:AP336))*'Optimal Choice'!$B$28</f>
        <v>228670</v>
      </c>
      <c r="C336" s="11"/>
      <c r="D336" s="12"/>
      <c r="E336" s="12"/>
      <c r="F336" s="11"/>
      <c r="G336" s="11"/>
      <c r="H336" s="11"/>
      <c r="I336" s="11"/>
      <c r="J336" s="11"/>
      <c r="K336" s="11">
        <f>(X336/$B336)+(X336/('Optimal Choice'!$B$4*AS336))</f>
        <v>1092.277431</v>
      </c>
      <c r="L336" s="11">
        <f>(Y336/$B336)+(Y336/('Optimal Choice'!$B$9*AT336))</f>
        <v>1229.116345</v>
      </c>
      <c r="M336" s="11">
        <f>(Z336/$B336)+(Z336/('Optimal Choice'!$B$14*AU336))</f>
        <v>1230.412947</v>
      </c>
      <c r="N336" s="11">
        <f>(AA336/$B336)+(AA336/('Optimal Choice'!$B$19*AV336))</f>
        <v>1107.768329</v>
      </c>
      <c r="O336" s="11">
        <f>(AB336/$B336)+(AB336/('Optimal Choice'!$B$24*AW336))</f>
        <v>1219.654965</v>
      </c>
      <c r="R336" s="12">
        <f t="shared" ref="R336:V336" si="346">if(min($K335:$O335)=K335,R335+1,R335)</f>
        <v>150</v>
      </c>
      <c r="S336" s="12">
        <f t="shared" si="346"/>
        <v>70</v>
      </c>
      <c r="T336" s="12">
        <f t="shared" si="346"/>
        <v>48</v>
      </c>
      <c r="U336" s="12">
        <f t="shared" si="346"/>
        <v>36</v>
      </c>
      <c r="V336" s="12">
        <f t="shared" si="346"/>
        <v>31</v>
      </c>
      <c r="X336" s="13">
        <f> 'Optimal Choice'!$B$5*'Optimal Choice'!$B$6^(R336+1)</f>
        <v>109398.2618</v>
      </c>
      <c r="Y336" s="13">
        <f> 'Optimal Choice'!$B$10*'Optimal Choice'!$B$11^(S336+1)</f>
        <v>1223764.683</v>
      </c>
      <c r="Z336" s="13">
        <f> 'Optimal Choice'!$B$15*'Optimal Choice'!$B$16^(T336+1)</f>
        <v>442252.4138</v>
      </c>
      <c r="AA336" s="13">
        <f> 'Optimal Choice'!$B$20*'Optimal Choice'!$B$21^(U336+1)</f>
        <v>795089.7438</v>
      </c>
      <c r="AB336" s="13">
        <f> 'Optimal Choice'!$B$25*'Optimal Choice'!$B$26^(V336+1)</f>
        <v>3896473.384</v>
      </c>
      <c r="AE336" s="12">
        <f t="shared" si="4"/>
        <v>60</v>
      </c>
      <c r="AF336" s="12">
        <f t="shared" si="5"/>
        <v>50</v>
      </c>
      <c r="AG336" s="12">
        <f t="shared" si="6"/>
        <v>4</v>
      </c>
      <c r="AH336" s="12">
        <f t="shared" si="7"/>
        <v>2</v>
      </c>
      <c r="AI336" s="12">
        <f t="shared" si="8"/>
        <v>1.5</v>
      </c>
      <c r="AL336" s="14">
        <f>R336*'Optimal Choice'!$B$4*AE336</f>
        <v>15030</v>
      </c>
      <c r="AM336" s="14">
        <f>S336*'Optimal Choice'!$B$9*AF336</f>
        <v>70000</v>
      </c>
      <c r="AN336" s="14">
        <f>T336*'Optimal Choice'!$B$14*AG336</f>
        <v>17280</v>
      </c>
      <c r="AO336" s="14">
        <f>U336*'Optimal Choice'!$B$19*AH336</f>
        <v>25920</v>
      </c>
      <c r="AP336" s="14">
        <f>V336*'Optimal Choice'!$B$24*AI336</f>
        <v>100440</v>
      </c>
      <c r="AS336" s="12">
        <f t="shared" si="9"/>
        <v>60</v>
      </c>
      <c r="AT336" s="12">
        <f t="shared" si="10"/>
        <v>50</v>
      </c>
      <c r="AU336" s="12">
        <f t="shared" si="11"/>
        <v>4</v>
      </c>
      <c r="AV336" s="12">
        <f t="shared" si="12"/>
        <v>2</v>
      </c>
      <c r="AW336" s="12">
        <f t="shared" si="13"/>
        <v>1.5</v>
      </c>
      <c r="AY336" s="11">
        <f t="shared" si="14"/>
        <v>0.257211706</v>
      </c>
    </row>
    <row r="337" ht="15.75" customHeight="1">
      <c r="A337" s="15">
        <f t="shared" si="2"/>
        <v>10.11677347</v>
      </c>
      <c r="B337" s="7">
        <f>(sum(AL337:AP337))*'Optimal Choice'!$B$28</f>
        <v>228770.2</v>
      </c>
      <c r="C337" s="11"/>
      <c r="D337" s="12"/>
      <c r="E337" s="12"/>
      <c r="F337" s="11"/>
      <c r="G337" s="11"/>
      <c r="H337" s="11"/>
      <c r="I337" s="11"/>
      <c r="J337" s="11"/>
      <c r="K337" s="11">
        <f>(X337/$B337)+(X337/('Optimal Choice'!$B$4*AS337))</f>
        <v>1168.736627</v>
      </c>
      <c r="L337" s="11">
        <f>(Y337/$B337)+(Y337/('Optimal Choice'!$B$9*AT337))</f>
        <v>1229.114001</v>
      </c>
      <c r="M337" s="11">
        <f>(Z337/$B337)+(Z337/('Optimal Choice'!$B$14*AU337))</f>
        <v>1230.4121</v>
      </c>
      <c r="N337" s="11">
        <f>(AA337/$B337)+(AA337/('Optimal Choice'!$B$19*AV337))</f>
        <v>1107.766806</v>
      </c>
      <c r="O337" s="11">
        <f>(AB337/$B337)+(AB337/('Optimal Choice'!$B$24*AW337))</f>
        <v>1219.647501</v>
      </c>
      <c r="R337" s="12">
        <f t="shared" ref="R337:V337" si="347">if(min($K336:$O336)=K336,R336+1,R336)</f>
        <v>151</v>
      </c>
      <c r="S337" s="12">
        <f t="shared" si="347"/>
        <v>70</v>
      </c>
      <c r="T337" s="12">
        <f t="shared" si="347"/>
        <v>48</v>
      </c>
      <c r="U337" s="12">
        <f t="shared" si="347"/>
        <v>36</v>
      </c>
      <c r="V337" s="12">
        <f t="shared" si="347"/>
        <v>31</v>
      </c>
      <c r="X337" s="13">
        <f> 'Optimal Choice'!$B$5*'Optimal Choice'!$B$6^(R337+1)</f>
        <v>117056.1402</v>
      </c>
      <c r="Y337" s="13">
        <f> 'Optimal Choice'!$B$10*'Optimal Choice'!$B$11^(S337+1)</f>
        <v>1223764.683</v>
      </c>
      <c r="Z337" s="13">
        <f> 'Optimal Choice'!$B$15*'Optimal Choice'!$B$16^(T337+1)</f>
        <v>442252.4138</v>
      </c>
      <c r="AA337" s="13">
        <f> 'Optimal Choice'!$B$20*'Optimal Choice'!$B$21^(U337+1)</f>
        <v>795089.7438</v>
      </c>
      <c r="AB337" s="13">
        <f> 'Optimal Choice'!$B$25*'Optimal Choice'!$B$26^(V337+1)</f>
        <v>3896473.384</v>
      </c>
      <c r="AE337" s="12">
        <f t="shared" si="4"/>
        <v>60</v>
      </c>
      <c r="AF337" s="12">
        <f t="shared" si="5"/>
        <v>50</v>
      </c>
      <c r="AG337" s="12">
        <f t="shared" si="6"/>
        <v>4</v>
      </c>
      <c r="AH337" s="12">
        <f t="shared" si="7"/>
        <v>2</v>
      </c>
      <c r="AI337" s="12">
        <f t="shared" si="8"/>
        <v>1.5</v>
      </c>
      <c r="AL337" s="14">
        <f>R337*'Optimal Choice'!$B$4*AE337</f>
        <v>15130.2</v>
      </c>
      <c r="AM337" s="14">
        <f>S337*'Optimal Choice'!$B$9*AF337</f>
        <v>70000</v>
      </c>
      <c r="AN337" s="14">
        <f>T337*'Optimal Choice'!$B$14*AG337</f>
        <v>17280</v>
      </c>
      <c r="AO337" s="14">
        <f>U337*'Optimal Choice'!$B$19*AH337</f>
        <v>25920</v>
      </c>
      <c r="AP337" s="14">
        <f>V337*'Optimal Choice'!$B$24*AI337</f>
        <v>100440</v>
      </c>
      <c r="AS337" s="12">
        <f t="shared" si="9"/>
        <v>60</v>
      </c>
      <c r="AT337" s="12">
        <f t="shared" si="10"/>
        <v>50</v>
      </c>
      <c r="AU337" s="12">
        <f t="shared" si="11"/>
        <v>4</v>
      </c>
      <c r="AV337" s="12">
        <f t="shared" si="12"/>
        <v>2</v>
      </c>
      <c r="AW337" s="12">
        <f t="shared" si="13"/>
        <v>1.5</v>
      </c>
      <c r="AY337" s="11">
        <f t="shared" si="14"/>
        <v>0.007973518012</v>
      </c>
    </row>
    <row r="338" ht="15.75" customHeight="1">
      <c r="A338" s="15">
        <f t="shared" si="2"/>
        <v>10.17469839</v>
      </c>
      <c r="B338" s="7">
        <f>(sum(AL338:AP338))*'Optimal Choice'!$B$28</f>
        <v>229490.2</v>
      </c>
      <c r="C338" s="11"/>
      <c r="D338" s="12"/>
      <c r="E338" s="12"/>
      <c r="F338" s="11"/>
      <c r="G338" s="11"/>
      <c r="H338" s="11"/>
      <c r="I338" s="11"/>
      <c r="J338" s="11"/>
      <c r="K338" s="11">
        <f>(X338/$B338)+(X338/('Optimal Choice'!$B$4*AS338))</f>
        <v>1168.735022</v>
      </c>
      <c r="L338" s="11">
        <f>(Y338/$B338)+(Y338/('Optimal Choice'!$B$9*AT338))</f>
        <v>1229.097218</v>
      </c>
      <c r="M338" s="11">
        <f>(Z338/$B338)+(Z338/('Optimal Choice'!$B$14*AU338))</f>
        <v>1230.406035</v>
      </c>
      <c r="N338" s="11">
        <f>(AA338/$B338)+(AA338/('Optimal Choice'!$B$19*AV338))</f>
        <v>1251.764169</v>
      </c>
      <c r="O338" s="11">
        <f>(AB338/$B338)+(AB338/('Optimal Choice'!$B$24*AW338))</f>
        <v>1219.594064</v>
      </c>
      <c r="R338" s="12">
        <f t="shared" ref="R338:V338" si="348">if(min($K337:$O337)=K337,R337+1,R337)</f>
        <v>151</v>
      </c>
      <c r="S338" s="12">
        <f t="shared" si="348"/>
        <v>70</v>
      </c>
      <c r="T338" s="12">
        <f t="shared" si="348"/>
        <v>48</v>
      </c>
      <c r="U338" s="12">
        <f t="shared" si="348"/>
        <v>37</v>
      </c>
      <c r="V338" s="12">
        <f t="shared" si="348"/>
        <v>31</v>
      </c>
      <c r="X338" s="13">
        <f> 'Optimal Choice'!$B$5*'Optimal Choice'!$B$6^(R338+1)</f>
        <v>117056.1402</v>
      </c>
      <c r="Y338" s="13">
        <f> 'Optimal Choice'!$B$10*'Optimal Choice'!$B$11^(S338+1)</f>
        <v>1223764.683</v>
      </c>
      <c r="Z338" s="13">
        <f> 'Optimal Choice'!$B$15*'Optimal Choice'!$B$16^(T338+1)</f>
        <v>442252.4138</v>
      </c>
      <c r="AA338" s="13">
        <f> 'Optimal Choice'!$B$20*'Optimal Choice'!$B$21^(U338+1)</f>
        <v>898451.4105</v>
      </c>
      <c r="AB338" s="13">
        <f> 'Optimal Choice'!$B$25*'Optimal Choice'!$B$26^(V338+1)</f>
        <v>3896473.384</v>
      </c>
      <c r="AE338" s="12">
        <f t="shared" si="4"/>
        <v>60</v>
      </c>
      <c r="AF338" s="12">
        <f t="shared" si="5"/>
        <v>50</v>
      </c>
      <c r="AG338" s="12">
        <f t="shared" si="6"/>
        <v>4</v>
      </c>
      <c r="AH338" s="12">
        <f t="shared" si="7"/>
        <v>2</v>
      </c>
      <c r="AI338" s="12">
        <f t="shared" si="8"/>
        <v>1.5</v>
      </c>
      <c r="AL338" s="14">
        <f>R338*'Optimal Choice'!$B$4*AE338</f>
        <v>15130.2</v>
      </c>
      <c r="AM338" s="14">
        <f>S338*'Optimal Choice'!$B$9*AF338</f>
        <v>70000</v>
      </c>
      <c r="AN338" s="14">
        <f>T338*'Optimal Choice'!$B$14*AG338</f>
        <v>17280</v>
      </c>
      <c r="AO338" s="14">
        <f>U338*'Optimal Choice'!$B$19*AH338</f>
        <v>26640</v>
      </c>
      <c r="AP338" s="14">
        <f>V338*'Optimal Choice'!$B$24*AI338</f>
        <v>100440</v>
      </c>
      <c r="AS338" s="12">
        <f t="shared" si="9"/>
        <v>60</v>
      </c>
      <c r="AT338" s="12">
        <f t="shared" si="10"/>
        <v>50</v>
      </c>
      <c r="AU338" s="12">
        <f t="shared" si="11"/>
        <v>4</v>
      </c>
      <c r="AV338" s="12">
        <f t="shared" si="12"/>
        <v>2</v>
      </c>
      <c r="AW338" s="12">
        <f t="shared" si="13"/>
        <v>1.5</v>
      </c>
      <c r="AY338" s="11">
        <f t="shared" si="14"/>
        <v>0.05792492086</v>
      </c>
    </row>
    <row r="339" ht="15.75" customHeight="1">
      <c r="A339" s="15">
        <f t="shared" si="2"/>
        <v>10.18319956</v>
      </c>
      <c r="B339" s="7">
        <f>(sum(AL339:AP339))*'Optimal Choice'!$B$28</f>
        <v>229590.4</v>
      </c>
      <c r="C339" s="11"/>
      <c r="D339" s="12"/>
      <c r="E339" s="12"/>
      <c r="F339" s="11"/>
      <c r="G339" s="11"/>
      <c r="H339" s="11"/>
      <c r="I339" s="11"/>
      <c r="J339" s="11"/>
      <c r="K339" s="11">
        <f>(X339/$B339)+(X339/('Optimal Choice'!$B$4*AS339))</f>
        <v>1250.546235</v>
      </c>
      <c r="L339" s="11">
        <f>(Y339/$B339)+(Y339/('Optimal Choice'!$B$9*AT339))</f>
        <v>1229.094891</v>
      </c>
      <c r="M339" s="11">
        <f>(Z339/$B339)+(Z339/('Optimal Choice'!$B$14*AU339))</f>
        <v>1230.405194</v>
      </c>
      <c r="N339" s="11">
        <f>(AA339/$B339)+(AA339/('Optimal Choice'!$B$19*AV339))</f>
        <v>1251.762461</v>
      </c>
      <c r="O339" s="11">
        <f>(AB339/$B339)+(AB339/('Optimal Choice'!$B$24*AW339))</f>
        <v>1219.586654</v>
      </c>
      <c r="R339" s="12">
        <f t="shared" ref="R339:V339" si="349">if(min($K338:$O338)=K338,R338+1,R338)</f>
        <v>152</v>
      </c>
      <c r="S339" s="12">
        <f t="shared" si="349"/>
        <v>70</v>
      </c>
      <c r="T339" s="12">
        <f t="shared" si="349"/>
        <v>48</v>
      </c>
      <c r="U339" s="12">
        <f t="shared" si="349"/>
        <v>37</v>
      </c>
      <c r="V339" s="12">
        <f t="shared" si="349"/>
        <v>31</v>
      </c>
      <c r="X339" s="13">
        <f> 'Optimal Choice'!$B$5*'Optimal Choice'!$B$6^(R339+1)</f>
        <v>125250.07</v>
      </c>
      <c r="Y339" s="13">
        <f> 'Optimal Choice'!$B$10*'Optimal Choice'!$B$11^(S339+1)</f>
        <v>1223764.683</v>
      </c>
      <c r="Z339" s="13">
        <f> 'Optimal Choice'!$B$15*'Optimal Choice'!$B$16^(T339+1)</f>
        <v>442252.4138</v>
      </c>
      <c r="AA339" s="13">
        <f> 'Optimal Choice'!$B$20*'Optimal Choice'!$B$21^(U339+1)</f>
        <v>898451.4105</v>
      </c>
      <c r="AB339" s="13">
        <f> 'Optimal Choice'!$B$25*'Optimal Choice'!$B$26^(V339+1)</f>
        <v>3896473.384</v>
      </c>
      <c r="AE339" s="12">
        <f t="shared" si="4"/>
        <v>60</v>
      </c>
      <c r="AF339" s="12">
        <f t="shared" si="5"/>
        <v>50</v>
      </c>
      <c r="AG339" s="12">
        <f t="shared" si="6"/>
        <v>4</v>
      </c>
      <c r="AH339" s="12">
        <f t="shared" si="7"/>
        <v>2</v>
      </c>
      <c r="AI339" s="12">
        <f t="shared" si="8"/>
        <v>1.5</v>
      </c>
      <c r="AL339" s="14">
        <f>R339*'Optimal Choice'!$B$4*AE339</f>
        <v>15230.4</v>
      </c>
      <c r="AM339" s="14">
        <f>S339*'Optimal Choice'!$B$9*AF339</f>
        <v>70000</v>
      </c>
      <c r="AN339" s="14">
        <f>T339*'Optimal Choice'!$B$14*AG339</f>
        <v>17280</v>
      </c>
      <c r="AO339" s="14">
        <f>U339*'Optimal Choice'!$B$19*AH339</f>
        <v>26640</v>
      </c>
      <c r="AP339" s="14">
        <f>V339*'Optimal Choice'!$B$24*AI339</f>
        <v>100440</v>
      </c>
      <c r="AS339" s="12">
        <f t="shared" si="9"/>
        <v>60</v>
      </c>
      <c r="AT339" s="12">
        <f t="shared" si="10"/>
        <v>50</v>
      </c>
      <c r="AU339" s="12">
        <f t="shared" si="11"/>
        <v>4</v>
      </c>
      <c r="AV339" s="12">
        <f t="shared" si="12"/>
        <v>2</v>
      </c>
      <c r="AW339" s="12">
        <f t="shared" si="13"/>
        <v>1.5</v>
      </c>
      <c r="AY339" s="11">
        <f t="shared" si="14"/>
        <v>0.00850117203</v>
      </c>
    </row>
    <row r="340" ht="15.75" customHeight="1">
      <c r="A340" s="15">
        <f t="shared" si="2"/>
        <v>10.46605643</v>
      </c>
      <c r="B340" s="7">
        <f>(sum(AL340:AP340))*'Optimal Choice'!$B$28</f>
        <v>232830.4</v>
      </c>
      <c r="C340" s="11"/>
      <c r="D340" s="12"/>
      <c r="E340" s="12"/>
      <c r="F340" s="11"/>
      <c r="G340" s="11"/>
      <c r="H340" s="11"/>
      <c r="I340" s="11"/>
      <c r="J340" s="11"/>
      <c r="K340" s="11">
        <f>(X340/$B340)+(X340/('Optimal Choice'!$B$4*AS340))</f>
        <v>1250.538644</v>
      </c>
      <c r="L340" s="11">
        <f>(Y340/$B340)+(Y340/('Optimal Choice'!$B$9*AT340))</f>
        <v>1229.020717</v>
      </c>
      <c r="M340" s="11">
        <f>(Z340/$B340)+(Z340/('Optimal Choice'!$B$14*AU340))</f>
        <v>1230.378389</v>
      </c>
      <c r="N340" s="11">
        <f>(AA340/$B340)+(AA340/('Optimal Choice'!$B$19*AV340))</f>
        <v>1251.708005</v>
      </c>
      <c r="O340" s="11">
        <f>(AB340/$B340)+(AB340/('Optimal Choice'!$B$24*AW340))</f>
        <v>1365.672543</v>
      </c>
      <c r="R340" s="12">
        <f t="shared" ref="R340:V340" si="350">if(min($K339:$O339)=K339,R339+1,R339)</f>
        <v>152</v>
      </c>
      <c r="S340" s="12">
        <f t="shared" si="350"/>
        <v>70</v>
      </c>
      <c r="T340" s="12">
        <f t="shared" si="350"/>
        <v>48</v>
      </c>
      <c r="U340" s="12">
        <f t="shared" si="350"/>
        <v>37</v>
      </c>
      <c r="V340" s="12">
        <f t="shared" si="350"/>
        <v>32</v>
      </c>
      <c r="X340" s="13">
        <f> 'Optimal Choice'!$B$5*'Optimal Choice'!$B$6^(R340+1)</f>
        <v>125250.07</v>
      </c>
      <c r="Y340" s="13">
        <f> 'Optimal Choice'!$B$10*'Optimal Choice'!$B$11^(S340+1)</f>
        <v>1223764.683</v>
      </c>
      <c r="Z340" s="13">
        <f> 'Optimal Choice'!$B$15*'Optimal Choice'!$B$16^(T340+1)</f>
        <v>442252.4138</v>
      </c>
      <c r="AA340" s="13">
        <f> 'Optimal Choice'!$B$20*'Optimal Choice'!$B$21^(U340+1)</f>
        <v>898451.4105</v>
      </c>
      <c r="AB340" s="13">
        <f> 'Optimal Choice'!$B$25*'Optimal Choice'!$B$26^(V340+1)</f>
        <v>4364050.19</v>
      </c>
      <c r="AE340" s="12">
        <f t="shared" si="4"/>
        <v>60</v>
      </c>
      <c r="AF340" s="12">
        <f t="shared" si="5"/>
        <v>50</v>
      </c>
      <c r="AG340" s="12">
        <f t="shared" si="6"/>
        <v>4</v>
      </c>
      <c r="AH340" s="12">
        <f t="shared" si="7"/>
        <v>2</v>
      </c>
      <c r="AI340" s="12">
        <f t="shared" si="8"/>
        <v>1.5</v>
      </c>
      <c r="AL340" s="14">
        <f>R340*'Optimal Choice'!$B$4*AE340</f>
        <v>15230.4</v>
      </c>
      <c r="AM340" s="14">
        <f>S340*'Optimal Choice'!$B$9*AF340</f>
        <v>70000</v>
      </c>
      <c r="AN340" s="14">
        <f>T340*'Optimal Choice'!$B$14*AG340</f>
        <v>17280</v>
      </c>
      <c r="AO340" s="14">
        <f>U340*'Optimal Choice'!$B$19*AH340</f>
        <v>26640</v>
      </c>
      <c r="AP340" s="14">
        <f>V340*'Optimal Choice'!$B$24*AI340</f>
        <v>103680</v>
      </c>
      <c r="AS340" s="12">
        <f t="shared" si="9"/>
        <v>60</v>
      </c>
      <c r="AT340" s="12">
        <f t="shared" si="10"/>
        <v>50</v>
      </c>
      <c r="AU340" s="12">
        <f t="shared" si="11"/>
        <v>4</v>
      </c>
      <c r="AV340" s="12">
        <f t="shared" si="12"/>
        <v>2</v>
      </c>
      <c r="AW340" s="12">
        <f t="shared" si="13"/>
        <v>1.5</v>
      </c>
      <c r="AY340" s="11">
        <f t="shared" si="14"/>
        <v>0.2828568749</v>
      </c>
    </row>
    <row r="341" ht="15.75" customHeight="1">
      <c r="A341" s="15">
        <f t="shared" si="2"/>
        <v>10.55365701</v>
      </c>
      <c r="B341" s="7">
        <f>(sum(AL341:AP341))*'Optimal Choice'!$B$28</f>
        <v>233830.4</v>
      </c>
      <c r="C341" s="11"/>
      <c r="D341" s="12"/>
      <c r="E341" s="12"/>
      <c r="F341" s="11"/>
      <c r="G341" s="11"/>
      <c r="H341" s="11"/>
      <c r="I341" s="11"/>
      <c r="J341" s="11"/>
      <c r="K341" s="11">
        <f>(X341/$B341)+(X341/('Optimal Choice'!$B$4*AS341))</f>
        <v>1250.536343</v>
      </c>
      <c r="L341" s="11">
        <f>(Y341/$B341)+(Y341/('Optimal Choice'!$B$9*AT341))</f>
        <v>1413.347975</v>
      </c>
      <c r="M341" s="11">
        <f>(Z341/$B341)+(Z341/('Optimal Choice'!$B$14*AU341))</f>
        <v>1230.370266</v>
      </c>
      <c r="N341" s="11">
        <f>(AA341/$B341)+(AA341/('Optimal Choice'!$B$19*AV341))</f>
        <v>1251.691502</v>
      </c>
      <c r="O341" s="11">
        <f>(AB341/$B341)+(AB341/('Optimal Choice'!$B$24*AW341))</f>
        <v>1365.592385</v>
      </c>
      <c r="R341" s="12">
        <f t="shared" ref="R341:V341" si="351">if(min($K340:$O340)=K340,R340+1,R340)</f>
        <v>152</v>
      </c>
      <c r="S341" s="12">
        <f t="shared" si="351"/>
        <v>71</v>
      </c>
      <c r="T341" s="12">
        <f t="shared" si="351"/>
        <v>48</v>
      </c>
      <c r="U341" s="12">
        <f t="shared" si="351"/>
        <v>37</v>
      </c>
      <c r="V341" s="12">
        <f t="shared" si="351"/>
        <v>32</v>
      </c>
      <c r="X341" s="13">
        <f> 'Optimal Choice'!$B$5*'Optimal Choice'!$B$6^(R341+1)</f>
        <v>125250.07</v>
      </c>
      <c r="Y341" s="13">
        <f> 'Optimal Choice'!$B$10*'Optimal Choice'!$B$11^(S341+1)</f>
        <v>1407329.385</v>
      </c>
      <c r="Z341" s="13">
        <f> 'Optimal Choice'!$B$15*'Optimal Choice'!$B$16^(T341+1)</f>
        <v>442252.4138</v>
      </c>
      <c r="AA341" s="13">
        <f> 'Optimal Choice'!$B$20*'Optimal Choice'!$B$21^(U341+1)</f>
        <v>898451.4105</v>
      </c>
      <c r="AB341" s="13">
        <f> 'Optimal Choice'!$B$25*'Optimal Choice'!$B$26^(V341+1)</f>
        <v>4364050.19</v>
      </c>
      <c r="AE341" s="12">
        <f t="shared" si="4"/>
        <v>60</v>
      </c>
      <c r="AF341" s="12">
        <f t="shared" si="5"/>
        <v>50</v>
      </c>
      <c r="AG341" s="12">
        <f t="shared" si="6"/>
        <v>4</v>
      </c>
      <c r="AH341" s="12">
        <f t="shared" si="7"/>
        <v>2</v>
      </c>
      <c r="AI341" s="12">
        <f t="shared" si="8"/>
        <v>1.5</v>
      </c>
      <c r="AL341" s="14">
        <f>R341*'Optimal Choice'!$B$4*AE341</f>
        <v>15230.4</v>
      </c>
      <c r="AM341" s="14">
        <f>S341*'Optimal Choice'!$B$9*AF341</f>
        <v>71000</v>
      </c>
      <c r="AN341" s="14">
        <f>T341*'Optimal Choice'!$B$14*AG341</f>
        <v>17280</v>
      </c>
      <c r="AO341" s="14">
        <f>U341*'Optimal Choice'!$B$19*AH341</f>
        <v>26640</v>
      </c>
      <c r="AP341" s="14">
        <f>V341*'Optimal Choice'!$B$24*AI341</f>
        <v>103680</v>
      </c>
      <c r="AS341" s="12">
        <f t="shared" si="9"/>
        <v>60</v>
      </c>
      <c r="AT341" s="12">
        <f t="shared" si="10"/>
        <v>50</v>
      </c>
      <c r="AU341" s="12">
        <f t="shared" si="11"/>
        <v>4</v>
      </c>
      <c r="AV341" s="12">
        <f t="shared" si="12"/>
        <v>2</v>
      </c>
      <c r="AW341" s="12">
        <f t="shared" si="13"/>
        <v>1.5</v>
      </c>
      <c r="AY341" s="11">
        <f t="shared" si="14"/>
        <v>0.08760057984</v>
      </c>
    </row>
    <row r="342" ht="15.75" customHeight="1">
      <c r="A342" s="15">
        <f t="shared" si="2"/>
        <v>10.58517932</v>
      </c>
      <c r="B342" s="7">
        <f>(sum(AL342:AP342))*'Optimal Choice'!$B$28</f>
        <v>234190.4</v>
      </c>
      <c r="C342" s="11"/>
      <c r="D342" s="12"/>
      <c r="E342" s="12"/>
      <c r="F342" s="11"/>
      <c r="G342" s="11"/>
      <c r="H342" s="11"/>
      <c r="I342" s="11"/>
      <c r="J342" s="11"/>
      <c r="K342" s="11">
        <f>(X342/$B342)+(X342/('Optimal Choice'!$B$4*AS342))</f>
        <v>1250.53552</v>
      </c>
      <c r="L342" s="11">
        <f>(Y342/$B342)+(Y342/('Optimal Choice'!$B$9*AT342))</f>
        <v>1413.338724</v>
      </c>
      <c r="M342" s="11">
        <f>(Z342/$B342)+(Z342/('Optimal Choice'!$B$14*AU342))</f>
        <v>177.2110585</v>
      </c>
      <c r="N342" s="11">
        <f>(AA342/$B342)+(AA342/('Optimal Choice'!$B$19*AV342))</f>
        <v>1251.685596</v>
      </c>
      <c r="O342" s="11">
        <f>(AB342/$B342)+(AB342/('Optimal Choice'!$B$24*AW342))</f>
        <v>1365.563695</v>
      </c>
      <c r="R342" s="12">
        <f t="shared" ref="R342:V342" si="352">if(min($K341:$O341)=K341,R341+1,R341)</f>
        <v>152</v>
      </c>
      <c r="S342" s="12">
        <f t="shared" si="352"/>
        <v>71</v>
      </c>
      <c r="T342" s="12">
        <f t="shared" si="352"/>
        <v>49</v>
      </c>
      <c r="U342" s="12">
        <f t="shared" si="352"/>
        <v>37</v>
      </c>
      <c r="V342" s="12">
        <f t="shared" si="352"/>
        <v>32</v>
      </c>
      <c r="X342" s="13">
        <f> 'Optimal Choice'!$B$5*'Optimal Choice'!$B$6^(R342+1)</f>
        <v>125250.07</v>
      </c>
      <c r="Y342" s="13">
        <f> 'Optimal Choice'!$B$10*'Optimal Choice'!$B$11^(S342+1)</f>
        <v>1407329.385</v>
      </c>
      <c r="Z342" s="13">
        <f> 'Optimal Choice'!$B$15*'Optimal Choice'!$B$16^(T342+1)</f>
        <v>504167.7517</v>
      </c>
      <c r="AA342" s="13">
        <f> 'Optimal Choice'!$B$20*'Optimal Choice'!$B$21^(U342+1)</f>
        <v>898451.4105</v>
      </c>
      <c r="AB342" s="13">
        <f> 'Optimal Choice'!$B$25*'Optimal Choice'!$B$26^(V342+1)</f>
        <v>4364050.19</v>
      </c>
      <c r="AE342" s="12">
        <f t="shared" si="4"/>
        <v>60</v>
      </c>
      <c r="AF342" s="12">
        <f t="shared" si="5"/>
        <v>50</v>
      </c>
      <c r="AG342" s="12">
        <f t="shared" si="6"/>
        <v>4</v>
      </c>
      <c r="AH342" s="12">
        <f t="shared" si="7"/>
        <v>2</v>
      </c>
      <c r="AI342" s="12">
        <f t="shared" si="8"/>
        <v>1.5</v>
      </c>
      <c r="AL342" s="14">
        <f>R342*'Optimal Choice'!$B$4*AE342</f>
        <v>15230.4</v>
      </c>
      <c r="AM342" s="14">
        <f>S342*'Optimal Choice'!$B$9*AF342</f>
        <v>71000</v>
      </c>
      <c r="AN342" s="14">
        <f>T342*'Optimal Choice'!$B$14*AG342</f>
        <v>17640</v>
      </c>
      <c r="AO342" s="14">
        <f>U342*'Optimal Choice'!$B$19*AH342</f>
        <v>26640</v>
      </c>
      <c r="AP342" s="14">
        <f>V342*'Optimal Choice'!$B$24*AI342</f>
        <v>103680</v>
      </c>
      <c r="AS342" s="12">
        <f t="shared" si="9"/>
        <v>60</v>
      </c>
      <c r="AT342" s="12">
        <f t="shared" si="10"/>
        <v>50</v>
      </c>
      <c r="AU342" s="12">
        <f t="shared" si="11"/>
        <v>32</v>
      </c>
      <c r="AV342" s="12">
        <f t="shared" si="12"/>
        <v>2</v>
      </c>
      <c r="AW342" s="12">
        <f t="shared" si="13"/>
        <v>1.5</v>
      </c>
      <c r="AY342" s="11">
        <f t="shared" si="14"/>
        <v>0.03152230661</v>
      </c>
    </row>
    <row r="343" ht="15.75" customHeight="1">
      <c r="A343" s="15">
        <f t="shared" si="2"/>
        <v>10.62105951</v>
      </c>
      <c r="B343" s="7">
        <f>(sum(AL343:AP343))*'Optimal Choice'!$B$28</f>
        <v>360550.4</v>
      </c>
      <c r="C343" s="11"/>
      <c r="D343" s="12"/>
      <c r="E343" s="12"/>
      <c r="F343" s="11"/>
      <c r="G343" s="11"/>
      <c r="H343" s="11"/>
      <c r="I343" s="11"/>
      <c r="J343" s="11"/>
      <c r="K343" s="11">
        <f>(X343/$B343)+(X343/('Optimal Choice'!$B$4*AS343))</f>
        <v>1250.348084</v>
      </c>
      <c r="L343" s="11">
        <f>(Y343/$B343)+(Y343/('Optimal Choice'!$B$9*AT343))</f>
        <v>1411.232666</v>
      </c>
      <c r="M343" s="11">
        <f>(Z343/$B343)+(Z343/('Optimal Choice'!$B$14*AU343))</f>
        <v>201.1604957</v>
      </c>
      <c r="N343" s="11">
        <f>(AA343/$B343)+(AA343/('Optimal Choice'!$B$19*AV343))</f>
        <v>1250.34107</v>
      </c>
      <c r="O343" s="11">
        <f>(AB343/$B343)+(AB343/('Optimal Choice'!$B$24*AW343))</f>
        <v>1359.032927</v>
      </c>
      <c r="R343" s="12">
        <f t="shared" ref="R343:V343" si="353">if(min($K342:$O342)=K342,R342+1,R342)</f>
        <v>152</v>
      </c>
      <c r="S343" s="12">
        <f t="shared" si="353"/>
        <v>71</v>
      </c>
      <c r="T343" s="12">
        <f t="shared" si="353"/>
        <v>50</v>
      </c>
      <c r="U343" s="12">
        <f t="shared" si="353"/>
        <v>37</v>
      </c>
      <c r="V343" s="12">
        <f t="shared" si="353"/>
        <v>32</v>
      </c>
      <c r="X343" s="13">
        <f> 'Optimal Choice'!$B$5*'Optimal Choice'!$B$6^(R343+1)</f>
        <v>125250.07</v>
      </c>
      <c r="Y343" s="13">
        <f> 'Optimal Choice'!$B$10*'Optimal Choice'!$B$11^(S343+1)</f>
        <v>1407329.385</v>
      </c>
      <c r="Z343" s="13">
        <f> 'Optimal Choice'!$B$15*'Optimal Choice'!$B$16^(T343+1)</f>
        <v>574751.2369</v>
      </c>
      <c r="AA343" s="13">
        <f> 'Optimal Choice'!$B$20*'Optimal Choice'!$B$21^(U343+1)</f>
        <v>898451.4105</v>
      </c>
      <c r="AB343" s="13">
        <f> 'Optimal Choice'!$B$25*'Optimal Choice'!$B$26^(V343+1)</f>
        <v>4364050.19</v>
      </c>
      <c r="AE343" s="12">
        <f t="shared" si="4"/>
        <v>60</v>
      </c>
      <c r="AF343" s="12">
        <f t="shared" si="5"/>
        <v>50</v>
      </c>
      <c r="AG343" s="12">
        <f t="shared" si="6"/>
        <v>32</v>
      </c>
      <c r="AH343" s="12">
        <f t="shared" si="7"/>
        <v>2</v>
      </c>
      <c r="AI343" s="12">
        <f t="shared" si="8"/>
        <v>1.5</v>
      </c>
      <c r="AL343" s="14">
        <f>R343*'Optimal Choice'!$B$4*AE343</f>
        <v>15230.4</v>
      </c>
      <c r="AM343" s="14">
        <f>S343*'Optimal Choice'!$B$9*AF343</f>
        <v>71000</v>
      </c>
      <c r="AN343" s="14">
        <f>T343*'Optimal Choice'!$B$14*AG343</f>
        <v>144000</v>
      </c>
      <c r="AO343" s="14">
        <f>U343*'Optimal Choice'!$B$19*AH343</f>
        <v>26640</v>
      </c>
      <c r="AP343" s="14">
        <f>V343*'Optimal Choice'!$B$24*AI343</f>
        <v>103680</v>
      </c>
      <c r="AS343" s="12">
        <f t="shared" si="9"/>
        <v>60</v>
      </c>
      <c r="AT343" s="12">
        <f t="shared" si="10"/>
        <v>50</v>
      </c>
      <c r="AU343" s="12">
        <f t="shared" si="11"/>
        <v>32</v>
      </c>
      <c r="AV343" s="12">
        <f t="shared" si="12"/>
        <v>2</v>
      </c>
      <c r="AW343" s="12">
        <f t="shared" si="13"/>
        <v>1.5</v>
      </c>
      <c r="AY343" s="11">
        <f t="shared" si="14"/>
        <v>0.0358801892</v>
      </c>
    </row>
    <row r="344" ht="15.75" customHeight="1">
      <c r="A344" s="15">
        <f t="shared" si="2"/>
        <v>10.64762774</v>
      </c>
      <c r="B344" s="7">
        <f>(sum(AL344:AP344))*'Optimal Choice'!$B$28</f>
        <v>363430.4</v>
      </c>
      <c r="C344" s="11"/>
      <c r="D344" s="12"/>
      <c r="E344" s="12"/>
      <c r="F344" s="11"/>
      <c r="G344" s="11"/>
      <c r="H344" s="11"/>
      <c r="I344" s="11"/>
      <c r="J344" s="11"/>
      <c r="K344" s="11">
        <f>(X344/$B344)+(X344/('Optimal Choice'!$B$4*AS344))</f>
        <v>1250.345331</v>
      </c>
      <c r="L344" s="11">
        <f>(Y344/$B344)+(Y344/('Optimal Choice'!$B$9*AT344))</f>
        <v>1411.201734</v>
      </c>
      <c r="M344" s="11">
        <f>(Z344/$B344)+(Z344/('Optimal Choice'!$B$14*AU344))</f>
        <v>229.3085642</v>
      </c>
      <c r="N344" s="11">
        <f>(AA344/$B344)+(AA344/('Optimal Choice'!$B$19*AV344))</f>
        <v>1250.321323</v>
      </c>
      <c r="O344" s="11">
        <f>(AB344/$B344)+(AB344/('Optimal Choice'!$B$24*AW344))</f>
        <v>1358.93701</v>
      </c>
      <c r="R344" s="12">
        <f t="shared" ref="R344:V344" si="354">if(min($K343:$O343)=K343,R343+1,R343)</f>
        <v>152</v>
      </c>
      <c r="S344" s="12">
        <f t="shared" si="354"/>
        <v>71</v>
      </c>
      <c r="T344" s="12">
        <f t="shared" si="354"/>
        <v>51</v>
      </c>
      <c r="U344" s="12">
        <f t="shared" si="354"/>
        <v>37</v>
      </c>
      <c r="V344" s="12">
        <f t="shared" si="354"/>
        <v>32</v>
      </c>
      <c r="X344" s="13">
        <f> 'Optimal Choice'!$B$5*'Optimal Choice'!$B$6^(R344+1)</f>
        <v>125250.07</v>
      </c>
      <c r="Y344" s="13">
        <f> 'Optimal Choice'!$B$10*'Optimal Choice'!$B$11^(S344+1)</f>
        <v>1407329.385</v>
      </c>
      <c r="Z344" s="13">
        <f> 'Optimal Choice'!$B$15*'Optimal Choice'!$B$16^(T344+1)</f>
        <v>655216.4101</v>
      </c>
      <c r="AA344" s="13">
        <f> 'Optimal Choice'!$B$20*'Optimal Choice'!$B$21^(U344+1)</f>
        <v>898451.4105</v>
      </c>
      <c r="AB344" s="13">
        <f> 'Optimal Choice'!$B$25*'Optimal Choice'!$B$26^(V344+1)</f>
        <v>4364050.19</v>
      </c>
      <c r="AE344" s="12">
        <f t="shared" si="4"/>
        <v>60</v>
      </c>
      <c r="AF344" s="12">
        <f t="shared" si="5"/>
        <v>50</v>
      </c>
      <c r="AG344" s="12">
        <f t="shared" si="6"/>
        <v>32</v>
      </c>
      <c r="AH344" s="12">
        <f t="shared" si="7"/>
        <v>2</v>
      </c>
      <c r="AI344" s="12">
        <f t="shared" si="8"/>
        <v>1.5</v>
      </c>
      <c r="AL344" s="14">
        <f>R344*'Optimal Choice'!$B$4*AE344</f>
        <v>15230.4</v>
      </c>
      <c r="AM344" s="14">
        <f>S344*'Optimal Choice'!$B$9*AF344</f>
        <v>71000</v>
      </c>
      <c r="AN344" s="14">
        <f>T344*'Optimal Choice'!$B$14*AG344</f>
        <v>146880</v>
      </c>
      <c r="AO344" s="14">
        <f>U344*'Optimal Choice'!$B$19*AH344</f>
        <v>26640</v>
      </c>
      <c r="AP344" s="14">
        <f>V344*'Optimal Choice'!$B$24*AI344</f>
        <v>103680</v>
      </c>
      <c r="AS344" s="12">
        <f t="shared" si="9"/>
        <v>60</v>
      </c>
      <c r="AT344" s="12">
        <f t="shared" si="10"/>
        <v>50</v>
      </c>
      <c r="AU344" s="12">
        <f t="shared" si="11"/>
        <v>32</v>
      </c>
      <c r="AV344" s="12">
        <f t="shared" si="12"/>
        <v>2</v>
      </c>
      <c r="AW344" s="12">
        <f t="shared" si="13"/>
        <v>1.5</v>
      </c>
      <c r="AY344" s="11">
        <f t="shared" si="14"/>
        <v>0.02656823368</v>
      </c>
    </row>
    <row r="345" ht="15.75" customHeight="1">
      <c r="A345" s="15">
        <f t="shared" si="2"/>
        <v>10.67767552</v>
      </c>
      <c r="B345" s="7">
        <f>(sum(AL345:AP345))*'Optimal Choice'!$B$28</f>
        <v>366310.4</v>
      </c>
      <c r="C345" s="11"/>
      <c r="D345" s="12"/>
      <c r="E345" s="12"/>
      <c r="F345" s="11"/>
      <c r="G345" s="11"/>
      <c r="H345" s="11"/>
      <c r="I345" s="11"/>
      <c r="J345" s="11"/>
      <c r="K345" s="11">
        <f>(X345/$B345)+(X345/('Optimal Choice'!$B$4*AS345))</f>
        <v>1250.342622</v>
      </c>
      <c r="L345" s="11">
        <f>(Y345/$B345)+(Y345/('Optimal Choice'!$B$9*AT345))</f>
        <v>1411.171289</v>
      </c>
      <c r="M345" s="11">
        <f>(Z345/$B345)+(Z345/('Optimal Choice'!$B$14*AU345))</f>
        <v>261.3956043</v>
      </c>
      <c r="N345" s="11">
        <f>(AA345/$B345)+(AA345/('Optimal Choice'!$B$19*AV345))</f>
        <v>1250.301886</v>
      </c>
      <c r="O345" s="11">
        <f>(AB345/$B345)+(AB345/('Optimal Choice'!$B$24*AW345))</f>
        <v>1358.842602</v>
      </c>
      <c r="R345" s="12">
        <f t="shared" ref="R345:V345" si="355">if(min($K344:$O344)=K344,R344+1,R344)</f>
        <v>152</v>
      </c>
      <c r="S345" s="12">
        <f t="shared" si="355"/>
        <v>71</v>
      </c>
      <c r="T345" s="12">
        <f t="shared" si="355"/>
        <v>52</v>
      </c>
      <c r="U345" s="12">
        <f t="shared" si="355"/>
        <v>37</v>
      </c>
      <c r="V345" s="12">
        <f t="shared" si="355"/>
        <v>32</v>
      </c>
      <c r="X345" s="13">
        <f> 'Optimal Choice'!$B$5*'Optimal Choice'!$B$6^(R345+1)</f>
        <v>125250.07</v>
      </c>
      <c r="Y345" s="13">
        <f> 'Optimal Choice'!$B$10*'Optimal Choice'!$B$11^(S345+1)</f>
        <v>1407329.385</v>
      </c>
      <c r="Z345" s="13">
        <f> 'Optimal Choice'!$B$15*'Optimal Choice'!$B$16^(T345+1)</f>
        <v>746946.7075</v>
      </c>
      <c r="AA345" s="13">
        <f> 'Optimal Choice'!$B$20*'Optimal Choice'!$B$21^(U345+1)</f>
        <v>898451.4105</v>
      </c>
      <c r="AB345" s="13">
        <f> 'Optimal Choice'!$B$25*'Optimal Choice'!$B$26^(V345+1)</f>
        <v>4364050.19</v>
      </c>
      <c r="AE345" s="12">
        <f t="shared" si="4"/>
        <v>60</v>
      </c>
      <c r="AF345" s="12">
        <f t="shared" si="5"/>
        <v>50</v>
      </c>
      <c r="AG345" s="12">
        <f t="shared" si="6"/>
        <v>32</v>
      </c>
      <c r="AH345" s="12">
        <f t="shared" si="7"/>
        <v>2</v>
      </c>
      <c r="AI345" s="12">
        <f t="shared" si="8"/>
        <v>1.5</v>
      </c>
      <c r="AL345" s="14">
        <f>R345*'Optimal Choice'!$B$4*AE345</f>
        <v>15230.4</v>
      </c>
      <c r="AM345" s="14">
        <f>S345*'Optimal Choice'!$B$9*AF345</f>
        <v>71000</v>
      </c>
      <c r="AN345" s="14">
        <f>T345*'Optimal Choice'!$B$14*AG345</f>
        <v>149760</v>
      </c>
      <c r="AO345" s="14">
        <f>U345*'Optimal Choice'!$B$19*AH345</f>
        <v>26640</v>
      </c>
      <c r="AP345" s="14">
        <f>V345*'Optimal Choice'!$B$24*AI345</f>
        <v>103680</v>
      </c>
      <c r="AS345" s="12">
        <f t="shared" si="9"/>
        <v>60</v>
      </c>
      <c r="AT345" s="12">
        <f t="shared" si="10"/>
        <v>50</v>
      </c>
      <c r="AU345" s="12">
        <f t="shared" si="11"/>
        <v>32</v>
      </c>
      <c r="AV345" s="12">
        <f t="shared" si="12"/>
        <v>2</v>
      </c>
      <c r="AW345" s="12">
        <f t="shared" si="13"/>
        <v>1.5</v>
      </c>
      <c r="AY345" s="11">
        <f t="shared" si="14"/>
        <v>0.03004777119</v>
      </c>
    </row>
    <row r="346" ht="15.75" customHeight="1">
      <c r="A346" s="15">
        <f t="shared" si="2"/>
        <v>10.71166066</v>
      </c>
      <c r="B346" s="7">
        <f>(sum(AL346:AP346))*'Optimal Choice'!$B$28</f>
        <v>369190.4</v>
      </c>
      <c r="C346" s="11"/>
      <c r="D346" s="12"/>
      <c r="E346" s="12"/>
      <c r="F346" s="11"/>
      <c r="G346" s="11"/>
      <c r="H346" s="11"/>
      <c r="I346" s="11"/>
      <c r="J346" s="11"/>
      <c r="K346" s="11">
        <f>(X346/$B346)+(X346/('Optimal Choice'!$B$4*AS346))</f>
        <v>1250.339954</v>
      </c>
      <c r="L346" s="11">
        <f>(Y346/$B346)+(Y346/('Optimal Choice'!$B$9*AT346))</f>
        <v>1411.141319</v>
      </c>
      <c r="M346" s="11">
        <f>(Z346/$B346)+(Z346/('Optimal Choice'!$B$14*AU346))</f>
        <v>297.9728552</v>
      </c>
      <c r="N346" s="11">
        <f>(AA346/$B346)+(AA346/('Optimal Choice'!$B$19*AV346))</f>
        <v>1250.282753</v>
      </c>
      <c r="O346" s="11">
        <f>(AB346/$B346)+(AB346/('Optimal Choice'!$B$24*AW346))</f>
        <v>1358.749666</v>
      </c>
      <c r="R346" s="12">
        <f t="shared" ref="R346:V346" si="356">if(min($K345:$O345)=K345,R345+1,R345)</f>
        <v>152</v>
      </c>
      <c r="S346" s="12">
        <f t="shared" si="356"/>
        <v>71</v>
      </c>
      <c r="T346" s="12">
        <f t="shared" si="356"/>
        <v>53</v>
      </c>
      <c r="U346" s="12">
        <f t="shared" si="356"/>
        <v>37</v>
      </c>
      <c r="V346" s="12">
        <f t="shared" si="356"/>
        <v>32</v>
      </c>
      <c r="X346" s="13">
        <f> 'Optimal Choice'!$B$5*'Optimal Choice'!$B$6^(R346+1)</f>
        <v>125250.07</v>
      </c>
      <c r="Y346" s="13">
        <f> 'Optimal Choice'!$B$10*'Optimal Choice'!$B$11^(S346+1)</f>
        <v>1407329.385</v>
      </c>
      <c r="Z346" s="13">
        <f> 'Optimal Choice'!$B$15*'Optimal Choice'!$B$16^(T346+1)</f>
        <v>851519.2466</v>
      </c>
      <c r="AA346" s="13">
        <f> 'Optimal Choice'!$B$20*'Optimal Choice'!$B$21^(U346+1)</f>
        <v>898451.4105</v>
      </c>
      <c r="AB346" s="13">
        <f> 'Optimal Choice'!$B$25*'Optimal Choice'!$B$26^(V346+1)</f>
        <v>4364050.19</v>
      </c>
      <c r="AE346" s="12">
        <f t="shared" si="4"/>
        <v>60</v>
      </c>
      <c r="AF346" s="12">
        <f t="shared" si="5"/>
        <v>50</v>
      </c>
      <c r="AG346" s="12">
        <f t="shared" si="6"/>
        <v>32</v>
      </c>
      <c r="AH346" s="12">
        <f t="shared" si="7"/>
        <v>2</v>
      </c>
      <c r="AI346" s="12">
        <f t="shared" si="8"/>
        <v>1.5</v>
      </c>
      <c r="AL346" s="14">
        <f>R346*'Optimal Choice'!$B$4*AE346</f>
        <v>15230.4</v>
      </c>
      <c r="AM346" s="14">
        <f>S346*'Optimal Choice'!$B$9*AF346</f>
        <v>71000</v>
      </c>
      <c r="AN346" s="14">
        <f>T346*'Optimal Choice'!$B$14*AG346</f>
        <v>152640</v>
      </c>
      <c r="AO346" s="14">
        <f>U346*'Optimal Choice'!$B$19*AH346</f>
        <v>26640</v>
      </c>
      <c r="AP346" s="14">
        <f>V346*'Optimal Choice'!$B$24*AI346</f>
        <v>103680</v>
      </c>
      <c r="AS346" s="12">
        <f t="shared" si="9"/>
        <v>60</v>
      </c>
      <c r="AT346" s="12">
        <f t="shared" si="10"/>
        <v>50</v>
      </c>
      <c r="AU346" s="12">
        <f t="shared" si="11"/>
        <v>32</v>
      </c>
      <c r="AV346" s="12">
        <f t="shared" si="12"/>
        <v>2</v>
      </c>
      <c r="AW346" s="12">
        <f t="shared" si="13"/>
        <v>1.5</v>
      </c>
      <c r="AY346" s="11">
        <f t="shared" si="14"/>
        <v>0.03398514427</v>
      </c>
    </row>
    <row r="347" ht="15.75" customHeight="1">
      <c r="A347" s="15">
        <f t="shared" si="2"/>
        <v>10.7501015</v>
      </c>
      <c r="B347" s="7">
        <f>(sum(AL347:AP347))*'Optimal Choice'!$B$28</f>
        <v>372070.4</v>
      </c>
      <c r="C347" s="11"/>
      <c r="D347" s="12"/>
      <c r="E347" s="12"/>
      <c r="F347" s="11"/>
      <c r="G347" s="11"/>
      <c r="H347" s="11"/>
      <c r="I347" s="11"/>
      <c r="J347" s="11"/>
      <c r="K347" s="11">
        <f>(X347/$B347)+(X347/('Optimal Choice'!$B$4*AS347))</f>
        <v>1250.337328</v>
      </c>
      <c r="L347" s="11">
        <f>(Y347/$B347)+(Y347/('Optimal Choice'!$B$9*AT347))</f>
        <v>1411.111813</v>
      </c>
      <c r="M347" s="11">
        <f>(Z347/$B347)+(Z347/('Optimal Choice'!$B$14*AU347))</f>
        <v>339.6687025</v>
      </c>
      <c r="N347" s="11">
        <f>(AA347/$B347)+(AA347/('Optimal Choice'!$B$19*AV347))</f>
        <v>1250.263916</v>
      </c>
      <c r="O347" s="11">
        <f>(AB347/$B347)+(AB347/('Optimal Choice'!$B$24*AW347))</f>
        <v>1358.658169</v>
      </c>
      <c r="R347" s="12">
        <f t="shared" ref="R347:V347" si="357">if(min($K346:$O346)=K346,R346+1,R346)</f>
        <v>152</v>
      </c>
      <c r="S347" s="12">
        <f t="shared" si="357"/>
        <v>71</v>
      </c>
      <c r="T347" s="12">
        <f t="shared" si="357"/>
        <v>54</v>
      </c>
      <c r="U347" s="12">
        <f t="shared" si="357"/>
        <v>37</v>
      </c>
      <c r="V347" s="12">
        <f t="shared" si="357"/>
        <v>32</v>
      </c>
      <c r="X347" s="13">
        <f> 'Optimal Choice'!$B$5*'Optimal Choice'!$B$6^(R347+1)</f>
        <v>125250.07</v>
      </c>
      <c r="Y347" s="13">
        <f> 'Optimal Choice'!$B$10*'Optimal Choice'!$B$11^(S347+1)</f>
        <v>1407329.385</v>
      </c>
      <c r="Z347" s="13">
        <f> 'Optimal Choice'!$B$15*'Optimal Choice'!$B$16^(T347+1)</f>
        <v>970731.9411</v>
      </c>
      <c r="AA347" s="13">
        <f> 'Optimal Choice'!$B$20*'Optimal Choice'!$B$21^(U347+1)</f>
        <v>898451.4105</v>
      </c>
      <c r="AB347" s="13">
        <f> 'Optimal Choice'!$B$25*'Optimal Choice'!$B$26^(V347+1)</f>
        <v>4364050.19</v>
      </c>
      <c r="AE347" s="12">
        <f t="shared" si="4"/>
        <v>60</v>
      </c>
      <c r="AF347" s="12">
        <f t="shared" si="5"/>
        <v>50</v>
      </c>
      <c r="AG347" s="12">
        <f t="shared" si="6"/>
        <v>32</v>
      </c>
      <c r="AH347" s="12">
        <f t="shared" si="7"/>
        <v>2</v>
      </c>
      <c r="AI347" s="12">
        <f t="shared" si="8"/>
        <v>1.5</v>
      </c>
      <c r="AL347" s="14">
        <f>R347*'Optimal Choice'!$B$4*AE347</f>
        <v>15230.4</v>
      </c>
      <c r="AM347" s="14">
        <f>S347*'Optimal Choice'!$B$9*AF347</f>
        <v>71000</v>
      </c>
      <c r="AN347" s="14">
        <f>T347*'Optimal Choice'!$B$14*AG347</f>
        <v>155520</v>
      </c>
      <c r="AO347" s="14">
        <f>U347*'Optimal Choice'!$B$19*AH347</f>
        <v>26640</v>
      </c>
      <c r="AP347" s="14">
        <f>V347*'Optimal Choice'!$B$24*AI347</f>
        <v>103680</v>
      </c>
      <c r="AS347" s="12">
        <f t="shared" si="9"/>
        <v>60</v>
      </c>
      <c r="AT347" s="12">
        <f t="shared" si="10"/>
        <v>50</v>
      </c>
      <c r="AU347" s="12">
        <f t="shared" si="11"/>
        <v>32</v>
      </c>
      <c r="AV347" s="12">
        <f t="shared" si="12"/>
        <v>2</v>
      </c>
      <c r="AW347" s="12">
        <f t="shared" si="13"/>
        <v>1.5</v>
      </c>
      <c r="AY347" s="11">
        <f t="shared" si="14"/>
        <v>0.03844083552</v>
      </c>
    </row>
    <row r="348" ht="15.75" customHeight="1">
      <c r="A348" s="15">
        <f t="shared" si="2"/>
        <v>10.79358484</v>
      </c>
      <c r="B348" s="7">
        <f>(sum(AL348:AP348))*'Optimal Choice'!$B$28</f>
        <v>374950.4</v>
      </c>
      <c r="C348" s="11"/>
      <c r="D348" s="12"/>
      <c r="E348" s="12"/>
      <c r="F348" s="11"/>
      <c r="G348" s="11"/>
      <c r="H348" s="11"/>
      <c r="I348" s="11"/>
      <c r="J348" s="11"/>
      <c r="K348" s="11">
        <f>(X348/$B348)+(X348/('Optimal Choice'!$B$4*AS348))</f>
        <v>1250.334743</v>
      </c>
      <c r="L348" s="11">
        <f>(Y348/$B348)+(Y348/('Optimal Choice'!$B$9*AT348))</f>
        <v>1411.08276</v>
      </c>
      <c r="M348" s="11">
        <f>(Z348/$B348)+(Z348/('Optimal Choice'!$B$14*AU348))</f>
        <v>387.1994755</v>
      </c>
      <c r="N348" s="11">
        <f>(AA348/$B348)+(AA348/('Optimal Choice'!$B$19*AV348))</f>
        <v>1250.245369</v>
      </c>
      <c r="O348" s="11">
        <f>(AB348/$B348)+(AB348/('Optimal Choice'!$B$24*AW348))</f>
        <v>1358.568078</v>
      </c>
      <c r="R348" s="12">
        <f t="shared" ref="R348:V348" si="358">if(min($K347:$O347)=K347,R347+1,R347)</f>
        <v>152</v>
      </c>
      <c r="S348" s="12">
        <f t="shared" si="358"/>
        <v>71</v>
      </c>
      <c r="T348" s="12">
        <f t="shared" si="358"/>
        <v>55</v>
      </c>
      <c r="U348" s="12">
        <f t="shared" si="358"/>
        <v>37</v>
      </c>
      <c r="V348" s="12">
        <f t="shared" si="358"/>
        <v>32</v>
      </c>
      <c r="X348" s="13">
        <f> 'Optimal Choice'!$B$5*'Optimal Choice'!$B$6^(R348+1)</f>
        <v>125250.07</v>
      </c>
      <c r="Y348" s="13">
        <f> 'Optimal Choice'!$B$10*'Optimal Choice'!$B$11^(S348+1)</f>
        <v>1407329.385</v>
      </c>
      <c r="Z348" s="13">
        <f> 'Optimal Choice'!$B$15*'Optimal Choice'!$B$16^(T348+1)</f>
        <v>1106634.413</v>
      </c>
      <c r="AA348" s="13">
        <f> 'Optimal Choice'!$B$20*'Optimal Choice'!$B$21^(U348+1)</f>
        <v>898451.4105</v>
      </c>
      <c r="AB348" s="13">
        <f> 'Optimal Choice'!$B$25*'Optimal Choice'!$B$26^(V348+1)</f>
        <v>4364050.19</v>
      </c>
      <c r="AE348" s="12">
        <f t="shared" si="4"/>
        <v>60</v>
      </c>
      <c r="AF348" s="12">
        <f t="shared" si="5"/>
        <v>50</v>
      </c>
      <c r="AG348" s="12">
        <f t="shared" si="6"/>
        <v>32</v>
      </c>
      <c r="AH348" s="12">
        <f t="shared" si="7"/>
        <v>2</v>
      </c>
      <c r="AI348" s="12">
        <f t="shared" si="8"/>
        <v>1.5</v>
      </c>
      <c r="AL348" s="14">
        <f>R348*'Optimal Choice'!$B$4*AE348</f>
        <v>15230.4</v>
      </c>
      <c r="AM348" s="14">
        <f>S348*'Optimal Choice'!$B$9*AF348</f>
        <v>71000</v>
      </c>
      <c r="AN348" s="14">
        <f>T348*'Optimal Choice'!$B$14*AG348</f>
        <v>158400</v>
      </c>
      <c r="AO348" s="14">
        <f>U348*'Optimal Choice'!$B$19*AH348</f>
        <v>26640</v>
      </c>
      <c r="AP348" s="14">
        <f>V348*'Optimal Choice'!$B$24*AI348</f>
        <v>103680</v>
      </c>
      <c r="AS348" s="12">
        <f t="shared" si="9"/>
        <v>60</v>
      </c>
      <c r="AT348" s="12">
        <f t="shared" si="10"/>
        <v>50</v>
      </c>
      <c r="AU348" s="12">
        <f t="shared" si="11"/>
        <v>32</v>
      </c>
      <c r="AV348" s="12">
        <f t="shared" si="12"/>
        <v>2</v>
      </c>
      <c r="AW348" s="12">
        <f t="shared" si="13"/>
        <v>1.5</v>
      </c>
      <c r="AY348" s="11">
        <f t="shared" si="14"/>
        <v>0.04348334531</v>
      </c>
    </row>
    <row r="349" ht="15.75" customHeight="1">
      <c r="A349" s="15">
        <f t="shared" si="2"/>
        <v>10.8427751</v>
      </c>
      <c r="B349" s="7">
        <f>(sum(AL349:AP349))*'Optimal Choice'!$B$28</f>
        <v>377830.4</v>
      </c>
      <c r="C349" s="11"/>
      <c r="D349" s="12"/>
      <c r="E349" s="12"/>
      <c r="F349" s="11"/>
      <c r="G349" s="11"/>
      <c r="H349" s="11"/>
      <c r="I349" s="11"/>
      <c r="J349" s="11"/>
      <c r="K349" s="11">
        <f>(X349/$B349)+(X349/('Optimal Choice'!$B$4*AS349))</f>
        <v>1250.332196</v>
      </c>
      <c r="L349" s="11">
        <f>(Y349/$B349)+(Y349/('Optimal Choice'!$B$9*AT349))</f>
        <v>1411.05415</v>
      </c>
      <c r="M349" s="11">
        <f>(Z349/$B349)+(Z349/('Optimal Choice'!$B$14*AU349))</f>
        <v>441.3817554</v>
      </c>
      <c r="N349" s="11">
        <f>(AA349/$B349)+(AA349/('Optimal Choice'!$B$19*AV349))</f>
        <v>1250.227104</v>
      </c>
      <c r="O349" s="11">
        <f>(AB349/$B349)+(AB349/('Optimal Choice'!$B$24*AW349))</f>
        <v>1358.47936</v>
      </c>
      <c r="R349" s="12">
        <f t="shared" ref="R349:V349" si="359">if(min($K348:$O348)=K348,R348+1,R348)</f>
        <v>152</v>
      </c>
      <c r="S349" s="12">
        <f t="shared" si="359"/>
        <v>71</v>
      </c>
      <c r="T349" s="12">
        <f t="shared" si="359"/>
        <v>56</v>
      </c>
      <c r="U349" s="12">
        <f t="shared" si="359"/>
        <v>37</v>
      </c>
      <c r="V349" s="12">
        <f t="shared" si="359"/>
        <v>32</v>
      </c>
      <c r="X349" s="13">
        <f> 'Optimal Choice'!$B$5*'Optimal Choice'!$B$6^(R349+1)</f>
        <v>125250.07</v>
      </c>
      <c r="Y349" s="13">
        <f> 'Optimal Choice'!$B$10*'Optimal Choice'!$B$11^(S349+1)</f>
        <v>1407329.385</v>
      </c>
      <c r="Z349" s="13">
        <f> 'Optimal Choice'!$B$15*'Optimal Choice'!$B$16^(T349+1)</f>
        <v>1261563.231</v>
      </c>
      <c r="AA349" s="13">
        <f> 'Optimal Choice'!$B$20*'Optimal Choice'!$B$21^(U349+1)</f>
        <v>898451.4105</v>
      </c>
      <c r="AB349" s="13">
        <f> 'Optimal Choice'!$B$25*'Optimal Choice'!$B$26^(V349+1)</f>
        <v>4364050.19</v>
      </c>
      <c r="AE349" s="12">
        <f t="shared" si="4"/>
        <v>60</v>
      </c>
      <c r="AF349" s="12">
        <f t="shared" si="5"/>
        <v>50</v>
      </c>
      <c r="AG349" s="12">
        <f t="shared" si="6"/>
        <v>32</v>
      </c>
      <c r="AH349" s="12">
        <f t="shared" si="7"/>
        <v>2</v>
      </c>
      <c r="AI349" s="12">
        <f t="shared" si="8"/>
        <v>1.5</v>
      </c>
      <c r="AL349" s="14">
        <f>R349*'Optimal Choice'!$B$4*AE349</f>
        <v>15230.4</v>
      </c>
      <c r="AM349" s="14">
        <f>S349*'Optimal Choice'!$B$9*AF349</f>
        <v>71000</v>
      </c>
      <c r="AN349" s="14">
        <f>T349*'Optimal Choice'!$B$14*AG349</f>
        <v>161280</v>
      </c>
      <c r="AO349" s="14">
        <f>U349*'Optimal Choice'!$B$19*AH349</f>
        <v>26640</v>
      </c>
      <c r="AP349" s="14">
        <f>V349*'Optimal Choice'!$B$24*AI349</f>
        <v>103680</v>
      </c>
      <c r="AS349" s="12">
        <f t="shared" si="9"/>
        <v>60</v>
      </c>
      <c r="AT349" s="12">
        <f t="shared" si="10"/>
        <v>50</v>
      </c>
      <c r="AU349" s="12">
        <f t="shared" si="11"/>
        <v>32</v>
      </c>
      <c r="AV349" s="12">
        <f t="shared" si="12"/>
        <v>2</v>
      </c>
      <c r="AW349" s="12">
        <f t="shared" si="13"/>
        <v>1.5</v>
      </c>
      <c r="AY349" s="11">
        <f t="shared" si="14"/>
        <v>0.04919025791</v>
      </c>
    </row>
    <row r="350" ht="15.75" customHeight="1">
      <c r="A350" s="15">
        <f t="shared" si="2"/>
        <v>10.89842455</v>
      </c>
      <c r="B350" s="7">
        <f>(sum(AL350:AP350))*'Optimal Choice'!$B$28</f>
        <v>380710.4</v>
      </c>
      <c r="C350" s="11"/>
      <c r="D350" s="12"/>
      <c r="E350" s="12"/>
      <c r="F350" s="11"/>
      <c r="G350" s="11"/>
      <c r="H350" s="11"/>
      <c r="I350" s="11"/>
      <c r="J350" s="11"/>
      <c r="K350" s="11">
        <f>(X350/$B350)+(X350/('Optimal Choice'!$B$4*AS350))</f>
        <v>1250.329689</v>
      </c>
      <c r="L350" s="11">
        <f>(Y350/$B350)+(Y350/('Optimal Choice'!$B$9*AT350))</f>
        <v>1411.025973</v>
      </c>
      <c r="M350" s="11">
        <f>(Z350/$B350)+(Z350/('Optimal Choice'!$B$14*AU350))</f>
        <v>503.1464063</v>
      </c>
      <c r="N350" s="11">
        <f>(AA350/$B350)+(AA350/('Optimal Choice'!$B$19*AV350))</f>
        <v>1250.209115</v>
      </c>
      <c r="O350" s="11">
        <f>(AB350/$B350)+(AB350/('Optimal Choice'!$B$24*AW350))</f>
        <v>1358.391984</v>
      </c>
      <c r="R350" s="12">
        <f t="shared" ref="R350:V350" si="360">if(min($K349:$O349)=K349,R349+1,R349)</f>
        <v>152</v>
      </c>
      <c r="S350" s="12">
        <f t="shared" si="360"/>
        <v>71</v>
      </c>
      <c r="T350" s="12">
        <f t="shared" si="360"/>
        <v>57</v>
      </c>
      <c r="U350" s="12">
        <f t="shared" si="360"/>
        <v>37</v>
      </c>
      <c r="V350" s="12">
        <f t="shared" si="360"/>
        <v>32</v>
      </c>
      <c r="X350" s="13">
        <f> 'Optimal Choice'!$B$5*'Optimal Choice'!$B$6^(R350+1)</f>
        <v>125250.07</v>
      </c>
      <c r="Y350" s="13">
        <f> 'Optimal Choice'!$B$10*'Optimal Choice'!$B$11^(S350+1)</f>
        <v>1407329.385</v>
      </c>
      <c r="Z350" s="13">
        <f> 'Optimal Choice'!$B$15*'Optimal Choice'!$B$16^(T350+1)</f>
        <v>1438182.083</v>
      </c>
      <c r="AA350" s="13">
        <f> 'Optimal Choice'!$B$20*'Optimal Choice'!$B$21^(U350+1)</f>
        <v>898451.4105</v>
      </c>
      <c r="AB350" s="13">
        <f> 'Optimal Choice'!$B$25*'Optimal Choice'!$B$26^(V350+1)</f>
        <v>4364050.19</v>
      </c>
      <c r="AE350" s="12">
        <f t="shared" si="4"/>
        <v>60</v>
      </c>
      <c r="AF350" s="12">
        <f t="shared" si="5"/>
        <v>50</v>
      </c>
      <c r="AG350" s="12">
        <f t="shared" si="6"/>
        <v>32</v>
      </c>
      <c r="AH350" s="12">
        <f t="shared" si="7"/>
        <v>2</v>
      </c>
      <c r="AI350" s="12">
        <f t="shared" si="8"/>
        <v>1.5</v>
      </c>
      <c r="AL350" s="14">
        <f>R350*'Optimal Choice'!$B$4*AE350</f>
        <v>15230.4</v>
      </c>
      <c r="AM350" s="14">
        <f>S350*'Optimal Choice'!$B$9*AF350</f>
        <v>71000</v>
      </c>
      <c r="AN350" s="14">
        <f>T350*'Optimal Choice'!$B$14*AG350</f>
        <v>164160</v>
      </c>
      <c r="AO350" s="14">
        <f>U350*'Optimal Choice'!$B$19*AH350</f>
        <v>26640</v>
      </c>
      <c r="AP350" s="14">
        <f>V350*'Optimal Choice'!$B$24*AI350</f>
        <v>103680</v>
      </c>
      <c r="AS350" s="12">
        <f t="shared" si="9"/>
        <v>60</v>
      </c>
      <c r="AT350" s="12">
        <f t="shared" si="10"/>
        <v>50</v>
      </c>
      <c r="AU350" s="12">
        <f t="shared" si="11"/>
        <v>32</v>
      </c>
      <c r="AV350" s="12">
        <f t="shared" si="12"/>
        <v>2</v>
      </c>
      <c r="AW350" s="12">
        <f t="shared" si="13"/>
        <v>1.5</v>
      </c>
      <c r="AY350" s="11">
        <f t="shared" si="14"/>
        <v>0.05564944971</v>
      </c>
    </row>
    <row r="351" ht="15.75" customHeight="1">
      <c r="A351" s="15">
        <f t="shared" si="2"/>
        <v>10.96138501</v>
      </c>
      <c r="B351" s="7">
        <f>(sum(AL351:AP351))*'Optimal Choice'!$B$28</f>
        <v>383590.4</v>
      </c>
      <c r="C351" s="11"/>
      <c r="D351" s="12"/>
      <c r="E351" s="12"/>
      <c r="F351" s="11"/>
      <c r="G351" s="11"/>
      <c r="H351" s="11"/>
      <c r="I351" s="11"/>
      <c r="J351" s="11"/>
      <c r="K351" s="11">
        <f>(X351/$B351)+(X351/('Optimal Choice'!$B$4*AS351))</f>
        <v>1250.327219</v>
      </c>
      <c r="L351" s="11">
        <f>(Y351/$B351)+(Y351/('Optimal Choice'!$B$9*AT351))</f>
        <v>1410.998219</v>
      </c>
      <c r="M351" s="11">
        <f>(Z351/$B351)+(Z351/('Optimal Choice'!$B$14*AU351))</f>
        <v>573.55457</v>
      </c>
      <c r="N351" s="11">
        <f>(AA351/$B351)+(AA351/('Optimal Choice'!$B$19*AV351))</f>
        <v>1250.191397</v>
      </c>
      <c r="O351" s="11">
        <f>(AB351/$B351)+(AB351/('Optimal Choice'!$B$24*AW351))</f>
        <v>1358.30592</v>
      </c>
      <c r="R351" s="12">
        <f t="shared" ref="R351:V351" si="361">if(min($K350:$O350)=K350,R350+1,R350)</f>
        <v>152</v>
      </c>
      <c r="S351" s="12">
        <f t="shared" si="361"/>
        <v>71</v>
      </c>
      <c r="T351" s="12">
        <f t="shared" si="361"/>
        <v>58</v>
      </c>
      <c r="U351" s="12">
        <f t="shared" si="361"/>
        <v>37</v>
      </c>
      <c r="V351" s="12">
        <f t="shared" si="361"/>
        <v>32</v>
      </c>
      <c r="X351" s="13">
        <f> 'Optimal Choice'!$B$5*'Optimal Choice'!$B$6^(R351+1)</f>
        <v>125250.07</v>
      </c>
      <c r="Y351" s="13">
        <f> 'Optimal Choice'!$B$10*'Optimal Choice'!$B$11^(S351+1)</f>
        <v>1407329.385</v>
      </c>
      <c r="Z351" s="13">
        <f> 'Optimal Choice'!$B$15*'Optimal Choice'!$B$16^(T351+1)</f>
        <v>1639527.575</v>
      </c>
      <c r="AA351" s="13">
        <f> 'Optimal Choice'!$B$20*'Optimal Choice'!$B$21^(U351+1)</f>
        <v>898451.4105</v>
      </c>
      <c r="AB351" s="13">
        <f> 'Optimal Choice'!$B$25*'Optimal Choice'!$B$26^(V351+1)</f>
        <v>4364050.19</v>
      </c>
      <c r="AE351" s="12">
        <f t="shared" si="4"/>
        <v>60</v>
      </c>
      <c r="AF351" s="12">
        <f t="shared" si="5"/>
        <v>50</v>
      </c>
      <c r="AG351" s="12">
        <f t="shared" si="6"/>
        <v>32</v>
      </c>
      <c r="AH351" s="12">
        <f t="shared" si="7"/>
        <v>2</v>
      </c>
      <c r="AI351" s="12">
        <f t="shared" si="8"/>
        <v>1.5</v>
      </c>
      <c r="AL351" s="14">
        <f>R351*'Optimal Choice'!$B$4*AE351</f>
        <v>15230.4</v>
      </c>
      <c r="AM351" s="14">
        <f>S351*'Optimal Choice'!$B$9*AF351</f>
        <v>71000</v>
      </c>
      <c r="AN351" s="14">
        <f>T351*'Optimal Choice'!$B$14*AG351</f>
        <v>167040</v>
      </c>
      <c r="AO351" s="14">
        <f>U351*'Optimal Choice'!$B$19*AH351</f>
        <v>26640</v>
      </c>
      <c r="AP351" s="14">
        <f>V351*'Optimal Choice'!$B$24*AI351</f>
        <v>103680</v>
      </c>
      <c r="AS351" s="12">
        <f t="shared" si="9"/>
        <v>60</v>
      </c>
      <c r="AT351" s="12">
        <f t="shared" si="10"/>
        <v>50</v>
      </c>
      <c r="AU351" s="12">
        <f t="shared" si="11"/>
        <v>32</v>
      </c>
      <c r="AV351" s="12">
        <f t="shared" si="12"/>
        <v>2</v>
      </c>
      <c r="AW351" s="12">
        <f t="shared" si="13"/>
        <v>1.5</v>
      </c>
      <c r="AY351" s="11">
        <f t="shared" si="14"/>
        <v>0.06296045861</v>
      </c>
    </row>
    <row r="352" ht="15.75" customHeight="1">
      <c r="A352" s="15">
        <f t="shared" si="2"/>
        <v>11.03262104</v>
      </c>
      <c r="B352" s="7">
        <f>(sum(AL352:AP352))*'Optimal Choice'!$B$28</f>
        <v>386470.4</v>
      </c>
      <c r="C352" s="11"/>
      <c r="D352" s="12"/>
      <c r="E352" s="12"/>
      <c r="F352" s="11"/>
      <c r="G352" s="11"/>
      <c r="H352" s="11"/>
      <c r="I352" s="11"/>
      <c r="J352" s="11"/>
      <c r="K352" s="11">
        <f>(X352/$B352)+(X352/('Optimal Choice'!$B$4*AS352))</f>
        <v>1250.324785</v>
      </c>
      <c r="L352" s="11">
        <f>(Y352/$B352)+(Y352/('Optimal Choice'!$B$9*AT352))</f>
        <v>1410.970878</v>
      </c>
      <c r="M352" s="11">
        <f>(Z352/$B352)+(Z352/('Optimal Choice'!$B$14*AU352))</f>
        <v>653.8158993</v>
      </c>
      <c r="N352" s="11">
        <f>(AA352/$B352)+(AA352/('Optimal Choice'!$B$19*AV352))</f>
        <v>1250.173943</v>
      </c>
      <c r="O352" s="11">
        <f>(AB352/$B352)+(AB352/('Optimal Choice'!$B$24*AW352))</f>
        <v>1358.221139</v>
      </c>
      <c r="R352" s="12">
        <f t="shared" ref="R352:V352" si="362">if(min($K351:$O351)=K351,R351+1,R351)</f>
        <v>152</v>
      </c>
      <c r="S352" s="12">
        <f t="shared" si="362"/>
        <v>71</v>
      </c>
      <c r="T352" s="12">
        <f t="shared" si="362"/>
        <v>59</v>
      </c>
      <c r="U352" s="12">
        <f t="shared" si="362"/>
        <v>37</v>
      </c>
      <c r="V352" s="12">
        <f t="shared" si="362"/>
        <v>32</v>
      </c>
      <c r="X352" s="13">
        <f> 'Optimal Choice'!$B$5*'Optimal Choice'!$B$6^(R352+1)</f>
        <v>125250.07</v>
      </c>
      <c r="Y352" s="13">
        <f> 'Optimal Choice'!$B$10*'Optimal Choice'!$B$11^(S352+1)</f>
        <v>1407329.385</v>
      </c>
      <c r="Z352" s="13">
        <f> 'Optimal Choice'!$B$15*'Optimal Choice'!$B$16^(T352+1)</f>
        <v>1869061.435</v>
      </c>
      <c r="AA352" s="13">
        <f> 'Optimal Choice'!$B$20*'Optimal Choice'!$B$21^(U352+1)</f>
        <v>898451.4105</v>
      </c>
      <c r="AB352" s="13">
        <f> 'Optimal Choice'!$B$25*'Optimal Choice'!$B$26^(V352+1)</f>
        <v>4364050.19</v>
      </c>
      <c r="AE352" s="12">
        <f t="shared" si="4"/>
        <v>60</v>
      </c>
      <c r="AF352" s="12">
        <f t="shared" si="5"/>
        <v>50</v>
      </c>
      <c r="AG352" s="12">
        <f t="shared" si="6"/>
        <v>32</v>
      </c>
      <c r="AH352" s="12">
        <f t="shared" si="7"/>
        <v>2</v>
      </c>
      <c r="AI352" s="12">
        <f t="shared" si="8"/>
        <v>1.5</v>
      </c>
      <c r="AL352" s="14">
        <f>R352*'Optimal Choice'!$B$4*AE352</f>
        <v>15230.4</v>
      </c>
      <c r="AM352" s="14">
        <f>S352*'Optimal Choice'!$B$9*AF352</f>
        <v>71000</v>
      </c>
      <c r="AN352" s="14">
        <f>T352*'Optimal Choice'!$B$14*AG352</f>
        <v>169920</v>
      </c>
      <c r="AO352" s="14">
        <f>U352*'Optimal Choice'!$B$19*AH352</f>
        <v>26640</v>
      </c>
      <c r="AP352" s="14">
        <f>V352*'Optimal Choice'!$B$24*AI352</f>
        <v>103680</v>
      </c>
      <c r="AS352" s="12">
        <f t="shared" si="9"/>
        <v>60</v>
      </c>
      <c r="AT352" s="12">
        <f t="shared" si="10"/>
        <v>50</v>
      </c>
      <c r="AU352" s="12">
        <f t="shared" si="11"/>
        <v>32</v>
      </c>
      <c r="AV352" s="12">
        <f t="shared" si="12"/>
        <v>2</v>
      </c>
      <c r="AW352" s="12">
        <f t="shared" si="13"/>
        <v>1.5</v>
      </c>
      <c r="AY352" s="11">
        <f t="shared" si="14"/>
        <v>0.07123603608</v>
      </c>
    </row>
    <row r="353" ht="15.75" customHeight="1">
      <c r="A353" s="15">
        <f t="shared" si="2"/>
        <v>11.11322495</v>
      </c>
      <c r="B353" s="7">
        <f>(sum(AL353:AP353))*'Optimal Choice'!$B$28</f>
        <v>389350.4</v>
      </c>
      <c r="C353" s="11"/>
      <c r="D353" s="12"/>
      <c r="E353" s="12"/>
      <c r="F353" s="11"/>
      <c r="G353" s="11"/>
      <c r="H353" s="11"/>
      <c r="I353" s="11"/>
      <c r="J353" s="11"/>
      <c r="K353" s="11">
        <f>(X353/$B353)+(X353/('Optimal Choice'!$B$4*AS353))</f>
        <v>1250.322388</v>
      </c>
      <c r="L353" s="11">
        <f>(Y353/$B353)+(Y353/('Optimal Choice'!$B$9*AT353))</f>
        <v>1410.943943</v>
      </c>
      <c r="M353" s="11">
        <f>(Z353/$B353)+(Z353/('Optimal Choice'!$B$14*AU353))</f>
        <v>745.3093436</v>
      </c>
      <c r="N353" s="11">
        <f>(AA353/$B353)+(AA353/('Optimal Choice'!$B$19*AV353))</f>
        <v>1250.156746</v>
      </c>
      <c r="O353" s="11">
        <f>(AB353/$B353)+(AB353/('Optimal Choice'!$B$24*AW353))</f>
        <v>1358.137613</v>
      </c>
      <c r="R353" s="12">
        <f t="shared" ref="R353:V353" si="363">if(min($K352:$O352)=K352,R352+1,R352)</f>
        <v>152</v>
      </c>
      <c r="S353" s="12">
        <f t="shared" si="363"/>
        <v>71</v>
      </c>
      <c r="T353" s="12">
        <f t="shared" si="363"/>
        <v>60</v>
      </c>
      <c r="U353" s="12">
        <f t="shared" si="363"/>
        <v>37</v>
      </c>
      <c r="V353" s="12">
        <f t="shared" si="363"/>
        <v>32</v>
      </c>
      <c r="X353" s="13">
        <f> 'Optimal Choice'!$B$5*'Optimal Choice'!$B$6^(R353+1)</f>
        <v>125250.07</v>
      </c>
      <c r="Y353" s="13">
        <f> 'Optimal Choice'!$B$10*'Optimal Choice'!$B$11^(S353+1)</f>
        <v>1407329.385</v>
      </c>
      <c r="Z353" s="13">
        <f> 'Optimal Choice'!$B$15*'Optimal Choice'!$B$16^(T353+1)</f>
        <v>2130730.036</v>
      </c>
      <c r="AA353" s="13">
        <f> 'Optimal Choice'!$B$20*'Optimal Choice'!$B$21^(U353+1)</f>
        <v>898451.4105</v>
      </c>
      <c r="AB353" s="13">
        <f> 'Optimal Choice'!$B$25*'Optimal Choice'!$B$26^(V353+1)</f>
        <v>4364050.19</v>
      </c>
      <c r="AE353" s="12">
        <f t="shared" si="4"/>
        <v>60</v>
      </c>
      <c r="AF353" s="12">
        <f t="shared" si="5"/>
        <v>50</v>
      </c>
      <c r="AG353" s="12">
        <f t="shared" si="6"/>
        <v>32</v>
      </c>
      <c r="AH353" s="12">
        <f t="shared" si="7"/>
        <v>2</v>
      </c>
      <c r="AI353" s="12">
        <f t="shared" si="8"/>
        <v>1.5</v>
      </c>
      <c r="AL353" s="14">
        <f>R353*'Optimal Choice'!$B$4*AE353</f>
        <v>15230.4</v>
      </c>
      <c r="AM353" s="14">
        <f>S353*'Optimal Choice'!$B$9*AF353</f>
        <v>71000</v>
      </c>
      <c r="AN353" s="14">
        <f>T353*'Optimal Choice'!$B$14*AG353</f>
        <v>172800</v>
      </c>
      <c r="AO353" s="14">
        <f>U353*'Optimal Choice'!$B$19*AH353</f>
        <v>26640</v>
      </c>
      <c r="AP353" s="14">
        <f>V353*'Optimal Choice'!$B$24*AI353</f>
        <v>103680</v>
      </c>
      <c r="AS353" s="12">
        <f t="shared" si="9"/>
        <v>60</v>
      </c>
      <c r="AT353" s="12">
        <f t="shared" si="10"/>
        <v>50</v>
      </c>
      <c r="AU353" s="12">
        <f t="shared" si="11"/>
        <v>32</v>
      </c>
      <c r="AV353" s="12">
        <f t="shared" si="12"/>
        <v>2</v>
      </c>
      <c r="AW353" s="12">
        <f t="shared" si="13"/>
        <v>1.5</v>
      </c>
      <c r="AY353" s="11">
        <f t="shared" si="14"/>
        <v>0.08060390632</v>
      </c>
    </row>
    <row r="354" ht="15.75" customHeight="1">
      <c r="A354" s="15">
        <f t="shared" si="2"/>
        <v>11.20443371</v>
      </c>
      <c r="B354" s="7">
        <f>(sum(AL354:AP354))*'Optimal Choice'!$B$28</f>
        <v>392230.4</v>
      </c>
      <c r="C354" s="11"/>
      <c r="D354" s="12"/>
      <c r="E354" s="12"/>
      <c r="F354" s="11"/>
      <c r="G354" s="11"/>
      <c r="H354" s="11"/>
      <c r="I354" s="11"/>
      <c r="J354" s="11"/>
      <c r="K354" s="11">
        <f>(X354/$B354)+(X354/('Optimal Choice'!$B$4*AS354))</f>
        <v>1250.320026</v>
      </c>
      <c r="L354" s="11">
        <f>(Y354/$B354)+(Y354/('Optimal Choice'!$B$9*AT354))</f>
        <v>1410.917402</v>
      </c>
      <c r="M354" s="11">
        <f>(Z354/$B354)+(Z354/('Optimal Choice'!$B$14*AU354))</f>
        <v>849.6068435</v>
      </c>
      <c r="N354" s="11">
        <f>(AA354/$B354)+(AA354/('Optimal Choice'!$B$19*AV354))</f>
        <v>1250.139803</v>
      </c>
      <c r="O354" s="11">
        <f>(AB354/$B354)+(AB354/('Optimal Choice'!$B$24*AW354))</f>
        <v>1358.055312</v>
      </c>
      <c r="R354" s="12">
        <f t="shared" ref="R354:V354" si="364">if(min($K353:$O353)=K353,R353+1,R353)</f>
        <v>152</v>
      </c>
      <c r="S354" s="12">
        <f t="shared" si="364"/>
        <v>71</v>
      </c>
      <c r="T354" s="12">
        <f t="shared" si="364"/>
        <v>61</v>
      </c>
      <c r="U354" s="12">
        <f t="shared" si="364"/>
        <v>37</v>
      </c>
      <c r="V354" s="12">
        <f t="shared" si="364"/>
        <v>32</v>
      </c>
      <c r="X354" s="13">
        <f> 'Optimal Choice'!$B$5*'Optimal Choice'!$B$6^(R354+1)</f>
        <v>125250.07</v>
      </c>
      <c r="Y354" s="13">
        <f> 'Optimal Choice'!$B$10*'Optimal Choice'!$B$11^(S354+1)</f>
        <v>1407329.385</v>
      </c>
      <c r="Z354" s="13">
        <f> 'Optimal Choice'!$B$15*'Optimal Choice'!$B$16^(T354+1)</f>
        <v>2429032.241</v>
      </c>
      <c r="AA354" s="13">
        <f> 'Optimal Choice'!$B$20*'Optimal Choice'!$B$21^(U354+1)</f>
        <v>898451.4105</v>
      </c>
      <c r="AB354" s="13">
        <f> 'Optimal Choice'!$B$25*'Optimal Choice'!$B$26^(V354+1)</f>
        <v>4364050.19</v>
      </c>
      <c r="AE354" s="12">
        <f t="shared" si="4"/>
        <v>60</v>
      </c>
      <c r="AF354" s="12">
        <f t="shared" si="5"/>
        <v>50</v>
      </c>
      <c r="AG354" s="12">
        <f t="shared" si="6"/>
        <v>32</v>
      </c>
      <c r="AH354" s="12">
        <f t="shared" si="7"/>
        <v>2</v>
      </c>
      <c r="AI354" s="12">
        <f t="shared" si="8"/>
        <v>1.5</v>
      </c>
      <c r="AL354" s="14">
        <f>R354*'Optimal Choice'!$B$4*AE354</f>
        <v>15230.4</v>
      </c>
      <c r="AM354" s="14">
        <f>S354*'Optimal Choice'!$B$9*AF354</f>
        <v>71000</v>
      </c>
      <c r="AN354" s="14">
        <f>T354*'Optimal Choice'!$B$14*AG354</f>
        <v>175680</v>
      </c>
      <c r="AO354" s="14">
        <f>U354*'Optimal Choice'!$B$19*AH354</f>
        <v>26640</v>
      </c>
      <c r="AP354" s="14">
        <f>V354*'Optimal Choice'!$B$24*AI354</f>
        <v>103680</v>
      </c>
      <c r="AS354" s="12">
        <f t="shared" si="9"/>
        <v>60</v>
      </c>
      <c r="AT354" s="12">
        <f t="shared" si="10"/>
        <v>50</v>
      </c>
      <c r="AU354" s="12">
        <f t="shared" si="11"/>
        <v>32</v>
      </c>
      <c r="AV354" s="12">
        <f t="shared" si="12"/>
        <v>2</v>
      </c>
      <c r="AW354" s="12">
        <f t="shared" si="13"/>
        <v>1.5</v>
      </c>
      <c r="AY354" s="11">
        <f t="shared" si="14"/>
        <v>0.09120876019</v>
      </c>
    </row>
    <row r="355" ht="15.75" customHeight="1">
      <c r="A355" s="15">
        <f t="shared" si="2"/>
        <v>11.30764822</v>
      </c>
      <c r="B355" s="7">
        <f>(sum(AL355:AP355))*'Optimal Choice'!$B$28</f>
        <v>395110.4</v>
      </c>
      <c r="C355" s="11"/>
      <c r="D355" s="12"/>
      <c r="E355" s="12"/>
      <c r="F355" s="11"/>
      <c r="G355" s="11"/>
      <c r="H355" s="11"/>
      <c r="I355" s="11"/>
      <c r="J355" s="11"/>
      <c r="K355" s="11">
        <f>(X355/$B355)+(X355/('Optimal Choice'!$B$4*AS355))</f>
        <v>1250.317699</v>
      </c>
      <c r="L355" s="11">
        <f>(Y355/$B355)+(Y355/('Optimal Choice'!$B$9*AT355))</f>
        <v>1410.891249</v>
      </c>
      <c r="M355" s="11">
        <f>(Z355/$B355)+(Z355/('Optimal Choice'!$B$14*AU355))</f>
        <v>968.5003414</v>
      </c>
      <c r="N355" s="11">
        <f>(AA355/$B355)+(AA355/('Optimal Choice'!$B$19*AV355))</f>
        <v>1250.123106</v>
      </c>
      <c r="O355" s="11">
        <f>(AB355/$B355)+(AB355/('Optimal Choice'!$B$24*AW355))</f>
        <v>1357.974212</v>
      </c>
      <c r="R355" s="12">
        <f t="shared" ref="R355:V355" si="365">if(min($K354:$O354)=K354,R354+1,R354)</f>
        <v>152</v>
      </c>
      <c r="S355" s="12">
        <f t="shared" si="365"/>
        <v>71</v>
      </c>
      <c r="T355" s="12">
        <f t="shared" si="365"/>
        <v>62</v>
      </c>
      <c r="U355" s="12">
        <f t="shared" si="365"/>
        <v>37</v>
      </c>
      <c r="V355" s="12">
        <f t="shared" si="365"/>
        <v>32</v>
      </c>
      <c r="X355" s="13">
        <f> 'Optimal Choice'!$B$5*'Optimal Choice'!$B$6^(R355+1)</f>
        <v>125250.07</v>
      </c>
      <c r="Y355" s="13">
        <f> 'Optimal Choice'!$B$10*'Optimal Choice'!$B$11^(S355+1)</f>
        <v>1407329.385</v>
      </c>
      <c r="Z355" s="13">
        <f> 'Optimal Choice'!$B$15*'Optimal Choice'!$B$16^(T355+1)</f>
        <v>2769096.755</v>
      </c>
      <c r="AA355" s="13">
        <f> 'Optimal Choice'!$B$20*'Optimal Choice'!$B$21^(U355+1)</f>
        <v>898451.4105</v>
      </c>
      <c r="AB355" s="13">
        <f> 'Optimal Choice'!$B$25*'Optimal Choice'!$B$26^(V355+1)</f>
        <v>4364050.19</v>
      </c>
      <c r="AE355" s="12">
        <f t="shared" si="4"/>
        <v>60</v>
      </c>
      <c r="AF355" s="12">
        <f t="shared" si="5"/>
        <v>50</v>
      </c>
      <c r="AG355" s="12">
        <f t="shared" si="6"/>
        <v>32</v>
      </c>
      <c r="AH355" s="12">
        <f t="shared" si="7"/>
        <v>2</v>
      </c>
      <c r="AI355" s="12">
        <f t="shared" si="8"/>
        <v>1.5</v>
      </c>
      <c r="AL355" s="14">
        <f>R355*'Optimal Choice'!$B$4*AE355</f>
        <v>15230.4</v>
      </c>
      <c r="AM355" s="14">
        <f>S355*'Optimal Choice'!$B$9*AF355</f>
        <v>71000</v>
      </c>
      <c r="AN355" s="14">
        <f>T355*'Optimal Choice'!$B$14*AG355</f>
        <v>178560</v>
      </c>
      <c r="AO355" s="14">
        <f>U355*'Optimal Choice'!$B$19*AH355</f>
        <v>26640</v>
      </c>
      <c r="AP355" s="14">
        <f>V355*'Optimal Choice'!$B$24*AI355</f>
        <v>103680</v>
      </c>
      <c r="AS355" s="12">
        <f t="shared" si="9"/>
        <v>60</v>
      </c>
      <c r="AT355" s="12">
        <f t="shared" si="10"/>
        <v>50</v>
      </c>
      <c r="AU355" s="12">
        <f t="shared" si="11"/>
        <v>32</v>
      </c>
      <c r="AV355" s="12">
        <f t="shared" si="12"/>
        <v>2</v>
      </c>
      <c r="AW355" s="12">
        <f t="shared" si="13"/>
        <v>1.5</v>
      </c>
      <c r="AY355" s="11">
        <f t="shared" si="14"/>
        <v>0.1032145155</v>
      </c>
    </row>
    <row r="356" ht="15.75" customHeight="1">
      <c r="A356" s="15">
        <f t="shared" si="2"/>
        <v>11.4244551</v>
      </c>
      <c r="B356" s="7">
        <f>(sum(AL356:AP356))*'Optimal Choice'!$B$28</f>
        <v>397990.4</v>
      </c>
      <c r="C356" s="11"/>
      <c r="D356" s="12"/>
      <c r="E356" s="12"/>
      <c r="F356" s="11"/>
      <c r="G356" s="11"/>
      <c r="H356" s="11"/>
      <c r="I356" s="11"/>
      <c r="J356" s="11"/>
      <c r="K356" s="11">
        <f>(X356/$B356)+(X356/('Optimal Choice'!$B$4*AS356))</f>
        <v>1250.315405</v>
      </c>
      <c r="L356" s="11">
        <f>(Y356/$B356)+(Y356/('Optimal Choice'!$B$9*AT356))</f>
        <v>1410.865474</v>
      </c>
      <c r="M356" s="11">
        <f>(Z356/$B356)+(Z356/('Optimal Choice'!$B$14*AU356))</f>
        <v>1104.032574</v>
      </c>
      <c r="N356" s="11">
        <f>(AA356/$B356)+(AA356/('Optimal Choice'!$B$19*AV356))</f>
        <v>1250.106651</v>
      </c>
      <c r="O356" s="11">
        <f>(AB356/$B356)+(AB356/('Optimal Choice'!$B$24*AW356))</f>
        <v>1357.894286</v>
      </c>
      <c r="R356" s="12">
        <f t="shared" ref="R356:V356" si="366">if(min($K355:$O355)=K355,R355+1,R355)</f>
        <v>152</v>
      </c>
      <c r="S356" s="12">
        <f t="shared" si="366"/>
        <v>71</v>
      </c>
      <c r="T356" s="12">
        <f t="shared" si="366"/>
        <v>63</v>
      </c>
      <c r="U356" s="12">
        <f t="shared" si="366"/>
        <v>37</v>
      </c>
      <c r="V356" s="12">
        <f t="shared" si="366"/>
        <v>32</v>
      </c>
      <c r="X356" s="13">
        <f> 'Optimal Choice'!$B$5*'Optimal Choice'!$B$6^(R356+1)</f>
        <v>125250.07</v>
      </c>
      <c r="Y356" s="13">
        <f> 'Optimal Choice'!$B$10*'Optimal Choice'!$B$11^(S356+1)</f>
        <v>1407329.385</v>
      </c>
      <c r="Z356" s="13">
        <f> 'Optimal Choice'!$B$15*'Optimal Choice'!$B$16^(T356+1)</f>
        <v>3156770.3</v>
      </c>
      <c r="AA356" s="13">
        <f> 'Optimal Choice'!$B$20*'Optimal Choice'!$B$21^(U356+1)</f>
        <v>898451.4105</v>
      </c>
      <c r="AB356" s="13">
        <f> 'Optimal Choice'!$B$25*'Optimal Choice'!$B$26^(V356+1)</f>
        <v>4364050.19</v>
      </c>
      <c r="AE356" s="12">
        <f t="shared" si="4"/>
        <v>60</v>
      </c>
      <c r="AF356" s="12">
        <f t="shared" si="5"/>
        <v>50</v>
      </c>
      <c r="AG356" s="12">
        <f t="shared" si="6"/>
        <v>32</v>
      </c>
      <c r="AH356" s="12">
        <f t="shared" si="7"/>
        <v>2</v>
      </c>
      <c r="AI356" s="12">
        <f t="shared" si="8"/>
        <v>1.5</v>
      </c>
      <c r="AL356" s="14">
        <f>R356*'Optimal Choice'!$B$4*AE356</f>
        <v>15230.4</v>
      </c>
      <c r="AM356" s="14">
        <f>S356*'Optimal Choice'!$B$9*AF356</f>
        <v>71000</v>
      </c>
      <c r="AN356" s="14">
        <f>T356*'Optimal Choice'!$B$14*AG356</f>
        <v>181440</v>
      </c>
      <c r="AO356" s="14">
        <f>U356*'Optimal Choice'!$B$19*AH356</f>
        <v>26640</v>
      </c>
      <c r="AP356" s="14">
        <f>V356*'Optimal Choice'!$B$24*AI356</f>
        <v>103680</v>
      </c>
      <c r="AS356" s="12">
        <f t="shared" si="9"/>
        <v>60</v>
      </c>
      <c r="AT356" s="12">
        <f t="shared" si="10"/>
        <v>50</v>
      </c>
      <c r="AU356" s="12">
        <f t="shared" si="11"/>
        <v>32</v>
      </c>
      <c r="AV356" s="12">
        <f t="shared" si="12"/>
        <v>2</v>
      </c>
      <c r="AW356" s="12">
        <f t="shared" si="13"/>
        <v>1.5</v>
      </c>
      <c r="AY356" s="11">
        <f t="shared" si="14"/>
        <v>0.1168068787</v>
      </c>
    </row>
    <row r="357" ht="15.75" customHeight="1">
      <c r="A357" s="15">
        <f t="shared" si="2"/>
        <v>11.55665135</v>
      </c>
      <c r="B357" s="7">
        <f>(sum(AL357:AP357))*'Optimal Choice'!$B$28</f>
        <v>400870.4</v>
      </c>
      <c r="C357" s="11"/>
      <c r="D357" s="12"/>
      <c r="E357" s="12"/>
      <c r="F357" s="11"/>
      <c r="G357" s="11"/>
      <c r="H357" s="11"/>
      <c r="I357" s="11"/>
      <c r="J357" s="11"/>
      <c r="K357" s="11">
        <f>(X357/$B357)+(X357/('Optimal Choice'!$B$4*AS357))</f>
        <v>1250.313144</v>
      </c>
      <c r="L357" s="11">
        <f>(Y357/$B357)+(Y357/('Optimal Choice'!$B$9*AT357))</f>
        <v>1410.840069</v>
      </c>
      <c r="M357" s="11">
        <f>(Z357/$B357)+(Z357/('Optimal Choice'!$B$14*AU357))</f>
        <v>1258.532171</v>
      </c>
      <c r="N357" s="11">
        <f>(AA357/$B357)+(AA357/('Optimal Choice'!$B$19*AV357))</f>
        <v>1250.090433</v>
      </c>
      <c r="O357" s="11">
        <f>(AB357/$B357)+(AB357/('Optimal Choice'!$B$24*AW357))</f>
        <v>1357.815507</v>
      </c>
      <c r="R357" s="12">
        <f t="shared" ref="R357:V357" si="367">if(min($K356:$O356)=K356,R356+1,R356)</f>
        <v>152</v>
      </c>
      <c r="S357" s="12">
        <f t="shared" si="367"/>
        <v>71</v>
      </c>
      <c r="T357" s="12">
        <f t="shared" si="367"/>
        <v>64</v>
      </c>
      <c r="U357" s="12">
        <f t="shared" si="367"/>
        <v>37</v>
      </c>
      <c r="V357" s="12">
        <f t="shared" si="367"/>
        <v>32</v>
      </c>
      <c r="X357" s="13">
        <f> 'Optimal Choice'!$B$5*'Optimal Choice'!$B$6^(R357+1)</f>
        <v>125250.07</v>
      </c>
      <c r="Y357" s="13">
        <f> 'Optimal Choice'!$B$10*'Optimal Choice'!$B$11^(S357+1)</f>
        <v>1407329.385</v>
      </c>
      <c r="Z357" s="13">
        <f> 'Optimal Choice'!$B$15*'Optimal Choice'!$B$16^(T357+1)</f>
        <v>3598718.142</v>
      </c>
      <c r="AA357" s="13">
        <f> 'Optimal Choice'!$B$20*'Optimal Choice'!$B$21^(U357+1)</f>
        <v>898451.4105</v>
      </c>
      <c r="AB357" s="13">
        <f> 'Optimal Choice'!$B$25*'Optimal Choice'!$B$26^(V357+1)</f>
        <v>4364050.19</v>
      </c>
      <c r="AE357" s="12">
        <f t="shared" si="4"/>
        <v>60</v>
      </c>
      <c r="AF357" s="12">
        <f t="shared" si="5"/>
        <v>50</v>
      </c>
      <c r="AG357" s="12">
        <f t="shared" si="6"/>
        <v>32</v>
      </c>
      <c r="AH357" s="12">
        <f t="shared" si="7"/>
        <v>2</v>
      </c>
      <c r="AI357" s="12">
        <f t="shared" si="8"/>
        <v>1.5</v>
      </c>
      <c r="AL357" s="14">
        <f>R357*'Optimal Choice'!$B$4*AE357</f>
        <v>15230.4</v>
      </c>
      <c r="AM357" s="14">
        <f>S357*'Optimal Choice'!$B$9*AF357</f>
        <v>71000</v>
      </c>
      <c r="AN357" s="14">
        <f>T357*'Optimal Choice'!$B$14*AG357</f>
        <v>184320</v>
      </c>
      <c r="AO357" s="14">
        <f>U357*'Optimal Choice'!$B$19*AH357</f>
        <v>26640</v>
      </c>
      <c r="AP357" s="14">
        <f>V357*'Optimal Choice'!$B$24*AI357</f>
        <v>103680</v>
      </c>
      <c r="AS357" s="12">
        <f t="shared" si="9"/>
        <v>60</v>
      </c>
      <c r="AT357" s="12">
        <f t="shared" si="10"/>
        <v>50</v>
      </c>
      <c r="AU357" s="12">
        <f t="shared" si="11"/>
        <v>32</v>
      </c>
      <c r="AV357" s="12">
        <f t="shared" si="12"/>
        <v>2</v>
      </c>
      <c r="AW357" s="12">
        <f t="shared" si="13"/>
        <v>1.5</v>
      </c>
      <c r="AY357" s="11">
        <f t="shared" si="14"/>
        <v>0.1321962498</v>
      </c>
    </row>
    <row r="358" ht="15.75" customHeight="1">
      <c r="A358" s="15">
        <f t="shared" si="2"/>
        <v>11.59400555</v>
      </c>
      <c r="B358" s="7">
        <f>(sum(AL358:AP358))*'Optimal Choice'!$B$28</f>
        <v>401590.4</v>
      </c>
      <c r="C358" s="11"/>
      <c r="D358" s="12"/>
      <c r="E358" s="12"/>
      <c r="F358" s="11"/>
      <c r="G358" s="11"/>
      <c r="H358" s="11"/>
      <c r="I358" s="11"/>
      <c r="J358" s="11"/>
      <c r="K358" s="11">
        <f>(X358/$B358)+(X358/('Optimal Choice'!$B$4*AS358))</f>
        <v>1250.312583</v>
      </c>
      <c r="L358" s="11">
        <f>(Y358/$B358)+(Y358/('Optimal Choice'!$B$9*AT358))</f>
        <v>1410.833775</v>
      </c>
      <c r="M358" s="11">
        <f>(Z358/$B358)+(Z358/('Optimal Choice'!$B$14*AU358))</f>
        <v>1258.516076</v>
      </c>
      <c r="N358" s="11">
        <f>(AA358/$B358)+(AA358/('Optimal Choice'!$B$19*AV358))</f>
        <v>1412.597648</v>
      </c>
      <c r="O358" s="11">
        <f>(AB358/$B358)+(AB358/('Optimal Choice'!$B$24*AW358))</f>
        <v>1357.79599</v>
      </c>
      <c r="R358" s="12">
        <f t="shared" ref="R358:V358" si="368">if(min($K357:$O357)=K357,R357+1,R357)</f>
        <v>152</v>
      </c>
      <c r="S358" s="12">
        <f t="shared" si="368"/>
        <v>71</v>
      </c>
      <c r="T358" s="12">
        <f t="shared" si="368"/>
        <v>64</v>
      </c>
      <c r="U358" s="12">
        <f t="shared" si="368"/>
        <v>38</v>
      </c>
      <c r="V358" s="12">
        <f t="shared" si="368"/>
        <v>32</v>
      </c>
      <c r="X358" s="13">
        <f> 'Optimal Choice'!$B$5*'Optimal Choice'!$B$6^(R358+1)</f>
        <v>125250.07</v>
      </c>
      <c r="Y358" s="13">
        <f> 'Optimal Choice'!$B$10*'Optimal Choice'!$B$11^(S358+1)</f>
        <v>1407329.385</v>
      </c>
      <c r="Z358" s="13">
        <f> 'Optimal Choice'!$B$15*'Optimal Choice'!$B$16^(T358+1)</f>
        <v>3598718.142</v>
      </c>
      <c r="AA358" s="13">
        <f> 'Optimal Choice'!$B$20*'Optimal Choice'!$B$21^(U358+1)</f>
        <v>1015250.094</v>
      </c>
      <c r="AB358" s="13">
        <f> 'Optimal Choice'!$B$25*'Optimal Choice'!$B$26^(V358+1)</f>
        <v>4364050.19</v>
      </c>
      <c r="AE358" s="12">
        <f t="shared" si="4"/>
        <v>60</v>
      </c>
      <c r="AF358" s="12">
        <f t="shared" si="5"/>
        <v>50</v>
      </c>
      <c r="AG358" s="12">
        <f t="shared" si="6"/>
        <v>32</v>
      </c>
      <c r="AH358" s="12">
        <f t="shared" si="7"/>
        <v>2</v>
      </c>
      <c r="AI358" s="12">
        <f t="shared" si="8"/>
        <v>1.5</v>
      </c>
      <c r="AL358" s="14">
        <f>R358*'Optimal Choice'!$B$4*AE358</f>
        <v>15230.4</v>
      </c>
      <c r="AM358" s="14">
        <f>S358*'Optimal Choice'!$B$9*AF358</f>
        <v>71000</v>
      </c>
      <c r="AN358" s="14">
        <f>T358*'Optimal Choice'!$B$14*AG358</f>
        <v>184320</v>
      </c>
      <c r="AO358" s="14">
        <f>U358*'Optimal Choice'!$B$19*AH358</f>
        <v>27360</v>
      </c>
      <c r="AP358" s="14">
        <f>V358*'Optimal Choice'!$B$24*AI358</f>
        <v>103680</v>
      </c>
      <c r="AS358" s="12">
        <f t="shared" si="9"/>
        <v>60</v>
      </c>
      <c r="AT358" s="12">
        <f t="shared" si="10"/>
        <v>50</v>
      </c>
      <c r="AU358" s="12">
        <f t="shared" si="11"/>
        <v>32</v>
      </c>
      <c r="AV358" s="12">
        <f t="shared" si="12"/>
        <v>2</v>
      </c>
      <c r="AW358" s="12">
        <f t="shared" si="13"/>
        <v>1.5</v>
      </c>
      <c r="AY358" s="11">
        <f t="shared" si="14"/>
        <v>0.03735419272</v>
      </c>
    </row>
    <row r="359" ht="15.75" customHeight="1">
      <c r="A359" s="15">
        <f t="shared" si="2"/>
        <v>11.59920363</v>
      </c>
      <c r="B359" s="7">
        <f>(sum(AL359:AP359))*'Optimal Choice'!$B$28</f>
        <v>401690.6</v>
      </c>
      <c r="C359" s="11"/>
      <c r="D359" s="12"/>
      <c r="E359" s="12"/>
      <c r="F359" s="11"/>
      <c r="G359" s="11"/>
      <c r="H359" s="11"/>
      <c r="I359" s="11"/>
      <c r="J359" s="11"/>
      <c r="K359" s="11">
        <f>(X359/$B359)+(X359/('Optimal Choice'!$B$4*AS359))</f>
        <v>1337.834381</v>
      </c>
      <c r="L359" s="11">
        <f>(Y359/$B359)+(Y359/('Optimal Choice'!$B$9*AT359))</f>
        <v>1410.832901</v>
      </c>
      <c r="M359" s="11">
        <f>(Z359/$B359)+(Z359/('Optimal Choice'!$B$14*AU359))</f>
        <v>1258.513841</v>
      </c>
      <c r="N359" s="11">
        <f>(AA359/$B359)+(AA359/('Optimal Choice'!$B$19*AV359))</f>
        <v>1412.597018</v>
      </c>
      <c r="O359" s="11">
        <f>(AB359/$B359)+(AB359/('Optimal Choice'!$B$24*AW359))</f>
        <v>1357.793279</v>
      </c>
      <c r="R359" s="12">
        <f t="shared" ref="R359:V359" si="369">if(min($K358:$O358)=K358,R358+1,R358)</f>
        <v>153</v>
      </c>
      <c r="S359" s="12">
        <f t="shared" si="369"/>
        <v>71</v>
      </c>
      <c r="T359" s="12">
        <f t="shared" si="369"/>
        <v>64</v>
      </c>
      <c r="U359" s="12">
        <f t="shared" si="369"/>
        <v>38</v>
      </c>
      <c r="V359" s="12">
        <f t="shared" si="369"/>
        <v>32</v>
      </c>
      <c r="X359" s="13">
        <f> 'Optimal Choice'!$B$5*'Optimal Choice'!$B$6^(R359+1)</f>
        <v>134017.5749</v>
      </c>
      <c r="Y359" s="13">
        <f> 'Optimal Choice'!$B$10*'Optimal Choice'!$B$11^(S359+1)</f>
        <v>1407329.385</v>
      </c>
      <c r="Z359" s="13">
        <f> 'Optimal Choice'!$B$15*'Optimal Choice'!$B$16^(T359+1)</f>
        <v>3598718.142</v>
      </c>
      <c r="AA359" s="13">
        <f> 'Optimal Choice'!$B$20*'Optimal Choice'!$B$21^(U359+1)</f>
        <v>1015250.094</v>
      </c>
      <c r="AB359" s="13">
        <f> 'Optimal Choice'!$B$25*'Optimal Choice'!$B$26^(V359+1)</f>
        <v>4364050.19</v>
      </c>
      <c r="AE359" s="12">
        <f t="shared" si="4"/>
        <v>60</v>
      </c>
      <c r="AF359" s="12">
        <f t="shared" si="5"/>
        <v>50</v>
      </c>
      <c r="AG359" s="12">
        <f t="shared" si="6"/>
        <v>32</v>
      </c>
      <c r="AH359" s="12">
        <f t="shared" si="7"/>
        <v>2</v>
      </c>
      <c r="AI359" s="12">
        <f t="shared" si="8"/>
        <v>1.5</v>
      </c>
      <c r="AL359" s="14">
        <f>R359*'Optimal Choice'!$B$4*AE359</f>
        <v>15330.6</v>
      </c>
      <c r="AM359" s="14">
        <f>S359*'Optimal Choice'!$B$9*AF359</f>
        <v>71000</v>
      </c>
      <c r="AN359" s="14">
        <f>T359*'Optimal Choice'!$B$14*AG359</f>
        <v>184320</v>
      </c>
      <c r="AO359" s="14">
        <f>U359*'Optimal Choice'!$B$19*AH359</f>
        <v>27360</v>
      </c>
      <c r="AP359" s="14">
        <f>V359*'Optimal Choice'!$B$24*AI359</f>
        <v>103680</v>
      </c>
      <c r="AS359" s="12">
        <f t="shared" si="9"/>
        <v>60</v>
      </c>
      <c r="AT359" s="12">
        <f t="shared" si="10"/>
        <v>50</v>
      </c>
      <c r="AU359" s="12">
        <f t="shared" si="11"/>
        <v>32</v>
      </c>
      <c r="AV359" s="12">
        <f t="shared" si="12"/>
        <v>2</v>
      </c>
      <c r="AW359" s="12">
        <f t="shared" si="13"/>
        <v>1.5</v>
      </c>
      <c r="AY359" s="11">
        <f t="shared" si="14"/>
        <v>0.005198085328</v>
      </c>
    </row>
    <row r="360" ht="15.75" customHeight="1">
      <c r="A360" s="15">
        <f t="shared" si="2"/>
        <v>11.74851914</v>
      </c>
      <c r="B360" s="7">
        <f>(sum(AL360:AP360))*'Optimal Choice'!$B$28</f>
        <v>404570.6</v>
      </c>
      <c r="C360" s="11"/>
      <c r="D360" s="12"/>
      <c r="E360" s="12"/>
      <c r="F360" s="11"/>
      <c r="G360" s="11"/>
      <c r="H360" s="11"/>
      <c r="I360" s="11"/>
      <c r="J360" s="11"/>
      <c r="K360" s="11">
        <f>(X360/$B360)+(X360/('Optimal Choice'!$B$4*AS360))</f>
        <v>1337.832006</v>
      </c>
      <c r="L360" s="11">
        <f>(Y360/$B360)+(Y360/('Optimal Choice'!$B$9*AT360))</f>
        <v>1410.807961</v>
      </c>
      <c r="M360" s="11">
        <f>(Z360/$B360)+(Z360/('Optimal Choice'!$B$14*AU360))</f>
        <v>1434.633075</v>
      </c>
      <c r="N360" s="11">
        <f>(AA360/$B360)+(AA360/('Optimal Choice'!$B$19*AV360))</f>
        <v>1412.579026</v>
      </c>
      <c r="O360" s="11">
        <f>(AB360/$B360)+(AB360/('Optimal Choice'!$B$24*AW360))</f>
        <v>1357.71594</v>
      </c>
      <c r="R360" s="12">
        <f t="shared" ref="R360:V360" si="370">if(min($K359:$O359)=K359,R359+1,R359)</f>
        <v>153</v>
      </c>
      <c r="S360" s="12">
        <f t="shared" si="370"/>
        <v>71</v>
      </c>
      <c r="T360" s="12">
        <f t="shared" si="370"/>
        <v>65</v>
      </c>
      <c r="U360" s="12">
        <f t="shared" si="370"/>
        <v>38</v>
      </c>
      <c r="V360" s="12">
        <f t="shared" si="370"/>
        <v>32</v>
      </c>
      <c r="X360" s="13">
        <f> 'Optimal Choice'!$B$5*'Optimal Choice'!$B$6^(R360+1)</f>
        <v>134017.5749</v>
      </c>
      <c r="Y360" s="13">
        <f> 'Optimal Choice'!$B$10*'Optimal Choice'!$B$11^(S360+1)</f>
        <v>1407329.385</v>
      </c>
      <c r="Z360" s="13">
        <f> 'Optimal Choice'!$B$15*'Optimal Choice'!$B$16^(T360+1)</f>
        <v>4102538.682</v>
      </c>
      <c r="AA360" s="13">
        <f> 'Optimal Choice'!$B$20*'Optimal Choice'!$B$21^(U360+1)</f>
        <v>1015250.094</v>
      </c>
      <c r="AB360" s="13">
        <f> 'Optimal Choice'!$B$25*'Optimal Choice'!$B$26^(V360+1)</f>
        <v>4364050.19</v>
      </c>
      <c r="AE360" s="12">
        <f t="shared" si="4"/>
        <v>60</v>
      </c>
      <c r="AF360" s="12">
        <f t="shared" si="5"/>
        <v>50</v>
      </c>
      <c r="AG360" s="12">
        <f t="shared" si="6"/>
        <v>32</v>
      </c>
      <c r="AH360" s="12">
        <f t="shared" si="7"/>
        <v>2</v>
      </c>
      <c r="AI360" s="12">
        <f t="shared" si="8"/>
        <v>1.5</v>
      </c>
      <c r="AL360" s="14">
        <f>R360*'Optimal Choice'!$B$4*AE360</f>
        <v>15330.6</v>
      </c>
      <c r="AM360" s="14">
        <f>S360*'Optimal Choice'!$B$9*AF360</f>
        <v>71000</v>
      </c>
      <c r="AN360" s="14">
        <f>T360*'Optimal Choice'!$B$14*AG360</f>
        <v>187200</v>
      </c>
      <c r="AO360" s="14">
        <f>U360*'Optimal Choice'!$B$19*AH360</f>
        <v>27360</v>
      </c>
      <c r="AP360" s="14">
        <f>V360*'Optimal Choice'!$B$24*AI360</f>
        <v>103680</v>
      </c>
      <c r="AS360" s="12">
        <f t="shared" si="9"/>
        <v>60</v>
      </c>
      <c r="AT360" s="12">
        <f t="shared" si="10"/>
        <v>50</v>
      </c>
      <c r="AU360" s="12">
        <f t="shared" si="11"/>
        <v>32</v>
      </c>
      <c r="AV360" s="12">
        <f t="shared" si="12"/>
        <v>2</v>
      </c>
      <c r="AW360" s="12">
        <f t="shared" si="13"/>
        <v>1.5</v>
      </c>
      <c r="AY360" s="11">
        <f t="shared" si="14"/>
        <v>0.1493155073</v>
      </c>
    </row>
    <row r="361" ht="15.75" customHeight="1">
      <c r="A361" s="15">
        <f t="shared" si="2"/>
        <v>11.75404012</v>
      </c>
      <c r="B361" s="7">
        <f>(sum(AL361:AP361))*'Optimal Choice'!$B$28</f>
        <v>404670.8</v>
      </c>
      <c r="C361" s="11"/>
      <c r="D361" s="12"/>
      <c r="E361" s="12"/>
      <c r="F361" s="11"/>
      <c r="G361" s="11"/>
      <c r="H361" s="11"/>
      <c r="I361" s="11"/>
      <c r="J361" s="11"/>
      <c r="K361" s="11">
        <f>(X361/$B361)+(X361/('Optimal Choice'!$B$4*AS361))</f>
        <v>1431.480159</v>
      </c>
      <c r="L361" s="11">
        <f>(Y361/$B361)+(Y361/('Optimal Choice'!$B$9*AT361))</f>
        <v>1410.807099</v>
      </c>
      <c r="M361" s="11">
        <f>(Z361/$B361)+(Z361/('Optimal Choice'!$B$14*AU361))</f>
        <v>1434.630564</v>
      </c>
      <c r="N361" s="11">
        <f>(AA361/$B361)+(AA361/('Optimal Choice'!$B$19*AV361))</f>
        <v>1412.578405</v>
      </c>
      <c r="O361" s="11">
        <f>(AB361/$B361)+(AB361/('Optimal Choice'!$B$24*AW361))</f>
        <v>1357.713269</v>
      </c>
      <c r="R361" s="12">
        <f t="shared" ref="R361:V361" si="371">if(min($K360:$O360)=K360,R360+1,R360)</f>
        <v>154</v>
      </c>
      <c r="S361" s="12">
        <f t="shared" si="371"/>
        <v>71</v>
      </c>
      <c r="T361" s="12">
        <f t="shared" si="371"/>
        <v>65</v>
      </c>
      <c r="U361" s="12">
        <f t="shared" si="371"/>
        <v>38</v>
      </c>
      <c r="V361" s="12">
        <f t="shared" si="371"/>
        <v>32</v>
      </c>
      <c r="X361" s="13">
        <f> 'Optimal Choice'!$B$5*'Optimal Choice'!$B$6^(R361+1)</f>
        <v>143398.8051</v>
      </c>
      <c r="Y361" s="13">
        <f> 'Optimal Choice'!$B$10*'Optimal Choice'!$B$11^(S361+1)</f>
        <v>1407329.385</v>
      </c>
      <c r="Z361" s="13">
        <f> 'Optimal Choice'!$B$15*'Optimal Choice'!$B$16^(T361+1)</f>
        <v>4102538.682</v>
      </c>
      <c r="AA361" s="13">
        <f> 'Optimal Choice'!$B$20*'Optimal Choice'!$B$21^(U361+1)</f>
        <v>1015250.094</v>
      </c>
      <c r="AB361" s="13">
        <f> 'Optimal Choice'!$B$25*'Optimal Choice'!$B$26^(V361+1)</f>
        <v>4364050.19</v>
      </c>
      <c r="AE361" s="12">
        <f t="shared" si="4"/>
        <v>60</v>
      </c>
      <c r="AF361" s="12">
        <f t="shared" si="5"/>
        <v>50</v>
      </c>
      <c r="AG361" s="12">
        <f t="shared" si="6"/>
        <v>32</v>
      </c>
      <c r="AH361" s="12">
        <f t="shared" si="7"/>
        <v>2</v>
      </c>
      <c r="AI361" s="12">
        <f t="shared" si="8"/>
        <v>1.5</v>
      </c>
      <c r="AL361" s="14">
        <f>R361*'Optimal Choice'!$B$4*AE361</f>
        <v>15430.8</v>
      </c>
      <c r="AM361" s="14">
        <f>S361*'Optimal Choice'!$B$9*AF361</f>
        <v>71000</v>
      </c>
      <c r="AN361" s="14">
        <f>T361*'Optimal Choice'!$B$14*AG361</f>
        <v>187200</v>
      </c>
      <c r="AO361" s="14">
        <f>U361*'Optimal Choice'!$B$19*AH361</f>
        <v>27360</v>
      </c>
      <c r="AP361" s="14">
        <f>V361*'Optimal Choice'!$B$24*AI361</f>
        <v>103680</v>
      </c>
      <c r="AS361" s="12">
        <f t="shared" si="9"/>
        <v>60</v>
      </c>
      <c r="AT361" s="12">
        <f t="shared" si="10"/>
        <v>50</v>
      </c>
      <c r="AU361" s="12">
        <f t="shared" si="11"/>
        <v>32</v>
      </c>
      <c r="AV361" s="12">
        <f t="shared" si="12"/>
        <v>2</v>
      </c>
      <c r="AW361" s="12">
        <f t="shared" si="13"/>
        <v>1.5</v>
      </c>
      <c r="AY361" s="11">
        <f t="shared" si="14"/>
        <v>0.00552098014</v>
      </c>
    </row>
    <row r="362" ht="15.75" customHeight="1">
      <c r="A362" s="15">
        <f t="shared" si="2"/>
        <v>11.93377676</v>
      </c>
      <c r="B362" s="7">
        <f>(sum(AL362:AP362))*'Optimal Choice'!$B$28</f>
        <v>407910.8</v>
      </c>
      <c r="C362" s="11"/>
      <c r="D362" s="12"/>
      <c r="E362" s="12"/>
      <c r="F362" s="11"/>
      <c r="G362" s="11"/>
      <c r="H362" s="11"/>
      <c r="I362" s="11"/>
      <c r="J362" s="11"/>
      <c r="K362" s="11">
        <f>(X362/$B362)+(X362/('Optimal Choice'!$B$4*AS362))</f>
        <v>1431.477344</v>
      </c>
      <c r="L362" s="11">
        <f>(Y362/$B362)+(Y362/('Optimal Choice'!$B$9*AT362))</f>
        <v>1410.779476</v>
      </c>
      <c r="M362" s="11">
        <f>(Z362/$B362)+(Z362/('Optimal Choice'!$B$14*AU362))</f>
        <v>1434.550039</v>
      </c>
      <c r="N362" s="11">
        <f>(AA362/$B362)+(AA362/('Optimal Choice'!$B$19*AV362))</f>
        <v>1412.558477</v>
      </c>
      <c r="O362" s="11">
        <f>(AB362/$B362)+(AB362/('Optimal Choice'!$B$24*AW362))</f>
        <v>1520.542925</v>
      </c>
      <c r="R362" s="12">
        <f t="shared" ref="R362:V362" si="372">if(min($K361:$O361)=K361,R361+1,R361)</f>
        <v>154</v>
      </c>
      <c r="S362" s="12">
        <f t="shared" si="372"/>
        <v>71</v>
      </c>
      <c r="T362" s="12">
        <f t="shared" si="372"/>
        <v>65</v>
      </c>
      <c r="U362" s="12">
        <f t="shared" si="372"/>
        <v>38</v>
      </c>
      <c r="V362" s="12">
        <f t="shared" si="372"/>
        <v>33</v>
      </c>
      <c r="X362" s="13">
        <f> 'Optimal Choice'!$B$5*'Optimal Choice'!$B$6^(R362+1)</f>
        <v>143398.8051</v>
      </c>
      <c r="Y362" s="13">
        <f> 'Optimal Choice'!$B$10*'Optimal Choice'!$B$11^(S362+1)</f>
        <v>1407329.385</v>
      </c>
      <c r="Z362" s="13">
        <f> 'Optimal Choice'!$B$15*'Optimal Choice'!$B$16^(T362+1)</f>
        <v>4102538.682</v>
      </c>
      <c r="AA362" s="13">
        <f> 'Optimal Choice'!$B$20*'Optimal Choice'!$B$21^(U362+1)</f>
        <v>1015250.094</v>
      </c>
      <c r="AB362" s="13">
        <f> 'Optimal Choice'!$B$25*'Optimal Choice'!$B$26^(V362+1)</f>
        <v>4887736.212</v>
      </c>
      <c r="AE362" s="12">
        <f t="shared" si="4"/>
        <v>60</v>
      </c>
      <c r="AF362" s="12">
        <f t="shared" si="5"/>
        <v>50</v>
      </c>
      <c r="AG362" s="12">
        <f t="shared" si="6"/>
        <v>32</v>
      </c>
      <c r="AH362" s="12">
        <f t="shared" si="7"/>
        <v>2</v>
      </c>
      <c r="AI362" s="12">
        <f t="shared" si="8"/>
        <v>1.5</v>
      </c>
      <c r="AL362" s="14">
        <f>R362*'Optimal Choice'!$B$4*AE362</f>
        <v>15430.8</v>
      </c>
      <c r="AM362" s="14">
        <f>S362*'Optimal Choice'!$B$9*AF362</f>
        <v>71000</v>
      </c>
      <c r="AN362" s="14">
        <f>T362*'Optimal Choice'!$B$14*AG362</f>
        <v>187200</v>
      </c>
      <c r="AO362" s="14">
        <f>U362*'Optimal Choice'!$B$19*AH362</f>
        <v>27360</v>
      </c>
      <c r="AP362" s="14">
        <f>V362*'Optimal Choice'!$B$24*AI362</f>
        <v>106920</v>
      </c>
      <c r="AS362" s="12">
        <f t="shared" si="9"/>
        <v>60</v>
      </c>
      <c r="AT362" s="12">
        <f t="shared" si="10"/>
        <v>50</v>
      </c>
      <c r="AU362" s="12">
        <f t="shared" si="11"/>
        <v>32</v>
      </c>
      <c r="AV362" s="12">
        <f t="shared" si="12"/>
        <v>2</v>
      </c>
      <c r="AW362" s="12">
        <f t="shared" si="13"/>
        <v>1.5</v>
      </c>
      <c r="AY362" s="11">
        <f t="shared" si="14"/>
        <v>0.1797366398</v>
      </c>
    </row>
    <row r="363" ht="15.75" customHeight="1">
      <c r="A363" s="15">
        <f t="shared" si="2"/>
        <v>11.99127828</v>
      </c>
      <c r="B363" s="7">
        <f>(sum(AL363:AP363))*'Optimal Choice'!$B$28</f>
        <v>408910.8</v>
      </c>
      <c r="C363" s="11"/>
      <c r="D363" s="12"/>
      <c r="E363" s="12"/>
      <c r="F363" s="11"/>
      <c r="G363" s="11"/>
      <c r="H363" s="11"/>
      <c r="I363" s="11"/>
      <c r="J363" s="11"/>
      <c r="K363" s="11">
        <f>(X363/$B363)+(X363/('Optimal Choice'!$B$4*AS363))</f>
        <v>1431.476484</v>
      </c>
      <c r="L363" s="11">
        <f>(Y363/$B363)+(Y363/('Optimal Choice'!$B$9*AT363))</f>
        <v>1622.386695</v>
      </c>
      <c r="M363" s="11">
        <f>(Z363/$B363)+(Z363/('Optimal Choice'!$B$14*AU363))</f>
        <v>1434.525443</v>
      </c>
      <c r="N363" s="11">
        <f>(AA363/$B363)+(AA363/('Optimal Choice'!$B$19*AV363))</f>
        <v>1412.55239</v>
      </c>
      <c r="O363" s="11">
        <f>(AB363/$B363)+(AB363/('Optimal Choice'!$B$24*AW363))</f>
        <v>1520.513622</v>
      </c>
      <c r="R363" s="12">
        <f t="shared" ref="R363:V363" si="373">if(min($K362:$O362)=K362,R362+1,R362)</f>
        <v>154</v>
      </c>
      <c r="S363" s="12">
        <f t="shared" si="373"/>
        <v>72</v>
      </c>
      <c r="T363" s="12">
        <f t="shared" si="373"/>
        <v>65</v>
      </c>
      <c r="U363" s="12">
        <f t="shared" si="373"/>
        <v>38</v>
      </c>
      <c r="V363" s="12">
        <f t="shared" si="373"/>
        <v>33</v>
      </c>
      <c r="X363" s="13">
        <f> 'Optimal Choice'!$B$5*'Optimal Choice'!$B$6^(R363+1)</f>
        <v>143398.8051</v>
      </c>
      <c r="Y363" s="13">
        <f> 'Optimal Choice'!$B$10*'Optimal Choice'!$B$11^(S363+1)</f>
        <v>1618428.793</v>
      </c>
      <c r="Z363" s="13">
        <f> 'Optimal Choice'!$B$15*'Optimal Choice'!$B$16^(T363+1)</f>
        <v>4102538.682</v>
      </c>
      <c r="AA363" s="13">
        <f> 'Optimal Choice'!$B$20*'Optimal Choice'!$B$21^(U363+1)</f>
        <v>1015250.094</v>
      </c>
      <c r="AB363" s="13">
        <f> 'Optimal Choice'!$B$25*'Optimal Choice'!$B$26^(V363+1)</f>
        <v>4887736.212</v>
      </c>
      <c r="AE363" s="12">
        <f t="shared" si="4"/>
        <v>60</v>
      </c>
      <c r="AF363" s="12">
        <f t="shared" si="5"/>
        <v>50</v>
      </c>
      <c r="AG363" s="12">
        <f t="shared" si="6"/>
        <v>32</v>
      </c>
      <c r="AH363" s="12">
        <f t="shared" si="7"/>
        <v>2</v>
      </c>
      <c r="AI363" s="12">
        <f t="shared" si="8"/>
        <v>1.5</v>
      </c>
      <c r="AL363" s="14">
        <f>R363*'Optimal Choice'!$B$4*AE363</f>
        <v>15430.8</v>
      </c>
      <c r="AM363" s="14">
        <f>S363*'Optimal Choice'!$B$9*AF363</f>
        <v>72000</v>
      </c>
      <c r="AN363" s="14">
        <f>T363*'Optimal Choice'!$B$14*AG363</f>
        <v>187200</v>
      </c>
      <c r="AO363" s="14">
        <f>U363*'Optimal Choice'!$B$19*AH363</f>
        <v>27360</v>
      </c>
      <c r="AP363" s="14">
        <f>V363*'Optimal Choice'!$B$24*AI363</f>
        <v>106920</v>
      </c>
      <c r="AS363" s="12">
        <f t="shared" si="9"/>
        <v>60</v>
      </c>
      <c r="AT363" s="12">
        <f t="shared" si="10"/>
        <v>50</v>
      </c>
      <c r="AU363" s="12">
        <f t="shared" si="11"/>
        <v>32</v>
      </c>
      <c r="AV363" s="12">
        <f t="shared" si="12"/>
        <v>2</v>
      </c>
      <c r="AW363" s="12">
        <f t="shared" si="13"/>
        <v>1.5</v>
      </c>
      <c r="AY363" s="11">
        <f t="shared" si="14"/>
        <v>0.05750151688</v>
      </c>
    </row>
    <row r="364" ht="15.75" customHeight="1">
      <c r="A364" s="15">
        <f t="shared" si="2"/>
        <v>12.03265853</v>
      </c>
      <c r="B364" s="7">
        <f>(sum(AL364:AP364))*'Optimal Choice'!$B$28</f>
        <v>409630.8</v>
      </c>
      <c r="C364" s="11"/>
      <c r="D364" s="12"/>
      <c r="E364" s="12"/>
      <c r="F364" s="11"/>
      <c r="G364" s="11"/>
      <c r="H364" s="11"/>
      <c r="I364" s="11"/>
      <c r="J364" s="11"/>
      <c r="K364" s="11">
        <f>(X364/$B364)+(X364/('Optimal Choice'!$B$4*AS364))</f>
        <v>1431.475868</v>
      </c>
      <c r="L364" s="11">
        <f>(Y364/$B364)+(Y364/('Optimal Choice'!$B$9*AT364))</f>
        <v>1622.379738</v>
      </c>
      <c r="M364" s="11">
        <f>(Z364/$B364)+(Z364/('Optimal Choice'!$B$14*AU364))</f>
        <v>1434.507808</v>
      </c>
      <c r="N364" s="11">
        <f>(AA364/$B364)+(AA364/('Optimal Choice'!$B$19*AV364))</f>
        <v>1596.17927</v>
      </c>
      <c r="O364" s="11">
        <f>(AB364/$B364)+(AB364/('Optimal Choice'!$B$24*AW364))</f>
        <v>1520.492612</v>
      </c>
      <c r="R364" s="12">
        <f t="shared" ref="R364:V364" si="374">if(min($K363:$O363)=K363,R363+1,R363)</f>
        <v>154</v>
      </c>
      <c r="S364" s="12">
        <f t="shared" si="374"/>
        <v>72</v>
      </c>
      <c r="T364" s="12">
        <f t="shared" si="374"/>
        <v>65</v>
      </c>
      <c r="U364" s="12">
        <f t="shared" si="374"/>
        <v>39</v>
      </c>
      <c r="V364" s="12">
        <f t="shared" si="374"/>
        <v>33</v>
      </c>
      <c r="X364" s="13">
        <f> 'Optimal Choice'!$B$5*'Optimal Choice'!$B$6^(R364+1)</f>
        <v>143398.8051</v>
      </c>
      <c r="Y364" s="13">
        <f> 'Optimal Choice'!$B$10*'Optimal Choice'!$B$11^(S364+1)</f>
        <v>1618428.793</v>
      </c>
      <c r="Z364" s="13">
        <f> 'Optimal Choice'!$B$15*'Optimal Choice'!$B$16^(T364+1)</f>
        <v>4102538.682</v>
      </c>
      <c r="AA364" s="13">
        <f> 'Optimal Choice'!$B$20*'Optimal Choice'!$B$21^(U364+1)</f>
        <v>1147232.606</v>
      </c>
      <c r="AB364" s="13">
        <f> 'Optimal Choice'!$B$25*'Optimal Choice'!$B$26^(V364+1)</f>
        <v>4887736.212</v>
      </c>
      <c r="AE364" s="12">
        <f t="shared" si="4"/>
        <v>60</v>
      </c>
      <c r="AF364" s="12">
        <f t="shared" si="5"/>
        <v>50</v>
      </c>
      <c r="AG364" s="12">
        <f t="shared" si="6"/>
        <v>32</v>
      </c>
      <c r="AH364" s="12">
        <f t="shared" si="7"/>
        <v>2</v>
      </c>
      <c r="AI364" s="12">
        <f t="shared" si="8"/>
        <v>1.5</v>
      </c>
      <c r="AL364" s="14">
        <f>R364*'Optimal Choice'!$B$4*AE364</f>
        <v>15430.8</v>
      </c>
      <c r="AM364" s="14">
        <f>S364*'Optimal Choice'!$B$9*AF364</f>
        <v>72000</v>
      </c>
      <c r="AN364" s="14">
        <f>T364*'Optimal Choice'!$B$14*AG364</f>
        <v>187200</v>
      </c>
      <c r="AO364" s="14">
        <f>U364*'Optimal Choice'!$B$19*AH364</f>
        <v>28080</v>
      </c>
      <c r="AP364" s="14">
        <f>V364*'Optimal Choice'!$B$24*AI364</f>
        <v>106920</v>
      </c>
      <c r="AS364" s="12">
        <f t="shared" si="9"/>
        <v>60</v>
      </c>
      <c r="AT364" s="12">
        <f t="shared" si="10"/>
        <v>50</v>
      </c>
      <c r="AU364" s="12">
        <f t="shared" si="11"/>
        <v>32</v>
      </c>
      <c r="AV364" s="12">
        <f t="shared" si="12"/>
        <v>2</v>
      </c>
      <c r="AW364" s="12">
        <f t="shared" si="13"/>
        <v>1.5</v>
      </c>
      <c r="AY364" s="11">
        <f t="shared" si="14"/>
        <v>0.04138025921</v>
      </c>
    </row>
    <row r="365" ht="15.75" customHeight="1">
      <c r="A365" s="15">
        <f t="shared" si="2"/>
        <v>12.03849301</v>
      </c>
      <c r="B365" s="7">
        <f>(sum(AL365:AP365))*'Optimal Choice'!$B$28</f>
        <v>409731</v>
      </c>
      <c r="C365" s="11"/>
      <c r="D365" s="12"/>
      <c r="E365" s="12"/>
      <c r="F365" s="11"/>
      <c r="G365" s="11"/>
      <c r="H365" s="11"/>
      <c r="I365" s="11"/>
      <c r="J365" s="11"/>
      <c r="K365" s="11">
        <f>(X365/$B365)+(X365/('Optimal Choice'!$B$4*AS365))</f>
        <v>1531.679087</v>
      </c>
      <c r="L365" s="11">
        <f>(Y365/$B365)+(Y365/('Optimal Choice'!$B$9*AT365))</f>
        <v>1622.378772</v>
      </c>
      <c r="M365" s="11">
        <f>(Z365/$B365)+(Z365/('Optimal Choice'!$B$14*AU365))</f>
        <v>1434.505359</v>
      </c>
      <c r="N365" s="11">
        <f>(AA365/$B365)+(AA365/('Optimal Choice'!$B$19*AV365))</f>
        <v>1596.178585</v>
      </c>
      <c r="O365" s="11">
        <f>(AB365/$B365)+(AB365/('Optimal Choice'!$B$24*AW365))</f>
        <v>1520.489694</v>
      </c>
      <c r="R365" s="12">
        <f t="shared" ref="R365:V365" si="375">if(min($K364:$O364)=K364,R364+1,R364)</f>
        <v>155</v>
      </c>
      <c r="S365" s="12">
        <f t="shared" si="375"/>
        <v>72</v>
      </c>
      <c r="T365" s="12">
        <f t="shared" si="375"/>
        <v>65</v>
      </c>
      <c r="U365" s="12">
        <f t="shared" si="375"/>
        <v>39</v>
      </c>
      <c r="V365" s="12">
        <f t="shared" si="375"/>
        <v>33</v>
      </c>
      <c r="X365" s="13">
        <f> 'Optimal Choice'!$B$5*'Optimal Choice'!$B$6^(R365+1)</f>
        <v>153436.7215</v>
      </c>
      <c r="Y365" s="13">
        <f> 'Optimal Choice'!$B$10*'Optimal Choice'!$B$11^(S365+1)</f>
        <v>1618428.793</v>
      </c>
      <c r="Z365" s="13">
        <f> 'Optimal Choice'!$B$15*'Optimal Choice'!$B$16^(T365+1)</f>
        <v>4102538.682</v>
      </c>
      <c r="AA365" s="13">
        <f> 'Optimal Choice'!$B$20*'Optimal Choice'!$B$21^(U365+1)</f>
        <v>1147232.606</v>
      </c>
      <c r="AB365" s="13">
        <f> 'Optimal Choice'!$B$25*'Optimal Choice'!$B$26^(V365+1)</f>
        <v>4887736.212</v>
      </c>
      <c r="AE365" s="12">
        <f t="shared" si="4"/>
        <v>60</v>
      </c>
      <c r="AF365" s="12">
        <f t="shared" si="5"/>
        <v>50</v>
      </c>
      <c r="AG365" s="12">
        <f t="shared" si="6"/>
        <v>32</v>
      </c>
      <c r="AH365" s="12">
        <f t="shared" si="7"/>
        <v>2</v>
      </c>
      <c r="AI365" s="12">
        <f t="shared" si="8"/>
        <v>1.5</v>
      </c>
      <c r="AL365" s="14">
        <f>R365*'Optimal Choice'!$B$4*AE365</f>
        <v>15531</v>
      </c>
      <c r="AM365" s="14">
        <f>S365*'Optimal Choice'!$B$9*AF365</f>
        <v>72000</v>
      </c>
      <c r="AN365" s="14">
        <f>T365*'Optimal Choice'!$B$14*AG365</f>
        <v>187200</v>
      </c>
      <c r="AO365" s="14">
        <f>U365*'Optimal Choice'!$B$19*AH365</f>
        <v>28080</v>
      </c>
      <c r="AP365" s="14">
        <f>V365*'Optimal Choice'!$B$24*AI365</f>
        <v>106920</v>
      </c>
      <c r="AS365" s="12">
        <f t="shared" si="9"/>
        <v>60</v>
      </c>
      <c r="AT365" s="12">
        <f t="shared" si="10"/>
        <v>50</v>
      </c>
      <c r="AU365" s="12">
        <f t="shared" si="11"/>
        <v>32</v>
      </c>
      <c r="AV365" s="12">
        <f t="shared" si="12"/>
        <v>2</v>
      </c>
      <c r="AW365" s="12">
        <f t="shared" si="13"/>
        <v>1.5</v>
      </c>
      <c r="AY365" s="11">
        <f t="shared" si="14"/>
        <v>0.005834473592</v>
      </c>
    </row>
    <row r="366" ht="15.75" customHeight="1">
      <c r="A366" s="15">
        <f t="shared" si="2"/>
        <v>12.20537236</v>
      </c>
      <c r="B366" s="7">
        <f>(sum(AL366:AP366))*'Optimal Choice'!$B$28</f>
        <v>412611</v>
      </c>
      <c r="C366" s="11"/>
      <c r="D366" s="12"/>
      <c r="E366" s="12"/>
      <c r="F366" s="11"/>
      <c r="G366" s="11"/>
      <c r="H366" s="11"/>
      <c r="I366" s="11"/>
      <c r="J366" s="11"/>
      <c r="K366" s="11">
        <f>(X366/$B366)+(X366/('Optimal Choice'!$B$4*AS366))</f>
        <v>1531.676473</v>
      </c>
      <c r="L366" s="11">
        <f>(Y366/$B366)+(Y366/('Optimal Choice'!$B$9*AT366))</f>
        <v>1622.351201</v>
      </c>
      <c r="M366" s="11">
        <f>(Z366/$B366)+(Z366/('Optimal Choice'!$B$14*AU366))</f>
        <v>1635.256437</v>
      </c>
      <c r="N366" s="11">
        <f>(AA366/$B366)+(AA366/('Optimal Choice'!$B$19*AV366))</f>
        <v>1596.159041</v>
      </c>
      <c r="O366" s="11">
        <f>(AB366/$B366)+(AB366/('Optimal Choice'!$B$24*AW366))</f>
        <v>1520.406429</v>
      </c>
      <c r="R366" s="12">
        <f t="shared" ref="R366:V366" si="376">if(min($K365:$O365)=K365,R365+1,R365)</f>
        <v>155</v>
      </c>
      <c r="S366" s="12">
        <f t="shared" si="376"/>
        <v>72</v>
      </c>
      <c r="T366" s="12">
        <f t="shared" si="376"/>
        <v>66</v>
      </c>
      <c r="U366" s="12">
        <f t="shared" si="376"/>
        <v>39</v>
      </c>
      <c r="V366" s="12">
        <f t="shared" si="376"/>
        <v>33</v>
      </c>
      <c r="X366" s="13">
        <f> 'Optimal Choice'!$B$5*'Optimal Choice'!$B$6^(R366+1)</f>
        <v>153436.7215</v>
      </c>
      <c r="Y366" s="13">
        <f> 'Optimal Choice'!$B$10*'Optimal Choice'!$B$11^(S366+1)</f>
        <v>1618428.793</v>
      </c>
      <c r="Z366" s="13">
        <f> 'Optimal Choice'!$B$15*'Optimal Choice'!$B$16^(T366+1)</f>
        <v>4676894.098</v>
      </c>
      <c r="AA366" s="13">
        <f> 'Optimal Choice'!$B$20*'Optimal Choice'!$B$21^(U366+1)</f>
        <v>1147232.606</v>
      </c>
      <c r="AB366" s="13">
        <f> 'Optimal Choice'!$B$25*'Optimal Choice'!$B$26^(V366+1)</f>
        <v>4887736.212</v>
      </c>
      <c r="AE366" s="12">
        <f t="shared" si="4"/>
        <v>60</v>
      </c>
      <c r="AF366" s="12">
        <f t="shared" si="5"/>
        <v>50</v>
      </c>
      <c r="AG366" s="12">
        <f t="shared" si="6"/>
        <v>32</v>
      </c>
      <c r="AH366" s="12">
        <f t="shared" si="7"/>
        <v>2</v>
      </c>
      <c r="AI366" s="12">
        <f t="shared" si="8"/>
        <v>1.5</v>
      </c>
      <c r="AL366" s="14">
        <f>R366*'Optimal Choice'!$B$4*AE366</f>
        <v>15531</v>
      </c>
      <c r="AM366" s="14">
        <f>S366*'Optimal Choice'!$B$9*AF366</f>
        <v>72000</v>
      </c>
      <c r="AN366" s="14">
        <f>T366*'Optimal Choice'!$B$14*AG366</f>
        <v>190080</v>
      </c>
      <c r="AO366" s="14">
        <f>U366*'Optimal Choice'!$B$19*AH366</f>
        <v>28080</v>
      </c>
      <c r="AP366" s="14">
        <f>V366*'Optimal Choice'!$B$24*AI366</f>
        <v>106920</v>
      </c>
      <c r="AS366" s="12">
        <f t="shared" si="9"/>
        <v>60</v>
      </c>
      <c r="AT366" s="12">
        <f t="shared" si="10"/>
        <v>50</v>
      </c>
      <c r="AU366" s="12">
        <f t="shared" si="11"/>
        <v>32</v>
      </c>
      <c r="AV366" s="12">
        <f t="shared" si="12"/>
        <v>2</v>
      </c>
      <c r="AW366" s="12">
        <f t="shared" si="13"/>
        <v>1.5</v>
      </c>
      <c r="AY366" s="11">
        <f t="shared" si="14"/>
        <v>0.1668793543</v>
      </c>
    </row>
    <row r="367" ht="15.75" customHeight="1">
      <c r="A367" s="15">
        <f t="shared" si="2"/>
        <v>12.40280353</v>
      </c>
      <c r="B367" s="7">
        <f>(sum(AL367:AP367))*'Optimal Choice'!$B$28</f>
        <v>415851</v>
      </c>
      <c r="C367" s="11"/>
      <c r="D367" s="12"/>
      <c r="E367" s="12"/>
      <c r="F367" s="11"/>
      <c r="G367" s="11"/>
      <c r="H367" s="11"/>
      <c r="I367" s="11"/>
      <c r="J367" s="11"/>
      <c r="K367" s="11">
        <f>(X367/$B367)+(X367/('Optimal Choice'!$B$4*AS367))</f>
        <v>1531.673576</v>
      </c>
      <c r="L367" s="11">
        <f>(Y367/$B367)+(Y367/('Optimal Choice'!$B$9*AT367))</f>
        <v>1622.320641</v>
      </c>
      <c r="M367" s="11">
        <f>(Z367/$B367)+(Z367/('Optimal Choice'!$B$14*AU367))</f>
        <v>1635.168124</v>
      </c>
      <c r="N367" s="11">
        <f>(AA367/$B367)+(AA367/('Optimal Choice'!$B$19*AV367))</f>
        <v>1596.137378</v>
      </c>
      <c r="O367" s="11">
        <f>(AB367/$B367)+(AB367/('Optimal Choice'!$B$24*AW367))</f>
        <v>1702.751831</v>
      </c>
      <c r="R367" s="12">
        <f t="shared" ref="R367:V367" si="377">if(min($K366:$O366)=K366,R366+1,R366)</f>
        <v>155</v>
      </c>
      <c r="S367" s="12">
        <f t="shared" si="377"/>
        <v>72</v>
      </c>
      <c r="T367" s="12">
        <f t="shared" si="377"/>
        <v>66</v>
      </c>
      <c r="U367" s="12">
        <f t="shared" si="377"/>
        <v>39</v>
      </c>
      <c r="V367" s="12">
        <f t="shared" si="377"/>
        <v>34</v>
      </c>
      <c r="X367" s="13">
        <f> 'Optimal Choice'!$B$5*'Optimal Choice'!$B$6^(R367+1)</f>
        <v>153436.7215</v>
      </c>
      <c r="Y367" s="13">
        <f> 'Optimal Choice'!$B$10*'Optimal Choice'!$B$11^(S367+1)</f>
        <v>1618428.793</v>
      </c>
      <c r="Z367" s="13">
        <f> 'Optimal Choice'!$B$15*'Optimal Choice'!$B$16^(T367+1)</f>
        <v>4676894.098</v>
      </c>
      <c r="AA367" s="13">
        <f> 'Optimal Choice'!$B$20*'Optimal Choice'!$B$21^(U367+1)</f>
        <v>1147232.606</v>
      </c>
      <c r="AB367" s="13">
        <f> 'Optimal Choice'!$B$25*'Optimal Choice'!$B$26^(V367+1)</f>
        <v>5474264.558</v>
      </c>
      <c r="AE367" s="12">
        <f t="shared" si="4"/>
        <v>60</v>
      </c>
      <c r="AF367" s="12">
        <f t="shared" si="5"/>
        <v>50</v>
      </c>
      <c r="AG367" s="12">
        <f t="shared" si="6"/>
        <v>32</v>
      </c>
      <c r="AH367" s="12">
        <f t="shared" si="7"/>
        <v>2</v>
      </c>
      <c r="AI367" s="12">
        <f t="shared" si="8"/>
        <v>1.5</v>
      </c>
      <c r="AL367" s="14">
        <f>R367*'Optimal Choice'!$B$4*AE367</f>
        <v>15531</v>
      </c>
      <c r="AM367" s="14">
        <f>S367*'Optimal Choice'!$B$9*AF367</f>
        <v>72000</v>
      </c>
      <c r="AN367" s="14">
        <f>T367*'Optimal Choice'!$B$14*AG367</f>
        <v>190080</v>
      </c>
      <c r="AO367" s="14">
        <f>U367*'Optimal Choice'!$B$19*AH367</f>
        <v>28080</v>
      </c>
      <c r="AP367" s="14">
        <f>V367*'Optimal Choice'!$B$24*AI367</f>
        <v>110160</v>
      </c>
      <c r="AS367" s="12">
        <f t="shared" si="9"/>
        <v>60</v>
      </c>
      <c r="AT367" s="12">
        <f t="shared" si="10"/>
        <v>50</v>
      </c>
      <c r="AU367" s="12">
        <f t="shared" si="11"/>
        <v>32</v>
      </c>
      <c r="AV367" s="12">
        <f t="shared" si="12"/>
        <v>2</v>
      </c>
      <c r="AW367" s="12">
        <f t="shared" si="13"/>
        <v>1.5</v>
      </c>
      <c r="AY367" s="11">
        <f t="shared" si="14"/>
        <v>0.1974311645</v>
      </c>
    </row>
    <row r="368" ht="15.75" customHeight="1">
      <c r="A368" s="15">
        <f t="shared" si="2"/>
        <v>12.40895303</v>
      </c>
      <c r="B368" s="7">
        <f>(sum(AL368:AP368))*'Optimal Choice'!$B$28</f>
        <v>415951.2</v>
      </c>
      <c r="C368" s="11"/>
      <c r="D368" s="12"/>
      <c r="E368" s="12"/>
      <c r="F368" s="11"/>
      <c r="G368" s="11"/>
      <c r="H368" s="11"/>
      <c r="I368" s="11"/>
      <c r="J368" s="11"/>
      <c r="K368" s="11">
        <f>(X368/$B368)+(X368/('Optimal Choice'!$B$4*AS368))</f>
        <v>1638.890631</v>
      </c>
      <c r="L368" s="11">
        <f>(Y368/$B368)+(Y368/('Optimal Choice'!$B$9*AT368))</f>
        <v>1622.319703</v>
      </c>
      <c r="M368" s="11">
        <f>(Z368/$B368)+(Z368/('Optimal Choice'!$B$14*AU368))</f>
        <v>1635.165415</v>
      </c>
      <c r="N368" s="11">
        <f>(AA368/$B368)+(AA368/('Optimal Choice'!$B$19*AV368))</f>
        <v>1596.136714</v>
      </c>
      <c r="O368" s="11">
        <f>(AB368/$B368)+(AB368/('Optimal Choice'!$B$24*AW368))</f>
        <v>1702.74866</v>
      </c>
      <c r="R368" s="12">
        <f t="shared" ref="R368:V368" si="378">if(min($K367:$O367)=K367,R367+1,R367)</f>
        <v>156</v>
      </c>
      <c r="S368" s="12">
        <f t="shared" si="378"/>
        <v>72</v>
      </c>
      <c r="T368" s="12">
        <f t="shared" si="378"/>
        <v>66</v>
      </c>
      <c r="U368" s="12">
        <f t="shared" si="378"/>
        <v>39</v>
      </c>
      <c r="V368" s="12">
        <f t="shared" si="378"/>
        <v>34</v>
      </c>
      <c r="X368" s="13">
        <f> 'Optimal Choice'!$B$5*'Optimal Choice'!$B$6^(R368+1)</f>
        <v>164177.292</v>
      </c>
      <c r="Y368" s="13">
        <f> 'Optimal Choice'!$B$10*'Optimal Choice'!$B$11^(S368+1)</f>
        <v>1618428.793</v>
      </c>
      <c r="Z368" s="13">
        <f> 'Optimal Choice'!$B$15*'Optimal Choice'!$B$16^(T368+1)</f>
        <v>4676894.098</v>
      </c>
      <c r="AA368" s="13">
        <f> 'Optimal Choice'!$B$20*'Optimal Choice'!$B$21^(U368+1)</f>
        <v>1147232.606</v>
      </c>
      <c r="AB368" s="13">
        <f> 'Optimal Choice'!$B$25*'Optimal Choice'!$B$26^(V368+1)</f>
        <v>5474264.558</v>
      </c>
      <c r="AE368" s="12">
        <f t="shared" si="4"/>
        <v>60</v>
      </c>
      <c r="AF368" s="12">
        <f t="shared" si="5"/>
        <v>50</v>
      </c>
      <c r="AG368" s="12">
        <f t="shared" si="6"/>
        <v>32</v>
      </c>
      <c r="AH368" s="12">
        <f t="shared" si="7"/>
        <v>2</v>
      </c>
      <c r="AI368" s="12">
        <f t="shared" si="8"/>
        <v>1.5</v>
      </c>
      <c r="AL368" s="14">
        <f>R368*'Optimal Choice'!$B$4*AE368</f>
        <v>15631.2</v>
      </c>
      <c r="AM368" s="14">
        <f>S368*'Optimal Choice'!$B$9*AF368</f>
        <v>72000</v>
      </c>
      <c r="AN368" s="14">
        <f>T368*'Optimal Choice'!$B$14*AG368</f>
        <v>190080</v>
      </c>
      <c r="AO368" s="14">
        <f>U368*'Optimal Choice'!$B$19*AH368</f>
        <v>28080</v>
      </c>
      <c r="AP368" s="14">
        <f>V368*'Optimal Choice'!$B$24*AI368</f>
        <v>110160</v>
      </c>
      <c r="AS368" s="12">
        <f t="shared" si="9"/>
        <v>60</v>
      </c>
      <c r="AT368" s="12">
        <f t="shared" si="10"/>
        <v>50</v>
      </c>
      <c r="AU368" s="12">
        <f t="shared" si="11"/>
        <v>32</v>
      </c>
      <c r="AV368" s="12">
        <f t="shared" si="12"/>
        <v>2</v>
      </c>
      <c r="AW368" s="12">
        <f t="shared" si="13"/>
        <v>1.5</v>
      </c>
      <c r="AY368" s="11">
        <f t="shared" si="14"/>
        <v>0.006149507134</v>
      </c>
    </row>
    <row r="369" ht="15.75" customHeight="1">
      <c r="A369" s="15">
        <f t="shared" si="2"/>
        <v>12.45492127</v>
      </c>
      <c r="B369" s="7">
        <f>(sum(AL369:AP369))*'Optimal Choice'!$B$28</f>
        <v>416671.2</v>
      </c>
      <c r="C369" s="11"/>
      <c r="D369" s="12"/>
      <c r="E369" s="12"/>
      <c r="F369" s="11"/>
      <c r="G369" s="11"/>
      <c r="H369" s="11"/>
      <c r="I369" s="11"/>
      <c r="J369" s="11"/>
      <c r="K369" s="11">
        <f>(X369/$B369)+(X369/('Optimal Choice'!$B$4*AS369))</f>
        <v>1638.889949</v>
      </c>
      <c r="L369" s="11">
        <f>(Y369/$B369)+(Y369/('Optimal Choice'!$B$9*AT369))</f>
        <v>1622.31298</v>
      </c>
      <c r="M369" s="11">
        <f>(Z369/$B369)+(Z369/('Optimal Choice'!$B$14*AU369))</f>
        <v>1635.145985</v>
      </c>
      <c r="N369" s="11">
        <f>(AA369/$B369)+(AA369/('Optimal Choice'!$B$19*AV369))</f>
        <v>1803.629101</v>
      </c>
      <c r="O369" s="11">
        <f>(AB369/$B369)+(AB369/('Optimal Choice'!$B$24*AW369))</f>
        <v>1702.725919</v>
      </c>
      <c r="R369" s="12">
        <f t="shared" ref="R369:V369" si="379">if(min($K368:$O368)=K368,R368+1,R368)</f>
        <v>156</v>
      </c>
      <c r="S369" s="12">
        <f t="shared" si="379"/>
        <v>72</v>
      </c>
      <c r="T369" s="12">
        <f t="shared" si="379"/>
        <v>66</v>
      </c>
      <c r="U369" s="12">
        <f t="shared" si="379"/>
        <v>40</v>
      </c>
      <c r="V369" s="12">
        <f t="shared" si="379"/>
        <v>34</v>
      </c>
      <c r="X369" s="13">
        <f> 'Optimal Choice'!$B$5*'Optimal Choice'!$B$6^(R369+1)</f>
        <v>164177.292</v>
      </c>
      <c r="Y369" s="13">
        <f> 'Optimal Choice'!$B$10*'Optimal Choice'!$B$11^(S369+1)</f>
        <v>1618428.793</v>
      </c>
      <c r="Z369" s="13">
        <f> 'Optimal Choice'!$B$15*'Optimal Choice'!$B$16^(T369+1)</f>
        <v>4676894.098</v>
      </c>
      <c r="AA369" s="13">
        <f> 'Optimal Choice'!$B$20*'Optimal Choice'!$B$21^(U369+1)</f>
        <v>1296372.845</v>
      </c>
      <c r="AB369" s="13">
        <f> 'Optimal Choice'!$B$25*'Optimal Choice'!$B$26^(V369+1)</f>
        <v>5474264.558</v>
      </c>
      <c r="AE369" s="12">
        <f t="shared" si="4"/>
        <v>60</v>
      </c>
      <c r="AF369" s="12">
        <f t="shared" si="5"/>
        <v>50</v>
      </c>
      <c r="AG369" s="12">
        <f t="shared" si="6"/>
        <v>32</v>
      </c>
      <c r="AH369" s="12">
        <f t="shared" si="7"/>
        <v>2</v>
      </c>
      <c r="AI369" s="12">
        <f t="shared" si="8"/>
        <v>1.5</v>
      </c>
      <c r="AL369" s="14">
        <f>R369*'Optimal Choice'!$B$4*AE369</f>
        <v>15631.2</v>
      </c>
      <c r="AM369" s="14">
        <f>S369*'Optimal Choice'!$B$9*AF369</f>
        <v>72000</v>
      </c>
      <c r="AN369" s="14">
        <f>T369*'Optimal Choice'!$B$14*AG369</f>
        <v>190080</v>
      </c>
      <c r="AO369" s="14">
        <f>U369*'Optimal Choice'!$B$19*AH369</f>
        <v>28800</v>
      </c>
      <c r="AP369" s="14">
        <f>V369*'Optimal Choice'!$B$24*AI369</f>
        <v>110160</v>
      </c>
      <c r="AS369" s="12">
        <f t="shared" si="9"/>
        <v>60</v>
      </c>
      <c r="AT369" s="12">
        <f t="shared" si="10"/>
        <v>50</v>
      </c>
      <c r="AU369" s="12">
        <f t="shared" si="11"/>
        <v>32</v>
      </c>
      <c r="AV369" s="12">
        <f t="shared" si="12"/>
        <v>2</v>
      </c>
      <c r="AW369" s="12">
        <f t="shared" si="13"/>
        <v>1.5</v>
      </c>
      <c r="AY369" s="11">
        <f t="shared" si="14"/>
        <v>0.04596823722</v>
      </c>
    </row>
    <row r="370" ht="15.75" customHeight="1">
      <c r="A370" s="15">
        <f t="shared" si="2"/>
        <v>12.51965772</v>
      </c>
      <c r="B370" s="7">
        <f>(sum(AL370:AP370))*'Optimal Choice'!$B$28</f>
        <v>417671.2</v>
      </c>
      <c r="C370" s="11"/>
      <c r="D370" s="12"/>
      <c r="E370" s="12"/>
      <c r="F370" s="11"/>
      <c r="G370" s="11"/>
      <c r="H370" s="11"/>
      <c r="I370" s="11"/>
      <c r="J370" s="11"/>
      <c r="K370" s="11">
        <f>(X370/$B370)+(X370/('Optimal Choice'!$B$4*AS370))</f>
        <v>1638.889006</v>
      </c>
      <c r="L370" s="11">
        <f>(Y370/$B370)+(Y370/('Optimal Choice'!$B$9*AT370))</f>
        <v>1865.649232</v>
      </c>
      <c r="M370" s="11">
        <f>(Z370/$B370)+(Z370/('Optimal Choice'!$B$14*AU370))</f>
        <v>1635.119112</v>
      </c>
      <c r="N370" s="11">
        <f>(AA370/$B370)+(AA370/('Optimal Choice'!$B$19*AV370))</f>
        <v>1803.621652</v>
      </c>
      <c r="O370" s="11">
        <f>(AB370/$B370)+(AB370/('Optimal Choice'!$B$24*AW370))</f>
        <v>1702.694463</v>
      </c>
      <c r="R370" s="12">
        <f t="shared" ref="R370:V370" si="380">if(min($K369:$O369)=K369,R369+1,R369)</f>
        <v>156</v>
      </c>
      <c r="S370" s="12">
        <f t="shared" si="380"/>
        <v>73</v>
      </c>
      <c r="T370" s="12">
        <f t="shared" si="380"/>
        <v>66</v>
      </c>
      <c r="U370" s="12">
        <f t="shared" si="380"/>
        <v>40</v>
      </c>
      <c r="V370" s="12">
        <f t="shared" si="380"/>
        <v>34</v>
      </c>
      <c r="X370" s="13">
        <f> 'Optimal Choice'!$B$5*'Optimal Choice'!$B$6^(R370+1)</f>
        <v>164177.292</v>
      </c>
      <c r="Y370" s="13">
        <f> 'Optimal Choice'!$B$10*'Optimal Choice'!$B$11^(S370+1)</f>
        <v>1861193.112</v>
      </c>
      <c r="Z370" s="13">
        <f> 'Optimal Choice'!$B$15*'Optimal Choice'!$B$16^(T370+1)</f>
        <v>4676894.098</v>
      </c>
      <c r="AA370" s="13">
        <f> 'Optimal Choice'!$B$20*'Optimal Choice'!$B$21^(U370+1)</f>
        <v>1296372.845</v>
      </c>
      <c r="AB370" s="13">
        <f> 'Optimal Choice'!$B$25*'Optimal Choice'!$B$26^(V370+1)</f>
        <v>5474264.558</v>
      </c>
      <c r="AE370" s="12">
        <f t="shared" si="4"/>
        <v>60</v>
      </c>
      <c r="AF370" s="12">
        <f t="shared" si="5"/>
        <v>50</v>
      </c>
      <c r="AG370" s="12">
        <f t="shared" si="6"/>
        <v>32</v>
      </c>
      <c r="AH370" s="12">
        <f t="shared" si="7"/>
        <v>2</v>
      </c>
      <c r="AI370" s="12">
        <f t="shared" si="8"/>
        <v>1.5</v>
      </c>
      <c r="AL370" s="14">
        <f>R370*'Optimal Choice'!$B$4*AE370</f>
        <v>15631.2</v>
      </c>
      <c r="AM370" s="14">
        <f>S370*'Optimal Choice'!$B$9*AF370</f>
        <v>73000</v>
      </c>
      <c r="AN370" s="14">
        <f>T370*'Optimal Choice'!$B$14*AG370</f>
        <v>190080</v>
      </c>
      <c r="AO370" s="14">
        <f>U370*'Optimal Choice'!$B$19*AH370</f>
        <v>28800</v>
      </c>
      <c r="AP370" s="14">
        <f>V370*'Optimal Choice'!$B$24*AI370</f>
        <v>110160</v>
      </c>
      <c r="AS370" s="12">
        <f t="shared" si="9"/>
        <v>60</v>
      </c>
      <c r="AT370" s="12">
        <f t="shared" si="10"/>
        <v>50</v>
      </c>
      <c r="AU370" s="12">
        <f t="shared" si="11"/>
        <v>32</v>
      </c>
      <c r="AV370" s="12">
        <f t="shared" si="12"/>
        <v>2</v>
      </c>
      <c r="AW370" s="12">
        <f t="shared" si="13"/>
        <v>1.5</v>
      </c>
      <c r="AY370" s="11">
        <f t="shared" si="14"/>
        <v>0.06473644738</v>
      </c>
    </row>
    <row r="371" ht="15.75" customHeight="1">
      <c r="A371" s="15">
        <f t="shared" si="2"/>
        <v>12.70628355</v>
      </c>
      <c r="B371" s="7">
        <f>(sum(AL371:AP371))*'Optimal Choice'!$B$28</f>
        <v>420551.2</v>
      </c>
      <c r="C371" s="11"/>
      <c r="D371" s="12"/>
      <c r="E371" s="12"/>
      <c r="F371" s="11"/>
      <c r="G371" s="11"/>
      <c r="H371" s="11"/>
      <c r="I371" s="11"/>
      <c r="J371" s="11"/>
      <c r="K371" s="11">
        <f>(X371/$B371)+(X371/('Optimal Choice'!$B$4*AS371))</f>
        <v>1638.886314</v>
      </c>
      <c r="L371" s="11">
        <f>(Y371/$B371)+(Y371/('Optimal Choice'!$B$9*AT371))</f>
        <v>1865.618716</v>
      </c>
      <c r="M371" s="11">
        <f>(Z371/$B371)+(Z371/('Optimal Choice'!$B$14*AU371))</f>
        <v>1863.948369</v>
      </c>
      <c r="N371" s="11">
        <f>(AA371/$B371)+(AA371/('Optimal Choice'!$B$19*AV371))</f>
        <v>1803.600397</v>
      </c>
      <c r="O371" s="11">
        <f>(AB371/$B371)+(AB371/('Optimal Choice'!$B$24*AW371))</f>
        <v>1702.604707</v>
      </c>
      <c r="R371" s="12">
        <f t="shared" ref="R371:V371" si="381">if(min($K370:$O370)=K370,R370+1,R370)</f>
        <v>156</v>
      </c>
      <c r="S371" s="12">
        <f t="shared" si="381"/>
        <v>73</v>
      </c>
      <c r="T371" s="12">
        <f t="shared" si="381"/>
        <v>67</v>
      </c>
      <c r="U371" s="12">
        <f t="shared" si="381"/>
        <v>40</v>
      </c>
      <c r="V371" s="12">
        <f t="shared" si="381"/>
        <v>34</v>
      </c>
      <c r="X371" s="13">
        <f> 'Optimal Choice'!$B$5*'Optimal Choice'!$B$6^(R371+1)</f>
        <v>164177.292</v>
      </c>
      <c r="Y371" s="13">
        <f> 'Optimal Choice'!$B$10*'Optimal Choice'!$B$11^(S371+1)</f>
        <v>1861193.112</v>
      </c>
      <c r="Z371" s="13">
        <f> 'Optimal Choice'!$B$15*'Optimal Choice'!$B$16^(T371+1)</f>
        <v>5331659.271</v>
      </c>
      <c r="AA371" s="13">
        <f> 'Optimal Choice'!$B$20*'Optimal Choice'!$B$21^(U371+1)</f>
        <v>1296372.845</v>
      </c>
      <c r="AB371" s="13">
        <f> 'Optimal Choice'!$B$25*'Optimal Choice'!$B$26^(V371+1)</f>
        <v>5474264.558</v>
      </c>
      <c r="AE371" s="12">
        <f t="shared" si="4"/>
        <v>60</v>
      </c>
      <c r="AF371" s="12">
        <f t="shared" si="5"/>
        <v>50</v>
      </c>
      <c r="AG371" s="12">
        <f t="shared" si="6"/>
        <v>32</v>
      </c>
      <c r="AH371" s="12">
        <f t="shared" si="7"/>
        <v>2</v>
      </c>
      <c r="AI371" s="12">
        <f t="shared" si="8"/>
        <v>1.5</v>
      </c>
      <c r="AL371" s="14">
        <f>R371*'Optimal Choice'!$B$4*AE371</f>
        <v>15631.2</v>
      </c>
      <c r="AM371" s="14">
        <f>S371*'Optimal Choice'!$B$9*AF371</f>
        <v>73000</v>
      </c>
      <c r="AN371" s="14">
        <f>T371*'Optimal Choice'!$B$14*AG371</f>
        <v>192960</v>
      </c>
      <c r="AO371" s="14">
        <f>U371*'Optimal Choice'!$B$19*AH371</f>
        <v>28800</v>
      </c>
      <c r="AP371" s="14">
        <f>V371*'Optimal Choice'!$B$24*AI371</f>
        <v>110160</v>
      </c>
      <c r="AS371" s="12">
        <f t="shared" si="9"/>
        <v>60</v>
      </c>
      <c r="AT371" s="12">
        <f t="shared" si="10"/>
        <v>50</v>
      </c>
      <c r="AU371" s="12">
        <f t="shared" si="11"/>
        <v>32</v>
      </c>
      <c r="AV371" s="12">
        <f t="shared" si="12"/>
        <v>2</v>
      </c>
      <c r="AW371" s="12">
        <f t="shared" si="13"/>
        <v>1.5</v>
      </c>
      <c r="AY371" s="11">
        <f t="shared" si="14"/>
        <v>0.1866258314</v>
      </c>
    </row>
    <row r="372" ht="15.75" customHeight="1">
      <c r="A372" s="15">
        <f t="shared" si="2"/>
        <v>12.71278998</v>
      </c>
      <c r="B372" s="7">
        <f>(sum(AL372:AP372))*'Optimal Choice'!$B$28</f>
        <v>420651.4</v>
      </c>
      <c r="C372" s="11"/>
      <c r="D372" s="12"/>
      <c r="E372" s="12"/>
      <c r="F372" s="11"/>
      <c r="G372" s="11"/>
      <c r="H372" s="11"/>
      <c r="I372" s="11"/>
      <c r="J372" s="11"/>
      <c r="K372" s="11">
        <f>(X372/$B372)+(X372/('Optimal Choice'!$B$4*AS372))</f>
        <v>1753.608256</v>
      </c>
      <c r="L372" s="11">
        <f>(Y372/$B372)+(Y372/('Optimal Choice'!$B$9*AT372))</f>
        <v>1865.617662</v>
      </c>
      <c r="M372" s="11">
        <f>(Z372/$B372)+(Z372/('Optimal Choice'!$B$14*AU372))</f>
        <v>1863.945349</v>
      </c>
      <c r="N372" s="11">
        <f>(AA372/$B372)+(AA372/('Optimal Choice'!$B$19*AV372))</f>
        <v>1803.599662</v>
      </c>
      <c r="O372" s="11">
        <f>(AB372/$B372)+(AB372/('Optimal Choice'!$B$24*AW372))</f>
        <v>1702.601606</v>
      </c>
      <c r="R372" s="12">
        <f t="shared" ref="R372:V372" si="382">if(min($K371:$O371)=K371,R371+1,R371)</f>
        <v>157</v>
      </c>
      <c r="S372" s="12">
        <f t="shared" si="382"/>
        <v>73</v>
      </c>
      <c r="T372" s="12">
        <f t="shared" si="382"/>
        <v>67</v>
      </c>
      <c r="U372" s="12">
        <f t="shared" si="382"/>
        <v>40</v>
      </c>
      <c r="V372" s="12">
        <f t="shared" si="382"/>
        <v>34</v>
      </c>
      <c r="X372" s="13">
        <f> 'Optimal Choice'!$B$5*'Optimal Choice'!$B$6^(R372+1)</f>
        <v>175669.7024</v>
      </c>
      <c r="Y372" s="13">
        <f> 'Optimal Choice'!$B$10*'Optimal Choice'!$B$11^(S372+1)</f>
        <v>1861193.112</v>
      </c>
      <c r="Z372" s="13">
        <f> 'Optimal Choice'!$B$15*'Optimal Choice'!$B$16^(T372+1)</f>
        <v>5331659.271</v>
      </c>
      <c r="AA372" s="13">
        <f> 'Optimal Choice'!$B$20*'Optimal Choice'!$B$21^(U372+1)</f>
        <v>1296372.845</v>
      </c>
      <c r="AB372" s="13">
        <f> 'Optimal Choice'!$B$25*'Optimal Choice'!$B$26^(V372+1)</f>
        <v>5474264.558</v>
      </c>
      <c r="AE372" s="12">
        <f t="shared" si="4"/>
        <v>60</v>
      </c>
      <c r="AF372" s="12">
        <f t="shared" si="5"/>
        <v>50</v>
      </c>
      <c r="AG372" s="12">
        <f t="shared" si="6"/>
        <v>32</v>
      </c>
      <c r="AH372" s="12">
        <f t="shared" si="7"/>
        <v>2</v>
      </c>
      <c r="AI372" s="12">
        <f t="shared" si="8"/>
        <v>1.5</v>
      </c>
      <c r="AL372" s="14">
        <f>R372*'Optimal Choice'!$B$4*AE372</f>
        <v>15731.4</v>
      </c>
      <c r="AM372" s="14">
        <f>S372*'Optimal Choice'!$B$9*AF372</f>
        <v>73000</v>
      </c>
      <c r="AN372" s="14">
        <f>T372*'Optimal Choice'!$B$14*AG372</f>
        <v>192960</v>
      </c>
      <c r="AO372" s="14">
        <f>U372*'Optimal Choice'!$B$19*AH372</f>
        <v>28800</v>
      </c>
      <c r="AP372" s="14">
        <f>V372*'Optimal Choice'!$B$24*AI372</f>
        <v>110160</v>
      </c>
      <c r="AS372" s="12">
        <f t="shared" si="9"/>
        <v>60</v>
      </c>
      <c r="AT372" s="12">
        <f t="shared" si="10"/>
        <v>50</v>
      </c>
      <c r="AU372" s="12">
        <f t="shared" si="11"/>
        <v>32</v>
      </c>
      <c r="AV372" s="12">
        <f t="shared" si="12"/>
        <v>2</v>
      </c>
      <c r="AW372" s="12">
        <f t="shared" si="13"/>
        <v>1.5</v>
      </c>
      <c r="AY372" s="11">
        <f t="shared" si="14"/>
        <v>0.006506432985</v>
      </c>
    </row>
    <row r="373" ht="15.75" customHeight="1">
      <c r="A373" s="15">
        <f t="shared" si="2"/>
        <v>12.92968631</v>
      </c>
      <c r="B373" s="7">
        <f>(sum(AL373:AP373))*'Optimal Choice'!$B$28</f>
        <v>423891.4</v>
      </c>
      <c r="C373" s="11"/>
      <c r="D373" s="12"/>
      <c r="E373" s="12"/>
      <c r="F373" s="11"/>
      <c r="G373" s="11"/>
      <c r="H373" s="11"/>
      <c r="I373" s="11"/>
      <c r="J373" s="11"/>
      <c r="K373" s="11">
        <f>(X373/$B373)+(X373/('Optimal Choice'!$B$4*AS373))</f>
        <v>1753.605064</v>
      </c>
      <c r="L373" s="11">
        <f>(Y373/$B373)+(Y373/('Optimal Choice'!$B$9*AT373))</f>
        <v>1865.583843</v>
      </c>
      <c r="M373" s="11">
        <f>(Z373/$B373)+(Z373/('Optimal Choice'!$B$14*AU373))</f>
        <v>1863.84847</v>
      </c>
      <c r="N373" s="11">
        <f>(AA373/$B373)+(AA373/('Optimal Choice'!$B$19*AV373))</f>
        <v>1803.576107</v>
      </c>
      <c r="O373" s="11">
        <f>(AB373/$B373)+(AB373/('Optimal Choice'!$B$24*AW373))</f>
        <v>1906.802392</v>
      </c>
      <c r="R373" s="12">
        <f t="shared" ref="R373:V373" si="383">if(min($K372:$O372)=K372,R372+1,R372)</f>
        <v>157</v>
      </c>
      <c r="S373" s="12">
        <f t="shared" si="383"/>
        <v>73</v>
      </c>
      <c r="T373" s="12">
        <f t="shared" si="383"/>
        <v>67</v>
      </c>
      <c r="U373" s="12">
        <f t="shared" si="383"/>
        <v>40</v>
      </c>
      <c r="V373" s="12">
        <f t="shared" si="383"/>
        <v>35</v>
      </c>
      <c r="X373" s="13">
        <f> 'Optimal Choice'!$B$5*'Optimal Choice'!$B$6^(R373+1)</f>
        <v>175669.7024</v>
      </c>
      <c r="Y373" s="13">
        <f> 'Optimal Choice'!$B$10*'Optimal Choice'!$B$11^(S373+1)</f>
        <v>1861193.112</v>
      </c>
      <c r="Z373" s="13">
        <f> 'Optimal Choice'!$B$15*'Optimal Choice'!$B$16^(T373+1)</f>
        <v>5331659.271</v>
      </c>
      <c r="AA373" s="13">
        <f> 'Optimal Choice'!$B$20*'Optimal Choice'!$B$21^(U373+1)</f>
        <v>1296372.845</v>
      </c>
      <c r="AB373" s="13">
        <f> 'Optimal Choice'!$B$25*'Optimal Choice'!$B$26^(V373+1)</f>
        <v>6131176.305</v>
      </c>
      <c r="AE373" s="12">
        <f t="shared" si="4"/>
        <v>60</v>
      </c>
      <c r="AF373" s="12">
        <f t="shared" si="5"/>
        <v>50</v>
      </c>
      <c r="AG373" s="12">
        <f t="shared" si="6"/>
        <v>32</v>
      </c>
      <c r="AH373" s="12">
        <f t="shared" si="7"/>
        <v>2</v>
      </c>
      <c r="AI373" s="12">
        <f t="shared" si="8"/>
        <v>1.5</v>
      </c>
      <c r="AL373" s="14">
        <f>R373*'Optimal Choice'!$B$4*AE373</f>
        <v>15731.4</v>
      </c>
      <c r="AM373" s="14">
        <f>S373*'Optimal Choice'!$B$9*AF373</f>
        <v>73000</v>
      </c>
      <c r="AN373" s="14">
        <f>T373*'Optimal Choice'!$B$14*AG373</f>
        <v>192960</v>
      </c>
      <c r="AO373" s="14">
        <f>U373*'Optimal Choice'!$B$19*AH373</f>
        <v>28800</v>
      </c>
      <c r="AP373" s="14">
        <f>V373*'Optimal Choice'!$B$24*AI373</f>
        <v>113400</v>
      </c>
      <c r="AS373" s="12">
        <f t="shared" si="9"/>
        <v>60</v>
      </c>
      <c r="AT373" s="12">
        <f t="shared" si="10"/>
        <v>50</v>
      </c>
      <c r="AU373" s="12">
        <f t="shared" si="11"/>
        <v>32</v>
      </c>
      <c r="AV373" s="12">
        <f t="shared" si="12"/>
        <v>2</v>
      </c>
      <c r="AW373" s="12">
        <f t="shared" si="13"/>
        <v>1.5</v>
      </c>
      <c r="AY373" s="11">
        <f t="shared" si="14"/>
        <v>0.2168963247</v>
      </c>
    </row>
    <row r="374" ht="15.75" customHeight="1">
      <c r="A374" s="15">
        <f t="shared" si="2"/>
        <v>12.93659333</v>
      </c>
      <c r="B374" s="7">
        <f>(sum(AL374:AP374))*'Optimal Choice'!$B$28</f>
        <v>423991.6</v>
      </c>
      <c r="C374" s="11"/>
      <c r="D374" s="12"/>
      <c r="E374" s="12"/>
      <c r="F374" s="11"/>
      <c r="G374" s="11"/>
      <c r="H374" s="11"/>
      <c r="I374" s="11"/>
      <c r="J374" s="11"/>
      <c r="K374" s="11">
        <f>(X374/$B374)+(X374/('Optimal Choice'!$B$4*AS374))</f>
        <v>1876.357314</v>
      </c>
      <c r="L374" s="11">
        <f>(Y374/$B374)+(Y374/('Optimal Choice'!$B$9*AT374))</f>
        <v>1865.582805</v>
      </c>
      <c r="M374" s="11">
        <f>(Z374/$B374)+(Z374/('Optimal Choice'!$B$14*AU374))</f>
        <v>1863.845498</v>
      </c>
      <c r="N374" s="11">
        <f>(AA374/$B374)+(AA374/('Optimal Choice'!$B$19*AV374))</f>
        <v>1803.575384</v>
      </c>
      <c r="O374" s="11">
        <f>(AB374/$B374)+(AB374/('Optimal Choice'!$B$24*AW374))</f>
        <v>1906.798974</v>
      </c>
      <c r="R374" s="12">
        <f t="shared" ref="R374:V374" si="384">if(min($K373:$O373)=K373,R373+1,R373)</f>
        <v>158</v>
      </c>
      <c r="S374" s="12">
        <f t="shared" si="384"/>
        <v>73</v>
      </c>
      <c r="T374" s="12">
        <f t="shared" si="384"/>
        <v>67</v>
      </c>
      <c r="U374" s="12">
        <f t="shared" si="384"/>
        <v>40</v>
      </c>
      <c r="V374" s="12">
        <f t="shared" si="384"/>
        <v>35</v>
      </c>
      <c r="X374" s="13">
        <f> 'Optimal Choice'!$B$5*'Optimal Choice'!$B$6^(R374+1)</f>
        <v>187966.5816</v>
      </c>
      <c r="Y374" s="13">
        <f> 'Optimal Choice'!$B$10*'Optimal Choice'!$B$11^(S374+1)</f>
        <v>1861193.112</v>
      </c>
      <c r="Z374" s="13">
        <f> 'Optimal Choice'!$B$15*'Optimal Choice'!$B$16^(T374+1)</f>
        <v>5331659.271</v>
      </c>
      <c r="AA374" s="13">
        <f> 'Optimal Choice'!$B$20*'Optimal Choice'!$B$21^(U374+1)</f>
        <v>1296372.845</v>
      </c>
      <c r="AB374" s="13">
        <f> 'Optimal Choice'!$B$25*'Optimal Choice'!$B$26^(V374+1)</f>
        <v>6131176.305</v>
      </c>
      <c r="AE374" s="12">
        <f t="shared" si="4"/>
        <v>60</v>
      </c>
      <c r="AF374" s="12">
        <f t="shared" si="5"/>
        <v>50</v>
      </c>
      <c r="AG374" s="12">
        <f t="shared" si="6"/>
        <v>32</v>
      </c>
      <c r="AH374" s="12">
        <f t="shared" si="7"/>
        <v>2</v>
      </c>
      <c r="AI374" s="12">
        <f t="shared" si="8"/>
        <v>1.5</v>
      </c>
      <c r="AL374" s="14">
        <f>R374*'Optimal Choice'!$B$4*AE374</f>
        <v>15831.6</v>
      </c>
      <c r="AM374" s="14">
        <f>S374*'Optimal Choice'!$B$9*AF374</f>
        <v>73000</v>
      </c>
      <c r="AN374" s="14">
        <f>T374*'Optimal Choice'!$B$14*AG374</f>
        <v>192960</v>
      </c>
      <c r="AO374" s="14">
        <f>U374*'Optimal Choice'!$B$19*AH374</f>
        <v>28800</v>
      </c>
      <c r="AP374" s="14">
        <f>V374*'Optimal Choice'!$B$24*AI374</f>
        <v>113400</v>
      </c>
      <c r="AS374" s="12">
        <f t="shared" si="9"/>
        <v>60</v>
      </c>
      <c r="AT374" s="12">
        <f t="shared" si="10"/>
        <v>50</v>
      </c>
      <c r="AU374" s="12">
        <f t="shared" si="11"/>
        <v>32</v>
      </c>
      <c r="AV374" s="12">
        <f t="shared" si="12"/>
        <v>2</v>
      </c>
      <c r="AW374" s="12">
        <f t="shared" si="13"/>
        <v>1.5</v>
      </c>
      <c r="AY374" s="11">
        <f t="shared" si="14"/>
        <v>0.006907024708</v>
      </c>
    </row>
    <row r="375" ht="15.75" customHeight="1">
      <c r="A375" s="15">
        <f t="shared" si="2"/>
        <v>12.98755239</v>
      </c>
      <c r="B375" s="7">
        <f>(sum(AL375:AP375))*'Optimal Choice'!$B$28</f>
        <v>424711.6</v>
      </c>
      <c r="C375" s="11"/>
      <c r="D375" s="12"/>
      <c r="E375" s="12"/>
      <c r="F375" s="11"/>
      <c r="G375" s="11"/>
      <c r="H375" s="11"/>
      <c r="I375" s="11"/>
      <c r="J375" s="11"/>
      <c r="K375" s="11">
        <f>(X375/$B375)+(X375/('Optimal Choice'!$B$4*AS375))</f>
        <v>1876.356562</v>
      </c>
      <c r="L375" s="11">
        <f>(Y375/$B375)+(Y375/('Optimal Choice'!$B$9*AT375))</f>
        <v>1865.575363</v>
      </c>
      <c r="M375" s="11">
        <f>(Z375/$B375)+(Z375/('Optimal Choice'!$B$14*AU375))</f>
        <v>1863.82418</v>
      </c>
      <c r="N375" s="11">
        <f>(AA375/$B375)+(AA375/('Optimal Choice'!$B$19*AV375))</f>
        <v>2038.034327</v>
      </c>
      <c r="O375" s="11">
        <f>(AB375/$B375)+(AB375/('Optimal Choice'!$B$24*AW375))</f>
        <v>1906.774459</v>
      </c>
      <c r="R375" s="12">
        <f t="shared" ref="R375:V375" si="385">if(min($K374:$O374)=K374,R374+1,R374)</f>
        <v>158</v>
      </c>
      <c r="S375" s="12">
        <f t="shared" si="385"/>
        <v>73</v>
      </c>
      <c r="T375" s="12">
        <f t="shared" si="385"/>
        <v>67</v>
      </c>
      <c r="U375" s="12">
        <f t="shared" si="385"/>
        <v>41</v>
      </c>
      <c r="V375" s="12">
        <f t="shared" si="385"/>
        <v>35</v>
      </c>
      <c r="X375" s="13">
        <f> 'Optimal Choice'!$B$5*'Optimal Choice'!$B$6^(R375+1)</f>
        <v>187966.5816</v>
      </c>
      <c r="Y375" s="13">
        <f> 'Optimal Choice'!$B$10*'Optimal Choice'!$B$11^(S375+1)</f>
        <v>1861193.112</v>
      </c>
      <c r="Z375" s="13">
        <f> 'Optimal Choice'!$B$15*'Optimal Choice'!$B$16^(T375+1)</f>
        <v>5331659.271</v>
      </c>
      <c r="AA375" s="13">
        <f> 'Optimal Choice'!$B$20*'Optimal Choice'!$B$21^(U375+1)</f>
        <v>1464901.315</v>
      </c>
      <c r="AB375" s="13">
        <f> 'Optimal Choice'!$B$25*'Optimal Choice'!$B$26^(V375+1)</f>
        <v>6131176.305</v>
      </c>
      <c r="AE375" s="12">
        <f t="shared" si="4"/>
        <v>60</v>
      </c>
      <c r="AF375" s="12">
        <f t="shared" si="5"/>
        <v>50</v>
      </c>
      <c r="AG375" s="12">
        <f t="shared" si="6"/>
        <v>32</v>
      </c>
      <c r="AH375" s="12">
        <f t="shared" si="7"/>
        <v>2</v>
      </c>
      <c r="AI375" s="12">
        <f t="shared" si="8"/>
        <v>1.5</v>
      </c>
      <c r="AL375" s="14">
        <f>R375*'Optimal Choice'!$B$4*AE375</f>
        <v>15831.6</v>
      </c>
      <c r="AM375" s="14">
        <f>S375*'Optimal Choice'!$B$9*AF375</f>
        <v>73000</v>
      </c>
      <c r="AN375" s="14">
        <f>T375*'Optimal Choice'!$B$14*AG375</f>
        <v>192960</v>
      </c>
      <c r="AO375" s="14">
        <f>U375*'Optimal Choice'!$B$19*AH375</f>
        <v>29520</v>
      </c>
      <c r="AP375" s="14">
        <f>V375*'Optimal Choice'!$B$24*AI375</f>
        <v>113400</v>
      </c>
      <c r="AS375" s="12">
        <f t="shared" si="9"/>
        <v>60</v>
      </c>
      <c r="AT375" s="12">
        <f t="shared" si="10"/>
        <v>50</v>
      </c>
      <c r="AU375" s="12">
        <f t="shared" si="11"/>
        <v>32</v>
      </c>
      <c r="AV375" s="12">
        <f t="shared" si="12"/>
        <v>2</v>
      </c>
      <c r="AW375" s="12">
        <f t="shared" si="13"/>
        <v>1.5</v>
      </c>
      <c r="AY375" s="11">
        <f t="shared" si="14"/>
        <v>0.05095906165</v>
      </c>
    </row>
    <row r="376" ht="15.75" customHeight="1">
      <c r="A376" s="15">
        <f t="shared" si="2"/>
        <v>13.19677905</v>
      </c>
      <c r="B376" s="7">
        <f>(sum(AL376:AP376))*'Optimal Choice'!$B$28</f>
        <v>427591.6</v>
      </c>
      <c r="C376" s="11"/>
      <c r="D376" s="12"/>
      <c r="E376" s="12"/>
      <c r="F376" s="11"/>
      <c r="G376" s="11"/>
      <c r="H376" s="11"/>
      <c r="I376" s="11"/>
      <c r="J376" s="11"/>
      <c r="K376" s="11">
        <f>(X376/$B376)+(X376/('Optimal Choice'!$B$4*AS376))</f>
        <v>1876.353582</v>
      </c>
      <c r="L376" s="11">
        <f>(Y376/$B376)+(Y376/('Optimal Choice'!$B$9*AT376))</f>
        <v>1865.545847</v>
      </c>
      <c r="M376" s="11">
        <f>(Z376/$B376)+(Z376/('Optimal Choice'!$B$14*AU376))</f>
        <v>2124.663174</v>
      </c>
      <c r="N376" s="11">
        <f>(AA376/$B376)+(AA376/('Optimal Choice'!$B$19*AV376))</f>
        <v>2038.011095</v>
      </c>
      <c r="O376" s="11">
        <f>(AB376/$B376)+(AB376/('Optimal Choice'!$B$24*AW376))</f>
        <v>1906.677226</v>
      </c>
      <c r="R376" s="12">
        <f t="shared" ref="R376:V376" si="386">if(min($K375:$O375)=K375,R375+1,R375)</f>
        <v>158</v>
      </c>
      <c r="S376" s="12">
        <f t="shared" si="386"/>
        <v>73</v>
      </c>
      <c r="T376" s="12">
        <f t="shared" si="386"/>
        <v>68</v>
      </c>
      <c r="U376" s="12">
        <f t="shared" si="386"/>
        <v>41</v>
      </c>
      <c r="V376" s="12">
        <f t="shared" si="386"/>
        <v>35</v>
      </c>
      <c r="X376" s="13">
        <f> 'Optimal Choice'!$B$5*'Optimal Choice'!$B$6^(R376+1)</f>
        <v>187966.5816</v>
      </c>
      <c r="Y376" s="13">
        <f> 'Optimal Choice'!$B$10*'Optimal Choice'!$B$11^(S376+1)</f>
        <v>1861193.112</v>
      </c>
      <c r="Z376" s="13">
        <f> 'Optimal Choice'!$B$15*'Optimal Choice'!$B$16^(T376+1)</f>
        <v>6078091.569</v>
      </c>
      <c r="AA376" s="13">
        <f> 'Optimal Choice'!$B$20*'Optimal Choice'!$B$21^(U376+1)</f>
        <v>1464901.315</v>
      </c>
      <c r="AB376" s="13">
        <f> 'Optimal Choice'!$B$25*'Optimal Choice'!$B$26^(V376+1)</f>
        <v>6131176.305</v>
      </c>
      <c r="AE376" s="12">
        <f t="shared" si="4"/>
        <v>60</v>
      </c>
      <c r="AF376" s="12">
        <f t="shared" si="5"/>
        <v>50</v>
      </c>
      <c r="AG376" s="12">
        <f t="shared" si="6"/>
        <v>32</v>
      </c>
      <c r="AH376" s="12">
        <f t="shared" si="7"/>
        <v>2</v>
      </c>
      <c r="AI376" s="12">
        <f t="shared" si="8"/>
        <v>1.5</v>
      </c>
      <c r="AL376" s="14">
        <f>R376*'Optimal Choice'!$B$4*AE376</f>
        <v>15831.6</v>
      </c>
      <c r="AM376" s="14">
        <f>S376*'Optimal Choice'!$B$9*AF376</f>
        <v>73000</v>
      </c>
      <c r="AN376" s="14">
        <f>T376*'Optimal Choice'!$B$14*AG376</f>
        <v>195840</v>
      </c>
      <c r="AO376" s="14">
        <f>U376*'Optimal Choice'!$B$19*AH376</f>
        <v>29520</v>
      </c>
      <c r="AP376" s="14">
        <f>V376*'Optimal Choice'!$B$24*AI376</f>
        <v>113400</v>
      </c>
      <c r="AS376" s="12">
        <f t="shared" si="9"/>
        <v>60</v>
      </c>
      <c r="AT376" s="12">
        <f t="shared" si="10"/>
        <v>50</v>
      </c>
      <c r="AU376" s="12">
        <f t="shared" si="11"/>
        <v>32</v>
      </c>
      <c r="AV376" s="12">
        <f t="shared" si="12"/>
        <v>2</v>
      </c>
      <c r="AW376" s="12">
        <f t="shared" si="13"/>
        <v>1.5</v>
      </c>
      <c r="AY376" s="11">
        <f t="shared" si="14"/>
        <v>0.2092266561</v>
      </c>
    </row>
    <row r="377" ht="15.75" customHeight="1">
      <c r="A377" s="15">
        <f t="shared" si="2"/>
        <v>13.26932464</v>
      </c>
      <c r="B377" s="7">
        <f>(sum(AL377:AP377))*'Optimal Choice'!$B$28</f>
        <v>428591.6</v>
      </c>
      <c r="C377" s="11"/>
      <c r="D377" s="12"/>
      <c r="E377" s="12"/>
      <c r="F377" s="11"/>
      <c r="G377" s="11"/>
      <c r="H377" s="11"/>
      <c r="I377" s="11"/>
      <c r="J377" s="11"/>
      <c r="K377" s="11">
        <f>(X377/$B377)+(X377/('Optimal Choice'!$B$4*AS377))</f>
        <v>1876.352556</v>
      </c>
      <c r="L377" s="11">
        <f>(Y377/$B377)+(Y377/('Optimal Choice'!$B$9*AT377))</f>
        <v>2145.366045</v>
      </c>
      <c r="M377" s="11">
        <f>(Z377/$B377)+(Z377/('Optimal Choice'!$B$14*AU377))</f>
        <v>2124.630008</v>
      </c>
      <c r="N377" s="11">
        <f>(AA377/$B377)+(AA377/('Optimal Choice'!$B$19*AV377))</f>
        <v>2038.003102</v>
      </c>
      <c r="O377" s="11">
        <f>(AB377/$B377)+(AB377/('Optimal Choice'!$B$24*AW377))</f>
        <v>1906.64377</v>
      </c>
      <c r="R377" s="12">
        <f t="shared" ref="R377:V377" si="387">if(min($K376:$O376)=K376,R376+1,R376)</f>
        <v>158</v>
      </c>
      <c r="S377" s="12">
        <f t="shared" si="387"/>
        <v>74</v>
      </c>
      <c r="T377" s="12">
        <f t="shared" si="387"/>
        <v>68</v>
      </c>
      <c r="U377" s="12">
        <f t="shared" si="387"/>
        <v>41</v>
      </c>
      <c r="V377" s="12">
        <f t="shared" si="387"/>
        <v>35</v>
      </c>
      <c r="X377" s="13">
        <f> 'Optimal Choice'!$B$5*'Optimal Choice'!$B$6^(R377+1)</f>
        <v>187966.5816</v>
      </c>
      <c r="Y377" s="13">
        <f> 'Optimal Choice'!$B$10*'Optimal Choice'!$B$11^(S377+1)</f>
        <v>2140372.079</v>
      </c>
      <c r="Z377" s="13">
        <f> 'Optimal Choice'!$B$15*'Optimal Choice'!$B$16^(T377+1)</f>
        <v>6078091.569</v>
      </c>
      <c r="AA377" s="13">
        <f> 'Optimal Choice'!$B$20*'Optimal Choice'!$B$21^(U377+1)</f>
        <v>1464901.315</v>
      </c>
      <c r="AB377" s="13">
        <f> 'Optimal Choice'!$B$25*'Optimal Choice'!$B$26^(V377+1)</f>
        <v>6131176.305</v>
      </c>
      <c r="AE377" s="12">
        <f t="shared" si="4"/>
        <v>60</v>
      </c>
      <c r="AF377" s="12">
        <f t="shared" si="5"/>
        <v>50</v>
      </c>
      <c r="AG377" s="12">
        <f t="shared" si="6"/>
        <v>32</v>
      </c>
      <c r="AH377" s="12">
        <f t="shared" si="7"/>
        <v>2</v>
      </c>
      <c r="AI377" s="12">
        <f t="shared" si="8"/>
        <v>1.5</v>
      </c>
      <c r="AL377" s="14">
        <f>R377*'Optimal Choice'!$B$4*AE377</f>
        <v>15831.6</v>
      </c>
      <c r="AM377" s="14">
        <f>S377*'Optimal Choice'!$B$9*AF377</f>
        <v>74000</v>
      </c>
      <c r="AN377" s="14">
        <f>T377*'Optimal Choice'!$B$14*AG377</f>
        <v>195840</v>
      </c>
      <c r="AO377" s="14">
        <f>U377*'Optimal Choice'!$B$19*AH377</f>
        <v>29520</v>
      </c>
      <c r="AP377" s="14">
        <f>V377*'Optimal Choice'!$B$24*AI377</f>
        <v>113400</v>
      </c>
      <c r="AS377" s="12">
        <f t="shared" si="9"/>
        <v>60</v>
      </c>
      <c r="AT377" s="12">
        <f t="shared" si="10"/>
        <v>50</v>
      </c>
      <c r="AU377" s="12">
        <f t="shared" si="11"/>
        <v>32</v>
      </c>
      <c r="AV377" s="12">
        <f t="shared" si="12"/>
        <v>2</v>
      </c>
      <c r="AW377" s="12">
        <f t="shared" si="13"/>
        <v>1.5</v>
      </c>
      <c r="AY377" s="11">
        <f t="shared" si="14"/>
        <v>0.07254559069</v>
      </c>
    </row>
    <row r="378" ht="15.75" customHeight="1">
      <c r="A378" s="15">
        <f t="shared" si="2"/>
        <v>13.27663411</v>
      </c>
      <c r="B378" s="7">
        <f>(sum(AL378:AP378))*'Optimal Choice'!$B$28</f>
        <v>428691.8</v>
      </c>
      <c r="C378" s="11"/>
      <c r="D378" s="12"/>
      <c r="E378" s="12"/>
      <c r="F378" s="11"/>
      <c r="G378" s="11"/>
      <c r="H378" s="11"/>
      <c r="I378" s="11"/>
      <c r="J378" s="11"/>
      <c r="K378" s="11">
        <f>(X378/$B378)+(X378/('Optimal Choice'!$B$4*AS378))</f>
        <v>2007.697125</v>
      </c>
      <c r="L378" s="11">
        <f>(Y378/$B378)+(Y378/('Optimal Choice'!$B$9*AT378))</f>
        <v>2145.364878</v>
      </c>
      <c r="M378" s="11">
        <f>(Z378/$B378)+(Z378/('Optimal Choice'!$B$14*AU378))</f>
        <v>2124.626693</v>
      </c>
      <c r="N378" s="11">
        <f>(AA378/$B378)+(AA378/('Optimal Choice'!$B$19*AV378))</f>
        <v>2038.002303</v>
      </c>
      <c r="O378" s="11">
        <f>(AB378/$B378)+(AB378/('Optimal Choice'!$B$24*AW378))</f>
        <v>1906.640427</v>
      </c>
      <c r="R378" s="12">
        <f t="shared" ref="R378:V378" si="388">if(min($K377:$O377)=K377,R377+1,R377)</f>
        <v>159</v>
      </c>
      <c r="S378" s="12">
        <f t="shared" si="388"/>
        <v>74</v>
      </c>
      <c r="T378" s="12">
        <f t="shared" si="388"/>
        <v>68</v>
      </c>
      <c r="U378" s="12">
        <f t="shared" si="388"/>
        <v>41</v>
      </c>
      <c r="V378" s="12">
        <f t="shared" si="388"/>
        <v>35</v>
      </c>
      <c r="X378" s="13">
        <f> 'Optimal Choice'!$B$5*'Optimal Choice'!$B$6^(R378+1)</f>
        <v>201124.2423</v>
      </c>
      <c r="Y378" s="13">
        <f> 'Optimal Choice'!$B$10*'Optimal Choice'!$B$11^(S378+1)</f>
        <v>2140372.079</v>
      </c>
      <c r="Z378" s="13">
        <f> 'Optimal Choice'!$B$15*'Optimal Choice'!$B$16^(T378+1)</f>
        <v>6078091.569</v>
      </c>
      <c r="AA378" s="13">
        <f> 'Optimal Choice'!$B$20*'Optimal Choice'!$B$21^(U378+1)</f>
        <v>1464901.315</v>
      </c>
      <c r="AB378" s="13">
        <f> 'Optimal Choice'!$B$25*'Optimal Choice'!$B$26^(V378+1)</f>
        <v>6131176.305</v>
      </c>
      <c r="AE378" s="12">
        <f t="shared" si="4"/>
        <v>60</v>
      </c>
      <c r="AF378" s="12">
        <f t="shared" si="5"/>
        <v>50</v>
      </c>
      <c r="AG378" s="12">
        <f t="shared" si="6"/>
        <v>32</v>
      </c>
      <c r="AH378" s="12">
        <f t="shared" si="7"/>
        <v>2</v>
      </c>
      <c r="AI378" s="12">
        <f t="shared" si="8"/>
        <v>1.5</v>
      </c>
      <c r="AL378" s="14">
        <f>R378*'Optimal Choice'!$B$4*AE378</f>
        <v>15931.8</v>
      </c>
      <c r="AM378" s="14">
        <f>S378*'Optimal Choice'!$B$9*AF378</f>
        <v>74000</v>
      </c>
      <c r="AN378" s="14">
        <f>T378*'Optimal Choice'!$B$14*AG378</f>
        <v>195840</v>
      </c>
      <c r="AO378" s="14">
        <f>U378*'Optimal Choice'!$B$19*AH378</f>
        <v>29520</v>
      </c>
      <c r="AP378" s="14">
        <f>V378*'Optimal Choice'!$B$24*AI378</f>
        <v>113400</v>
      </c>
      <c r="AS378" s="12">
        <f t="shared" si="9"/>
        <v>60</v>
      </c>
      <c r="AT378" s="12">
        <f t="shared" si="10"/>
        <v>50</v>
      </c>
      <c r="AU378" s="12">
        <f t="shared" si="11"/>
        <v>32</v>
      </c>
      <c r="AV378" s="12">
        <f t="shared" si="12"/>
        <v>2</v>
      </c>
      <c r="AW378" s="12">
        <f t="shared" si="13"/>
        <v>1.5</v>
      </c>
      <c r="AY378" s="11">
        <f t="shared" si="14"/>
        <v>0.007309467474</v>
      </c>
    </row>
    <row r="379" ht="15.75" customHeight="1">
      <c r="A379" s="15">
        <f t="shared" si="2"/>
        <v>13.51500179</v>
      </c>
      <c r="B379" s="7">
        <f>(sum(AL379:AP379))*'Optimal Choice'!$B$28</f>
        <v>431931.8</v>
      </c>
      <c r="C379" s="11"/>
      <c r="D379" s="12"/>
      <c r="E379" s="12"/>
      <c r="F379" s="11"/>
      <c r="G379" s="11"/>
      <c r="H379" s="11"/>
      <c r="I379" s="11"/>
      <c r="J379" s="11"/>
      <c r="K379" s="11">
        <f>(X379/$B379)+(X379/('Optimal Choice'!$B$4*AS379))</f>
        <v>2007.693606</v>
      </c>
      <c r="L379" s="11">
        <f>(Y379/$B379)+(Y379/('Optimal Choice'!$B$9*AT379))</f>
        <v>2145.327426</v>
      </c>
      <c r="M379" s="11">
        <f>(Z379/$B379)+(Z379/('Optimal Choice'!$B$14*AU379))</f>
        <v>2124.52034</v>
      </c>
      <c r="N379" s="11">
        <f>(AA379/$B379)+(AA379/('Optimal Choice'!$B$19*AV379))</f>
        <v>2037.97667</v>
      </c>
      <c r="O379" s="11">
        <f>(AB379/$B379)+(AB379/('Optimal Choice'!$B$24*AW379))</f>
        <v>2135.317122</v>
      </c>
      <c r="R379" s="12">
        <f t="shared" ref="R379:V379" si="389">if(min($K378:$O378)=K378,R378+1,R378)</f>
        <v>159</v>
      </c>
      <c r="S379" s="12">
        <f t="shared" si="389"/>
        <v>74</v>
      </c>
      <c r="T379" s="12">
        <f t="shared" si="389"/>
        <v>68</v>
      </c>
      <c r="U379" s="12">
        <f t="shared" si="389"/>
        <v>41</v>
      </c>
      <c r="V379" s="12">
        <f t="shared" si="389"/>
        <v>36</v>
      </c>
      <c r="X379" s="13">
        <f> 'Optimal Choice'!$B$5*'Optimal Choice'!$B$6^(R379+1)</f>
        <v>201124.2423</v>
      </c>
      <c r="Y379" s="13">
        <f> 'Optimal Choice'!$B$10*'Optimal Choice'!$B$11^(S379+1)</f>
        <v>2140372.079</v>
      </c>
      <c r="Z379" s="13">
        <f> 'Optimal Choice'!$B$15*'Optimal Choice'!$B$16^(T379+1)</f>
        <v>6078091.569</v>
      </c>
      <c r="AA379" s="13">
        <f> 'Optimal Choice'!$B$20*'Optimal Choice'!$B$21^(U379+1)</f>
        <v>1464901.315</v>
      </c>
      <c r="AB379" s="13">
        <f> 'Optimal Choice'!$B$25*'Optimal Choice'!$B$26^(V379+1)</f>
        <v>6866917.462</v>
      </c>
      <c r="AE379" s="12">
        <f t="shared" si="4"/>
        <v>60</v>
      </c>
      <c r="AF379" s="12">
        <f t="shared" si="5"/>
        <v>50</v>
      </c>
      <c r="AG379" s="12">
        <f t="shared" si="6"/>
        <v>32</v>
      </c>
      <c r="AH379" s="12">
        <f t="shared" si="7"/>
        <v>2</v>
      </c>
      <c r="AI379" s="12">
        <f t="shared" si="8"/>
        <v>1.5</v>
      </c>
      <c r="AL379" s="14">
        <f>R379*'Optimal Choice'!$B$4*AE379</f>
        <v>15931.8</v>
      </c>
      <c r="AM379" s="14">
        <f>S379*'Optimal Choice'!$B$9*AF379</f>
        <v>74000</v>
      </c>
      <c r="AN379" s="14">
        <f>T379*'Optimal Choice'!$B$14*AG379</f>
        <v>195840</v>
      </c>
      <c r="AO379" s="14">
        <f>U379*'Optimal Choice'!$B$19*AH379</f>
        <v>29520</v>
      </c>
      <c r="AP379" s="14">
        <f>V379*'Optimal Choice'!$B$24*AI379</f>
        <v>116640</v>
      </c>
      <c r="AS379" s="12">
        <f t="shared" si="9"/>
        <v>60</v>
      </c>
      <c r="AT379" s="12">
        <f t="shared" si="10"/>
        <v>50</v>
      </c>
      <c r="AU379" s="12">
        <f t="shared" si="11"/>
        <v>32</v>
      </c>
      <c r="AV379" s="12">
        <f t="shared" si="12"/>
        <v>2</v>
      </c>
      <c r="AW379" s="12">
        <f t="shared" si="13"/>
        <v>1.5</v>
      </c>
      <c r="AY379" s="11">
        <f t="shared" si="14"/>
        <v>0.2383676845</v>
      </c>
    </row>
    <row r="380" ht="15.75" customHeight="1">
      <c r="A380" s="15">
        <f t="shared" si="2"/>
        <v>13.52276244</v>
      </c>
      <c r="B380" s="7">
        <f>(sum(AL380:AP380))*'Optimal Choice'!$B$28</f>
        <v>432032</v>
      </c>
      <c r="C380" s="11"/>
      <c r="D380" s="12"/>
      <c r="E380" s="12"/>
      <c r="F380" s="11"/>
      <c r="G380" s="11"/>
      <c r="H380" s="11"/>
      <c r="I380" s="11"/>
      <c r="J380" s="11"/>
      <c r="K380" s="11">
        <f>(X380/$B380)+(X380/('Optimal Choice'!$B$4*AS380))</f>
        <v>2148.232043</v>
      </c>
      <c r="L380" s="11">
        <f>(Y380/$B380)+(Y380/('Optimal Choice'!$B$9*AT380))</f>
        <v>2145.326277</v>
      </c>
      <c r="M380" s="11">
        <f>(Z380/$B380)+(Z380/('Optimal Choice'!$B$14*AU380))</f>
        <v>2124.517076</v>
      </c>
      <c r="N380" s="11">
        <f>(AA380/$B380)+(AA380/('Optimal Choice'!$B$19*AV380))</f>
        <v>2037.975883</v>
      </c>
      <c r="O380" s="11">
        <f>(AB380/$B380)+(AB380/('Optimal Choice'!$B$24*AW380))</f>
        <v>2135.313435</v>
      </c>
      <c r="R380" s="12">
        <f t="shared" ref="R380:V380" si="390">if(min($K379:$O379)=K379,R379+1,R379)</f>
        <v>160</v>
      </c>
      <c r="S380" s="12">
        <f t="shared" si="390"/>
        <v>74</v>
      </c>
      <c r="T380" s="12">
        <f t="shared" si="390"/>
        <v>68</v>
      </c>
      <c r="U380" s="12">
        <f t="shared" si="390"/>
        <v>41</v>
      </c>
      <c r="V380" s="12">
        <f t="shared" si="390"/>
        <v>36</v>
      </c>
      <c r="X380" s="13">
        <f> 'Optimal Choice'!$B$5*'Optimal Choice'!$B$6^(R380+1)</f>
        <v>215202.9393</v>
      </c>
      <c r="Y380" s="13">
        <f> 'Optimal Choice'!$B$10*'Optimal Choice'!$B$11^(S380+1)</f>
        <v>2140372.079</v>
      </c>
      <c r="Z380" s="13">
        <f> 'Optimal Choice'!$B$15*'Optimal Choice'!$B$16^(T380+1)</f>
        <v>6078091.569</v>
      </c>
      <c r="AA380" s="13">
        <f> 'Optimal Choice'!$B$20*'Optimal Choice'!$B$21^(U380+1)</f>
        <v>1464901.315</v>
      </c>
      <c r="AB380" s="13">
        <f> 'Optimal Choice'!$B$25*'Optimal Choice'!$B$26^(V380+1)</f>
        <v>6866917.462</v>
      </c>
      <c r="AE380" s="12">
        <f t="shared" si="4"/>
        <v>60</v>
      </c>
      <c r="AF380" s="12">
        <f t="shared" si="5"/>
        <v>50</v>
      </c>
      <c r="AG380" s="12">
        <f t="shared" si="6"/>
        <v>32</v>
      </c>
      <c r="AH380" s="12">
        <f t="shared" si="7"/>
        <v>2</v>
      </c>
      <c r="AI380" s="12">
        <f t="shared" si="8"/>
        <v>1.5</v>
      </c>
      <c r="AL380" s="14">
        <f>R380*'Optimal Choice'!$B$4*AE380</f>
        <v>16032</v>
      </c>
      <c r="AM380" s="14">
        <f>S380*'Optimal Choice'!$B$9*AF380</f>
        <v>74000</v>
      </c>
      <c r="AN380" s="14">
        <f>T380*'Optimal Choice'!$B$14*AG380</f>
        <v>195840</v>
      </c>
      <c r="AO380" s="14">
        <f>U380*'Optimal Choice'!$B$19*AH380</f>
        <v>29520</v>
      </c>
      <c r="AP380" s="14">
        <f>V380*'Optimal Choice'!$B$24*AI380</f>
        <v>116640</v>
      </c>
      <c r="AS380" s="12">
        <f t="shared" si="9"/>
        <v>60</v>
      </c>
      <c r="AT380" s="12">
        <f t="shared" si="10"/>
        <v>50</v>
      </c>
      <c r="AU380" s="12">
        <f t="shared" si="11"/>
        <v>32</v>
      </c>
      <c r="AV380" s="12">
        <f t="shared" si="12"/>
        <v>2</v>
      </c>
      <c r="AW380" s="12">
        <f t="shared" si="13"/>
        <v>1.5</v>
      </c>
      <c r="AY380" s="11">
        <f t="shared" si="14"/>
        <v>0.007760648104</v>
      </c>
    </row>
    <row r="381" ht="15.75" customHeight="1">
      <c r="A381" s="15">
        <f t="shared" si="2"/>
        <v>13.57927451</v>
      </c>
      <c r="B381" s="7">
        <f>(sum(AL381:AP381))*'Optimal Choice'!$B$28</f>
        <v>432752</v>
      </c>
      <c r="C381" s="11"/>
      <c r="D381" s="12"/>
      <c r="E381" s="12"/>
      <c r="F381" s="11"/>
      <c r="G381" s="11"/>
      <c r="H381" s="11"/>
      <c r="I381" s="11"/>
      <c r="J381" s="11"/>
      <c r="K381" s="11">
        <f>(X381/$B381)+(X381/('Optimal Choice'!$B$4*AS381))</f>
        <v>2148.231214</v>
      </c>
      <c r="L381" s="11">
        <f>(Y381/$B381)+(Y381/('Optimal Choice'!$B$9*AT381))</f>
        <v>2145.318034</v>
      </c>
      <c r="M381" s="11">
        <f>(Z381/$B381)+(Z381/('Optimal Choice'!$B$14*AU381))</f>
        <v>2124.493669</v>
      </c>
      <c r="N381" s="11">
        <f>(AA381/$B381)+(AA381/('Optimal Choice'!$B$19*AV381))</f>
        <v>2302.906374</v>
      </c>
      <c r="O381" s="11">
        <f>(AB381/$B381)+(AB381/('Optimal Choice'!$B$24*AW381))</f>
        <v>2135.28699</v>
      </c>
      <c r="R381" s="12">
        <f t="shared" ref="R381:V381" si="391">if(min($K380:$O380)=K380,R380+1,R380)</f>
        <v>160</v>
      </c>
      <c r="S381" s="12">
        <f t="shared" si="391"/>
        <v>74</v>
      </c>
      <c r="T381" s="12">
        <f t="shared" si="391"/>
        <v>68</v>
      </c>
      <c r="U381" s="12">
        <f t="shared" si="391"/>
        <v>42</v>
      </c>
      <c r="V381" s="12">
        <f t="shared" si="391"/>
        <v>36</v>
      </c>
      <c r="X381" s="13">
        <f> 'Optimal Choice'!$B$5*'Optimal Choice'!$B$6^(R381+1)</f>
        <v>215202.9393</v>
      </c>
      <c r="Y381" s="13">
        <f> 'Optimal Choice'!$B$10*'Optimal Choice'!$B$11^(S381+1)</f>
        <v>2140372.079</v>
      </c>
      <c r="Z381" s="13">
        <f> 'Optimal Choice'!$B$15*'Optimal Choice'!$B$16^(T381+1)</f>
        <v>6078091.569</v>
      </c>
      <c r="AA381" s="13">
        <f> 'Optimal Choice'!$B$20*'Optimal Choice'!$B$21^(U381+1)</f>
        <v>1655338.486</v>
      </c>
      <c r="AB381" s="13">
        <f> 'Optimal Choice'!$B$25*'Optimal Choice'!$B$26^(V381+1)</f>
        <v>6866917.462</v>
      </c>
      <c r="AE381" s="12">
        <f t="shared" si="4"/>
        <v>60</v>
      </c>
      <c r="AF381" s="12">
        <f t="shared" si="5"/>
        <v>50</v>
      </c>
      <c r="AG381" s="12">
        <f t="shared" si="6"/>
        <v>32</v>
      </c>
      <c r="AH381" s="12">
        <f t="shared" si="7"/>
        <v>2</v>
      </c>
      <c r="AI381" s="12">
        <f t="shared" si="8"/>
        <v>1.5</v>
      </c>
      <c r="AL381" s="14">
        <f>R381*'Optimal Choice'!$B$4*AE381</f>
        <v>16032</v>
      </c>
      <c r="AM381" s="14">
        <f>S381*'Optimal Choice'!$B$9*AF381</f>
        <v>74000</v>
      </c>
      <c r="AN381" s="14">
        <f>T381*'Optimal Choice'!$B$14*AG381</f>
        <v>195840</v>
      </c>
      <c r="AO381" s="14">
        <f>U381*'Optimal Choice'!$B$19*AH381</f>
        <v>30240</v>
      </c>
      <c r="AP381" s="14">
        <f>V381*'Optimal Choice'!$B$24*AI381</f>
        <v>116640</v>
      </c>
      <c r="AS381" s="12">
        <f t="shared" si="9"/>
        <v>60</v>
      </c>
      <c r="AT381" s="12">
        <f t="shared" si="10"/>
        <v>50</v>
      </c>
      <c r="AU381" s="12">
        <f t="shared" si="11"/>
        <v>32</v>
      </c>
      <c r="AV381" s="12">
        <f t="shared" si="12"/>
        <v>2</v>
      </c>
      <c r="AW381" s="12">
        <f t="shared" si="13"/>
        <v>1.5</v>
      </c>
      <c r="AY381" s="11">
        <f t="shared" si="14"/>
        <v>0.05651206835</v>
      </c>
    </row>
    <row r="382" ht="15.75" customHeight="1">
      <c r="A382" s="15">
        <f t="shared" si="2"/>
        <v>13.8133613</v>
      </c>
      <c r="B382" s="7">
        <f>(sum(AL382:AP382))*'Optimal Choice'!$B$28</f>
        <v>435632</v>
      </c>
      <c r="C382" s="11"/>
      <c r="D382" s="12"/>
      <c r="E382" s="12"/>
      <c r="F382" s="11"/>
      <c r="G382" s="11"/>
      <c r="H382" s="11"/>
      <c r="I382" s="11"/>
      <c r="J382" s="11"/>
      <c r="K382" s="11">
        <f>(X382/$B382)+(X382/('Optimal Choice'!$B$4*AS382))</f>
        <v>2148.227926</v>
      </c>
      <c r="L382" s="11">
        <f>(Y382/$B382)+(Y382/('Optimal Choice'!$B$9*AT382))</f>
        <v>2145.285336</v>
      </c>
      <c r="M382" s="11">
        <f>(Z382/$B382)+(Z382/('Optimal Choice'!$B$14*AU382))</f>
        <v>2421.816929</v>
      </c>
      <c r="N382" s="11">
        <f>(AA382/$B382)+(AA382/('Optimal Choice'!$B$19*AV382))</f>
        <v>2302.881085</v>
      </c>
      <c r="O382" s="11">
        <f>(AB382/$B382)+(AB382/('Optimal Choice'!$B$24*AW382))</f>
        <v>2135.182085</v>
      </c>
      <c r="R382" s="12">
        <f t="shared" ref="R382:V382" si="392">if(min($K381:$O381)=K381,R381+1,R381)</f>
        <v>160</v>
      </c>
      <c r="S382" s="12">
        <f t="shared" si="392"/>
        <v>74</v>
      </c>
      <c r="T382" s="12">
        <f t="shared" si="392"/>
        <v>69</v>
      </c>
      <c r="U382" s="12">
        <f t="shared" si="392"/>
        <v>42</v>
      </c>
      <c r="V382" s="12">
        <f t="shared" si="392"/>
        <v>36</v>
      </c>
      <c r="X382" s="13">
        <f> 'Optimal Choice'!$B$5*'Optimal Choice'!$B$6^(R382+1)</f>
        <v>215202.9393</v>
      </c>
      <c r="Y382" s="13">
        <f> 'Optimal Choice'!$B$10*'Optimal Choice'!$B$11^(S382+1)</f>
        <v>2140372.079</v>
      </c>
      <c r="Z382" s="13">
        <f> 'Optimal Choice'!$B$15*'Optimal Choice'!$B$16^(T382+1)</f>
        <v>6929024.389</v>
      </c>
      <c r="AA382" s="13">
        <f> 'Optimal Choice'!$B$20*'Optimal Choice'!$B$21^(U382+1)</f>
        <v>1655338.486</v>
      </c>
      <c r="AB382" s="13">
        <f> 'Optimal Choice'!$B$25*'Optimal Choice'!$B$26^(V382+1)</f>
        <v>6866917.462</v>
      </c>
      <c r="AE382" s="12">
        <f t="shared" si="4"/>
        <v>60</v>
      </c>
      <c r="AF382" s="12">
        <f t="shared" si="5"/>
        <v>50</v>
      </c>
      <c r="AG382" s="12">
        <f t="shared" si="6"/>
        <v>32</v>
      </c>
      <c r="AH382" s="12">
        <f t="shared" si="7"/>
        <v>2</v>
      </c>
      <c r="AI382" s="12">
        <f t="shared" si="8"/>
        <v>1.5</v>
      </c>
      <c r="AL382" s="14">
        <f>R382*'Optimal Choice'!$B$4*AE382</f>
        <v>16032</v>
      </c>
      <c r="AM382" s="14">
        <f>S382*'Optimal Choice'!$B$9*AF382</f>
        <v>74000</v>
      </c>
      <c r="AN382" s="14">
        <f>T382*'Optimal Choice'!$B$14*AG382</f>
        <v>198720</v>
      </c>
      <c r="AO382" s="14">
        <f>U382*'Optimal Choice'!$B$19*AH382</f>
        <v>30240</v>
      </c>
      <c r="AP382" s="14">
        <f>V382*'Optimal Choice'!$B$24*AI382</f>
        <v>116640</v>
      </c>
      <c r="AS382" s="12">
        <f t="shared" si="9"/>
        <v>60</v>
      </c>
      <c r="AT382" s="12">
        <f t="shared" si="10"/>
        <v>50</v>
      </c>
      <c r="AU382" s="12">
        <f t="shared" si="11"/>
        <v>32</v>
      </c>
      <c r="AV382" s="12">
        <f t="shared" si="12"/>
        <v>2</v>
      </c>
      <c r="AW382" s="12">
        <f t="shared" si="13"/>
        <v>1.5</v>
      </c>
      <c r="AY382" s="11">
        <f t="shared" si="14"/>
        <v>0.2340867891</v>
      </c>
    </row>
    <row r="383" ht="15.75" customHeight="1">
      <c r="A383" s="15">
        <f t="shared" si="2"/>
        <v>14.07607989</v>
      </c>
      <c r="B383" s="7">
        <f>(sum(AL383:AP383))*'Optimal Choice'!$B$28</f>
        <v>438872</v>
      </c>
      <c r="C383" s="11"/>
      <c r="D383" s="12"/>
      <c r="E383" s="12"/>
      <c r="F383" s="11"/>
      <c r="G383" s="11"/>
      <c r="H383" s="11"/>
      <c r="I383" s="11"/>
      <c r="J383" s="11"/>
      <c r="K383" s="11">
        <f>(X383/$B383)+(X383/('Optimal Choice'!$B$4*AS383))</f>
        <v>2148.224279</v>
      </c>
      <c r="L383" s="11">
        <f>(Y383/$B383)+(Y383/('Optimal Choice'!$B$9*AT383))</f>
        <v>2145.249063</v>
      </c>
      <c r="M383" s="11">
        <f>(Z383/$B383)+(Z383/('Optimal Choice'!$B$14*AU383))</f>
        <v>2421.699504</v>
      </c>
      <c r="N383" s="11">
        <f>(AA383/$B383)+(AA383/('Optimal Choice'!$B$19*AV383))</f>
        <v>2302.853033</v>
      </c>
      <c r="O383" s="11">
        <f>(AB383/$B383)+(AB383/('Optimal Choice'!$B$24*AW383))</f>
        <v>2391.273598</v>
      </c>
      <c r="R383" s="12">
        <f t="shared" ref="R383:V383" si="393">if(min($K382:$O382)=K382,R382+1,R382)</f>
        <v>160</v>
      </c>
      <c r="S383" s="12">
        <f t="shared" si="393"/>
        <v>74</v>
      </c>
      <c r="T383" s="12">
        <f t="shared" si="393"/>
        <v>69</v>
      </c>
      <c r="U383" s="12">
        <f t="shared" si="393"/>
        <v>42</v>
      </c>
      <c r="V383" s="12">
        <f t="shared" si="393"/>
        <v>37</v>
      </c>
      <c r="X383" s="13">
        <f> 'Optimal Choice'!$B$5*'Optimal Choice'!$B$6^(R383+1)</f>
        <v>215202.9393</v>
      </c>
      <c r="Y383" s="13">
        <f> 'Optimal Choice'!$B$10*'Optimal Choice'!$B$11^(S383+1)</f>
        <v>2140372.079</v>
      </c>
      <c r="Z383" s="13">
        <f> 'Optimal Choice'!$B$15*'Optimal Choice'!$B$16^(T383+1)</f>
        <v>6929024.389</v>
      </c>
      <c r="AA383" s="13">
        <f> 'Optimal Choice'!$B$20*'Optimal Choice'!$B$21^(U383+1)</f>
        <v>1655338.486</v>
      </c>
      <c r="AB383" s="13">
        <f> 'Optimal Choice'!$B$25*'Optimal Choice'!$B$26^(V383+1)</f>
        <v>7690947.557</v>
      </c>
      <c r="AE383" s="12">
        <f t="shared" si="4"/>
        <v>60</v>
      </c>
      <c r="AF383" s="12">
        <f t="shared" si="5"/>
        <v>50</v>
      </c>
      <c r="AG383" s="12">
        <f t="shared" si="6"/>
        <v>32</v>
      </c>
      <c r="AH383" s="12">
        <f t="shared" si="7"/>
        <v>2</v>
      </c>
      <c r="AI383" s="12">
        <f t="shared" si="8"/>
        <v>1.5</v>
      </c>
      <c r="AL383" s="14">
        <f>R383*'Optimal Choice'!$B$4*AE383</f>
        <v>16032</v>
      </c>
      <c r="AM383" s="14">
        <f>S383*'Optimal Choice'!$B$9*AF383</f>
        <v>74000</v>
      </c>
      <c r="AN383" s="14">
        <f>T383*'Optimal Choice'!$B$14*AG383</f>
        <v>198720</v>
      </c>
      <c r="AO383" s="14">
        <f>U383*'Optimal Choice'!$B$19*AH383</f>
        <v>30240</v>
      </c>
      <c r="AP383" s="14">
        <f>V383*'Optimal Choice'!$B$24*AI383</f>
        <v>119880</v>
      </c>
      <c r="AS383" s="12">
        <f t="shared" si="9"/>
        <v>60</v>
      </c>
      <c r="AT383" s="12">
        <f t="shared" si="10"/>
        <v>50</v>
      </c>
      <c r="AU383" s="12">
        <f t="shared" si="11"/>
        <v>32</v>
      </c>
      <c r="AV383" s="12">
        <f t="shared" si="12"/>
        <v>2</v>
      </c>
      <c r="AW383" s="12">
        <f t="shared" si="13"/>
        <v>1.5</v>
      </c>
      <c r="AY383" s="11">
        <f t="shared" si="14"/>
        <v>0.262718589</v>
      </c>
    </row>
    <row r="384" ht="15.75" customHeight="1">
      <c r="A384" s="15">
        <f t="shared" si="2"/>
        <v>14.15736297</v>
      </c>
      <c r="B384" s="7">
        <f>(sum(AL384:AP384))*'Optimal Choice'!$B$28</f>
        <v>439872</v>
      </c>
      <c r="C384" s="11"/>
      <c r="D384" s="12"/>
      <c r="E384" s="12"/>
      <c r="F384" s="11"/>
      <c r="G384" s="11"/>
      <c r="H384" s="11"/>
      <c r="I384" s="11"/>
      <c r="J384" s="11"/>
      <c r="K384" s="11">
        <f>(X384/$B384)+(X384/('Optimal Choice'!$B$4*AS384))</f>
        <v>2148.223165</v>
      </c>
      <c r="L384" s="11">
        <f>(Y384/$B384)+(Y384/('Optimal Choice'!$B$9*AT384))</f>
        <v>2467.023672</v>
      </c>
      <c r="M384" s="11">
        <f>(Z384/$B384)+(Z384/('Optimal Choice'!$B$14*AU384))</f>
        <v>2421.663611</v>
      </c>
      <c r="N384" s="11">
        <f>(AA384/$B384)+(AA384/('Optimal Choice'!$B$19*AV384))</f>
        <v>2302.844458</v>
      </c>
      <c r="O384" s="11">
        <f>(AB384/$B384)+(AB384/('Optimal Choice'!$B$24*AW384))</f>
        <v>2391.233759</v>
      </c>
      <c r="R384" s="12">
        <f t="shared" ref="R384:V384" si="394">if(min($K383:$O383)=K383,R383+1,R383)</f>
        <v>160</v>
      </c>
      <c r="S384" s="12">
        <f t="shared" si="394"/>
        <v>75</v>
      </c>
      <c r="T384" s="12">
        <f t="shared" si="394"/>
        <v>69</v>
      </c>
      <c r="U384" s="12">
        <f t="shared" si="394"/>
        <v>42</v>
      </c>
      <c r="V384" s="12">
        <f t="shared" si="394"/>
        <v>37</v>
      </c>
      <c r="X384" s="13">
        <f> 'Optimal Choice'!$B$5*'Optimal Choice'!$B$6^(R384+1)</f>
        <v>215202.9393</v>
      </c>
      <c r="Y384" s="13">
        <f> 'Optimal Choice'!$B$10*'Optimal Choice'!$B$11^(S384+1)</f>
        <v>2461427.89</v>
      </c>
      <c r="Z384" s="13">
        <f> 'Optimal Choice'!$B$15*'Optimal Choice'!$B$16^(T384+1)</f>
        <v>6929024.389</v>
      </c>
      <c r="AA384" s="13">
        <f> 'Optimal Choice'!$B$20*'Optimal Choice'!$B$21^(U384+1)</f>
        <v>1655338.486</v>
      </c>
      <c r="AB384" s="13">
        <f> 'Optimal Choice'!$B$25*'Optimal Choice'!$B$26^(V384+1)</f>
        <v>7690947.557</v>
      </c>
      <c r="AE384" s="12">
        <f t="shared" si="4"/>
        <v>60</v>
      </c>
      <c r="AF384" s="12">
        <f t="shared" si="5"/>
        <v>50</v>
      </c>
      <c r="AG384" s="12">
        <f t="shared" si="6"/>
        <v>32</v>
      </c>
      <c r="AH384" s="12">
        <f t="shared" si="7"/>
        <v>2</v>
      </c>
      <c r="AI384" s="12">
        <f t="shared" si="8"/>
        <v>1.5</v>
      </c>
      <c r="AL384" s="14">
        <f>R384*'Optimal Choice'!$B$4*AE384</f>
        <v>16032</v>
      </c>
      <c r="AM384" s="14">
        <f>S384*'Optimal Choice'!$B$9*AF384</f>
        <v>75000</v>
      </c>
      <c r="AN384" s="14">
        <f>T384*'Optimal Choice'!$B$14*AG384</f>
        <v>198720</v>
      </c>
      <c r="AO384" s="14">
        <f>U384*'Optimal Choice'!$B$19*AH384</f>
        <v>30240</v>
      </c>
      <c r="AP384" s="14">
        <f>V384*'Optimal Choice'!$B$24*AI384</f>
        <v>119880</v>
      </c>
      <c r="AS384" s="12">
        <f t="shared" si="9"/>
        <v>60</v>
      </c>
      <c r="AT384" s="12">
        <f t="shared" si="10"/>
        <v>50</v>
      </c>
      <c r="AU384" s="12">
        <f t="shared" si="11"/>
        <v>32</v>
      </c>
      <c r="AV384" s="12">
        <f t="shared" si="12"/>
        <v>2</v>
      </c>
      <c r="AW384" s="12">
        <f t="shared" si="13"/>
        <v>1.5</v>
      </c>
      <c r="AY384" s="11">
        <f t="shared" si="14"/>
        <v>0.0812830802</v>
      </c>
    </row>
    <row r="385" ht="15.75" customHeight="1">
      <c r="A385" s="15">
        <f t="shared" si="2"/>
        <v>14.16551697</v>
      </c>
      <c r="B385" s="7">
        <f>(sum(AL385:AP385))*'Optimal Choice'!$B$28</f>
        <v>439972.2</v>
      </c>
      <c r="C385" s="11"/>
      <c r="D385" s="12"/>
      <c r="E385" s="12"/>
      <c r="F385" s="11"/>
      <c r="G385" s="11"/>
      <c r="H385" s="11"/>
      <c r="I385" s="11"/>
      <c r="J385" s="11"/>
      <c r="K385" s="11">
        <f>(X385/$B385)+(X385/('Optimal Choice'!$B$4*AS385))</f>
        <v>2298.598667</v>
      </c>
      <c r="L385" s="11">
        <f>(Y385/$B385)+(Y385/('Optimal Choice'!$B$9*AT385))</f>
        <v>2467.022398</v>
      </c>
      <c r="M385" s="11">
        <f>(Z385/$B385)+(Z385/('Optimal Choice'!$B$14*AU385))</f>
        <v>2421.660024</v>
      </c>
      <c r="N385" s="11">
        <f>(AA385/$B385)+(AA385/('Optimal Choice'!$B$19*AV385))</f>
        <v>2302.843601</v>
      </c>
      <c r="O385" s="11">
        <f>(AB385/$B385)+(AB385/('Optimal Choice'!$B$24*AW385))</f>
        <v>2391.229777</v>
      </c>
      <c r="R385" s="12">
        <f t="shared" ref="R385:V385" si="395">if(min($K384:$O384)=K384,R384+1,R384)</f>
        <v>161</v>
      </c>
      <c r="S385" s="12">
        <f t="shared" si="395"/>
        <v>75</v>
      </c>
      <c r="T385" s="12">
        <f t="shared" si="395"/>
        <v>69</v>
      </c>
      <c r="U385" s="12">
        <f t="shared" si="395"/>
        <v>42</v>
      </c>
      <c r="V385" s="12">
        <f t="shared" si="395"/>
        <v>37</v>
      </c>
      <c r="X385" s="13">
        <f> 'Optimal Choice'!$B$5*'Optimal Choice'!$B$6^(R385+1)</f>
        <v>230267.145</v>
      </c>
      <c r="Y385" s="13">
        <f> 'Optimal Choice'!$B$10*'Optimal Choice'!$B$11^(S385+1)</f>
        <v>2461427.89</v>
      </c>
      <c r="Z385" s="13">
        <f> 'Optimal Choice'!$B$15*'Optimal Choice'!$B$16^(T385+1)</f>
        <v>6929024.389</v>
      </c>
      <c r="AA385" s="13">
        <f> 'Optimal Choice'!$B$20*'Optimal Choice'!$B$21^(U385+1)</f>
        <v>1655338.486</v>
      </c>
      <c r="AB385" s="13">
        <f> 'Optimal Choice'!$B$25*'Optimal Choice'!$B$26^(V385+1)</f>
        <v>7690947.557</v>
      </c>
      <c r="AE385" s="12">
        <f t="shared" si="4"/>
        <v>60</v>
      </c>
      <c r="AF385" s="12">
        <f t="shared" si="5"/>
        <v>50</v>
      </c>
      <c r="AG385" s="12">
        <f t="shared" si="6"/>
        <v>32</v>
      </c>
      <c r="AH385" s="12">
        <f t="shared" si="7"/>
        <v>2</v>
      </c>
      <c r="AI385" s="12">
        <f t="shared" si="8"/>
        <v>1.5</v>
      </c>
      <c r="AL385" s="14">
        <f>R385*'Optimal Choice'!$B$4*AE385</f>
        <v>16132.2</v>
      </c>
      <c r="AM385" s="14">
        <f>S385*'Optimal Choice'!$B$9*AF385</f>
        <v>75000</v>
      </c>
      <c r="AN385" s="14">
        <f>T385*'Optimal Choice'!$B$14*AG385</f>
        <v>198720</v>
      </c>
      <c r="AO385" s="14">
        <f>U385*'Optimal Choice'!$B$19*AH385</f>
        <v>30240</v>
      </c>
      <c r="AP385" s="14">
        <f>V385*'Optimal Choice'!$B$24*AI385</f>
        <v>119880</v>
      </c>
      <c r="AS385" s="12">
        <f t="shared" si="9"/>
        <v>60</v>
      </c>
      <c r="AT385" s="12">
        <f t="shared" si="10"/>
        <v>50</v>
      </c>
      <c r="AU385" s="12">
        <f t="shared" si="11"/>
        <v>32</v>
      </c>
      <c r="AV385" s="12">
        <f t="shared" si="12"/>
        <v>2</v>
      </c>
      <c r="AW385" s="12">
        <f t="shared" si="13"/>
        <v>1.5</v>
      </c>
      <c r="AY385" s="11">
        <f t="shared" si="14"/>
        <v>0.008153998559</v>
      </c>
    </row>
    <row r="386" ht="15.75" customHeight="1">
      <c r="A386" s="15">
        <f t="shared" si="2"/>
        <v>14.17423976</v>
      </c>
      <c r="B386" s="7">
        <f>(sum(AL386:AP386))*'Optimal Choice'!$B$28</f>
        <v>440072.4</v>
      </c>
      <c r="C386" s="11"/>
      <c r="D386" s="12"/>
      <c r="E386" s="12"/>
      <c r="F386" s="11"/>
      <c r="G386" s="11"/>
      <c r="H386" s="11"/>
      <c r="I386" s="11"/>
      <c r="J386" s="11"/>
      <c r="K386" s="11">
        <f>(X386/$B386)+(X386/('Optimal Choice'!$B$4*AS386))</f>
        <v>2459.500446</v>
      </c>
      <c r="L386" s="11">
        <f>(Y386/$B386)+(Y386/('Optimal Choice'!$B$9*AT386))</f>
        <v>2467.021124</v>
      </c>
      <c r="M386" s="11">
        <f>(Z386/$B386)+(Z386/('Optimal Choice'!$B$14*AU386))</f>
        <v>2421.656438</v>
      </c>
      <c r="N386" s="11">
        <f>(AA386/$B386)+(AA386/('Optimal Choice'!$B$19*AV386))</f>
        <v>2302.842744</v>
      </c>
      <c r="O386" s="11">
        <f>(AB386/$B386)+(AB386/('Optimal Choice'!$B$24*AW386))</f>
        <v>2391.225797</v>
      </c>
      <c r="R386" s="12">
        <f t="shared" ref="R386:V386" si="396">if(min($K385:$O385)=K385,R385+1,R385)</f>
        <v>162</v>
      </c>
      <c r="S386" s="12">
        <f t="shared" si="396"/>
        <v>75</v>
      </c>
      <c r="T386" s="12">
        <f t="shared" si="396"/>
        <v>69</v>
      </c>
      <c r="U386" s="12">
        <f t="shared" si="396"/>
        <v>42</v>
      </c>
      <c r="V386" s="12">
        <f t="shared" si="396"/>
        <v>37</v>
      </c>
      <c r="X386" s="13">
        <f> 'Optimal Choice'!$B$5*'Optimal Choice'!$B$6^(R386+1)</f>
        <v>246385.8451</v>
      </c>
      <c r="Y386" s="13">
        <f> 'Optimal Choice'!$B$10*'Optimal Choice'!$B$11^(S386+1)</f>
        <v>2461427.89</v>
      </c>
      <c r="Z386" s="13">
        <f> 'Optimal Choice'!$B$15*'Optimal Choice'!$B$16^(T386+1)</f>
        <v>6929024.389</v>
      </c>
      <c r="AA386" s="13">
        <f> 'Optimal Choice'!$B$20*'Optimal Choice'!$B$21^(U386+1)</f>
        <v>1655338.486</v>
      </c>
      <c r="AB386" s="13">
        <f> 'Optimal Choice'!$B$25*'Optimal Choice'!$B$26^(V386+1)</f>
        <v>7690947.557</v>
      </c>
      <c r="AE386" s="12">
        <f t="shared" si="4"/>
        <v>60</v>
      </c>
      <c r="AF386" s="12">
        <f t="shared" si="5"/>
        <v>50</v>
      </c>
      <c r="AG386" s="12">
        <f t="shared" si="6"/>
        <v>32</v>
      </c>
      <c r="AH386" s="12">
        <f t="shared" si="7"/>
        <v>2</v>
      </c>
      <c r="AI386" s="12">
        <f t="shared" si="8"/>
        <v>1.5</v>
      </c>
      <c r="AL386" s="14">
        <f>R386*'Optimal Choice'!$B$4*AE386</f>
        <v>16232.4</v>
      </c>
      <c r="AM386" s="14">
        <f>S386*'Optimal Choice'!$B$9*AF386</f>
        <v>75000</v>
      </c>
      <c r="AN386" s="14">
        <f>T386*'Optimal Choice'!$B$14*AG386</f>
        <v>198720</v>
      </c>
      <c r="AO386" s="14">
        <f>U386*'Optimal Choice'!$B$19*AH386</f>
        <v>30240</v>
      </c>
      <c r="AP386" s="14">
        <f>V386*'Optimal Choice'!$B$24*AI386</f>
        <v>119880</v>
      </c>
      <c r="AS386" s="12">
        <f t="shared" si="9"/>
        <v>60</v>
      </c>
      <c r="AT386" s="12">
        <f t="shared" si="10"/>
        <v>50</v>
      </c>
      <c r="AU386" s="12">
        <f t="shared" si="11"/>
        <v>32</v>
      </c>
      <c r="AV386" s="12">
        <f t="shared" si="12"/>
        <v>2</v>
      </c>
      <c r="AW386" s="12">
        <f t="shared" si="13"/>
        <v>1.5</v>
      </c>
      <c r="AY386" s="11">
        <f t="shared" si="14"/>
        <v>0.008722791463</v>
      </c>
    </row>
    <row r="387" ht="15.75" customHeight="1">
      <c r="A387" s="15">
        <f t="shared" si="2"/>
        <v>14.23693166</v>
      </c>
      <c r="B387" s="7">
        <f>(sum(AL387:AP387))*'Optimal Choice'!$B$28</f>
        <v>440792.4</v>
      </c>
      <c r="C387" s="11"/>
      <c r="D387" s="12"/>
      <c r="E387" s="12"/>
      <c r="F387" s="11"/>
      <c r="G387" s="11"/>
      <c r="H387" s="11"/>
      <c r="I387" s="11"/>
      <c r="J387" s="11"/>
      <c r="K387" s="11">
        <f>(X387/$B387)+(X387/('Optimal Choice'!$B$4*AS387))</f>
        <v>2459.499532</v>
      </c>
      <c r="L387" s="11">
        <f>(Y387/$B387)+(Y387/('Optimal Choice'!$B$9*AT387))</f>
        <v>2467.011988</v>
      </c>
      <c r="M387" s="11">
        <f>(Z387/$B387)+(Z387/('Optimal Choice'!$B$14*AU387))</f>
        <v>2421.63072</v>
      </c>
      <c r="N387" s="11">
        <f>(AA387/$B387)+(AA387/('Optimal Choice'!$B$19*AV387))</f>
        <v>2602.205358</v>
      </c>
      <c r="O387" s="11">
        <f>(AB387/$B387)+(AB387/('Optimal Choice'!$B$24*AW387))</f>
        <v>2391.19725</v>
      </c>
      <c r="R387" s="12">
        <f t="shared" ref="R387:V387" si="397">if(min($K386:$O386)=K386,R386+1,R386)</f>
        <v>162</v>
      </c>
      <c r="S387" s="12">
        <f t="shared" si="397"/>
        <v>75</v>
      </c>
      <c r="T387" s="12">
        <f t="shared" si="397"/>
        <v>69</v>
      </c>
      <c r="U387" s="12">
        <f t="shared" si="397"/>
        <v>43</v>
      </c>
      <c r="V387" s="12">
        <f t="shared" si="397"/>
        <v>37</v>
      </c>
      <c r="X387" s="13">
        <f> 'Optimal Choice'!$B$5*'Optimal Choice'!$B$6^(R387+1)</f>
        <v>246385.8451</v>
      </c>
      <c r="Y387" s="13">
        <f> 'Optimal Choice'!$B$10*'Optimal Choice'!$B$11^(S387+1)</f>
        <v>2461427.89</v>
      </c>
      <c r="Z387" s="13">
        <f> 'Optimal Choice'!$B$15*'Optimal Choice'!$B$16^(T387+1)</f>
        <v>6929024.389</v>
      </c>
      <c r="AA387" s="13">
        <f> 'Optimal Choice'!$B$20*'Optimal Choice'!$B$21^(U387+1)</f>
        <v>1870532.489</v>
      </c>
      <c r="AB387" s="13">
        <f> 'Optimal Choice'!$B$25*'Optimal Choice'!$B$26^(V387+1)</f>
        <v>7690947.557</v>
      </c>
      <c r="AE387" s="12">
        <f t="shared" si="4"/>
        <v>60</v>
      </c>
      <c r="AF387" s="12">
        <f t="shared" si="5"/>
        <v>50</v>
      </c>
      <c r="AG387" s="12">
        <f t="shared" si="6"/>
        <v>32</v>
      </c>
      <c r="AH387" s="12">
        <f t="shared" si="7"/>
        <v>2</v>
      </c>
      <c r="AI387" s="12">
        <f t="shared" si="8"/>
        <v>1.5</v>
      </c>
      <c r="AL387" s="14">
        <f>R387*'Optimal Choice'!$B$4*AE387</f>
        <v>16232.4</v>
      </c>
      <c r="AM387" s="14">
        <f>S387*'Optimal Choice'!$B$9*AF387</f>
        <v>75000</v>
      </c>
      <c r="AN387" s="14">
        <f>T387*'Optimal Choice'!$B$14*AG387</f>
        <v>198720</v>
      </c>
      <c r="AO387" s="14">
        <f>U387*'Optimal Choice'!$B$19*AH387</f>
        <v>30960</v>
      </c>
      <c r="AP387" s="14">
        <f>V387*'Optimal Choice'!$B$24*AI387</f>
        <v>119880</v>
      </c>
      <c r="AS387" s="12">
        <f t="shared" si="9"/>
        <v>60</v>
      </c>
      <c r="AT387" s="12">
        <f t="shared" si="10"/>
        <v>50</v>
      </c>
      <c r="AU387" s="12">
        <f t="shared" si="11"/>
        <v>32</v>
      </c>
      <c r="AV387" s="12">
        <f t="shared" si="12"/>
        <v>2</v>
      </c>
      <c r="AW387" s="12">
        <f t="shared" si="13"/>
        <v>1.5</v>
      </c>
      <c r="AY387" s="11">
        <f t="shared" si="14"/>
        <v>0.0626918997</v>
      </c>
    </row>
    <row r="388" ht="15.75" customHeight="1">
      <c r="A388" s="15">
        <f t="shared" si="2"/>
        <v>14.52773172</v>
      </c>
      <c r="B388" s="7">
        <f>(sum(AL388:AP388))*'Optimal Choice'!$B$28</f>
        <v>444032.4</v>
      </c>
      <c r="C388" s="11"/>
      <c r="D388" s="12"/>
      <c r="E388" s="12"/>
      <c r="F388" s="11"/>
      <c r="G388" s="11"/>
      <c r="H388" s="11"/>
      <c r="I388" s="11"/>
      <c r="J388" s="11"/>
      <c r="K388" s="11">
        <f>(X388/$B388)+(X388/('Optimal Choice'!$B$4*AS388))</f>
        <v>2459.495453</v>
      </c>
      <c r="L388" s="11">
        <f>(Y388/$B388)+(Y388/('Optimal Choice'!$B$9*AT388))</f>
        <v>2466.971242</v>
      </c>
      <c r="M388" s="11">
        <f>(Z388/$B388)+(Z388/('Optimal Choice'!$B$14*AU388))</f>
        <v>2421.516018</v>
      </c>
      <c r="N388" s="11">
        <f>(AA388/$B388)+(AA388/('Optimal Choice'!$B$19*AV388))</f>
        <v>2602.174394</v>
      </c>
      <c r="O388" s="11">
        <f>(AB388/$B388)+(AB388/('Optimal Choice'!$B$24*AW388))</f>
        <v>2677.998328</v>
      </c>
      <c r="R388" s="12">
        <f t="shared" ref="R388:V388" si="398">if(min($K387:$O387)=K387,R387+1,R387)</f>
        <v>162</v>
      </c>
      <c r="S388" s="12">
        <f t="shared" si="398"/>
        <v>75</v>
      </c>
      <c r="T388" s="12">
        <f t="shared" si="398"/>
        <v>69</v>
      </c>
      <c r="U388" s="12">
        <f t="shared" si="398"/>
        <v>43</v>
      </c>
      <c r="V388" s="12">
        <f t="shared" si="398"/>
        <v>38</v>
      </c>
      <c r="X388" s="13">
        <f> 'Optimal Choice'!$B$5*'Optimal Choice'!$B$6^(R388+1)</f>
        <v>246385.8451</v>
      </c>
      <c r="Y388" s="13">
        <f> 'Optimal Choice'!$B$10*'Optimal Choice'!$B$11^(S388+1)</f>
        <v>2461427.89</v>
      </c>
      <c r="Z388" s="13">
        <f> 'Optimal Choice'!$B$15*'Optimal Choice'!$B$16^(T388+1)</f>
        <v>6929024.389</v>
      </c>
      <c r="AA388" s="13">
        <f> 'Optimal Choice'!$B$20*'Optimal Choice'!$B$21^(U388+1)</f>
        <v>1870532.489</v>
      </c>
      <c r="AB388" s="13">
        <f> 'Optimal Choice'!$B$25*'Optimal Choice'!$B$26^(V388+1)</f>
        <v>8613861.264</v>
      </c>
      <c r="AE388" s="12">
        <f t="shared" si="4"/>
        <v>60</v>
      </c>
      <c r="AF388" s="12">
        <f t="shared" si="5"/>
        <v>50</v>
      </c>
      <c r="AG388" s="12">
        <f t="shared" si="6"/>
        <v>32</v>
      </c>
      <c r="AH388" s="12">
        <f t="shared" si="7"/>
        <v>2</v>
      </c>
      <c r="AI388" s="12">
        <f t="shared" si="8"/>
        <v>1.5</v>
      </c>
      <c r="AL388" s="14">
        <f>R388*'Optimal Choice'!$B$4*AE388</f>
        <v>16232.4</v>
      </c>
      <c r="AM388" s="14">
        <f>S388*'Optimal Choice'!$B$9*AF388</f>
        <v>75000</v>
      </c>
      <c r="AN388" s="14">
        <f>T388*'Optimal Choice'!$B$14*AG388</f>
        <v>198720</v>
      </c>
      <c r="AO388" s="14">
        <f>U388*'Optimal Choice'!$B$19*AH388</f>
        <v>30960</v>
      </c>
      <c r="AP388" s="14">
        <f>V388*'Optimal Choice'!$B$24*AI388</f>
        <v>123120</v>
      </c>
      <c r="AS388" s="12">
        <f t="shared" si="9"/>
        <v>60</v>
      </c>
      <c r="AT388" s="12">
        <f t="shared" si="10"/>
        <v>50</v>
      </c>
      <c r="AU388" s="12">
        <f t="shared" si="11"/>
        <v>32</v>
      </c>
      <c r="AV388" s="12">
        <f t="shared" si="12"/>
        <v>2</v>
      </c>
      <c r="AW388" s="12">
        <f t="shared" si="13"/>
        <v>1.5</v>
      </c>
      <c r="AY388" s="11">
        <f t="shared" si="14"/>
        <v>0.2908000666</v>
      </c>
    </row>
    <row r="389" ht="15.75" customHeight="1">
      <c r="A389" s="15">
        <f t="shared" si="2"/>
        <v>14.78781126</v>
      </c>
      <c r="B389" s="7">
        <f>(sum(AL389:AP389))*'Optimal Choice'!$B$28</f>
        <v>446912.4</v>
      </c>
      <c r="C389" s="11"/>
      <c r="D389" s="12"/>
      <c r="E389" s="12"/>
      <c r="F389" s="11"/>
      <c r="G389" s="11"/>
      <c r="H389" s="11"/>
      <c r="I389" s="11"/>
      <c r="J389" s="11"/>
      <c r="K389" s="11">
        <f>(X389/$B389)+(X389/('Optimal Choice'!$B$4*AS389))</f>
        <v>2459.491877</v>
      </c>
      <c r="L389" s="11">
        <f>(Y389/$B389)+(Y389/('Optimal Choice'!$B$9*AT389))</f>
        <v>2466.93552</v>
      </c>
      <c r="M389" s="11">
        <f>(Z389/$B389)+(Z389/('Optimal Choice'!$B$14*AU389))</f>
        <v>2760.413622</v>
      </c>
      <c r="N389" s="11">
        <f>(AA389/$B389)+(AA389/('Optimal Choice'!$B$19*AV389))</f>
        <v>2602.147247</v>
      </c>
      <c r="O389" s="11">
        <f>(AB389/$B389)+(AB389/('Optimal Choice'!$B$24*AW389))</f>
        <v>2677.873316</v>
      </c>
      <c r="R389" s="12">
        <f t="shared" ref="R389:V389" si="399">if(min($K388:$O388)=K388,R388+1,R388)</f>
        <v>162</v>
      </c>
      <c r="S389" s="12">
        <f t="shared" si="399"/>
        <v>75</v>
      </c>
      <c r="T389" s="12">
        <f t="shared" si="399"/>
        <v>70</v>
      </c>
      <c r="U389" s="12">
        <f t="shared" si="399"/>
        <v>43</v>
      </c>
      <c r="V389" s="12">
        <f t="shared" si="399"/>
        <v>38</v>
      </c>
      <c r="X389" s="13">
        <f> 'Optimal Choice'!$B$5*'Optimal Choice'!$B$6^(R389+1)</f>
        <v>246385.8451</v>
      </c>
      <c r="Y389" s="13">
        <f> 'Optimal Choice'!$B$10*'Optimal Choice'!$B$11^(S389+1)</f>
        <v>2461427.89</v>
      </c>
      <c r="Z389" s="13">
        <f> 'Optimal Choice'!$B$15*'Optimal Choice'!$B$16^(T389+1)</f>
        <v>7899087.804</v>
      </c>
      <c r="AA389" s="13">
        <f> 'Optimal Choice'!$B$20*'Optimal Choice'!$B$21^(U389+1)</f>
        <v>1870532.489</v>
      </c>
      <c r="AB389" s="13">
        <f> 'Optimal Choice'!$B$25*'Optimal Choice'!$B$26^(V389+1)</f>
        <v>8613861.264</v>
      </c>
      <c r="AE389" s="12">
        <f t="shared" si="4"/>
        <v>60</v>
      </c>
      <c r="AF389" s="12">
        <f t="shared" si="5"/>
        <v>50</v>
      </c>
      <c r="AG389" s="12">
        <f t="shared" si="6"/>
        <v>32</v>
      </c>
      <c r="AH389" s="12">
        <f t="shared" si="7"/>
        <v>2</v>
      </c>
      <c r="AI389" s="12">
        <f t="shared" si="8"/>
        <v>1.5</v>
      </c>
      <c r="AL389" s="14">
        <f>R389*'Optimal Choice'!$B$4*AE389</f>
        <v>16232.4</v>
      </c>
      <c r="AM389" s="14">
        <f>S389*'Optimal Choice'!$B$9*AF389</f>
        <v>75000</v>
      </c>
      <c r="AN389" s="14">
        <f>T389*'Optimal Choice'!$B$14*AG389</f>
        <v>201600</v>
      </c>
      <c r="AO389" s="14">
        <f>U389*'Optimal Choice'!$B$19*AH389</f>
        <v>30960</v>
      </c>
      <c r="AP389" s="14">
        <f>V389*'Optimal Choice'!$B$24*AI389</f>
        <v>123120</v>
      </c>
      <c r="AS389" s="12">
        <f t="shared" si="9"/>
        <v>60</v>
      </c>
      <c r="AT389" s="12">
        <f t="shared" si="10"/>
        <v>50</v>
      </c>
      <c r="AU389" s="12">
        <f t="shared" si="11"/>
        <v>32</v>
      </c>
      <c r="AV389" s="12">
        <f t="shared" si="12"/>
        <v>2</v>
      </c>
      <c r="AW389" s="12">
        <f t="shared" si="13"/>
        <v>1.5</v>
      </c>
      <c r="AY389" s="11">
        <f t="shared" si="14"/>
        <v>0.2600795343</v>
      </c>
    </row>
    <row r="390" ht="15.75" customHeight="1">
      <c r="A390" s="15">
        <f t="shared" si="2"/>
        <v>14.79699971</v>
      </c>
      <c r="B390" s="7">
        <f>(sum(AL390:AP390))*'Optimal Choice'!$B$28</f>
        <v>447012.6</v>
      </c>
      <c r="C390" s="11"/>
      <c r="D390" s="12"/>
      <c r="E390" s="12"/>
      <c r="F390" s="11"/>
      <c r="G390" s="11"/>
      <c r="H390" s="11"/>
      <c r="I390" s="11"/>
      <c r="J390" s="11"/>
      <c r="K390" s="11">
        <f>(X390/$B390)+(X390/('Optimal Choice'!$B$4*AS390))</f>
        <v>2631.656176</v>
      </c>
      <c r="L390" s="11">
        <f>(Y390/$B390)+(Y390/('Optimal Choice'!$B$9*AT390))</f>
        <v>2466.934285</v>
      </c>
      <c r="M390" s="11">
        <f>(Z390/$B390)+(Z390/('Optimal Choice'!$B$14*AU390))</f>
        <v>2760.40966</v>
      </c>
      <c r="N390" s="11">
        <f>(AA390/$B390)+(AA390/('Optimal Choice'!$B$19*AV390))</f>
        <v>2602.146308</v>
      </c>
      <c r="O390" s="11">
        <f>(AB390/$B390)+(AB390/('Optimal Choice'!$B$24*AW390))</f>
        <v>2677.868995</v>
      </c>
      <c r="R390" s="12">
        <f t="shared" ref="R390:V390" si="400">if(min($K389:$O389)=K389,R389+1,R389)</f>
        <v>163</v>
      </c>
      <c r="S390" s="12">
        <f t="shared" si="400"/>
        <v>75</v>
      </c>
      <c r="T390" s="12">
        <f t="shared" si="400"/>
        <v>70</v>
      </c>
      <c r="U390" s="12">
        <f t="shared" si="400"/>
        <v>43</v>
      </c>
      <c r="V390" s="12">
        <f t="shared" si="400"/>
        <v>38</v>
      </c>
      <c r="X390" s="13">
        <f> 'Optimal Choice'!$B$5*'Optimal Choice'!$B$6^(R390+1)</f>
        <v>263632.8543</v>
      </c>
      <c r="Y390" s="13">
        <f> 'Optimal Choice'!$B$10*'Optimal Choice'!$B$11^(S390+1)</f>
        <v>2461427.89</v>
      </c>
      <c r="Z390" s="13">
        <f> 'Optimal Choice'!$B$15*'Optimal Choice'!$B$16^(T390+1)</f>
        <v>7899087.804</v>
      </c>
      <c r="AA390" s="13">
        <f> 'Optimal Choice'!$B$20*'Optimal Choice'!$B$21^(U390+1)</f>
        <v>1870532.489</v>
      </c>
      <c r="AB390" s="13">
        <f> 'Optimal Choice'!$B$25*'Optimal Choice'!$B$26^(V390+1)</f>
        <v>8613861.264</v>
      </c>
      <c r="AE390" s="12">
        <f t="shared" si="4"/>
        <v>60</v>
      </c>
      <c r="AF390" s="12">
        <f t="shared" si="5"/>
        <v>50</v>
      </c>
      <c r="AG390" s="12">
        <f t="shared" si="6"/>
        <v>32</v>
      </c>
      <c r="AH390" s="12">
        <f t="shared" si="7"/>
        <v>2</v>
      </c>
      <c r="AI390" s="12">
        <f t="shared" si="8"/>
        <v>1.5</v>
      </c>
      <c r="AL390" s="14">
        <f>R390*'Optimal Choice'!$B$4*AE390</f>
        <v>16332.6</v>
      </c>
      <c r="AM390" s="14">
        <f>S390*'Optimal Choice'!$B$9*AF390</f>
        <v>75000</v>
      </c>
      <c r="AN390" s="14">
        <f>T390*'Optimal Choice'!$B$14*AG390</f>
        <v>201600</v>
      </c>
      <c r="AO390" s="14">
        <f>U390*'Optimal Choice'!$B$19*AH390</f>
        <v>30960</v>
      </c>
      <c r="AP390" s="14">
        <f>V390*'Optimal Choice'!$B$24*AI390</f>
        <v>123120</v>
      </c>
      <c r="AS390" s="12">
        <f t="shared" si="9"/>
        <v>60</v>
      </c>
      <c r="AT390" s="12">
        <f t="shared" si="10"/>
        <v>50</v>
      </c>
      <c r="AU390" s="12">
        <f t="shared" si="11"/>
        <v>32</v>
      </c>
      <c r="AV390" s="12">
        <f t="shared" si="12"/>
        <v>2</v>
      </c>
      <c r="AW390" s="12">
        <f t="shared" si="13"/>
        <v>1.5</v>
      </c>
      <c r="AY390" s="11">
        <f t="shared" si="14"/>
        <v>0.009188446668</v>
      </c>
    </row>
    <row r="391" ht="15.75" customHeight="1">
      <c r="A391" s="15">
        <f t="shared" si="2"/>
        <v>14.88877295</v>
      </c>
      <c r="B391" s="7">
        <f>(sum(AL391:AP391))*'Optimal Choice'!$B$28</f>
        <v>448012.6</v>
      </c>
      <c r="C391" s="11"/>
      <c r="D391" s="12"/>
      <c r="E391" s="12"/>
      <c r="F391" s="11"/>
      <c r="G391" s="11"/>
      <c r="H391" s="11"/>
      <c r="I391" s="11"/>
      <c r="J391" s="11"/>
      <c r="K391" s="11">
        <f>(X391/$B391)+(X391/('Optimal Choice'!$B$4*AS391))</f>
        <v>2631.65486</v>
      </c>
      <c r="L391" s="11">
        <f>(Y391/$B391)+(Y391/('Optimal Choice'!$B$9*AT391))</f>
        <v>2836.960294</v>
      </c>
      <c r="M391" s="11">
        <f>(Z391/$B391)+(Z391/('Optimal Choice'!$B$14*AU391))</f>
        <v>2760.370217</v>
      </c>
      <c r="N391" s="11">
        <f>(AA391/$B391)+(AA391/('Optimal Choice'!$B$19*AV391))</f>
        <v>2602.136968</v>
      </c>
      <c r="O391" s="11">
        <f>(AB391/$B391)+(AB391/('Optimal Choice'!$B$24*AW391))</f>
        <v>2677.825984</v>
      </c>
      <c r="R391" s="12">
        <f t="shared" ref="R391:V391" si="401">if(min($K390:$O390)=K390,R390+1,R390)</f>
        <v>163</v>
      </c>
      <c r="S391" s="12">
        <f t="shared" si="401"/>
        <v>76</v>
      </c>
      <c r="T391" s="12">
        <f t="shared" si="401"/>
        <v>70</v>
      </c>
      <c r="U391" s="12">
        <f t="shared" si="401"/>
        <v>43</v>
      </c>
      <c r="V391" s="12">
        <f t="shared" si="401"/>
        <v>38</v>
      </c>
      <c r="X391" s="13">
        <f> 'Optimal Choice'!$B$5*'Optimal Choice'!$B$6^(R391+1)</f>
        <v>263632.8543</v>
      </c>
      <c r="Y391" s="13">
        <f> 'Optimal Choice'!$B$10*'Optimal Choice'!$B$11^(S391+1)</f>
        <v>2830642.074</v>
      </c>
      <c r="Z391" s="13">
        <f> 'Optimal Choice'!$B$15*'Optimal Choice'!$B$16^(T391+1)</f>
        <v>7899087.804</v>
      </c>
      <c r="AA391" s="13">
        <f> 'Optimal Choice'!$B$20*'Optimal Choice'!$B$21^(U391+1)</f>
        <v>1870532.489</v>
      </c>
      <c r="AB391" s="13">
        <f> 'Optimal Choice'!$B$25*'Optimal Choice'!$B$26^(V391+1)</f>
        <v>8613861.264</v>
      </c>
      <c r="AE391" s="12">
        <f t="shared" si="4"/>
        <v>60</v>
      </c>
      <c r="AF391" s="12">
        <f t="shared" si="5"/>
        <v>50</v>
      </c>
      <c r="AG391" s="12">
        <f t="shared" si="6"/>
        <v>32</v>
      </c>
      <c r="AH391" s="12">
        <f t="shared" si="7"/>
        <v>2</v>
      </c>
      <c r="AI391" s="12">
        <f t="shared" si="8"/>
        <v>1.5</v>
      </c>
      <c r="AL391" s="14">
        <f>R391*'Optimal Choice'!$B$4*AE391</f>
        <v>16332.6</v>
      </c>
      <c r="AM391" s="14">
        <f>S391*'Optimal Choice'!$B$9*AF391</f>
        <v>76000</v>
      </c>
      <c r="AN391" s="14">
        <f>T391*'Optimal Choice'!$B$14*AG391</f>
        <v>201600</v>
      </c>
      <c r="AO391" s="14">
        <f>U391*'Optimal Choice'!$B$19*AH391</f>
        <v>30960</v>
      </c>
      <c r="AP391" s="14">
        <f>V391*'Optimal Choice'!$B$24*AI391</f>
        <v>123120</v>
      </c>
      <c r="AS391" s="12">
        <f t="shared" si="9"/>
        <v>60</v>
      </c>
      <c r="AT391" s="12">
        <f t="shared" si="10"/>
        <v>50</v>
      </c>
      <c r="AU391" s="12">
        <f t="shared" si="11"/>
        <v>32</v>
      </c>
      <c r="AV391" s="12">
        <f t="shared" si="12"/>
        <v>2</v>
      </c>
      <c r="AW391" s="12">
        <f t="shared" si="13"/>
        <v>1.5</v>
      </c>
      <c r="AY391" s="11">
        <f t="shared" si="14"/>
        <v>0.09177324794</v>
      </c>
    </row>
    <row r="392" ht="15.75" customHeight="1">
      <c r="A392" s="15">
        <f t="shared" si="2"/>
        <v>14.95835926</v>
      </c>
      <c r="B392" s="7">
        <f>(sum(AL392:AP392))*'Optimal Choice'!$B$28</f>
        <v>448732.6</v>
      </c>
      <c r="C392" s="11"/>
      <c r="D392" s="12"/>
      <c r="E392" s="12"/>
      <c r="F392" s="11"/>
      <c r="G392" s="11"/>
      <c r="H392" s="11"/>
      <c r="I392" s="11"/>
      <c r="J392" s="11"/>
      <c r="K392" s="11">
        <f>(X392/$B392)+(X392/('Optimal Choice'!$B$4*AS392))</f>
        <v>2631.653916</v>
      </c>
      <c r="L392" s="11">
        <f>(Y392/$B392)+(Y392/('Optimal Choice'!$B$9*AT392))</f>
        <v>2836.950156</v>
      </c>
      <c r="M392" s="11">
        <f>(Z392/$B392)+(Z392/('Optimal Choice'!$B$14*AU392))</f>
        <v>2760.341927</v>
      </c>
      <c r="N392" s="11">
        <f>(AA392/$B392)+(AA392/('Optimal Choice'!$B$19*AV392))</f>
        <v>2940.407204</v>
      </c>
      <c r="O392" s="11">
        <f>(AB392/$B392)+(AB392/('Optimal Choice'!$B$24*AW392))</f>
        <v>2677.795134</v>
      </c>
      <c r="R392" s="12">
        <f t="shared" ref="R392:V392" si="402">if(min($K391:$O391)=K391,R391+1,R391)</f>
        <v>163</v>
      </c>
      <c r="S392" s="12">
        <f t="shared" si="402"/>
        <v>76</v>
      </c>
      <c r="T392" s="12">
        <f t="shared" si="402"/>
        <v>70</v>
      </c>
      <c r="U392" s="12">
        <f t="shared" si="402"/>
        <v>44</v>
      </c>
      <c r="V392" s="12">
        <f t="shared" si="402"/>
        <v>38</v>
      </c>
      <c r="X392" s="13">
        <f> 'Optimal Choice'!$B$5*'Optimal Choice'!$B$6^(R392+1)</f>
        <v>263632.8543</v>
      </c>
      <c r="Y392" s="13">
        <f> 'Optimal Choice'!$B$10*'Optimal Choice'!$B$11^(S392+1)</f>
        <v>2830642.074</v>
      </c>
      <c r="Z392" s="13">
        <f> 'Optimal Choice'!$B$15*'Optimal Choice'!$B$16^(T392+1)</f>
        <v>7899087.804</v>
      </c>
      <c r="AA392" s="13">
        <f> 'Optimal Choice'!$B$20*'Optimal Choice'!$B$21^(U392+1)</f>
        <v>2113701.712</v>
      </c>
      <c r="AB392" s="13">
        <f> 'Optimal Choice'!$B$25*'Optimal Choice'!$B$26^(V392+1)</f>
        <v>8613861.264</v>
      </c>
      <c r="AE392" s="12">
        <f t="shared" si="4"/>
        <v>60</v>
      </c>
      <c r="AF392" s="12">
        <f t="shared" si="5"/>
        <v>50</v>
      </c>
      <c r="AG392" s="12">
        <f t="shared" si="6"/>
        <v>32</v>
      </c>
      <c r="AH392" s="12">
        <f t="shared" si="7"/>
        <v>2</v>
      </c>
      <c r="AI392" s="12">
        <f t="shared" si="8"/>
        <v>1.5</v>
      </c>
      <c r="AL392" s="14">
        <f>R392*'Optimal Choice'!$B$4*AE392</f>
        <v>16332.6</v>
      </c>
      <c r="AM392" s="14">
        <f>S392*'Optimal Choice'!$B$9*AF392</f>
        <v>76000</v>
      </c>
      <c r="AN392" s="14">
        <f>T392*'Optimal Choice'!$B$14*AG392</f>
        <v>201600</v>
      </c>
      <c r="AO392" s="14">
        <f>U392*'Optimal Choice'!$B$19*AH392</f>
        <v>31680</v>
      </c>
      <c r="AP392" s="14">
        <f>V392*'Optimal Choice'!$B$24*AI392</f>
        <v>123120</v>
      </c>
      <c r="AS392" s="12">
        <f t="shared" si="9"/>
        <v>60</v>
      </c>
      <c r="AT392" s="12">
        <f t="shared" si="10"/>
        <v>50</v>
      </c>
      <c r="AU392" s="12">
        <f t="shared" si="11"/>
        <v>32</v>
      </c>
      <c r="AV392" s="12">
        <f t="shared" si="12"/>
        <v>2</v>
      </c>
      <c r="AW392" s="12">
        <f t="shared" si="13"/>
        <v>1.5</v>
      </c>
      <c r="AY392" s="11">
        <f t="shared" si="14"/>
        <v>0.06958630512</v>
      </c>
    </row>
    <row r="393" ht="15.75" customHeight="1">
      <c r="A393" s="15">
        <f t="shared" si="2"/>
        <v>14.96815102</v>
      </c>
      <c r="B393" s="7">
        <f>(sum(AL393:AP393))*'Optimal Choice'!$B$28</f>
        <v>448832.8</v>
      </c>
      <c r="C393" s="11"/>
      <c r="D393" s="12"/>
      <c r="E393" s="12"/>
      <c r="F393" s="11"/>
      <c r="G393" s="11"/>
      <c r="H393" s="11"/>
      <c r="I393" s="11"/>
      <c r="J393" s="11"/>
      <c r="K393" s="11">
        <f>(X393/$B393)+(X393/('Optimal Choice'!$B$4*AS393))</f>
        <v>2815.869549</v>
      </c>
      <c r="L393" s="11">
        <f>(Y393/$B393)+(Y393/('Optimal Choice'!$B$9*AT393))</f>
        <v>2836.948748</v>
      </c>
      <c r="M393" s="11">
        <f>(Z393/$B393)+(Z393/('Optimal Choice'!$B$14*AU393))</f>
        <v>2760.337997</v>
      </c>
      <c r="N393" s="11">
        <f>(AA393/$B393)+(AA393/('Optimal Choice'!$B$19*AV393))</f>
        <v>2940.406153</v>
      </c>
      <c r="O393" s="11">
        <f>(AB393/$B393)+(AB393/('Optimal Choice'!$B$24*AW393))</f>
        <v>2677.790848</v>
      </c>
      <c r="R393" s="12">
        <f t="shared" ref="R393:V393" si="403">if(min($K392:$O392)=K392,R392+1,R392)</f>
        <v>164</v>
      </c>
      <c r="S393" s="12">
        <f t="shared" si="403"/>
        <v>76</v>
      </c>
      <c r="T393" s="12">
        <f t="shared" si="403"/>
        <v>70</v>
      </c>
      <c r="U393" s="12">
        <f t="shared" si="403"/>
        <v>44</v>
      </c>
      <c r="V393" s="12">
        <f t="shared" si="403"/>
        <v>38</v>
      </c>
      <c r="X393" s="13">
        <f> 'Optimal Choice'!$B$5*'Optimal Choice'!$B$6^(R393+1)</f>
        <v>282087.1541</v>
      </c>
      <c r="Y393" s="13">
        <f> 'Optimal Choice'!$B$10*'Optimal Choice'!$B$11^(S393+1)</f>
        <v>2830642.074</v>
      </c>
      <c r="Z393" s="13">
        <f> 'Optimal Choice'!$B$15*'Optimal Choice'!$B$16^(T393+1)</f>
        <v>7899087.804</v>
      </c>
      <c r="AA393" s="13">
        <f> 'Optimal Choice'!$B$20*'Optimal Choice'!$B$21^(U393+1)</f>
        <v>2113701.712</v>
      </c>
      <c r="AB393" s="13">
        <f> 'Optimal Choice'!$B$25*'Optimal Choice'!$B$26^(V393+1)</f>
        <v>8613861.264</v>
      </c>
      <c r="AE393" s="12">
        <f t="shared" si="4"/>
        <v>60</v>
      </c>
      <c r="AF393" s="12">
        <f t="shared" si="5"/>
        <v>50</v>
      </c>
      <c r="AG393" s="12">
        <f t="shared" si="6"/>
        <v>32</v>
      </c>
      <c r="AH393" s="12">
        <f t="shared" si="7"/>
        <v>2</v>
      </c>
      <c r="AI393" s="12">
        <f t="shared" si="8"/>
        <v>1.5</v>
      </c>
      <c r="AL393" s="14">
        <f>R393*'Optimal Choice'!$B$4*AE393</f>
        <v>16432.8</v>
      </c>
      <c r="AM393" s="14">
        <f>S393*'Optimal Choice'!$B$9*AF393</f>
        <v>76000</v>
      </c>
      <c r="AN393" s="14">
        <f>T393*'Optimal Choice'!$B$14*AG393</f>
        <v>201600</v>
      </c>
      <c r="AO393" s="14">
        <f>U393*'Optimal Choice'!$B$19*AH393</f>
        <v>31680</v>
      </c>
      <c r="AP393" s="14">
        <f>V393*'Optimal Choice'!$B$24*AI393</f>
        <v>123120</v>
      </c>
      <c r="AS393" s="12">
        <f t="shared" si="9"/>
        <v>60</v>
      </c>
      <c r="AT393" s="12">
        <f t="shared" si="10"/>
        <v>50</v>
      </c>
      <c r="AU393" s="12">
        <f t="shared" si="11"/>
        <v>32</v>
      </c>
      <c r="AV393" s="12">
        <f t="shared" si="12"/>
        <v>2</v>
      </c>
      <c r="AW393" s="12">
        <f t="shared" si="13"/>
        <v>1.5</v>
      </c>
      <c r="AY393" s="11">
        <f t="shared" si="14"/>
        <v>0.009791757731</v>
      </c>
    </row>
    <row r="394" ht="15.75" customHeight="1">
      <c r="A394" s="15">
        <f t="shared" si="2"/>
        <v>15.28801256</v>
      </c>
      <c r="B394" s="7">
        <f>(sum(AL394:AP394))*'Optimal Choice'!$B$28</f>
        <v>452072.8</v>
      </c>
      <c r="C394" s="11"/>
      <c r="D394" s="12"/>
      <c r="E394" s="12"/>
      <c r="F394" s="11"/>
      <c r="G394" s="11"/>
      <c r="H394" s="11"/>
      <c r="I394" s="11"/>
      <c r="J394" s="11"/>
      <c r="K394" s="11">
        <f>(X394/$B394)+(X394/('Optimal Choice'!$B$4*AS394))</f>
        <v>2815.865045</v>
      </c>
      <c r="L394" s="11">
        <f>(Y394/$B394)+(Y394/('Optimal Choice'!$B$9*AT394))</f>
        <v>2836.903548</v>
      </c>
      <c r="M394" s="11">
        <f>(Z394/$B394)+(Z394/('Optimal Choice'!$B$14*AU394))</f>
        <v>2760.211864</v>
      </c>
      <c r="N394" s="11">
        <f>(AA394/$B394)+(AA394/('Optimal Choice'!$B$19*AV394))</f>
        <v>2940.372401</v>
      </c>
      <c r="O394" s="11">
        <f>(AB394/$B394)+(AB394/('Optimal Choice'!$B$24*AW394))</f>
        <v>2998.971698</v>
      </c>
      <c r="R394" s="12">
        <f t="shared" ref="R394:V394" si="404">if(min($K393:$O393)=K393,R393+1,R393)</f>
        <v>164</v>
      </c>
      <c r="S394" s="12">
        <f t="shared" si="404"/>
        <v>76</v>
      </c>
      <c r="T394" s="12">
        <f t="shared" si="404"/>
        <v>70</v>
      </c>
      <c r="U394" s="12">
        <f t="shared" si="404"/>
        <v>44</v>
      </c>
      <c r="V394" s="12">
        <f t="shared" si="404"/>
        <v>39</v>
      </c>
      <c r="X394" s="13">
        <f> 'Optimal Choice'!$B$5*'Optimal Choice'!$B$6^(R394+1)</f>
        <v>282087.1541</v>
      </c>
      <c r="Y394" s="13">
        <f> 'Optimal Choice'!$B$10*'Optimal Choice'!$B$11^(S394+1)</f>
        <v>2830642.074</v>
      </c>
      <c r="Z394" s="13">
        <f> 'Optimal Choice'!$B$15*'Optimal Choice'!$B$16^(T394+1)</f>
        <v>7899087.804</v>
      </c>
      <c r="AA394" s="13">
        <f> 'Optimal Choice'!$B$20*'Optimal Choice'!$B$21^(U394+1)</f>
        <v>2113701.712</v>
      </c>
      <c r="AB394" s="13">
        <f> 'Optimal Choice'!$B$25*'Optimal Choice'!$B$26^(V394+1)</f>
        <v>9647524.615</v>
      </c>
      <c r="AE394" s="12">
        <f t="shared" si="4"/>
        <v>60</v>
      </c>
      <c r="AF394" s="12">
        <f t="shared" si="5"/>
        <v>50</v>
      </c>
      <c r="AG394" s="12">
        <f t="shared" si="6"/>
        <v>32</v>
      </c>
      <c r="AH394" s="12">
        <f t="shared" si="7"/>
        <v>2</v>
      </c>
      <c r="AI394" s="12">
        <f t="shared" si="8"/>
        <v>1.5</v>
      </c>
      <c r="AL394" s="14">
        <f>R394*'Optimal Choice'!$B$4*AE394</f>
        <v>16432.8</v>
      </c>
      <c r="AM394" s="14">
        <f>S394*'Optimal Choice'!$B$9*AF394</f>
        <v>76000</v>
      </c>
      <c r="AN394" s="14">
        <f>T394*'Optimal Choice'!$B$14*AG394</f>
        <v>201600</v>
      </c>
      <c r="AO394" s="14">
        <f>U394*'Optimal Choice'!$B$19*AH394</f>
        <v>31680</v>
      </c>
      <c r="AP394" s="14">
        <f>V394*'Optimal Choice'!$B$24*AI394</f>
        <v>126360</v>
      </c>
      <c r="AS394" s="12">
        <f t="shared" si="9"/>
        <v>60</v>
      </c>
      <c r="AT394" s="12">
        <f t="shared" si="10"/>
        <v>50</v>
      </c>
      <c r="AU394" s="12">
        <f t="shared" si="11"/>
        <v>32</v>
      </c>
      <c r="AV394" s="12">
        <f t="shared" si="12"/>
        <v>2</v>
      </c>
      <c r="AW394" s="12">
        <f t="shared" si="13"/>
        <v>1.5</v>
      </c>
      <c r="AY394" s="11">
        <f t="shared" si="14"/>
        <v>0.3198615484</v>
      </c>
    </row>
    <row r="395" ht="15.75" customHeight="1">
      <c r="A395" s="15">
        <f t="shared" si="2"/>
        <v>15.57922996</v>
      </c>
      <c r="B395" s="7">
        <f>(sum(AL395:AP395))*'Optimal Choice'!$B$28</f>
        <v>454952.8</v>
      </c>
      <c r="C395" s="11"/>
      <c r="D395" s="12"/>
      <c r="E395" s="12"/>
      <c r="F395" s="11"/>
      <c r="G395" s="11"/>
      <c r="H395" s="11"/>
      <c r="I395" s="11"/>
      <c r="J395" s="11"/>
      <c r="K395" s="11">
        <f>(X395/$B395)+(X395/('Optimal Choice'!$B$4*AS395))</f>
        <v>2815.861095</v>
      </c>
      <c r="L395" s="11">
        <f>(Y395/$B395)+(Y395/('Optimal Choice'!$B$9*AT395))</f>
        <v>2836.863911</v>
      </c>
      <c r="M395" s="11">
        <f>(Z395/$B395)+(Z395/('Optimal Choice'!$B$14*AU395))</f>
        <v>3146.51543</v>
      </c>
      <c r="N395" s="11">
        <f>(AA395/$B395)+(AA395/('Optimal Choice'!$B$19*AV395))</f>
        <v>2940.342803</v>
      </c>
      <c r="O395" s="11">
        <f>(AB395/$B395)+(AB395/('Optimal Choice'!$B$24*AW395))</f>
        <v>2998.836605</v>
      </c>
      <c r="R395" s="12">
        <f t="shared" ref="R395:V395" si="405">if(min($K394:$O394)=K394,R394+1,R394)</f>
        <v>164</v>
      </c>
      <c r="S395" s="12">
        <f t="shared" si="405"/>
        <v>76</v>
      </c>
      <c r="T395" s="12">
        <f t="shared" si="405"/>
        <v>71</v>
      </c>
      <c r="U395" s="12">
        <f t="shared" si="405"/>
        <v>44</v>
      </c>
      <c r="V395" s="12">
        <f t="shared" si="405"/>
        <v>39</v>
      </c>
      <c r="X395" s="13">
        <f> 'Optimal Choice'!$B$5*'Optimal Choice'!$B$6^(R395+1)</f>
        <v>282087.1541</v>
      </c>
      <c r="Y395" s="13">
        <f> 'Optimal Choice'!$B$10*'Optimal Choice'!$B$11^(S395+1)</f>
        <v>2830642.074</v>
      </c>
      <c r="Z395" s="13">
        <f> 'Optimal Choice'!$B$15*'Optimal Choice'!$B$16^(T395+1)</f>
        <v>9004960.096</v>
      </c>
      <c r="AA395" s="13">
        <f> 'Optimal Choice'!$B$20*'Optimal Choice'!$B$21^(U395+1)</f>
        <v>2113701.712</v>
      </c>
      <c r="AB395" s="13">
        <f> 'Optimal Choice'!$B$25*'Optimal Choice'!$B$26^(V395+1)</f>
        <v>9647524.615</v>
      </c>
      <c r="AE395" s="12">
        <f t="shared" si="4"/>
        <v>60</v>
      </c>
      <c r="AF395" s="12">
        <f t="shared" si="5"/>
        <v>50</v>
      </c>
      <c r="AG395" s="12">
        <f t="shared" si="6"/>
        <v>32</v>
      </c>
      <c r="AH395" s="12">
        <f t="shared" si="7"/>
        <v>2</v>
      </c>
      <c r="AI395" s="12">
        <f t="shared" si="8"/>
        <v>1.5</v>
      </c>
      <c r="AL395" s="14">
        <f>R395*'Optimal Choice'!$B$4*AE395</f>
        <v>16432.8</v>
      </c>
      <c r="AM395" s="14">
        <f>S395*'Optimal Choice'!$B$9*AF395</f>
        <v>76000</v>
      </c>
      <c r="AN395" s="14">
        <f>T395*'Optimal Choice'!$B$14*AG395</f>
        <v>204480</v>
      </c>
      <c r="AO395" s="14">
        <f>U395*'Optimal Choice'!$B$19*AH395</f>
        <v>31680</v>
      </c>
      <c r="AP395" s="14">
        <f>V395*'Optimal Choice'!$B$24*AI395</f>
        <v>126360</v>
      </c>
      <c r="AS395" s="12">
        <f t="shared" si="9"/>
        <v>60</v>
      </c>
      <c r="AT395" s="12">
        <f t="shared" si="10"/>
        <v>50</v>
      </c>
      <c r="AU395" s="12">
        <f t="shared" si="11"/>
        <v>32</v>
      </c>
      <c r="AV395" s="12">
        <f t="shared" si="12"/>
        <v>2</v>
      </c>
      <c r="AW395" s="12">
        <f t="shared" si="13"/>
        <v>1.5</v>
      </c>
      <c r="AY395" s="11">
        <f t="shared" si="14"/>
        <v>0.2912173955</v>
      </c>
    </row>
    <row r="396" ht="15.75" customHeight="1">
      <c r="A396" s="15">
        <f t="shared" si="2"/>
        <v>15.58956389</v>
      </c>
      <c r="B396" s="7">
        <f>(sum(AL396:AP396))*'Optimal Choice'!$B$28</f>
        <v>455053</v>
      </c>
      <c r="C396" s="11"/>
      <c r="D396" s="12"/>
      <c r="E396" s="12"/>
      <c r="F396" s="11"/>
      <c r="G396" s="11"/>
      <c r="H396" s="11"/>
      <c r="I396" s="11"/>
      <c r="J396" s="11"/>
      <c r="K396" s="11">
        <f>(X396/$B396)+(X396/('Optimal Choice'!$B$4*AS396))</f>
        <v>3012.971226</v>
      </c>
      <c r="L396" s="11">
        <f>(Y396/$B396)+(Y396/('Optimal Choice'!$B$9*AT396))</f>
        <v>2836.862541</v>
      </c>
      <c r="M396" s="11">
        <f>(Z396/$B396)+(Z396/('Optimal Choice'!$B$14*AU396))</f>
        <v>3146.511072</v>
      </c>
      <c r="N396" s="11">
        <f>(AA396/$B396)+(AA396/('Optimal Choice'!$B$19*AV396))</f>
        <v>2940.34178</v>
      </c>
      <c r="O396" s="11">
        <f>(AB396/$B396)+(AB396/('Optimal Choice'!$B$24*AW396))</f>
        <v>2998.831935</v>
      </c>
      <c r="R396" s="12">
        <f t="shared" ref="R396:V396" si="406">if(min($K395:$O395)=K395,R395+1,R395)</f>
        <v>165</v>
      </c>
      <c r="S396" s="12">
        <f t="shared" si="406"/>
        <v>76</v>
      </c>
      <c r="T396" s="12">
        <f t="shared" si="406"/>
        <v>71</v>
      </c>
      <c r="U396" s="12">
        <f t="shared" si="406"/>
        <v>44</v>
      </c>
      <c r="V396" s="12">
        <f t="shared" si="406"/>
        <v>39</v>
      </c>
      <c r="X396" s="13">
        <f> 'Optimal Choice'!$B$5*'Optimal Choice'!$B$6^(R396+1)</f>
        <v>301833.2549</v>
      </c>
      <c r="Y396" s="13">
        <f> 'Optimal Choice'!$B$10*'Optimal Choice'!$B$11^(S396+1)</f>
        <v>2830642.074</v>
      </c>
      <c r="Z396" s="13">
        <f> 'Optimal Choice'!$B$15*'Optimal Choice'!$B$16^(T396+1)</f>
        <v>9004960.096</v>
      </c>
      <c r="AA396" s="13">
        <f> 'Optimal Choice'!$B$20*'Optimal Choice'!$B$21^(U396+1)</f>
        <v>2113701.712</v>
      </c>
      <c r="AB396" s="13">
        <f> 'Optimal Choice'!$B$25*'Optimal Choice'!$B$26^(V396+1)</f>
        <v>9647524.615</v>
      </c>
      <c r="AE396" s="12">
        <f t="shared" si="4"/>
        <v>60</v>
      </c>
      <c r="AF396" s="12">
        <f t="shared" si="5"/>
        <v>50</v>
      </c>
      <c r="AG396" s="12">
        <f t="shared" si="6"/>
        <v>32</v>
      </c>
      <c r="AH396" s="12">
        <f t="shared" si="7"/>
        <v>2</v>
      </c>
      <c r="AI396" s="12">
        <f t="shared" si="8"/>
        <v>1.5</v>
      </c>
      <c r="AL396" s="14">
        <f>R396*'Optimal Choice'!$B$4*AE396</f>
        <v>16533</v>
      </c>
      <c r="AM396" s="14">
        <f>S396*'Optimal Choice'!$B$9*AF396</f>
        <v>76000</v>
      </c>
      <c r="AN396" s="14">
        <f>T396*'Optimal Choice'!$B$14*AG396</f>
        <v>204480</v>
      </c>
      <c r="AO396" s="14">
        <f>U396*'Optimal Choice'!$B$19*AH396</f>
        <v>31680</v>
      </c>
      <c r="AP396" s="14">
        <f>V396*'Optimal Choice'!$B$24*AI396</f>
        <v>126360</v>
      </c>
      <c r="AS396" s="12">
        <f t="shared" si="9"/>
        <v>60</v>
      </c>
      <c r="AT396" s="12">
        <f t="shared" si="10"/>
        <v>50</v>
      </c>
      <c r="AU396" s="12">
        <f t="shared" si="11"/>
        <v>32</v>
      </c>
      <c r="AV396" s="12">
        <f t="shared" si="12"/>
        <v>2</v>
      </c>
      <c r="AW396" s="12">
        <f t="shared" si="13"/>
        <v>1.5</v>
      </c>
      <c r="AY396" s="11">
        <f t="shared" si="14"/>
        <v>0.01033393479</v>
      </c>
    </row>
    <row r="397" ht="15.75" customHeight="1">
      <c r="A397" s="15">
        <f t="shared" si="2"/>
        <v>15.69323834</v>
      </c>
      <c r="B397" s="7">
        <f>(sum(AL397:AP397))*'Optimal Choice'!$B$28</f>
        <v>456053</v>
      </c>
      <c r="C397" s="11"/>
      <c r="D397" s="12"/>
      <c r="E397" s="12"/>
      <c r="F397" s="11"/>
      <c r="G397" s="11"/>
      <c r="H397" s="11"/>
      <c r="I397" s="11"/>
      <c r="J397" s="11"/>
      <c r="K397" s="11">
        <f>(X397/$B397)+(X397/('Optimal Choice'!$B$4*AS397))</f>
        <v>3012.969771</v>
      </c>
      <c r="L397" s="11">
        <f>(Y397/$B397)+(Y397/('Optimal Choice'!$B$9*AT397))</f>
        <v>3262.376236</v>
      </c>
      <c r="M397" s="11">
        <f>(Z397/$B397)+(Z397/('Optimal Choice'!$B$14*AU397))</f>
        <v>3146.46768</v>
      </c>
      <c r="N397" s="11">
        <f>(AA397/$B397)+(AA397/('Optimal Choice'!$B$19*AV397))</f>
        <v>2940.331595</v>
      </c>
      <c r="O397" s="11">
        <f>(AB397/$B397)+(AB397/('Optimal Choice'!$B$24*AW397))</f>
        <v>2998.785448</v>
      </c>
      <c r="R397" s="12">
        <f t="shared" ref="R397:V397" si="407">if(min($K396:$O396)=K396,R396+1,R396)</f>
        <v>165</v>
      </c>
      <c r="S397" s="12">
        <f t="shared" si="407"/>
        <v>77</v>
      </c>
      <c r="T397" s="12">
        <f t="shared" si="407"/>
        <v>71</v>
      </c>
      <c r="U397" s="12">
        <f t="shared" si="407"/>
        <v>44</v>
      </c>
      <c r="V397" s="12">
        <f t="shared" si="407"/>
        <v>39</v>
      </c>
      <c r="X397" s="13">
        <f> 'Optimal Choice'!$B$5*'Optimal Choice'!$B$6^(R397+1)</f>
        <v>301833.2549</v>
      </c>
      <c r="Y397" s="13">
        <f> 'Optimal Choice'!$B$10*'Optimal Choice'!$B$11^(S397+1)</f>
        <v>3255238.385</v>
      </c>
      <c r="Z397" s="13">
        <f> 'Optimal Choice'!$B$15*'Optimal Choice'!$B$16^(T397+1)</f>
        <v>9004960.096</v>
      </c>
      <c r="AA397" s="13">
        <f> 'Optimal Choice'!$B$20*'Optimal Choice'!$B$21^(U397+1)</f>
        <v>2113701.712</v>
      </c>
      <c r="AB397" s="13">
        <f> 'Optimal Choice'!$B$25*'Optimal Choice'!$B$26^(V397+1)</f>
        <v>9647524.615</v>
      </c>
      <c r="AE397" s="12">
        <f t="shared" si="4"/>
        <v>60</v>
      </c>
      <c r="AF397" s="12">
        <f t="shared" si="5"/>
        <v>50</v>
      </c>
      <c r="AG397" s="12">
        <f t="shared" si="6"/>
        <v>32</v>
      </c>
      <c r="AH397" s="12">
        <f t="shared" si="7"/>
        <v>2</v>
      </c>
      <c r="AI397" s="12">
        <f t="shared" si="8"/>
        <v>1.5</v>
      </c>
      <c r="AL397" s="14">
        <f>R397*'Optimal Choice'!$B$4*AE397</f>
        <v>16533</v>
      </c>
      <c r="AM397" s="14">
        <f>S397*'Optimal Choice'!$B$9*AF397</f>
        <v>77000</v>
      </c>
      <c r="AN397" s="14">
        <f>T397*'Optimal Choice'!$B$14*AG397</f>
        <v>204480</v>
      </c>
      <c r="AO397" s="14">
        <f>U397*'Optimal Choice'!$B$19*AH397</f>
        <v>31680</v>
      </c>
      <c r="AP397" s="14">
        <f>V397*'Optimal Choice'!$B$24*AI397</f>
        <v>126360</v>
      </c>
      <c r="AS397" s="12">
        <f t="shared" si="9"/>
        <v>60</v>
      </c>
      <c r="AT397" s="12">
        <f t="shared" si="10"/>
        <v>50</v>
      </c>
      <c r="AU397" s="12">
        <f t="shared" si="11"/>
        <v>32</v>
      </c>
      <c r="AV397" s="12">
        <f t="shared" si="12"/>
        <v>2</v>
      </c>
      <c r="AW397" s="12">
        <f t="shared" si="13"/>
        <v>1.5</v>
      </c>
      <c r="AY397" s="11">
        <f t="shared" si="14"/>
        <v>0.1036744465</v>
      </c>
    </row>
    <row r="398" ht="15.75" customHeight="1">
      <c r="A398" s="15">
        <f t="shared" si="2"/>
        <v>15.77048454</v>
      </c>
      <c r="B398" s="7">
        <f>(sum(AL398:AP398))*'Optimal Choice'!$B$28</f>
        <v>456773</v>
      </c>
      <c r="C398" s="11"/>
      <c r="D398" s="12"/>
      <c r="E398" s="12"/>
      <c r="F398" s="11"/>
      <c r="G398" s="11"/>
      <c r="H398" s="11"/>
      <c r="I398" s="11"/>
      <c r="J398" s="11"/>
      <c r="K398" s="11">
        <f>(X398/$B398)+(X398/('Optimal Choice'!$B$4*AS398))</f>
        <v>3012.968728</v>
      </c>
      <c r="L398" s="11">
        <f>(Y398/$B398)+(Y398/('Optimal Choice'!$B$9*AT398))</f>
        <v>3262.364985</v>
      </c>
      <c r="M398" s="11">
        <f>(Z398/$B398)+(Z398/('Optimal Choice'!$B$14*AU398))</f>
        <v>3146.436556</v>
      </c>
      <c r="N398" s="11">
        <f>(AA398/$B398)+(AA398/('Optimal Choice'!$B$19*AV398))</f>
        <v>3322.566447</v>
      </c>
      <c r="O398" s="11">
        <f>(AB398/$B398)+(AB398/('Optimal Choice'!$B$24*AW398))</f>
        <v>2998.752102</v>
      </c>
      <c r="R398" s="12">
        <f t="shared" ref="R398:V398" si="408">if(min($K397:$O397)=K397,R397+1,R397)</f>
        <v>165</v>
      </c>
      <c r="S398" s="12">
        <f t="shared" si="408"/>
        <v>77</v>
      </c>
      <c r="T398" s="12">
        <f t="shared" si="408"/>
        <v>71</v>
      </c>
      <c r="U398" s="12">
        <f t="shared" si="408"/>
        <v>45</v>
      </c>
      <c r="V398" s="12">
        <f t="shared" si="408"/>
        <v>39</v>
      </c>
      <c r="X398" s="13">
        <f> 'Optimal Choice'!$B$5*'Optimal Choice'!$B$6^(R398+1)</f>
        <v>301833.2549</v>
      </c>
      <c r="Y398" s="13">
        <f> 'Optimal Choice'!$B$10*'Optimal Choice'!$B$11^(S398+1)</f>
        <v>3255238.385</v>
      </c>
      <c r="Z398" s="13">
        <f> 'Optimal Choice'!$B$15*'Optimal Choice'!$B$16^(T398+1)</f>
        <v>9004960.096</v>
      </c>
      <c r="AA398" s="13">
        <f> 'Optimal Choice'!$B$20*'Optimal Choice'!$B$21^(U398+1)</f>
        <v>2388482.935</v>
      </c>
      <c r="AB398" s="13">
        <f> 'Optimal Choice'!$B$25*'Optimal Choice'!$B$26^(V398+1)</f>
        <v>9647524.615</v>
      </c>
      <c r="AE398" s="12">
        <f t="shared" si="4"/>
        <v>60</v>
      </c>
      <c r="AF398" s="12">
        <f t="shared" si="5"/>
        <v>50</v>
      </c>
      <c r="AG398" s="12">
        <f t="shared" si="6"/>
        <v>32</v>
      </c>
      <c r="AH398" s="12">
        <f t="shared" si="7"/>
        <v>2</v>
      </c>
      <c r="AI398" s="12">
        <f t="shared" si="8"/>
        <v>1.5</v>
      </c>
      <c r="AL398" s="14">
        <f>R398*'Optimal Choice'!$B$4*AE398</f>
        <v>16533</v>
      </c>
      <c r="AM398" s="14">
        <f>S398*'Optimal Choice'!$B$9*AF398</f>
        <v>77000</v>
      </c>
      <c r="AN398" s="14">
        <f>T398*'Optimal Choice'!$B$14*AG398</f>
        <v>204480</v>
      </c>
      <c r="AO398" s="14">
        <f>U398*'Optimal Choice'!$B$19*AH398</f>
        <v>32400</v>
      </c>
      <c r="AP398" s="14">
        <f>V398*'Optimal Choice'!$B$24*AI398</f>
        <v>126360</v>
      </c>
      <c r="AS398" s="12">
        <f t="shared" si="9"/>
        <v>60</v>
      </c>
      <c r="AT398" s="12">
        <f t="shared" si="10"/>
        <v>50</v>
      </c>
      <c r="AU398" s="12">
        <f t="shared" si="11"/>
        <v>32</v>
      </c>
      <c r="AV398" s="12">
        <f t="shared" si="12"/>
        <v>2</v>
      </c>
      <c r="AW398" s="12">
        <f t="shared" si="13"/>
        <v>1.5</v>
      </c>
      <c r="AY398" s="11">
        <f t="shared" si="14"/>
        <v>0.07724620137</v>
      </c>
    </row>
    <row r="399" ht="15.75" customHeight="1">
      <c r="A399" s="15">
        <f t="shared" si="2"/>
        <v>16.12250201</v>
      </c>
      <c r="B399" s="7">
        <f>(sum(AL399:AP399))*'Optimal Choice'!$B$28</f>
        <v>460013</v>
      </c>
      <c r="C399" s="11"/>
      <c r="D399" s="12"/>
      <c r="E399" s="12"/>
      <c r="F399" s="11"/>
      <c r="G399" s="11"/>
      <c r="H399" s="11"/>
      <c r="I399" s="11"/>
      <c r="J399" s="11"/>
      <c r="K399" s="11">
        <f>(X399/$B399)+(X399/('Optimal Choice'!$B$4*AS399))</f>
        <v>3012.964074</v>
      </c>
      <c r="L399" s="11">
        <f>(Y399/$B399)+(Y399/('Optimal Choice'!$B$9*AT399))</f>
        <v>3262.31479</v>
      </c>
      <c r="M399" s="11">
        <f>(Z399/$B399)+(Z399/('Optimal Choice'!$B$14*AU399))</f>
        <v>3146.297703</v>
      </c>
      <c r="N399" s="11">
        <f>(AA399/$B399)+(AA399/('Optimal Choice'!$B$19*AV399))</f>
        <v>3322.529617</v>
      </c>
      <c r="O399" s="11">
        <f>(AB399/$B399)+(AB399/('Optimal Choice'!$B$24*AW399))</f>
        <v>3358.435742</v>
      </c>
      <c r="R399" s="12">
        <f t="shared" ref="R399:V399" si="409">if(min($K398:$O398)=K398,R398+1,R398)</f>
        <v>165</v>
      </c>
      <c r="S399" s="12">
        <f t="shared" si="409"/>
        <v>77</v>
      </c>
      <c r="T399" s="12">
        <f t="shared" si="409"/>
        <v>71</v>
      </c>
      <c r="U399" s="12">
        <f t="shared" si="409"/>
        <v>45</v>
      </c>
      <c r="V399" s="12">
        <f t="shared" si="409"/>
        <v>40</v>
      </c>
      <c r="X399" s="13">
        <f> 'Optimal Choice'!$B$5*'Optimal Choice'!$B$6^(R399+1)</f>
        <v>301833.2549</v>
      </c>
      <c r="Y399" s="13">
        <f> 'Optimal Choice'!$B$10*'Optimal Choice'!$B$11^(S399+1)</f>
        <v>3255238.385</v>
      </c>
      <c r="Z399" s="13">
        <f> 'Optimal Choice'!$B$15*'Optimal Choice'!$B$16^(T399+1)</f>
        <v>9004960.096</v>
      </c>
      <c r="AA399" s="13">
        <f> 'Optimal Choice'!$B$20*'Optimal Choice'!$B$21^(U399+1)</f>
        <v>2388482.935</v>
      </c>
      <c r="AB399" s="13">
        <f> 'Optimal Choice'!$B$25*'Optimal Choice'!$B$26^(V399+1)</f>
        <v>10805227.57</v>
      </c>
      <c r="AE399" s="12">
        <f t="shared" si="4"/>
        <v>60</v>
      </c>
      <c r="AF399" s="12">
        <f t="shared" si="5"/>
        <v>50</v>
      </c>
      <c r="AG399" s="12">
        <f t="shared" si="6"/>
        <v>32</v>
      </c>
      <c r="AH399" s="12">
        <f t="shared" si="7"/>
        <v>2</v>
      </c>
      <c r="AI399" s="12">
        <f t="shared" si="8"/>
        <v>1.5</v>
      </c>
      <c r="AL399" s="14">
        <f>R399*'Optimal Choice'!$B$4*AE399</f>
        <v>16533</v>
      </c>
      <c r="AM399" s="14">
        <f>S399*'Optimal Choice'!$B$9*AF399</f>
        <v>77000</v>
      </c>
      <c r="AN399" s="14">
        <f>T399*'Optimal Choice'!$B$14*AG399</f>
        <v>204480</v>
      </c>
      <c r="AO399" s="14">
        <f>U399*'Optimal Choice'!$B$19*AH399</f>
        <v>32400</v>
      </c>
      <c r="AP399" s="14">
        <f>V399*'Optimal Choice'!$B$24*AI399</f>
        <v>129600</v>
      </c>
      <c r="AS399" s="12">
        <f t="shared" si="9"/>
        <v>60</v>
      </c>
      <c r="AT399" s="12">
        <f t="shared" si="10"/>
        <v>50</v>
      </c>
      <c r="AU399" s="12">
        <f t="shared" si="11"/>
        <v>32</v>
      </c>
      <c r="AV399" s="12">
        <f t="shared" si="12"/>
        <v>2</v>
      </c>
      <c r="AW399" s="12">
        <f t="shared" si="13"/>
        <v>1.5</v>
      </c>
      <c r="AY399" s="11">
        <f t="shared" si="14"/>
        <v>0.3520174724</v>
      </c>
    </row>
    <row r="400" ht="15.75" customHeight="1">
      <c r="A400" s="15">
        <f t="shared" si="2"/>
        <v>16.13343769</v>
      </c>
      <c r="B400" s="7">
        <f>(sum(AL400:AP400))*'Optimal Choice'!$B$28</f>
        <v>460113.2</v>
      </c>
      <c r="C400" s="11"/>
      <c r="D400" s="12"/>
      <c r="E400" s="12"/>
      <c r="F400" s="11"/>
      <c r="G400" s="11"/>
      <c r="H400" s="11"/>
      <c r="I400" s="11"/>
      <c r="J400" s="11"/>
      <c r="K400" s="11">
        <f>(X400/$B400)+(X400/('Optimal Choice'!$B$4*AS400))</f>
        <v>3223.871406</v>
      </c>
      <c r="L400" s="11">
        <f>(Y400/$B400)+(Y400/('Optimal Choice'!$B$9*AT400))</f>
        <v>3262.313249</v>
      </c>
      <c r="M400" s="11">
        <f>(Z400/$B400)+(Z400/('Optimal Choice'!$B$14*AU400))</f>
        <v>3146.29344</v>
      </c>
      <c r="N400" s="11">
        <f>(AA400/$B400)+(AA400/('Optimal Choice'!$B$19*AV400))</f>
        <v>3322.528486</v>
      </c>
      <c r="O400" s="11">
        <f>(AB400/$B400)+(AB400/('Optimal Choice'!$B$24*AW400))</f>
        <v>3358.430627</v>
      </c>
      <c r="R400" s="12">
        <f t="shared" ref="R400:V400" si="410">if(min($K399:$O399)=K399,R399+1,R399)</f>
        <v>166</v>
      </c>
      <c r="S400" s="12">
        <f t="shared" si="410"/>
        <v>77</v>
      </c>
      <c r="T400" s="12">
        <f t="shared" si="410"/>
        <v>71</v>
      </c>
      <c r="U400" s="12">
        <f t="shared" si="410"/>
        <v>45</v>
      </c>
      <c r="V400" s="12">
        <f t="shared" si="410"/>
        <v>40</v>
      </c>
      <c r="X400" s="13">
        <f> 'Optimal Choice'!$B$5*'Optimal Choice'!$B$6^(R400+1)</f>
        <v>322961.5827</v>
      </c>
      <c r="Y400" s="13">
        <f> 'Optimal Choice'!$B$10*'Optimal Choice'!$B$11^(S400+1)</f>
        <v>3255238.385</v>
      </c>
      <c r="Z400" s="13">
        <f> 'Optimal Choice'!$B$15*'Optimal Choice'!$B$16^(T400+1)</f>
        <v>9004960.096</v>
      </c>
      <c r="AA400" s="13">
        <f> 'Optimal Choice'!$B$20*'Optimal Choice'!$B$21^(U400+1)</f>
        <v>2388482.935</v>
      </c>
      <c r="AB400" s="13">
        <f> 'Optimal Choice'!$B$25*'Optimal Choice'!$B$26^(V400+1)</f>
        <v>10805227.57</v>
      </c>
      <c r="AE400" s="12">
        <f t="shared" si="4"/>
        <v>60</v>
      </c>
      <c r="AF400" s="12">
        <f t="shared" si="5"/>
        <v>50</v>
      </c>
      <c r="AG400" s="12">
        <f t="shared" si="6"/>
        <v>32</v>
      </c>
      <c r="AH400" s="12">
        <f t="shared" si="7"/>
        <v>2</v>
      </c>
      <c r="AI400" s="12">
        <f t="shared" si="8"/>
        <v>1.5</v>
      </c>
      <c r="AL400" s="14">
        <f>R400*'Optimal Choice'!$B$4*AE400</f>
        <v>16633.2</v>
      </c>
      <c r="AM400" s="14">
        <f>S400*'Optimal Choice'!$B$9*AF400</f>
        <v>77000</v>
      </c>
      <c r="AN400" s="14">
        <f>T400*'Optimal Choice'!$B$14*AG400</f>
        <v>204480</v>
      </c>
      <c r="AO400" s="14">
        <f>U400*'Optimal Choice'!$B$19*AH400</f>
        <v>32400</v>
      </c>
      <c r="AP400" s="14">
        <f>V400*'Optimal Choice'!$B$24*AI400</f>
        <v>129600</v>
      </c>
      <c r="AS400" s="12">
        <f t="shared" si="9"/>
        <v>60</v>
      </c>
      <c r="AT400" s="12">
        <f t="shared" si="10"/>
        <v>50</v>
      </c>
      <c r="AU400" s="12">
        <f t="shared" si="11"/>
        <v>32</v>
      </c>
      <c r="AV400" s="12">
        <f t="shared" si="12"/>
        <v>2</v>
      </c>
      <c r="AW400" s="12">
        <f t="shared" si="13"/>
        <v>1.5</v>
      </c>
      <c r="AY400" s="11">
        <f t="shared" si="14"/>
        <v>0.01093567844</v>
      </c>
    </row>
    <row r="401" ht="15.75" customHeight="1">
      <c r="A401" s="15">
        <f t="shared" si="2"/>
        <v>16.45962409</v>
      </c>
      <c r="B401" s="7">
        <f>(sum(AL401:AP401))*'Optimal Choice'!$B$28</f>
        <v>462993.2</v>
      </c>
      <c r="C401" s="11"/>
      <c r="D401" s="12"/>
      <c r="E401" s="12"/>
      <c r="F401" s="11"/>
      <c r="G401" s="11"/>
      <c r="H401" s="11"/>
      <c r="I401" s="11"/>
      <c r="J401" s="11"/>
      <c r="K401" s="11">
        <f>(X401/$B401)+(X401/('Optimal Choice'!$B$4*AS401))</f>
        <v>3223.86704</v>
      </c>
      <c r="L401" s="11">
        <f>(Y401/$B401)+(Y401/('Optimal Choice'!$B$9*AT401))</f>
        <v>3262.269241</v>
      </c>
      <c r="M401" s="11">
        <f>(Z401/$B401)+(Z401/('Optimal Choice'!$B$14*AU401))</f>
        <v>3586.635737</v>
      </c>
      <c r="N401" s="11">
        <f>(AA401/$B401)+(AA401/('Optimal Choice'!$B$19*AV401))</f>
        <v>3322.496196</v>
      </c>
      <c r="O401" s="11">
        <f>(AB401/$B401)+(AB401/('Optimal Choice'!$B$24*AW401))</f>
        <v>3358.284548</v>
      </c>
      <c r="R401" s="12">
        <f t="shared" ref="R401:V401" si="411">if(min($K400:$O400)=K400,R400+1,R400)</f>
        <v>166</v>
      </c>
      <c r="S401" s="12">
        <f t="shared" si="411"/>
        <v>77</v>
      </c>
      <c r="T401" s="12">
        <f t="shared" si="411"/>
        <v>72</v>
      </c>
      <c r="U401" s="12">
        <f t="shared" si="411"/>
        <v>45</v>
      </c>
      <c r="V401" s="12">
        <f t="shared" si="411"/>
        <v>40</v>
      </c>
      <c r="X401" s="13">
        <f> 'Optimal Choice'!$B$5*'Optimal Choice'!$B$6^(R401+1)</f>
        <v>322961.5827</v>
      </c>
      <c r="Y401" s="13">
        <f> 'Optimal Choice'!$B$10*'Optimal Choice'!$B$11^(S401+1)</f>
        <v>3255238.385</v>
      </c>
      <c r="Z401" s="13">
        <f> 'Optimal Choice'!$B$15*'Optimal Choice'!$B$16^(T401+1)</f>
        <v>10265654.51</v>
      </c>
      <c r="AA401" s="13">
        <f> 'Optimal Choice'!$B$20*'Optimal Choice'!$B$21^(U401+1)</f>
        <v>2388482.935</v>
      </c>
      <c r="AB401" s="13">
        <f> 'Optimal Choice'!$B$25*'Optimal Choice'!$B$26^(V401+1)</f>
        <v>10805227.57</v>
      </c>
      <c r="AE401" s="12">
        <f t="shared" si="4"/>
        <v>60</v>
      </c>
      <c r="AF401" s="12">
        <f t="shared" si="5"/>
        <v>50</v>
      </c>
      <c r="AG401" s="12">
        <f t="shared" si="6"/>
        <v>32</v>
      </c>
      <c r="AH401" s="12">
        <f t="shared" si="7"/>
        <v>2</v>
      </c>
      <c r="AI401" s="12">
        <f t="shared" si="8"/>
        <v>1.5</v>
      </c>
      <c r="AL401" s="14">
        <f>R401*'Optimal Choice'!$B$4*AE401</f>
        <v>16633.2</v>
      </c>
      <c r="AM401" s="14">
        <f>S401*'Optimal Choice'!$B$9*AF401</f>
        <v>77000</v>
      </c>
      <c r="AN401" s="14">
        <f>T401*'Optimal Choice'!$B$14*AG401</f>
        <v>207360</v>
      </c>
      <c r="AO401" s="14">
        <f>U401*'Optimal Choice'!$B$19*AH401</f>
        <v>32400</v>
      </c>
      <c r="AP401" s="14">
        <f>V401*'Optimal Choice'!$B$24*AI401</f>
        <v>129600</v>
      </c>
      <c r="AS401" s="12">
        <f t="shared" si="9"/>
        <v>60</v>
      </c>
      <c r="AT401" s="12">
        <f t="shared" si="10"/>
        <v>50</v>
      </c>
      <c r="AU401" s="12">
        <f t="shared" si="11"/>
        <v>32</v>
      </c>
      <c r="AV401" s="12">
        <f t="shared" si="12"/>
        <v>2</v>
      </c>
      <c r="AW401" s="12">
        <f t="shared" si="13"/>
        <v>1.5</v>
      </c>
      <c r="AY401" s="11">
        <f t="shared" si="14"/>
        <v>0.3261863999</v>
      </c>
    </row>
    <row r="402" ht="15.75" customHeight="1">
      <c r="A402" s="15">
        <f t="shared" si="2"/>
        <v>16.47124995</v>
      </c>
      <c r="B402" s="7">
        <f>(sum(AL402:AP402))*'Optimal Choice'!$B$28</f>
        <v>463093.4</v>
      </c>
      <c r="C402" s="11"/>
      <c r="D402" s="12"/>
      <c r="E402" s="12"/>
      <c r="F402" s="11"/>
      <c r="G402" s="11"/>
      <c r="H402" s="11"/>
      <c r="I402" s="11"/>
      <c r="J402" s="11"/>
      <c r="K402" s="11">
        <f>(X402/$B402)+(X402/('Optimal Choice'!$B$4*AS402))</f>
        <v>3449.537571</v>
      </c>
      <c r="L402" s="11">
        <f>(Y402/$B402)+(Y402/('Optimal Choice'!$B$9*AT402))</f>
        <v>3262.267719</v>
      </c>
      <c r="M402" s="11">
        <f>(Z402/$B402)+(Z402/('Optimal Choice'!$B$14*AU402))</f>
        <v>3586.63094</v>
      </c>
      <c r="N402" s="11">
        <f>(AA402/$B402)+(AA402/('Optimal Choice'!$B$19*AV402))</f>
        <v>3322.49508</v>
      </c>
      <c r="O402" s="11">
        <f>(AB402/$B402)+(AB402/('Optimal Choice'!$B$24*AW402))</f>
        <v>3358.279498</v>
      </c>
      <c r="R402" s="12">
        <f t="shared" ref="R402:V402" si="412">if(min($K401:$O401)=K401,R401+1,R401)</f>
        <v>167</v>
      </c>
      <c r="S402" s="12">
        <f t="shared" si="412"/>
        <v>77</v>
      </c>
      <c r="T402" s="12">
        <f t="shared" si="412"/>
        <v>72</v>
      </c>
      <c r="U402" s="12">
        <f t="shared" si="412"/>
        <v>45</v>
      </c>
      <c r="V402" s="12">
        <f t="shared" si="412"/>
        <v>40</v>
      </c>
      <c r="X402" s="13">
        <f> 'Optimal Choice'!$B$5*'Optimal Choice'!$B$6^(R402+1)</f>
        <v>345568.8935</v>
      </c>
      <c r="Y402" s="13">
        <f> 'Optimal Choice'!$B$10*'Optimal Choice'!$B$11^(S402+1)</f>
        <v>3255238.385</v>
      </c>
      <c r="Z402" s="13">
        <f> 'Optimal Choice'!$B$15*'Optimal Choice'!$B$16^(T402+1)</f>
        <v>10265654.51</v>
      </c>
      <c r="AA402" s="13">
        <f> 'Optimal Choice'!$B$20*'Optimal Choice'!$B$21^(U402+1)</f>
        <v>2388482.935</v>
      </c>
      <c r="AB402" s="13">
        <f> 'Optimal Choice'!$B$25*'Optimal Choice'!$B$26^(V402+1)</f>
        <v>10805227.57</v>
      </c>
      <c r="AE402" s="12">
        <f t="shared" si="4"/>
        <v>60</v>
      </c>
      <c r="AF402" s="12">
        <f t="shared" si="5"/>
        <v>50</v>
      </c>
      <c r="AG402" s="12">
        <f t="shared" si="6"/>
        <v>32</v>
      </c>
      <c r="AH402" s="12">
        <f t="shared" si="7"/>
        <v>2</v>
      </c>
      <c r="AI402" s="12">
        <f t="shared" si="8"/>
        <v>1.5</v>
      </c>
      <c r="AL402" s="14">
        <f>R402*'Optimal Choice'!$B$4*AE402</f>
        <v>16733.4</v>
      </c>
      <c r="AM402" s="14">
        <f>S402*'Optimal Choice'!$B$9*AF402</f>
        <v>77000</v>
      </c>
      <c r="AN402" s="14">
        <f>T402*'Optimal Choice'!$B$14*AG402</f>
        <v>207360</v>
      </c>
      <c r="AO402" s="14">
        <f>U402*'Optimal Choice'!$B$19*AH402</f>
        <v>32400</v>
      </c>
      <c r="AP402" s="14">
        <f>V402*'Optimal Choice'!$B$24*AI402</f>
        <v>129600</v>
      </c>
      <c r="AS402" s="12">
        <f t="shared" si="9"/>
        <v>60</v>
      </c>
      <c r="AT402" s="12">
        <f t="shared" si="10"/>
        <v>50</v>
      </c>
      <c r="AU402" s="12">
        <f t="shared" si="11"/>
        <v>32</v>
      </c>
      <c r="AV402" s="12">
        <f t="shared" si="12"/>
        <v>2</v>
      </c>
      <c r="AW402" s="12">
        <f t="shared" si="13"/>
        <v>1.5</v>
      </c>
      <c r="AY402" s="11">
        <f t="shared" si="14"/>
        <v>0.01162585767</v>
      </c>
    </row>
    <row r="403" ht="15.75" customHeight="1">
      <c r="A403" s="15">
        <f t="shared" si="2"/>
        <v>16.58840552</v>
      </c>
      <c r="B403" s="7">
        <f>(sum(AL403:AP403))*'Optimal Choice'!$B$28</f>
        <v>464093.4</v>
      </c>
      <c r="C403" s="11"/>
      <c r="D403" s="12"/>
      <c r="E403" s="12"/>
      <c r="F403" s="11"/>
      <c r="G403" s="11"/>
      <c r="H403" s="11"/>
      <c r="I403" s="11"/>
      <c r="J403" s="11"/>
      <c r="K403" s="11">
        <f>(X403/$B403)+(X403/('Optimal Choice'!$B$4*AS403))</f>
        <v>3449.535963</v>
      </c>
      <c r="L403" s="11">
        <f>(Y403/$B403)+(Y403/('Optimal Choice'!$B$9*AT403))</f>
        <v>3751.590459</v>
      </c>
      <c r="M403" s="11">
        <f>(Z403/$B403)+(Z403/('Optimal Choice'!$B$14*AU403))</f>
        <v>3586.583174</v>
      </c>
      <c r="N403" s="11">
        <f>(AA403/$B403)+(AA403/('Optimal Choice'!$B$19*AV403))</f>
        <v>3322.483966</v>
      </c>
      <c r="O403" s="11">
        <f>(AB403/$B403)+(AB403/('Optimal Choice'!$B$24*AW403))</f>
        <v>3358.229222</v>
      </c>
      <c r="R403" s="12">
        <f t="shared" ref="R403:V403" si="413">if(min($K402:$O402)=K402,R402+1,R402)</f>
        <v>167</v>
      </c>
      <c r="S403" s="12">
        <f t="shared" si="413"/>
        <v>78</v>
      </c>
      <c r="T403" s="12">
        <f t="shared" si="413"/>
        <v>72</v>
      </c>
      <c r="U403" s="12">
        <f t="shared" si="413"/>
        <v>45</v>
      </c>
      <c r="V403" s="12">
        <f t="shared" si="413"/>
        <v>40</v>
      </c>
      <c r="X403" s="13">
        <f> 'Optimal Choice'!$B$5*'Optimal Choice'!$B$6^(R403+1)</f>
        <v>345568.8935</v>
      </c>
      <c r="Y403" s="13">
        <f> 'Optimal Choice'!$B$10*'Optimal Choice'!$B$11^(S403+1)</f>
        <v>3743524.143</v>
      </c>
      <c r="Z403" s="13">
        <f> 'Optimal Choice'!$B$15*'Optimal Choice'!$B$16^(T403+1)</f>
        <v>10265654.51</v>
      </c>
      <c r="AA403" s="13">
        <f> 'Optimal Choice'!$B$20*'Optimal Choice'!$B$21^(U403+1)</f>
        <v>2388482.935</v>
      </c>
      <c r="AB403" s="13">
        <f> 'Optimal Choice'!$B$25*'Optimal Choice'!$B$26^(V403+1)</f>
        <v>10805227.57</v>
      </c>
      <c r="AE403" s="12">
        <f t="shared" si="4"/>
        <v>60</v>
      </c>
      <c r="AF403" s="12">
        <f t="shared" si="5"/>
        <v>50</v>
      </c>
      <c r="AG403" s="12">
        <f t="shared" si="6"/>
        <v>32</v>
      </c>
      <c r="AH403" s="12">
        <f t="shared" si="7"/>
        <v>2</v>
      </c>
      <c r="AI403" s="12">
        <f t="shared" si="8"/>
        <v>1.5</v>
      </c>
      <c r="AL403" s="14">
        <f>R403*'Optimal Choice'!$B$4*AE403</f>
        <v>16733.4</v>
      </c>
      <c r="AM403" s="14">
        <f>S403*'Optimal Choice'!$B$9*AF403</f>
        <v>78000</v>
      </c>
      <c r="AN403" s="14">
        <f>T403*'Optimal Choice'!$B$14*AG403</f>
        <v>207360</v>
      </c>
      <c r="AO403" s="14">
        <f>U403*'Optimal Choice'!$B$19*AH403</f>
        <v>32400</v>
      </c>
      <c r="AP403" s="14">
        <f>V403*'Optimal Choice'!$B$24*AI403</f>
        <v>129600</v>
      </c>
      <c r="AS403" s="12">
        <f t="shared" si="9"/>
        <v>60</v>
      </c>
      <c r="AT403" s="12">
        <f t="shared" si="10"/>
        <v>50</v>
      </c>
      <c r="AU403" s="12">
        <f t="shared" si="11"/>
        <v>32</v>
      </c>
      <c r="AV403" s="12">
        <f t="shared" si="12"/>
        <v>2</v>
      </c>
      <c r="AW403" s="12">
        <f t="shared" si="13"/>
        <v>1.5</v>
      </c>
      <c r="AY403" s="11">
        <f t="shared" si="14"/>
        <v>0.117155574</v>
      </c>
    </row>
    <row r="404" ht="15.75" customHeight="1">
      <c r="A404" s="15">
        <f t="shared" si="2"/>
        <v>16.67418147</v>
      </c>
      <c r="B404" s="7">
        <f>(sum(AL404:AP404))*'Optimal Choice'!$B$28</f>
        <v>464813.4</v>
      </c>
      <c r="C404" s="11"/>
      <c r="D404" s="12"/>
      <c r="E404" s="12"/>
      <c r="F404" s="11"/>
      <c r="G404" s="11"/>
      <c r="H404" s="11"/>
      <c r="I404" s="11"/>
      <c r="J404" s="11"/>
      <c r="K404" s="11">
        <f>(X404/$B404)+(X404/('Optimal Choice'!$B$4*AS404))</f>
        <v>3449.53481</v>
      </c>
      <c r="L404" s="11">
        <f>(Y404/$B404)+(Y404/('Optimal Choice'!$B$9*AT404))</f>
        <v>3751.577964</v>
      </c>
      <c r="M404" s="11">
        <f>(Z404/$B404)+(Z404/('Optimal Choice'!$B$14*AU404))</f>
        <v>3586.54891</v>
      </c>
      <c r="N404" s="11">
        <f>(AA404/$B404)+(AA404/('Optimal Choice'!$B$19*AV404))</f>
        <v>3754.397873</v>
      </c>
      <c r="O404" s="11">
        <f>(AB404/$B404)+(AB404/('Optimal Choice'!$B$24*AW404))</f>
        <v>3358.193158</v>
      </c>
      <c r="R404" s="12">
        <f t="shared" ref="R404:V404" si="414">if(min($K403:$O403)=K403,R403+1,R403)</f>
        <v>167</v>
      </c>
      <c r="S404" s="12">
        <f t="shared" si="414"/>
        <v>78</v>
      </c>
      <c r="T404" s="12">
        <f t="shared" si="414"/>
        <v>72</v>
      </c>
      <c r="U404" s="12">
        <f t="shared" si="414"/>
        <v>46</v>
      </c>
      <c r="V404" s="12">
        <f t="shared" si="414"/>
        <v>40</v>
      </c>
      <c r="X404" s="13">
        <f> 'Optimal Choice'!$B$5*'Optimal Choice'!$B$6^(R404+1)</f>
        <v>345568.8935</v>
      </c>
      <c r="Y404" s="13">
        <f> 'Optimal Choice'!$B$10*'Optimal Choice'!$B$11^(S404+1)</f>
        <v>3743524.143</v>
      </c>
      <c r="Z404" s="13">
        <f> 'Optimal Choice'!$B$15*'Optimal Choice'!$B$16^(T404+1)</f>
        <v>10265654.51</v>
      </c>
      <c r="AA404" s="13">
        <f> 'Optimal Choice'!$B$20*'Optimal Choice'!$B$21^(U404+1)</f>
        <v>2698985.716</v>
      </c>
      <c r="AB404" s="13">
        <f> 'Optimal Choice'!$B$25*'Optimal Choice'!$B$26^(V404+1)</f>
        <v>10805227.57</v>
      </c>
      <c r="AE404" s="12">
        <f t="shared" si="4"/>
        <v>60</v>
      </c>
      <c r="AF404" s="12">
        <f t="shared" si="5"/>
        <v>50</v>
      </c>
      <c r="AG404" s="12">
        <f t="shared" si="6"/>
        <v>32</v>
      </c>
      <c r="AH404" s="12">
        <f t="shared" si="7"/>
        <v>2</v>
      </c>
      <c r="AI404" s="12">
        <f t="shared" si="8"/>
        <v>1.5</v>
      </c>
      <c r="AL404" s="14">
        <f>R404*'Optimal Choice'!$B$4*AE404</f>
        <v>16733.4</v>
      </c>
      <c r="AM404" s="14">
        <f>S404*'Optimal Choice'!$B$9*AF404</f>
        <v>78000</v>
      </c>
      <c r="AN404" s="14">
        <f>T404*'Optimal Choice'!$B$14*AG404</f>
        <v>207360</v>
      </c>
      <c r="AO404" s="14">
        <f>U404*'Optimal Choice'!$B$19*AH404</f>
        <v>33120</v>
      </c>
      <c r="AP404" s="14">
        <f>V404*'Optimal Choice'!$B$24*AI404</f>
        <v>129600</v>
      </c>
      <c r="AS404" s="12">
        <f t="shared" si="9"/>
        <v>60</v>
      </c>
      <c r="AT404" s="12">
        <f t="shared" si="10"/>
        <v>50</v>
      </c>
      <c r="AU404" s="12">
        <f t="shared" si="11"/>
        <v>32</v>
      </c>
      <c r="AV404" s="12">
        <f t="shared" si="12"/>
        <v>2</v>
      </c>
      <c r="AW404" s="12">
        <f t="shared" si="13"/>
        <v>1.5</v>
      </c>
      <c r="AY404" s="11">
        <f t="shared" si="14"/>
        <v>0.08577594276</v>
      </c>
    </row>
    <row r="405" ht="15.75" customHeight="1">
      <c r="A405" s="15">
        <f t="shared" si="2"/>
        <v>17.06162109</v>
      </c>
      <c r="B405" s="7">
        <f>(sum(AL405:AP405))*'Optimal Choice'!$B$28</f>
        <v>468053.4</v>
      </c>
      <c r="C405" s="11"/>
      <c r="D405" s="12"/>
      <c r="E405" s="12"/>
      <c r="F405" s="11"/>
      <c r="G405" s="11"/>
      <c r="H405" s="11"/>
      <c r="I405" s="11"/>
      <c r="J405" s="11"/>
      <c r="K405" s="11">
        <f>(X405/$B405)+(X405/('Optimal Choice'!$B$4*AS405))</f>
        <v>3449.529663</v>
      </c>
      <c r="L405" s="11">
        <f>(Y405/$B405)+(Y405/('Optimal Choice'!$B$9*AT405))</f>
        <v>3751.522213</v>
      </c>
      <c r="M405" s="11">
        <f>(Z405/$B405)+(Z405/('Optimal Choice'!$B$14*AU405))</f>
        <v>3586.396028</v>
      </c>
      <c r="N405" s="11">
        <f>(AA405/$B405)+(AA405/('Optimal Choice'!$B$19*AV405))</f>
        <v>3754.357678</v>
      </c>
      <c r="O405" s="11">
        <f>(AB405/$B405)+(AB405/('Optimal Choice'!$B$24*AW405))</f>
        <v>3760.996108</v>
      </c>
      <c r="R405" s="12">
        <f t="shared" ref="R405:V405" si="415">if(min($K404:$O404)=K404,R404+1,R404)</f>
        <v>167</v>
      </c>
      <c r="S405" s="12">
        <f t="shared" si="415"/>
        <v>78</v>
      </c>
      <c r="T405" s="12">
        <f t="shared" si="415"/>
        <v>72</v>
      </c>
      <c r="U405" s="12">
        <f t="shared" si="415"/>
        <v>46</v>
      </c>
      <c r="V405" s="12">
        <f t="shared" si="415"/>
        <v>41</v>
      </c>
      <c r="X405" s="13">
        <f> 'Optimal Choice'!$B$5*'Optimal Choice'!$B$6^(R405+1)</f>
        <v>345568.8935</v>
      </c>
      <c r="Y405" s="13">
        <f> 'Optimal Choice'!$B$10*'Optimal Choice'!$B$11^(S405+1)</f>
        <v>3743524.143</v>
      </c>
      <c r="Z405" s="13">
        <f> 'Optimal Choice'!$B$15*'Optimal Choice'!$B$16^(T405+1)</f>
        <v>10265654.51</v>
      </c>
      <c r="AA405" s="13">
        <f> 'Optimal Choice'!$B$20*'Optimal Choice'!$B$21^(U405+1)</f>
        <v>2698985.716</v>
      </c>
      <c r="AB405" s="13">
        <f> 'Optimal Choice'!$B$25*'Optimal Choice'!$B$26^(V405+1)</f>
        <v>12101854.88</v>
      </c>
      <c r="AE405" s="12">
        <f t="shared" si="4"/>
        <v>60</v>
      </c>
      <c r="AF405" s="12">
        <f t="shared" si="5"/>
        <v>50</v>
      </c>
      <c r="AG405" s="12">
        <f t="shared" si="6"/>
        <v>32</v>
      </c>
      <c r="AH405" s="12">
        <f t="shared" si="7"/>
        <v>2</v>
      </c>
      <c r="AI405" s="12">
        <f t="shared" si="8"/>
        <v>1.5</v>
      </c>
      <c r="AL405" s="14">
        <f>R405*'Optimal Choice'!$B$4*AE405</f>
        <v>16733.4</v>
      </c>
      <c r="AM405" s="14">
        <f>S405*'Optimal Choice'!$B$9*AF405</f>
        <v>78000</v>
      </c>
      <c r="AN405" s="14">
        <f>T405*'Optimal Choice'!$B$14*AG405</f>
        <v>207360</v>
      </c>
      <c r="AO405" s="14">
        <f>U405*'Optimal Choice'!$B$19*AH405</f>
        <v>33120</v>
      </c>
      <c r="AP405" s="14">
        <f>V405*'Optimal Choice'!$B$24*AI405</f>
        <v>132840</v>
      </c>
      <c r="AS405" s="12">
        <f t="shared" si="9"/>
        <v>60</v>
      </c>
      <c r="AT405" s="12">
        <f t="shared" si="10"/>
        <v>50</v>
      </c>
      <c r="AU405" s="12">
        <f t="shared" si="11"/>
        <v>32</v>
      </c>
      <c r="AV405" s="12">
        <f t="shared" si="12"/>
        <v>2</v>
      </c>
      <c r="AW405" s="12">
        <f t="shared" si="13"/>
        <v>1.5</v>
      </c>
      <c r="AY405" s="11">
        <f t="shared" si="14"/>
        <v>0.387439618</v>
      </c>
    </row>
    <row r="406" ht="15.75" customHeight="1">
      <c r="A406" s="15">
        <f t="shared" si="2"/>
        <v>17.07392627</v>
      </c>
      <c r="B406" s="7">
        <f>(sum(AL406:AP406))*'Optimal Choice'!$B$28</f>
        <v>468153.6</v>
      </c>
      <c r="C406" s="11"/>
      <c r="D406" s="12"/>
      <c r="E406" s="12"/>
      <c r="F406" s="11"/>
      <c r="G406" s="11"/>
      <c r="H406" s="11"/>
      <c r="I406" s="11"/>
      <c r="J406" s="11"/>
      <c r="K406" s="11">
        <f>(X406/$B406)+(X406/('Optimal Choice'!$B$4*AS406))</f>
        <v>3690.996571</v>
      </c>
      <c r="L406" s="11">
        <f>(Y406/$B406)+(Y406/('Optimal Choice'!$B$9*AT406))</f>
        <v>3751.520501</v>
      </c>
      <c r="M406" s="11">
        <f>(Z406/$B406)+(Z406/('Optimal Choice'!$B$14*AU406))</f>
        <v>3586.391334</v>
      </c>
      <c r="N406" s="11">
        <f>(AA406/$B406)+(AA406/('Optimal Choice'!$B$19*AV406))</f>
        <v>3754.356444</v>
      </c>
      <c r="O406" s="11">
        <f>(AB406/$B406)+(AB406/('Optimal Choice'!$B$24*AW406))</f>
        <v>3760.990574</v>
      </c>
      <c r="R406" s="12">
        <f t="shared" ref="R406:V406" si="416">if(min($K405:$O405)=K405,R405+1,R405)</f>
        <v>168</v>
      </c>
      <c r="S406" s="12">
        <f t="shared" si="416"/>
        <v>78</v>
      </c>
      <c r="T406" s="12">
        <f t="shared" si="416"/>
        <v>72</v>
      </c>
      <c r="U406" s="12">
        <f t="shared" si="416"/>
        <v>46</v>
      </c>
      <c r="V406" s="12">
        <f t="shared" si="416"/>
        <v>41</v>
      </c>
      <c r="X406" s="13">
        <f> 'Optimal Choice'!$B$5*'Optimal Choice'!$B$6^(R406+1)</f>
        <v>369758.7161</v>
      </c>
      <c r="Y406" s="13">
        <f> 'Optimal Choice'!$B$10*'Optimal Choice'!$B$11^(S406+1)</f>
        <v>3743524.143</v>
      </c>
      <c r="Z406" s="13">
        <f> 'Optimal Choice'!$B$15*'Optimal Choice'!$B$16^(T406+1)</f>
        <v>10265654.51</v>
      </c>
      <c r="AA406" s="13">
        <f> 'Optimal Choice'!$B$20*'Optimal Choice'!$B$21^(U406+1)</f>
        <v>2698985.716</v>
      </c>
      <c r="AB406" s="13">
        <f> 'Optimal Choice'!$B$25*'Optimal Choice'!$B$26^(V406+1)</f>
        <v>12101854.88</v>
      </c>
      <c r="AE406" s="12">
        <f t="shared" si="4"/>
        <v>60</v>
      </c>
      <c r="AF406" s="12">
        <f t="shared" si="5"/>
        <v>50</v>
      </c>
      <c r="AG406" s="12">
        <f t="shared" si="6"/>
        <v>32</v>
      </c>
      <c r="AH406" s="12">
        <f t="shared" si="7"/>
        <v>2</v>
      </c>
      <c r="AI406" s="12">
        <f t="shared" si="8"/>
        <v>1.5</v>
      </c>
      <c r="AL406" s="14">
        <f>R406*'Optimal Choice'!$B$4*AE406</f>
        <v>16833.6</v>
      </c>
      <c r="AM406" s="14">
        <f>S406*'Optimal Choice'!$B$9*AF406</f>
        <v>78000</v>
      </c>
      <c r="AN406" s="14">
        <f>T406*'Optimal Choice'!$B$14*AG406</f>
        <v>207360</v>
      </c>
      <c r="AO406" s="14">
        <f>U406*'Optimal Choice'!$B$19*AH406</f>
        <v>33120</v>
      </c>
      <c r="AP406" s="14">
        <f>V406*'Optimal Choice'!$B$24*AI406</f>
        <v>132840</v>
      </c>
      <c r="AS406" s="12">
        <f t="shared" si="9"/>
        <v>60</v>
      </c>
      <c r="AT406" s="12">
        <f t="shared" si="10"/>
        <v>50</v>
      </c>
      <c r="AU406" s="12">
        <f t="shared" si="11"/>
        <v>32</v>
      </c>
      <c r="AV406" s="12">
        <f t="shared" si="12"/>
        <v>2</v>
      </c>
      <c r="AW406" s="12">
        <f t="shared" si="13"/>
        <v>1.5</v>
      </c>
      <c r="AY406" s="11">
        <f t="shared" si="14"/>
        <v>0.01230518047</v>
      </c>
    </row>
    <row r="407" ht="15.75" customHeight="1">
      <c r="A407" s="15">
        <f t="shared" si="2"/>
        <v>17.43939231</v>
      </c>
      <c r="B407" s="7">
        <f>(sum(AL407:AP407))*'Optimal Choice'!$B$28</f>
        <v>471033.6</v>
      </c>
      <c r="C407" s="11"/>
      <c r="D407" s="12"/>
      <c r="E407" s="12"/>
      <c r="F407" s="11"/>
      <c r="G407" s="11"/>
      <c r="H407" s="11"/>
      <c r="I407" s="11"/>
      <c r="J407" s="11"/>
      <c r="K407" s="11">
        <f>(X407/$B407)+(X407/('Optimal Choice'!$B$4*AS407))</f>
        <v>3690.991742</v>
      </c>
      <c r="L407" s="11">
        <f>(Y407/$B407)+(Y407/('Optimal Choice'!$B$9*AT407))</f>
        <v>3751.47161</v>
      </c>
      <c r="M407" s="11">
        <f>(Z407/$B407)+(Z407/('Optimal Choice'!$B$14*AU407))</f>
        <v>4088.333278</v>
      </c>
      <c r="N407" s="11">
        <f>(AA407/$B407)+(AA407/('Optimal Choice'!$B$19*AV407))</f>
        <v>3754.321195</v>
      </c>
      <c r="O407" s="11">
        <f>(AB407/$B407)+(AB407/('Optimal Choice'!$B$24*AW407))</f>
        <v>3760.832521</v>
      </c>
      <c r="R407" s="12">
        <f t="shared" ref="R407:V407" si="417">if(min($K406:$O406)=K406,R406+1,R406)</f>
        <v>168</v>
      </c>
      <c r="S407" s="12">
        <f t="shared" si="417"/>
        <v>78</v>
      </c>
      <c r="T407" s="12">
        <f t="shared" si="417"/>
        <v>73</v>
      </c>
      <c r="U407" s="12">
        <f t="shared" si="417"/>
        <v>46</v>
      </c>
      <c r="V407" s="12">
        <f t="shared" si="417"/>
        <v>41</v>
      </c>
      <c r="X407" s="13">
        <f> 'Optimal Choice'!$B$5*'Optimal Choice'!$B$6^(R407+1)</f>
        <v>369758.7161</v>
      </c>
      <c r="Y407" s="13">
        <f> 'Optimal Choice'!$B$10*'Optimal Choice'!$B$11^(S407+1)</f>
        <v>3743524.143</v>
      </c>
      <c r="Z407" s="13">
        <f> 'Optimal Choice'!$B$15*'Optimal Choice'!$B$16^(T407+1)</f>
        <v>11702846.14</v>
      </c>
      <c r="AA407" s="13">
        <f> 'Optimal Choice'!$B$20*'Optimal Choice'!$B$21^(U407+1)</f>
        <v>2698985.716</v>
      </c>
      <c r="AB407" s="13">
        <f> 'Optimal Choice'!$B$25*'Optimal Choice'!$B$26^(V407+1)</f>
        <v>12101854.88</v>
      </c>
      <c r="AE407" s="12">
        <f t="shared" si="4"/>
        <v>60</v>
      </c>
      <c r="AF407" s="12">
        <f t="shared" si="5"/>
        <v>50</v>
      </c>
      <c r="AG407" s="12">
        <f t="shared" si="6"/>
        <v>32</v>
      </c>
      <c r="AH407" s="12">
        <f t="shared" si="7"/>
        <v>2</v>
      </c>
      <c r="AI407" s="12">
        <f t="shared" si="8"/>
        <v>1.5</v>
      </c>
      <c r="AL407" s="14">
        <f>R407*'Optimal Choice'!$B$4*AE407</f>
        <v>16833.6</v>
      </c>
      <c r="AM407" s="14">
        <f>S407*'Optimal Choice'!$B$9*AF407</f>
        <v>78000</v>
      </c>
      <c r="AN407" s="14">
        <f>T407*'Optimal Choice'!$B$14*AG407</f>
        <v>210240</v>
      </c>
      <c r="AO407" s="14">
        <f>U407*'Optimal Choice'!$B$19*AH407</f>
        <v>33120</v>
      </c>
      <c r="AP407" s="14">
        <f>V407*'Optimal Choice'!$B$24*AI407</f>
        <v>132840</v>
      </c>
      <c r="AS407" s="12">
        <f t="shared" si="9"/>
        <v>60</v>
      </c>
      <c r="AT407" s="12">
        <f t="shared" si="10"/>
        <v>50</v>
      </c>
      <c r="AU407" s="12">
        <f t="shared" si="11"/>
        <v>32</v>
      </c>
      <c r="AV407" s="12">
        <f t="shared" si="12"/>
        <v>2</v>
      </c>
      <c r="AW407" s="12">
        <f t="shared" si="13"/>
        <v>1.5</v>
      </c>
      <c r="AY407" s="11">
        <f t="shared" si="14"/>
        <v>0.365466039</v>
      </c>
    </row>
    <row r="408" ht="15.75" customHeight="1">
      <c r="A408" s="15">
        <f t="shared" si="2"/>
        <v>17.45247554</v>
      </c>
      <c r="B408" s="7">
        <f>(sum(AL408:AP408))*'Optimal Choice'!$B$28</f>
        <v>471133.8</v>
      </c>
      <c r="C408" s="11"/>
      <c r="D408" s="12"/>
      <c r="E408" s="12"/>
      <c r="F408" s="11"/>
      <c r="G408" s="11"/>
      <c r="H408" s="11"/>
      <c r="I408" s="11"/>
      <c r="J408" s="11"/>
      <c r="K408" s="11">
        <f>(X408/$B408)+(X408/('Optimal Choice'!$B$4*AS408))</f>
        <v>3949.360985</v>
      </c>
      <c r="L408" s="11">
        <f>(Y408/$B408)+(Y408/('Optimal Choice'!$B$9*AT408))</f>
        <v>3751.46992</v>
      </c>
      <c r="M408" s="11">
        <f>(Z408/$B408)+(Z408/('Optimal Choice'!$B$14*AU408))</f>
        <v>4088.327994</v>
      </c>
      <c r="N408" s="11">
        <f>(AA408/$B408)+(AA408/('Optimal Choice'!$B$19*AV408))</f>
        <v>3754.319976</v>
      </c>
      <c r="O408" s="11">
        <f>(AB408/$B408)+(AB408/('Optimal Choice'!$B$24*AW408))</f>
        <v>3760.827057</v>
      </c>
      <c r="R408" s="12">
        <f t="shared" ref="R408:V408" si="418">if(min($K407:$O407)=K407,R407+1,R407)</f>
        <v>169</v>
      </c>
      <c r="S408" s="12">
        <f t="shared" si="418"/>
        <v>78</v>
      </c>
      <c r="T408" s="12">
        <f t="shared" si="418"/>
        <v>73</v>
      </c>
      <c r="U408" s="12">
        <f t="shared" si="418"/>
        <v>46</v>
      </c>
      <c r="V408" s="12">
        <f t="shared" si="418"/>
        <v>41</v>
      </c>
      <c r="X408" s="13">
        <f> 'Optimal Choice'!$B$5*'Optimal Choice'!$B$6^(R408+1)</f>
        <v>395641.8262</v>
      </c>
      <c r="Y408" s="13">
        <f> 'Optimal Choice'!$B$10*'Optimal Choice'!$B$11^(S408+1)</f>
        <v>3743524.143</v>
      </c>
      <c r="Z408" s="13">
        <f> 'Optimal Choice'!$B$15*'Optimal Choice'!$B$16^(T408+1)</f>
        <v>11702846.14</v>
      </c>
      <c r="AA408" s="13">
        <f> 'Optimal Choice'!$B$20*'Optimal Choice'!$B$21^(U408+1)</f>
        <v>2698985.716</v>
      </c>
      <c r="AB408" s="13">
        <f> 'Optimal Choice'!$B$25*'Optimal Choice'!$B$26^(V408+1)</f>
        <v>12101854.88</v>
      </c>
      <c r="AE408" s="12">
        <f t="shared" si="4"/>
        <v>60</v>
      </c>
      <c r="AF408" s="12">
        <f t="shared" si="5"/>
        <v>50</v>
      </c>
      <c r="AG408" s="12">
        <f t="shared" si="6"/>
        <v>32</v>
      </c>
      <c r="AH408" s="12">
        <f t="shared" si="7"/>
        <v>2</v>
      </c>
      <c r="AI408" s="12">
        <f t="shared" si="8"/>
        <v>1.5</v>
      </c>
      <c r="AL408" s="14">
        <f>R408*'Optimal Choice'!$B$4*AE408</f>
        <v>16933.8</v>
      </c>
      <c r="AM408" s="14">
        <f>S408*'Optimal Choice'!$B$9*AF408</f>
        <v>78000</v>
      </c>
      <c r="AN408" s="14">
        <f>T408*'Optimal Choice'!$B$14*AG408</f>
        <v>210240</v>
      </c>
      <c r="AO408" s="14">
        <f>U408*'Optimal Choice'!$B$19*AH408</f>
        <v>33120</v>
      </c>
      <c r="AP408" s="14">
        <f>V408*'Optimal Choice'!$B$24*AI408</f>
        <v>132840</v>
      </c>
      <c r="AS408" s="12">
        <f t="shared" si="9"/>
        <v>60</v>
      </c>
      <c r="AT408" s="12">
        <f t="shared" si="10"/>
        <v>50</v>
      </c>
      <c r="AU408" s="12">
        <f t="shared" si="11"/>
        <v>32</v>
      </c>
      <c r="AV408" s="12">
        <f t="shared" si="12"/>
        <v>2</v>
      </c>
      <c r="AW408" s="12">
        <f t="shared" si="13"/>
        <v>1.5</v>
      </c>
      <c r="AY408" s="11">
        <f t="shared" si="14"/>
        <v>0.01308323922</v>
      </c>
    </row>
    <row r="409" ht="15.75" customHeight="1">
      <c r="A409" s="15">
        <f t="shared" si="2"/>
        <v>17.58490516</v>
      </c>
      <c r="B409" s="7">
        <f>(sum(AL409:AP409))*'Optimal Choice'!$B$28</f>
        <v>472133.8</v>
      </c>
      <c r="C409" s="11"/>
      <c r="D409" s="12"/>
      <c r="E409" s="12"/>
      <c r="F409" s="11"/>
      <c r="G409" s="11"/>
      <c r="H409" s="11"/>
      <c r="I409" s="11"/>
      <c r="J409" s="11"/>
      <c r="K409" s="11">
        <f>(X409/$B409)+(X409/('Optimal Choice'!$B$4*AS409))</f>
        <v>3949.359206</v>
      </c>
      <c r="L409" s="11">
        <f>(Y409/$B409)+(Y409/('Optimal Choice'!$B$9*AT409))</f>
        <v>4314.171054</v>
      </c>
      <c r="M409" s="11">
        <f>(Z409/$B409)+(Z409/('Optimal Choice'!$B$14*AU409))</f>
        <v>4088.275382</v>
      </c>
      <c r="N409" s="11">
        <f>(AA409/$B409)+(AA409/('Optimal Choice'!$B$19*AV409))</f>
        <v>3754.307842</v>
      </c>
      <c r="O409" s="11">
        <f>(AB409/$B409)+(AB409/('Optimal Choice'!$B$24*AW409))</f>
        <v>3760.772651</v>
      </c>
      <c r="R409" s="12">
        <f t="shared" ref="R409:V409" si="419">if(min($K408:$O408)=K408,R408+1,R408)</f>
        <v>169</v>
      </c>
      <c r="S409" s="12">
        <f t="shared" si="419"/>
        <v>79</v>
      </c>
      <c r="T409" s="12">
        <f t="shared" si="419"/>
        <v>73</v>
      </c>
      <c r="U409" s="12">
        <f t="shared" si="419"/>
        <v>46</v>
      </c>
      <c r="V409" s="12">
        <f t="shared" si="419"/>
        <v>41</v>
      </c>
      <c r="X409" s="13">
        <f> 'Optimal Choice'!$B$5*'Optimal Choice'!$B$6^(R409+1)</f>
        <v>395641.8262</v>
      </c>
      <c r="Y409" s="13">
        <f> 'Optimal Choice'!$B$10*'Optimal Choice'!$B$11^(S409+1)</f>
        <v>4305052.764</v>
      </c>
      <c r="Z409" s="13">
        <f> 'Optimal Choice'!$B$15*'Optimal Choice'!$B$16^(T409+1)</f>
        <v>11702846.14</v>
      </c>
      <c r="AA409" s="13">
        <f> 'Optimal Choice'!$B$20*'Optimal Choice'!$B$21^(U409+1)</f>
        <v>2698985.716</v>
      </c>
      <c r="AB409" s="13">
        <f> 'Optimal Choice'!$B$25*'Optimal Choice'!$B$26^(V409+1)</f>
        <v>12101854.88</v>
      </c>
      <c r="AE409" s="12">
        <f t="shared" si="4"/>
        <v>60</v>
      </c>
      <c r="AF409" s="12">
        <f t="shared" si="5"/>
        <v>50</v>
      </c>
      <c r="AG409" s="12">
        <f t="shared" si="6"/>
        <v>32</v>
      </c>
      <c r="AH409" s="12">
        <f t="shared" si="7"/>
        <v>2</v>
      </c>
      <c r="AI409" s="12">
        <f t="shared" si="8"/>
        <v>1.5</v>
      </c>
      <c r="AL409" s="14">
        <f>R409*'Optimal Choice'!$B$4*AE409</f>
        <v>16933.8</v>
      </c>
      <c r="AM409" s="14">
        <f>S409*'Optimal Choice'!$B$9*AF409</f>
        <v>79000</v>
      </c>
      <c r="AN409" s="14">
        <f>T409*'Optimal Choice'!$B$14*AG409</f>
        <v>210240</v>
      </c>
      <c r="AO409" s="14">
        <f>U409*'Optimal Choice'!$B$19*AH409</f>
        <v>33120</v>
      </c>
      <c r="AP409" s="14">
        <f>V409*'Optimal Choice'!$B$24*AI409</f>
        <v>132840</v>
      </c>
      <c r="AS409" s="12">
        <f t="shared" si="9"/>
        <v>60</v>
      </c>
      <c r="AT409" s="12">
        <f t="shared" si="10"/>
        <v>50</v>
      </c>
      <c r="AU409" s="12">
        <f t="shared" si="11"/>
        <v>32</v>
      </c>
      <c r="AV409" s="12">
        <f t="shared" si="12"/>
        <v>2</v>
      </c>
      <c r="AW409" s="12">
        <f t="shared" si="13"/>
        <v>1.5</v>
      </c>
      <c r="AY409" s="11">
        <f t="shared" si="14"/>
        <v>0.1324296178</v>
      </c>
    </row>
    <row r="410" ht="15.75" customHeight="1">
      <c r="A410" s="15">
        <f t="shared" si="2"/>
        <v>17.68018132</v>
      </c>
      <c r="B410" s="7">
        <f>(sum(AL410:AP410))*'Optimal Choice'!$B$28</f>
        <v>472853.8</v>
      </c>
      <c r="C410" s="11"/>
      <c r="D410" s="12"/>
      <c r="E410" s="12"/>
      <c r="F410" s="11"/>
      <c r="G410" s="11"/>
      <c r="H410" s="11"/>
      <c r="I410" s="11"/>
      <c r="J410" s="11"/>
      <c r="K410" s="11">
        <f>(X410/$B410)+(X410/('Optimal Choice'!$B$4*AS410))</f>
        <v>3949.35793</v>
      </c>
      <c r="L410" s="11">
        <f>(Y410/$B410)+(Y410/('Optimal Choice'!$B$9*AT410))</f>
        <v>4314.15717</v>
      </c>
      <c r="M410" s="11">
        <f>(Z410/$B410)+(Z410/('Optimal Choice'!$B$14*AU410))</f>
        <v>4088.23764</v>
      </c>
      <c r="N410" s="11">
        <f>(AA410/$B410)+(AA410/('Optimal Choice'!$B$19*AV410))</f>
        <v>4242.358026</v>
      </c>
      <c r="O410" s="11">
        <f>(AB410/$B410)+(AB410/('Optimal Choice'!$B$24*AW410))</f>
        <v>3760.733622</v>
      </c>
      <c r="R410" s="12">
        <f t="shared" ref="R410:V410" si="420">if(min($K409:$O409)=K409,R409+1,R409)</f>
        <v>169</v>
      </c>
      <c r="S410" s="12">
        <f t="shared" si="420"/>
        <v>79</v>
      </c>
      <c r="T410" s="12">
        <f t="shared" si="420"/>
        <v>73</v>
      </c>
      <c r="U410" s="12">
        <f t="shared" si="420"/>
        <v>47</v>
      </c>
      <c r="V410" s="12">
        <f t="shared" si="420"/>
        <v>41</v>
      </c>
      <c r="X410" s="13">
        <f> 'Optimal Choice'!$B$5*'Optimal Choice'!$B$6^(R410+1)</f>
        <v>395641.8262</v>
      </c>
      <c r="Y410" s="13">
        <f> 'Optimal Choice'!$B$10*'Optimal Choice'!$B$11^(S410+1)</f>
        <v>4305052.764</v>
      </c>
      <c r="Z410" s="13">
        <f> 'Optimal Choice'!$B$15*'Optimal Choice'!$B$16^(T410+1)</f>
        <v>11702846.14</v>
      </c>
      <c r="AA410" s="13">
        <f> 'Optimal Choice'!$B$20*'Optimal Choice'!$B$21^(U410+1)</f>
        <v>3049853.86</v>
      </c>
      <c r="AB410" s="13">
        <f> 'Optimal Choice'!$B$25*'Optimal Choice'!$B$26^(V410+1)</f>
        <v>12101854.88</v>
      </c>
      <c r="AE410" s="12">
        <f t="shared" si="4"/>
        <v>60</v>
      </c>
      <c r="AF410" s="12">
        <f t="shared" si="5"/>
        <v>50</v>
      </c>
      <c r="AG410" s="12">
        <f t="shared" si="6"/>
        <v>32</v>
      </c>
      <c r="AH410" s="12">
        <f t="shared" si="7"/>
        <v>2</v>
      </c>
      <c r="AI410" s="12">
        <f t="shared" si="8"/>
        <v>1.5</v>
      </c>
      <c r="AL410" s="14">
        <f>R410*'Optimal Choice'!$B$4*AE410</f>
        <v>16933.8</v>
      </c>
      <c r="AM410" s="14">
        <f>S410*'Optimal Choice'!$B$9*AF410</f>
        <v>79000</v>
      </c>
      <c r="AN410" s="14">
        <f>T410*'Optimal Choice'!$B$14*AG410</f>
        <v>210240</v>
      </c>
      <c r="AO410" s="14">
        <f>U410*'Optimal Choice'!$B$19*AH410</f>
        <v>33840</v>
      </c>
      <c r="AP410" s="14">
        <f>V410*'Optimal Choice'!$B$24*AI410</f>
        <v>132840</v>
      </c>
      <c r="AS410" s="12">
        <f t="shared" si="9"/>
        <v>60</v>
      </c>
      <c r="AT410" s="12">
        <f t="shared" si="10"/>
        <v>50</v>
      </c>
      <c r="AU410" s="12">
        <f t="shared" si="11"/>
        <v>32</v>
      </c>
      <c r="AV410" s="12">
        <f t="shared" si="12"/>
        <v>2</v>
      </c>
      <c r="AW410" s="12">
        <f t="shared" si="13"/>
        <v>1.5</v>
      </c>
      <c r="AY410" s="11">
        <f t="shared" si="14"/>
        <v>0.09527615959</v>
      </c>
    </row>
    <row r="411" ht="15.75" customHeight="1">
      <c r="A411" s="15">
        <f t="shared" si="2"/>
        <v>18.10673511</v>
      </c>
      <c r="B411" s="7">
        <f>(sum(AL411:AP411))*'Optimal Choice'!$B$28</f>
        <v>476093.8</v>
      </c>
      <c r="C411" s="11"/>
      <c r="D411" s="12"/>
      <c r="E411" s="12"/>
      <c r="F411" s="11"/>
      <c r="G411" s="11"/>
      <c r="H411" s="11"/>
      <c r="I411" s="11"/>
      <c r="J411" s="11"/>
      <c r="K411" s="11">
        <f>(X411/$B411)+(X411/('Optimal Choice'!$B$4*AS411))</f>
        <v>3949.352236</v>
      </c>
      <c r="L411" s="11">
        <f>(Y411/$B411)+(Y411/('Optimal Choice'!$B$9*AT411))</f>
        <v>4314.095211</v>
      </c>
      <c r="M411" s="11">
        <f>(Z411/$B411)+(Z411/('Optimal Choice'!$B$14*AU411))</f>
        <v>4088.069211</v>
      </c>
      <c r="N411" s="11">
        <f>(AA411/$B411)+(AA411/('Optimal Choice'!$B$19*AV411))</f>
        <v>4242.314132</v>
      </c>
      <c r="O411" s="11">
        <f>(AB411/$B411)+(AB411/('Optimal Choice'!$B$24*AW411))</f>
        <v>4211.826584</v>
      </c>
      <c r="R411" s="12">
        <f t="shared" ref="R411:V411" si="421">if(min($K410:$O410)=K410,R410+1,R410)</f>
        <v>169</v>
      </c>
      <c r="S411" s="12">
        <f t="shared" si="421"/>
        <v>79</v>
      </c>
      <c r="T411" s="12">
        <f t="shared" si="421"/>
        <v>73</v>
      </c>
      <c r="U411" s="12">
        <f t="shared" si="421"/>
        <v>47</v>
      </c>
      <c r="V411" s="12">
        <f t="shared" si="421"/>
        <v>42</v>
      </c>
      <c r="X411" s="13">
        <f> 'Optimal Choice'!$B$5*'Optimal Choice'!$B$6^(R411+1)</f>
        <v>395641.8262</v>
      </c>
      <c r="Y411" s="13">
        <f> 'Optimal Choice'!$B$10*'Optimal Choice'!$B$11^(S411+1)</f>
        <v>4305052.764</v>
      </c>
      <c r="Z411" s="13">
        <f> 'Optimal Choice'!$B$15*'Optimal Choice'!$B$16^(T411+1)</f>
        <v>11702846.14</v>
      </c>
      <c r="AA411" s="13">
        <f> 'Optimal Choice'!$B$20*'Optimal Choice'!$B$21^(U411+1)</f>
        <v>3049853.86</v>
      </c>
      <c r="AB411" s="13">
        <f> 'Optimal Choice'!$B$25*'Optimal Choice'!$B$26^(V411+1)</f>
        <v>13554077.46</v>
      </c>
      <c r="AE411" s="12">
        <f t="shared" si="4"/>
        <v>60</v>
      </c>
      <c r="AF411" s="12">
        <f t="shared" si="5"/>
        <v>50</v>
      </c>
      <c r="AG411" s="12">
        <f t="shared" si="6"/>
        <v>32</v>
      </c>
      <c r="AH411" s="12">
        <f t="shared" si="7"/>
        <v>2</v>
      </c>
      <c r="AI411" s="12">
        <f t="shared" si="8"/>
        <v>1.5</v>
      </c>
      <c r="AL411" s="14">
        <f>R411*'Optimal Choice'!$B$4*AE411</f>
        <v>16933.8</v>
      </c>
      <c r="AM411" s="14">
        <f>S411*'Optimal Choice'!$B$9*AF411</f>
        <v>79000</v>
      </c>
      <c r="AN411" s="14">
        <f>T411*'Optimal Choice'!$B$14*AG411</f>
        <v>210240</v>
      </c>
      <c r="AO411" s="14">
        <f>U411*'Optimal Choice'!$B$19*AH411</f>
        <v>33840</v>
      </c>
      <c r="AP411" s="14">
        <f>V411*'Optimal Choice'!$B$24*AI411</f>
        <v>136080</v>
      </c>
      <c r="AS411" s="12">
        <f t="shared" si="9"/>
        <v>60</v>
      </c>
      <c r="AT411" s="12">
        <f t="shared" si="10"/>
        <v>50</v>
      </c>
      <c r="AU411" s="12">
        <f t="shared" si="11"/>
        <v>32</v>
      </c>
      <c r="AV411" s="12">
        <f t="shared" si="12"/>
        <v>2</v>
      </c>
      <c r="AW411" s="12">
        <f t="shared" si="13"/>
        <v>1.5</v>
      </c>
      <c r="AY411" s="11">
        <f t="shared" si="14"/>
        <v>0.4265537917</v>
      </c>
    </row>
    <row r="412" ht="15.75" customHeight="1">
      <c r="A412" s="15">
        <f t="shared" si="2"/>
        <v>18.12058539</v>
      </c>
      <c r="B412" s="7">
        <f>(sum(AL412:AP412))*'Optimal Choice'!$B$28</f>
        <v>476194</v>
      </c>
      <c r="C412" s="11"/>
      <c r="D412" s="12"/>
      <c r="E412" s="12"/>
      <c r="F412" s="11"/>
      <c r="G412" s="11"/>
      <c r="H412" s="11"/>
      <c r="I412" s="11"/>
      <c r="J412" s="11"/>
      <c r="K412" s="11">
        <f>(X412/$B412)+(X412/('Optimal Choice'!$B$4*AS412))</f>
        <v>4225.806706</v>
      </c>
      <c r="L412" s="11">
        <f>(Y412/$B412)+(Y412/('Optimal Choice'!$B$9*AT412))</f>
        <v>4314.093308</v>
      </c>
      <c r="M412" s="11">
        <f>(Z412/$B412)+(Z412/('Optimal Choice'!$B$14*AU412))</f>
        <v>4088.064038</v>
      </c>
      <c r="N412" s="11">
        <f>(AA412/$B412)+(AA412/('Optimal Choice'!$B$19*AV412))</f>
        <v>4242.312784</v>
      </c>
      <c r="O412" s="11">
        <f>(AB412/$B412)+(AB412/('Optimal Choice'!$B$24*AW412))</f>
        <v>4211.820594</v>
      </c>
      <c r="R412" s="12">
        <f t="shared" ref="R412:V412" si="422">if(min($K411:$O411)=K411,R411+1,R411)</f>
        <v>170</v>
      </c>
      <c r="S412" s="12">
        <f t="shared" si="422"/>
        <v>79</v>
      </c>
      <c r="T412" s="12">
        <f t="shared" si="422"/>
        <v>73</v>
      </c>
      <c r="U412" s="12">
        <f t="shared" si="422"/>
        <v>47</v>
      </c>
      <c r="V412" s="12">
        <f t="shared" si="422"/>
        <v>42</v>
      </c>
      <c r="X412" s="13">
        <f> 'Optimal Choice'!$B$5*'Optimal Choice'!$B$6^(R412+1)</f>
        <v>423336.754</v>
      </c>
      <c r="Y412" s="13">
        <f> 'Optimal Choice'!$B$10*'Optimal Choice'!$B$11^(S412+1)</f>
        <v>4305052.764</v>
      </c>
      <c r="Z412" s="13">
        <f> 'Optimal Choice'!$B$15*'Optimal Choice'!$B$16^(T412+1)</f>
        <v>11702846.14</v>
      </c>
      <c r="AA412" s="13">
        <f> 'Optimal Choice'!$B$20*'Optimal Choice'!$B$21^(U412+1)</f>
        <v>3049853.86</v>
      </c>
      <c r="AB412" s="13">
        <f> 'Optimal Choice'!$B$25*'Optimal Choice'!$B$26^(V412+1)</f>
        <v>13554077.46</v>
      </c>
      <c r="AE412" s="12">
        <f t="shared" si="4"/>
        <v>60</v>
      </c>
      <c r="AF412" s="12">
        <f t="shared" si="5"/>
        <v>50</v>
      </c>
      <c r="AG412" s="12">
        <f t="shared" si="6"/>
        <v>32</v>
      </c>
      <c r="AH412" s="12">
        <f t="shared" si="7"/>
        <v>2</v>
      </c>
      <c r="AI412" s="12">
        <f t="shared" si="8"/>
        <v>1.5</v>
      </c>
      <c r="AL412" s="14">
        <f>R412*'Optimal Choice'!$B$4*AE412</f>
        <v>17034</v>
      </c>
      <c r="AM412" s="14">
        <f>S412*'Optimal Choice'!$B$9*AF412</f>
        <v>79000</v>
      </c>
      <c r="AN412" s="14">
        <f>T412*'Optimal Choice'!$B$14*AG412</f>
        <v>210240</v>
      </c>
      <c r="AO412" s="14">
        <f>U412*'Optimal Choice'!$B$19*AH412</f>
        <v>33840</v>
      </c>
      <c r="AP412" s="14">
        <f>V412*'Optimal Choice'!$B$24*AI412</f>
        <v>136080</v>
      </c>
      <c r="AS412" s="12">
        <f t="shared" si="9"/>
        <v>60</v>
      </c>
      <c r="AT412" s="12">
        <f t="shared" si="10"/>
        <v>50</v>
      </c>
      <c r="AU412" s="12">
        <f t="shared" si="11"/>
        <v>32</v>
      </c>
      <c r="AV412" s="12">
        <f t="shared" si="12"/>
        <v>2</v>
      </c>
      <c r="AW412" s="12">
        <f t="shared" si="13"/>
        <v>1.5</v>
      </c>
      <c r="AY412" s="11">
        <f t="shared" si="14"/>
        <v>0.0138502758</v>
      </c>
    </row>
    <row r="413" ht="15.75" customHeight="1">
      <c r="A413" s="15">
        <f t="shared" si="2"/>
        <v>18.53018197</v>
      </c>
      <c r="B413" s="7">
        <f>(sum(AL413:AP413))*'Optimal Choice'!$B$28</f>
        <v>479074</v>
      </c>
      <c r="C413" s="11"/>
      <c r="D413" s="12"/>
      <c r="E413" s="12"/>
      <c r="F413" s="11"/>
      <c r="G413" s="11"/>
      <c r="H413" s="11"/>
      <c r="I413" s="11"/>
      <c r="J413" s="11"/>
      <c r="K413" s="11">
        <f>(X413/$B413)+(X413/('Optimal Choice'!$B$4*AS413))</f>
        <v>4225.801361</v>
      </c>
      <c r="L413" s="11">
        <f>(Y413/$B413)+(Y413/('Optimal Choice'!$B$9*AT413))</f>
        <v>4314.03896</v>
      </c>
      <c r="M413" s="11">
        <f>(Z413/$B413)+(Z413/('Optimal Choice'!$B$14*AU413))</f>
        <v>4660.22458</v>
      </c>
      <c r="N413" s="11">
        <f>(AA413/$B413)+(AA413/('Optimal Choice'!$B$19*AV413))</f>
        <v>4242.274282</v>
      </c>
      <c r="O413" s="11">
        <f>(AB413/$B413)+(AB413/('Optimal Choice'!$B$24*AW413))</f>
        <v>4211.649483</v>
      </c>
      <c r="R413" s="12">
        <f t="shared" ref="R413:V413" si="423">if(min($K412:$O412)=K412,R412+1,R412)</f>
        <v>170</v>
      </c>
      <c r="S413" s="12">
        <f t="shared" si="423"/>
        <v>79</v>
      </c>
      <c r="T413" s="12">
        <f t="shared" si="423"/>
        <v>74</v>
      </c>
      <c r="U413" s="12">
        <f t="shared" si="423"/>
        <v>47</v>
      </c>
      <c r="V413" s="12">
        <f t="shared" si="423"/>
        <v>42</v>
      </c>
      <c r="X413" s="13">
        <f> 'Optimal Choice'!$B$5*'Optimal Choice'!$B$6^(R413+1)</f>
        <v>423336.754</v>
      </c>
      <c r="Y413" s="13">
        <f> 'Optimal Choice'!$B$10*'Optimal Choice'!$B$11^(S413+1)</f>
        <v>4305052.764</v>
      </c>
      <c r="Z413" s="13">
        <f> 'Optimal Choice'!$B$15*'Optimal Choice'!$B$16^(T413+1)</f>
        <v>13341244.6</v>
      </c>
      <c r="AA413" s="13">
        <f> 'Optimal Choice'!$B$20*'Optimal Choice'!$B$21^(U413+1)</f>
        <v>3049853.86</v>
      </c>
      <c r="AB413" s="13">
        <f> 'Optimal Choice'!$B$25*'Optimal Choice'!$B$26^(V413+1)</f>
        <v>13554077.46</v>
      </c>
      <c r="AE413" s="12">
        <f t="shared" si="4"/>
        <v>60</v>
      </c>
      <c r="AF413" s="12">
        <f t="shared" si="5"/>
        <v>50</v>
      </c>
      <c r="AG413" s="12">
        <f t="shared" si="6"/>
        <v>32</v>
      </c>
      <c r="AH413" s="12">
        <f t="shared" si="7"/>
        <v>2</v>
      </c>
      <c r="AI413" s="12">
        <f t="shared" si="8"/>
        <v>1.5</v>
      </c>
      <c r="AL413" s="14">
        <f>R413*'Optimal Choice'!$B$4*AE413</f>
        <v>17034</v>
      </c>
      <c r="AM413" s="14">
        <f>S413*'Optimal Choice'!$B$9*AF413</f>
        <v>79000</v>
      </c>
      <c r="AN413" s="14">
        <f>T413*'Optimal Choice'!$B$14*AG413</f>
        <v>213120</v>
      </c>
      <c r="AO413" s="14">
        <f>U413*'Optimal Choice'!$B$19*AH413</f>
        <v>33840</v>
      </c>
      <c r="AP413" s="14">
        <f>V413*'Optimal Choice'!$B$24*AI413</f>
        <v>136080</v>
      </c>
      <c r="AS413" s="12">
        <f t="shared" si="9"/>
        <v>60</v>
      </c>
      <c r="AT413" s="12">
        <f t="shared" si="10"/>
        <v>50</v>
      </c>
      <c r="AU413" s="12">
        <f t="shared" si="11"/>
        <v>32</v>
      </c>
      <c r="AV413" s="12">
        <f t="shared" si="12"/>
        <v>2</v>
      </c>
      <c r="AW413" s="12">
        <f t="shared" si="13"/>
        <v>1.5</v>
      </c>
      <c r="AY413" s="11">
        <f t="shared" si="14"/>
        <v>0.4095965839</v>
      </c>
    </row>
    <row r="414" ht="15.75" customHeight="1">
      <c r="A414" s="15">
        <f t="shared" si="2"/>
        <v>19.00171934</v>
      </c>
      <c r="B414" s="7">
        <f>(sum(AL414:AP414))*'Optimal Choice'!$B$28</f>
        <v>482314</v>
      </c>
      <c r="C414" s="11"/>
      <c r="D414" s="12"/>
      <c r="E414" s="12"/>
      <c r="F414" s="11"/>
      <c r="G414" s="11"/>
      <c r="H414" s="11"/>
      <c r="I414" s="11"/>
      <c r="J414" s="11"/>
      <c r="K414" s="11">
        <f>(X414/$B414)+(X414/('Optimal Choice'!$B$4*AS414))</f>
        <v>4225.795425</v>
      </c>
      <c r="L414" s="11">
        <f>(Y414/$B414)+(Y414/('Optimal Choice'!$B$9*AT414))</f>
        <v>4313.978594</v>
      </c>
      <c r="M414" s="11">
        <f>(Z414/$B414)+(Z414/('Optimal Choice'!$B$14*AU414))</f>
        <v>4660.037508</v>
      </c>
      <c r="N414" s="11">
        <f>(AA414/$B414)+(AA414/('Optimal Choice'!$B$19*AV414))</f>
        <v>4242.231517</v>
      </c>
      <c r="O414" s="11">
        <f>(AB414/$B414)+(AB414/('Optimal Choice'!$B$24*AW414))</f>
        <v>4716.834558</v>
      </c>
      <c r="R414" s="12">
        <f t="shared" ref="R414:V414" si="424">if(min($K413:$O413)=K413,R413+1,R413)</f>
        <v>170</v>
      </c>
      <c r="S414" s="12">
        <f t="shared" si="424"/>
        <v>79</v>
      </c>
      <c r="T414" s="12">
        <f t="shared" si="424"/>
        <v>74</v>
      </c>
      <c r="U414" s="12">
        <f t="shared" si="424"/>
        <v>47</v>
      </c>
      <c r="V414" s="12">
        <f t="shared" si="424"/>
        <v>43</v>
      </c>
      <c r="X414" s="13">
        <f> 'Optimal Choice'!$B$5*'Optimal Choice'!$B$6^(R414+1)</f>
        <v>423336.754</v>
      </c>
      <c r="Y414" s="13">
        <f> 'Optimal Choice'!$B$10*'Optimal Choice'!$B$11^(S414+1)</f>
        <v>4305052.764</v>
      </c>
      <c r="Z414" s="13">
        <f> 'Optimal Choice'!$B$15*'Optimal Choice'!$B$16^(T414+1)</f>
        <v>13341244.6</v>
      </c>
      <c r="AA414" s="13">
        <f> 'Optimal Choice'!$B$20*'Optimal Choice'!$B$21^(U414+1)</f>
        <v>3049853.86</v>
      </c>
      <c r="AB414" s="13">
        <f> 'Optimal Choice'!$B$25*'Optimal Choice'!$B$26^(V414+1)</f>
        <v>15180566.76</v>
      </c>
      <c r="AE414" s="12">
        <f t="shared" si="4"/>
        <v>60</v>
      </c>
      <c r="AF414" s="12">
        <f t="shared" si="5"/>
        <v>50</v>
      </c>
      <c r="AG414" s="12">
        <f t="shared" si="6"/>
        <v>32</v>
      </c>
      <c r="AH414" s="12">
        <f t="shared" si="7"/>
        <v>2</v>
      </c>
      <c r="AI414" s="12">
        <f t="shared" si="8"/>
        <v>1.5</v>
      </c>
      <c r="AL414" s="14">
        <f>R414*'Optimal Choice'!$B$4*AE414</f>
        <v>17034</v>
      </c>
      <c r="AM414" s="14">
        <f>S414*'Optimal Choice'!$B$9*AF414</f>
        <v>79000</v>
      </c>
      <c r="AN414" s="14">
        <f>T414*'Optimal Choice'!$B$14*AG414</f>
        <v>213120</v>
      </c>
      <c r="AO414" s="14">
        <f>U414*'Optimal Choice'!$B$19*AH414</f>
        <v>33840</v>
      </c>
      <c r="AP414" s="14">
        <f>V414*'Optimal Choice'!$B$24*AI414</f>
        <v>139320</v>
      </c>
      <c r="AS414" s="12">
        <f t="shared" si="9"/>
        <v>60</v>
      </c>
      <c r="AT414" s="12">
        <f t="shared" si="10"/>
        <v>50</v>
      </c>
      <c r="AU414" s="12">
        <f t="shared" si="11"/>
        <v>32</v>
      </c>
      <c r="AV414" s="12">
        <f t="shared" si="12"/>
        <v>2</v>
      </c>
      <c r="AW414" s="12">
        <f t="shared" si="13"/>
        <v>1.5</v>
      </c>
      <c r="AY414" s="11">
        <f t="shared" si="14"/>
        <v>0.4715373638</v>
      </c>
    </row>
    <row r="415" ht="15.75" customHeight="1">
      <c r="A415" s="15">
        <f t="shared" si="2"/>
        <v>19.01634801</v>
      </c>
      <c r="B415" s="7">
        <f>(sum(AL415:AP415))*'Optimal Choice'!$B$28</f>
        <v>482414.2</v>
      </c>
      <c r="C415" s="11"/>
      <c r="D415" s="12"/>
      <c r="E415" s="12"/>
      <c r="F415" s="11"/>
      <c r="G415" s="11"/>
      <c r="H415" s="11"/>
      <c r="I415" s="11"/>
      <c r="J415" s="11"/>
      <c r="K415" s="11">
        <f>(X415/$B415)+(X415/('Optimal Choice'!$B$4*AS415))</f>
        <v>4521.60091</v>
      </c>
      <c r="L415" s="11">
        <f>(Y415/$B415)+(Y415/('Optimal Choice'!$B$9*AT415))</f>
        <v>4313.97674</v>
      </c>
      <c r="M415" s="11">
        <f>(Z415/$B415)+(Z415/('Optimal Choice'!$B$14*AU415))</f>
        <v>4660.031763</v>
      </c>
      <c r="N415" s="11">
        <f>(AA415/$B415)+(AA415/('Optimal Choice'!$B$19*AV415))</f>
        <v>4242.230203</v>
      </c>
      <c r="O415" s="11">
        <f>(AB415/$B415)+(AB415/('Optimal Choice'!$B$24*AW415))</f>
        <v>4716.828021</v>
      </c>
      <c r="R415" s="12">
        <f t="shared" ref="R415:V415" si="425">if(min($K414:$O414)=K414,R414+1,R414)</f>
        <v>171</v>
      </c>
      <c r="S415" s="12">
        <f t="shared" si="425"/>
        <v>79</v>
      </c>
      <c r="T415" s="12">
        <f t="shared" si="425"/>
        <v>74</v>
      </c>
      <c r="U415" s="12">
        <f t="shared" si="425"/>
        <v>47</v>
      </c>
      <c r="V415" s="12">
        <f t="shared" si="425"/>
        <v>43</v>
      </c>
      <c r="X415" s="13">
        <f> 'Optimal Choice'!$B$5*'Optimal Choice'!$B$6^(R415+1)</f>
        <v>452970.3268</v>
      </c>
      <c r="Y415" s="13">
        <f> 'Optimal Choice'!$B$10*'Optimal Choice'!$B$11^(S415+1)</f>
        <v>4305052.764</v>
      </c>
      <c r="Z415" s="13">
        <f> 'Optimal Choice'!$B$15*'Optimal Choice'!$B$16^(T415+1)</f>
        <v>13341244.6</v>
      </c>
      <c r="AA415" s="13">
        <f> 'Optimal Choice'!$B$20*'Optimal Choice'!$B$21^(U415+1)</f>
        <v>3049853.86</v>
      </c>
      <c r="AB415" s="13">
        <f> 'Optimal Choice'!$B$25*'Optimal Choice'!$B$26^(V415+1)</f>
        <v>15180566.76</v>
      </c>
      <c r="AE415" s="12">
        <f t="shared" si="4"/>
        <v>60</v>
      </c>
      <c r="AF415" s="12">
        <f t="shared" si="5"/>
        <v>50</v>
      </c>
      <c r="AG415" s="12">
        <f t="shared" si="6"/>
        <v>32</v>
      </c>
      <c r="AH415" s="12">
        <f t="shared" si="7"/>
        <v>2</v>
      </c>
      <c r="AI415" s="12">
        <f t="shared" si="8"/>
        <v>1.5</v>
      </c>
      <c r="AL415" s="14">
        <f>R415*'Optimal Choice'!$B$4*AE415</f>
        <v>17134.2</v>
      </c>
      <c r="AM415" s="14">
        <f>S415*'Optimal Choice'!$B$9*AF415</f>
        <v>79000</v>
      </c>
      <c r="AN415" s="14">
        <f>T415*'Optimal Choice'!$B$14*AG415</f>
        <v>213120</v>
      </c>
      <c r="AO415" s="14">
        <f>U415*'Optimal Choice'!$B$19*AH415</f>
        <v>33840</v>
      </c>
      <c r="AP415" s="14">
        <f>V415*'Optimal Choice'!$B$24*AI415</f>
        <v>139320</v>
      </c>
      <c r="AS415" s="12">
        <f t="shared" si="9"/>
        <v>60</v>
      </c>
      <c r="AT415" s="12">
        <f t="shared" si="10"/>
        <v>50</v>
      </c>
      <c r="AU415" s="12">
        <f t="shared" si="11"/>
        <v>32</v>
      </c>
      <c r="AV415" s="12">
        <f t="shared" si="12"/>
        <v>2</v>
      </c>
      <c r="AW415" s="12">
        <f t="shared" si="13"/>
        <v>1.5</v>
      </c>
      <c r="AY415" s="11">
        <f t="shared" si="14"/>
        <v>0.01462867047</v>
      </c>
    </row>
    <row r="416" ht="15.75" customHeight="1">
      <c r="A416" s="15">
        <f t="shared" si="2"/>
        <v>19.12171575</v>
      </c>
      <c r="B416" s="7">
        <f>(sum(AL416:AP416))*'Optimal Choice'!$B$28</f>
        <v>483134.2</v>
      </c>
      <c r="C416" s="11"/>
      <c r="D416" s="12"/>
      <c r="E416" s="12"/>
      <c r="F416" s="11"/>
      <c r="G416" s="11"/>
      <c r="H416" s="11"/>
      <c r="I416" s="11"/>
      <c r="J416" s="11"/>
      <c r="K416" s="11">
        <f>(X416/$B416)+(X416/('Optimal Choice'!$B$4*AS416))</f>
        <v>4521.599511</v>
      </c>
      <c r="L416" s="11">
        <f>(Y416/$B416)+(Y416/('Optimal Choice'!$B$9*AT416))</f>
        <v>4313.963441</v>
      </c>
      <c r="M416" s="11">
        <f>(Z416/$B416)+(Z416/('Optimal Choice'!$B$14*AU416))</f>
        <v>4659.990549</v>
      </c>
      <c r="N416" s="11">
        <f>(AA416/$B416)+(AA416/('Optimal Choice'!$B$19*AV416))</f>
        <v>4793.709483</v>
      </c>
      <c r="O416" s="11">
        <f>(AB416/$B416)+(AB416/('Optimal Choice'!$B$24*AW416))</f>
        <v>4716.781125</v>
      </c>
      <c r="R416" s="12">
        <f t="shared" ref="R416:V416" si="426">if(min($K415:$O415)=K415,R415+1,R415)</f>
        <v>171</v>
      </c>
      <c r="S416" s="12">
        <f t="shared" si="426"/>
        <v>79</v>
      </c>
      <c r="T416" s="12">
        <f t="shared" si="426"/>
        <v>74</v>
      </c>
      <c r="U416" s="12">
        <f t="shared" si="426"/>
        <v>48</v>
      </c>
      <c r="V416" s="12">
        <f t="shared" si="426"/>
        <v>43</v>
      </c>
      <c r="X416" s="13">
        <f> 'Optimal Choice'!$B$5*'Optimal Choice'!$B$6^(R416+1)</f>
        <v>452970.3268</v>
      </c>
      <c r="Y416" s="13">
        <f> 'Optimal Choice'!$B$10*'Optimal Choice'!$B$11^(S416+1)</f>
        <v>4305052.764</v>
      </c>
      <c r="Z416" s="13">
        <f> 'Optimal Choice'!$B$15*'Optimal Choice'!$B$16^(T416+1)</f>
        <v>13341244.6</v>
      </c>
      <c r="AA416" s="13">
        <f> 'Optimal Choice'!$B$20*'Optimal Choice'!$B$21^(U416+1)</f>
        <v>3446334.861</v>
      </c>
      <c r="AB416" s="13">
        <f> 'Optimal Choice'!$B$25*'Optimal Choice'!$B$26^(V416+1)</f>
        <v>15180566.76</v>
      </c>
      <c r="AE416" s="12">
        <f t="shared" si="4"/>
        <v>60</v>
      </c>
      <c r="AF416" s="12">
        <f t="shared" si="5"/>
        <v>50</v>
      </c>
      <c r="AG416" s="12">
        <f t="shared" si="6"/>
        <v>32</v>
      </c>
      <c r="AH416" s="12">
        <f t="shared" si="7"/>
        <v>2</v>
      </c>
      <c r="AI416" s="12">
        <f t="shared" si="8"/>
        <v>1.5</v>
      </c>
      <c r="AL416" s="14">
        <f>R416*'Optimal Choice'!$B$4*AE416</f>
        <v>17134.2</v>
      </c>
      <c r="AM416" s="14">
        <f>S416*'Optimal Choice'!$B$9*AF416</f>
        <v>79000</v>
      </c>
      <c r="AN416" s="14">
        <f>T416*'Optimal Choice'!$B$14*AG416</f>
        <v>213120</v>
      </c>
      <c r="AO416" s="14">
        <f>U416*'Optimal Choice'!$B$19*AH416</f>
        <v>34560</v>
      </c>
      <c r="AP416" s="14">
        <f>V416*'Optimal Choice'!$B$24*AI416</f>
        <v>139320</v>
      </c>
      <c r="AS416" s="12">
        <f t="shared" si="9"/>
        <v>60</v>
      </c>
      <c r="AT416" s="12">
        <f t="shared" si="10"/>
        <v>50</v>
      </c>
      <c r="AU416" s="12">
        <f t="shared" si="11"/>
        <v>32</v>
      </c>
      <c r="AV416" s="12">
        <f t="shared" si="12"/>
        <v>2</v>
      </c>
      <c r="AW416" s="12">
        <f t="shared" si="13"/>
        <v>1.5</v>
      </c>
      <c r="AY416" s="11">
        <f t="shared" si="14"/>
        <v>0.1053677476</v>
      </c>
    </row>
    <row r="417" ht="15.75" customHeight="1">
      <c r="A417" s="15">
        <f t="shared" si="2"/>
        <v>19.27022704</v>
      </c>
      <c r="B417" s="7">
        <f>(sum(AL417:AP417))*'Optimal Choice'!$B$28</f>
        <v>484134.2</v>
      </c>
      <c r="C417" s="11"/>
      <c r="D417" s="12"/>
      <c r="E417" s="12"/>
      <c r="F417" s="11"/>
      <c r="G417" s="11"/>
      <c r="H417" s="11"/>
      <c r="I417" s="11"/>
      <c r="J417" s="11"/>
      <c r="K417" s="11">
        <f>(X417/$B417)+(X417/('Optimal Choice'!$B$4*AS417))</f>
        <v>4521.597574</v>
      </c>
      <c r="L417" s="11">
        <f>(Y417/$B417)+(Y417/('Optimal Choice'!$B$9*AT417))</f>
        <v>4961.036791</v>
      </c>
      <c r="M417" s="11">
        <f>(Z417/$B417)+(Z417/('Optimal Choice'!$B$14*AU417))</f>
        <v>4659.933512</v>
      </c>
      <c r="N417" s="11">
        <f>(AA417/$B417)+(AA417/('Optimal Choice'!$B$19*AV417))</f>
        <v>4793.694749</v>
      </c>
      <c r="O417" s="11">
        <f>(AB417/$B417)+(AB417/('Optimal Choice'!$B$24*AW417))</f>
        <v>4716.716224</v>
      </c>
      <c r="R417" s="12">
        <f t="shared" ref="R417:V417" si="427">if(min($K416:$O416)=K416,R416+1,R416)</f>
        <v>171</v>
      </c>
      <c r="S417" s="12">
        <f t="shared" si="427"/>
        <v>80</v>
      </c>
      <c r="T417" s="12">
        <f t="shared" si="427"/>
        <v>74</v>
      </c>
      <c r="U417" s="12">
        <f t="shared" si="427"/>
        <v>48</v>
      </c>
      <c r="V417" s="12">
        <f t="shared" si="427"/>
        <v>43</v>
      </c>
      <c r="X417" s="13">
        <f> 'Optimal Choice'!$B$5*'Optimal Choice'!$B$6^(R417+1)</f>
        <v>452970.3268</v>
      </c>
      <c r="Y417" s="13">
        <f> 'Optimal Choice'!$B$10*'Optimal Choice'!$B$11^(S417+1)</f>
        <v>4950810.679</v>
      </c>
      <c r="Z417" s="13">
        <f> 'Optimal Choice'!$B$15*'Optimal Choice'!$B$16^(T417+1)</f>
        <v>13341244.6</v>
      </c>
      <c r="AA417" s="13">
        <f> 'Optimal Choice'!$B$20*'Optimal Choice'!$B$21^(U417+1)</f>
        <v>3446334.861</v>
      </c>
      <c r="AB417" s="13">
        <f> 'Optimal Choice'!$B$25*'Optimal Choice'!$B$26^(V417+1)</f>
        <v>15180566.76</v>
      </c>
      <c r="AE417" s="12">
        <f t="shared" si="4"/>
        <v>60</v>
      </c>
      <c r="AF417" s="12">
        <f t="shared" si="5"/>
        <v>50</v>
      </c>
      <c r="AG417" s="12">
        <f t="shared" si="6"/>
        <v>32</v>
      </c>
      <c r="AH417" s="12">
        <f t="shared" si="7"/>
        <v>2</v>
      </c>
      <c r="AI417" s="12">
        <f t="shared" si="8"/>
        <v>1.5</v>
      </c>
      <c r="AL417" s="14">
        <f>R417*'Optimal Choice'!$B$4*AE417</f>
        <v>17134.2</v>
      </c>
      <c r="AM417" s="14">
        <f>S417*'Optimal Choice'!$B$9*AF417</f>
        <v>80000</v>
      </c>
      <c r="AN417" s="14">
        <f>T417*'Optimal Choice'!$B$14*AG417</f>
        <v>213120</v>
      </c>
      <c r="AO417" s="14">
        <f>U417*'Optimal Choice'!$B$19*AH417</f>
        <v>34560</v>
      </c>
      <c r="AP417" s="14">
        <f>V417*'Optimal Choice'!$B$24*AI417</f>
        <v>139320</v>
      </c>
      <c r="AS417" s="12">
        <f t="shared" si="9"/>
        <v>60</v>
      </c>
      <c r="AT417" s="12">
        <f t="shared" si="10"/>
        <v>50</v>
      </c>
      <c r="AU417" s="12">
        <f t="shared" si="11"/>
        <v>32</v>
      </c>
      <c r="AV417" s="12">
        <f t="shared" si="12"/>
        <v>2</v>
      </c>
      <c r="AW417" s="12">
        <f t="shared" si="13"/>
        <v>1.5</v>
      </c>
      <c r="AY417" s="11">
        <f t="shared" si="14"/>
        <v>0.148511282</v>
      </c>
    </row>
    <row r="418" ht="15.75" customHeight="1">
      <c r="A418" s="15">
        <f t="shared" si="2"/>
        <v>19.28582086</v>
      </c>
      <c r="B418" s="7">
        <f>(sum(AL418:AP418))*'Optimal Choice'!$B$28</f>
        <v>484234.4</v>
      </c>
      <c r="C418" s="11"/>
      <c r="D418" s="12"/>
      <c r="E418" s="12"/>
      <c r="F418" s="11"/>
      <c r="G418" s="11"/>
      <c r="H418" s="11"/>
      <c r="I418" s="11"/>
      <c r="J418" s="11"/>
      <c r="K418" s="11">
        <f>(X418/$B418)+(X418/('Optimal Choice'!$B$4*AS418))</f>
        <v>4838.109197</v>
      </c>
      <c r="L418" s="11">
        <f>(Y418/$B418)+(Y418/('Optimal Choice'!$B$9*AT418))</f>
        <v>4961.034675</v>
      </c>
      <c r="M418" s="11">
        <f>(Z418/$B418)+(Z418/('Optimal Choice'!$B$14*AU418))</f>
        <v>4659.927809</v>
      </c>
      <c r="N418" s="11">
        <f>(AA418/$B418)+(AA418/('Optimal Choice'!$B$19*AV418))</f>
        <v>4793.693276</v>
      </c>
      <c r="O418" s="11">
        <f>(AB418/$B418)+(AB418/('Optimal Choice'!$B$24*AW418))</f>
        <v>4716.709735</v>
      </c>
      <c r="R418" s="12">
        <f t="shared" ref="R418:V418" si="428">if(min($K417:$O417)=K417,R417+1,R417)</f>
        <v>172</v>
      </c>
      <c r="S418" s="12">
        <f t="shared" si="428"/>
        <v>80</v>
      </c>
      <c r="T418" s="12">
        <f t="shared" si="428"/>
        <v>74</v>
      </c>
      <c r="U418" s="12">
        <f t="shared" si="428"/>
        <v>48</v>
      </c>
      <c r="V418" s="12">
        <f t="shared" si="428"/>
        <v>43</v>
      </c>
      <c r="X418" s="13">
        <f> 'Optimal Choice'!$B$5*'Optimal Choice'!$B$6^(R418+1)</f>
        <v>484678.2497</v>
      </c>
      <c r="Y418" s="13">
        <f> 'Optimal Choice'!$B$10*'Optimal Choice'!$B$11^(S418+1)</f>
        <v>4950810.679</v>
      </c>
      <c r="Z418" s="13">
        <f> 'Optimal Choice'!$B$15*'Optimal Choice'!$B$16^(T418+1)</f>
        <v>13341244.6</v>
      </c>
      <c r="AA418" s="13">
        <f> 'Optimal Choice'!$B$20*'Optimal Choice'!$B$21^(U418+1)</f>
        <v>3446334.861</v>
      </c>
      <c r="AB418" s="13">
        <f> 'Optimal Choice'!$B$25*'Optimal Choice'!$B$26^(V418+1)</f>
        <v>15180566.76</v>
      </c>
      <c r="AE418" s="12">
        <f t="shared" si="4"/>
        <v>60</v>
      </c>
      <c r="AF418" s="12">
        <f t="shared" si="5"/>
        <v>50</v>
      </c>
      <c r="AG418" s="12">
        <f t="shared" si="6"/>
        <v>32</v>
      </c>
      <c r="AH418" s="12">
        <f t="shared" si="7"/>
        <v>2</v>
      </c>
      <c r="AI418" s="12">
        <f t="shared" si="8"/>
        <v>1.5</v>
      </c>
      <c r="AL418" s="14">
        <f>R418*'Optimal Choice'!$B$4*AE418</f>
        <v>17234.4</v>
      </c>
      <c r="AM418" s="14">
        <f>S418*'Optimal Choice'!$B$9*AF418</f>
        <v>80000</v>
      </c>
      <c r="AN418" s="14">
        <f>T418*'Optimal Choice'!$B$14*AG418</f>
        <v>213120</v>
      </c>
      <c r="AO418" s="14">
        <f>U418*'Optimal Choice'!$B$19*AH418</f>
        <v>34560</v>
      </c>
      <c r="AP418" s="14">
        <f>V418*'Optimal Choice'!$B$24*AI418</f>
        <v>139320</v>
      </c>
      <c r="AS418" s="12">
        <f t="shared" si="9"/>
        <v>60</v>
      </c>
      <c r="AT418" s="12">
        <f t="shared" si="10"/>
        <v>50</v>
      </c>
      <c r="AU418" s="12">
        <f t="shared" si="11"/>
        <v>32</v>
      </c>
      <c r="AV418" s="12">
        <f t="shared" si="12"/>
        <v>2</v>
      </c>
      <c r="AW418" s="12">
        <f t="shared" si="13"/>
        <v>1.5</v>
      </c>
      <c r="AY418" s="11">
        <f t="shared" si="14"/>
        <v>0.01559382801</v>
      </c>
    </row>
    <row r="419" ht="15.75" customHeight="1">
      <c r="A419" s="15">
        <f t="shared" si="2"/>
        <v>19.74500773</v>
      </c>
      <c r="B419" s="7">
        <f>(sum(AL419:AP419))*'Optimal Choice'!$B$28</f>
        <v>487114.4</v>
      </c>
      <c r="C419" s="11"/>
      <c r="D419" s="12"/>
      <c r="E419" s="12"/>
      <c r="F419" s="11"/>
      <c r="G419" s="11"/>
      <c r="H419" s="11"/>
      <c r="I419" s="11"/>
      <c r="J419" s="11"/>
      <c r="K419" s="11">
        <f>(X419/$B419)+(X419/('Optimal Choice'!$B$4*AS419))</f>
        <v>4838.103279</v>
      </c>
      <c r="L419" s="11">
        <f>(Y419/$B419)+(Y419/('Optimal Choice'!$B$9*AT419))</f>
        <v>4960.974227</v>
      </c>
      <c r="M419" s="11">
        <f>(Z419/$B419)+(Z419/('Optimal Choice'!$B$14*AU419))</f>
        <v>5312.132005</v>
      </c>
      <c r="N419" s="11">
        <f>(AA419/$B419)+(AA419/('Optimal Choice'!$B$19*AV419))</f>
        <v>4793.651197</v>
      </c>
      <c r="O419" s="11">
        <f>(AB419/$B419)+(AB419/('Optimal Choice'!$B$24*AW419))</f>
        <v>4716.524385</v>
      </c>
      <c r="R419" s="12">
        <f t="shared" ref="R419:V419" si="429">if(min($K418:$O418)=K418,R418+1,R418)</f>
        <v>172</v>
      </c>
      <c r="S419" s="12">
        <f t="shared" si="429"/>
        <v>80</v>
      </c>
      <c r="T419" s="12">
        <f t="shared" si="429"/>
        <v>75</v>
      </c>
      <c r="U419" s="12">
        <f t="shared" si="429"/>
        <v>48</v>
      </c>
      <c r="V419" s="12">
        <f t="shared" si="429"/>
        <v>43</v>
      </c>
      <c r="X419" s="13">
        <f> 'Optimal Choice'!$B$5*'Optimal Choice'!$B$6^(R419+1)</f>
        <v>484678.2497</v>
      </c>
      <c r="Y419" s="13">
        <f> 'Optimal Choice'!$B$10*'Optimal Choice'!$B$11^(S419+1)</f>
        <v>4950810.679</v>
      </c>
      <c r="Z419" s="13">
        <f> 'Optimal Choice'!$B$15*'Optimal Choice'!$B$16^(T419+1)</f>
        <v>15209018.84</v>
      </c>
      <c r="AA419" s="13">
        <f> 'Optimal Choice'!$B$20*'Optimal Choice'!$B$21^(U419+1)</f>
        <v>3446334.861</v>
      </c>
      <c r="AB419" s="13">
        <f> 'Optimal Choice'!$B$25*'Optimal Choice'!$B$26^(V419+1)</f>
        <v>15180566.76</v>
      </c>
      <c r="AE419" s="12">
        <f t="shared" si="4"/>
        <v>60</v>
      </c>
      <c r="AF419" s="12">
        <f t="shared" si="5"/>
        <v>50</v>
      </c>
      <c r="AG419" s="12">
        <f t="shared" si="6"/>
        <v>32</v>
      </c>
      <c r="AH419" s="12">
        <f t="shared" si="7"/>
        <v>2</v>
      </c>
      <c r="AI419" s="12">
        <f t="shared" si="8"/>
        <v>1.5</v>
      </c>
      <c r="AL419" s="14">
        <f>R419*'Optimal Choice'!$B$4*AE419</f>
        <v>17234.4</v>
      </c>
      <c r="AM419" s="14">
        <f>S419*'Optimal Choice'!$B$9*AF419</f>
        <v>80000</v>
      </c>
      <c r="AN419" s="14">
        <f>T419*'Optimal Choice'!$B$14*AG419</f>
        <v>216000</v>
      </c>
      <c r="AO419" s="14">
        <f>U419*'Optimal Choice'!$B$19*AH419</f>
        <v>34560</v>
      </c>
      <c r="AP419" s="14">
        <f>V419*'Optimal Choice'!$B$24*AI419</f>
        <v>139320</v>
      </c>
      <c r="AS419" s="12">
        <f t="shared" si="9"/>
        <v>60</v>
      </c>
      <c r="AT419" s="12">
        <f t="shared" si="10"/>
        <v>50</v>
      </c>
      <c r="AU419" s="12">
        <f t="shared" si="11"/>
        <v>32</v>
      </c>
      <c r="AV419" s="12">
        <f t="shared" si="12"/>
        <v>2</v>
      </c>
      <c r="AW419" s="12">
        <f t="shared" si="13"/>
        <v>1.5</v>
      </c>
      <c r="AY419" s="11">
        <f t="shared" si="14"/>
        <v>0.4591868663</v>
      </c>
    </row>
    <row r="420" ht="15.75" customHeight="1">
      <c r="A420" s="15">
        <f t="shared" si="2"/>
        <v>20.2644123</v>
      </c>
      <c r="B420" s="7">
        <f>(sum(AL420:AP420))*'Optimal Choice'!$B$28</f>
        <v>490354.4</v>
      </c>
      <c r="C420" s="11"/>
      <c r="D420" s="12"/>
      <c r="E420" s="12"/>
      <c r="F420" s="11"/>
      <c r="G420" s="11"/>
      <c r="H420" s="11"/>
      <c r="I420" s="11"/>
      <c r="J420" s="11"/>
      <c r="K420" s="11">
        <f>(X420/$B420)+(X420/('Optimal Choice'!$B$4*AS420))</f>
        <v>4838.096705</v>
      </c>
      <c r="L420" s="11">
        <f>(Y420/$B420)+(Y420/('Optimal Choice'!$B$9*AT420))</f>
        <v>4960.907072</v>
      </c>
      <c r="M420" s="11">
        <f>(Z420/$B420)+(Z420/('Optimal Choice'!$B$14*AU420))</f>
        <v>5311.925702</v>
      </c>
      <c r="N420" s="11">
        <f>(AA420/$B420)+(AA420/('Optimal Choice'!$B$19*AV420))</f>
        <v>4793.60445</v>
      </c>
      <c r="O420" s="11">
        <f>(AB420/$B420)+(AB420/('Optimal Choice'!$B$24*AW420))</f>
        <v>5282.276684</v>
      </c>
      <c r="R420" s="12">
        <f t="shared" ref="R420:V420" si="430">if(min($K419:$O419)=K419,R419+1,R419)</f>
        <v>172</v>
      </c>
      <c r="S420" s="12">
        <f t="shared" si="430"/>
        <v>80</v>
      </c>
      <c r="T420" s="12">
        <f t="shared" si="430"/>
        <v>75</v>
      </c>
      <c r="U420" s="12">
        <f t="shared" si="430"/>
        <v>48</v>
      </c>
      <c r="V420" s="12">
        <f t="shared" si="430"/>
        <v>44</v>
      </c>
      <c r="X420" s="13">
        <f> 'Optimal Choice'!$B$5*'Optimal Choice'!$B$6^(R420+1)</f>
        <v>484678.2497</v>
      </c>
      <c r="Y420" s="13">
        <f> 'Optimal Choice'!$B$10*'Optimal Choice'!$B$11^(S420+1)</f>
        <v>4950810.679</v>
      </c>
      <c r="Z420" s="13">
        <f> 'Optimal Choice'!$B$15*'Optimal Choice'!$B$16^(T420+1)</f>
        <v>15209018.84</v>
      </c>
      <c r="AA420" s="13">
        <f> 'Optimal Choice'!$B$20*'Optimal Choice'!$B$21^(U420+1)</f>
        <v>3446334.861</v>
      </c>
      <c r="AB420" s="13">
        <f> 'Optimal Choice'!$B$25*'Optimal Choice'!$B$26^(V420+1)</f>
        <v>17002234.77</v>
      </c>
      <c r="AE420" s="12">
        <f t="shared" si="4"/>
        <v>60</v>
      </c>
      <c r="AF420" s="12">
        <f t="shared" si="5"/>
        <v>50</v>
      </c>
      <c r="AG420" s="12">
        <f t="shared" si="6"/>
        <v>32</v>
      </c>
      <c r="AH420" s="12">
        <f t="shared" si="7"/>
        <v>2</v>
      </c>
      <c r="AI420" s="12">
        <f t="shared" si="8"/>
        <v>1.5</v>
      </c>
      <c r="AL420" s="14">
        <f>R420*'Optimal Choice'!$B$4*AE420</f>
        <v>17234.4</v>
      </c>
      <c r="AM420" s="14">
        <f>S420*'Optimal Choice'!$B$9*AF420</f>
        <v>80000</v>
      </c>
      <c r="AN420" s="14">
        <f>T420*'Optimal Choice'!$B$14*AG420</f>
        <v>216000</v>
      </c>
      <c r="AO420" s="14">
        <f>U420*'Optimal Choice'!$B$19*AH420</f>
        <v>34560</v>
      </c>
      <c r="AP420" s="14">
        <f>V420*'Optimal Choice'!$B$24*AI420</f>
        <v>142560</v>
      </c>
      <c r="AS420" s="12">
        <f t="shared" si="9"/>
        <v>60</v>
      </c>
      <c r="AT420" s="12">
        <f t="shared" si="10"/>
        <v>50</v>
      </c>
      <c r="AU420" s="12">
        <f t="shared" si="11"/>
        <v>32</v>
      </c>
      <c r="AV420" s="12">
        <f t="shared" si="12"/>
        <v>2</v>
      </c>
      <c r="AW420" s="12">
        <f t="shared" si="13"/>
        <v>1.5</v>
      </c>
      <c r="AY420" s="11">
        <f t="shared" si="14"/>
        <v>0.519404571</v>
      </c>
    </row>
    <row r="421" ht="15.75" customHeight="1">
      <c r="A421" s="15">
        <f t="shared" si="2"/>
        <v>20.38154985</v>
      </c>
      <c r="B421" s="7">
        <f>(sum(AL421:AP421))*'Optimal Choice'!$B$28</f>
        <v>491074.4</v>
      </c>
      <c r="C421" s="11"/>
      <c r="D421" s="12"/>
      <c r="E421" s="12"/>
      <c r="F421" s="11"/>
      <c r="G421" s="11"/>
      <c r="H421" s="11"/>
      <c r="I421" s="11"/>
      <c r="J421" s="11"/>
      <c r="K421" s="11">
        <f>(X421/$B421)+(X421/('Optimal Choice'!$B$4*AS421))</f>
        <v>4838.095256</v>
      </c>
      <c r="L421" s="11">
        <f>(Y421/$B421)+(Y421/('Optimal Choice'!$B$9*AT421))</f>
        <v>4960.892269</v>
      </c>
      <c r="M421" s="11">
        <f>(Z421/$B421)+(Z421/('Optimal Choice'!$B$14*AU421))</f>
        <v>5311.880227</v>
      </c>
      <c r="N421" s="11">
        <f>(AA421/$B421)+(AA421/('Optimal Choice'!$B$19*AV421))</f>
        <v>2712.345833</v>
      </c>
      <c r="O421" s="11">
        <f>(AB421/$B421)+(AB421/('Optimal Choice'!$B$24*AW421))</f>
        <v>5282.225847</v>
      </c>
      <c r="R421" s="12">
        <f t="shared" ref="R421:V421" si="431">if(min($K420:$O420)=K420,R420+1,R420)</f>
        <v>172</v>
      </c>
      <c r="S421" s="12">
        <f t="shared" si="431"/>
        <v>80</v>
      </c>
      <c r="T421" s="12">
        <f t="shared" si="431"/>
        <v>75</v>
      </c>
      <c r="U421" s="12">
        <f t="shared" si="431"/>
        <v>49</v>
      </c>
      <c r="V421" s="12">
        <f t="shared" si="431"/>
        <v>44</v>
      </c>
      <c r="X421" s="13">
        <f> 'Optimal Choice'!$B$5*'Optimal Choice'!$B$6^(R421+1)</f>
        <v>484678.2497</v>
      </c>
      <c r="Y421" s="13">
        <f> 'Optimal Choice'!$B$10*'Optimal Choice'!$B$11^(S421+1)</f>
        <v>4950810.679</v>
      </c>
      <c r="Z421" s="13">
        <f> 'Optimal Choice'!$B$15*'Optimal Choice'!$B$16^(T421+1)</f>
        <v>15209018.84</v>
      </c>
      <c r="AA421" s="13">
        <f> 'Optimal Choice'!$B$20*'Optimal Choice'!$B$21^(U421+1)</f>
        <v>3894358.393</v>
      </c>
      <c r="AB421" s="13">
        <f> 'Optimal Choice'!$B$25*'Optimal Choice'!$B$26^(V421+1)</f>
        <v>17002234.77</v>
      </c>
      <c r="AE421" s="12">
        <f t="shared" si="4"/>
        <v>60</v>
      </c>
      <c r="AF421" s="12">
        <f t="shared" si="5"/>
        <v>50</v>
      </c>
      <c r="AG421" s="12">
        <f t="shared" si="6"/>
        <v>32</v>
      </c>
      <c r="AH421" s="12">
        <f t="shared" si="7"/>
        <v>2</v>
      </c>
      <c r="AI421" s="12">
        <f t="shared" si="8"/>
        <v>1.5</v>
      </c>
      <c r="AL421" s="14">
        <f>R421*'Optimal Choice'!$B$4*AE421</f>
        <v>17234.4</v>
      </c>
      <c r="AM421" s="14">
        <f>S421*'Optimal Choice'!$B$9*AF421</f>
        <v>80000</v>
      </c>
      <c r="AN421" s="14">
        <f>T421*'Optimal Choice'!$B$14*AG421</f>
        <v>216000</v>
      </c>
      <c r="AO421" s="14">
        <f>U421*'Optimal Choice'!$B$19*AH421</f>
        <v>35280</v>
      </c>
      <c r="AP421" s="14">
        <f>V421*'Optimal Choice'!$B$24*AI421</f>
        <v>142560</v>
      </c>
      <c r="AS421" s="12">
        <f t="shared" si="9"/>
        <v>60</v>
      </c>
      <c r="AT421" s="12">
        <f t="shared" si="10"/>
        <v>50</v>
      </c>
      <c r="AU421" s="12">
        <f t="shared" si="11"/>
        <v>32</v>
      </c>
      <c r="AV421" s="12">
        <f t="shared" si="12"/>
        <v>4</v>
      </c>
      <c r="AW421" s="12">
        <f t="shared" si="13"/>
        <v>1.5</v>
      </c>
      <c r="AY421" s="11">
        <f t="shared" si="14"/>
        <v>0.1171375527</v>
      </c>
    </row>
    <row r="422" ht="15.75" customHeight="1">
      <c r="A422" s="15">
        <f t="shared" si="2"/>
        <v>20.51372122</v>
      </c>
      <c r="B422" s="7">
        <f>(sum(AL422:AP422))*'Optimal Choice'!$B$28</f>
        <v>527794.4</v>
      </c>
      <c r="C422" s="11"/>
      <c r="D422" s="12"/>
      <c r="E422" s="12"/>
      <c r="F422" s="11"/>
      <c r="G422" s="11"/>
      <c r="H422" s="11"/>
      <c r="I422" s="11"/>
      <c r="J422" s="11"/>
      <c r="K422" s="11">
        <f>(X422/$B422)+(X422/('Optimal Choice'!$B$4*AS422))</f>
        <v>4838.026589</v>
      </c>
      <c r="L422" s="11">
        <f>(Y422/$B422)+(Y422/('Optimal Choice'!$B$9*AT422))</f>
        <v>4960.190867</v>
      </c>
      <c r="M422" s="11">
        <f>(Z422/$B422)+(Z422/('Optimal Choice'!$B$14*AU422))</f>
        <v>5309.725502</v>
      </c>
      <c r="N422" s="11">
        <f>(AA422/$B422)+(AA422/('Optimal Choice'!$B$19*AV422))</f>
        <v>3064.327336</v>
      </c>
      <c r="O422" s="11">
        <f>(AB422/$B422)+(AB422/('Optimal Choice'!$B$24*AW422))</f>
        <v>5279.81707</v>
      </c>
      <c r="R422" s="12">
        <f t="shared" ref="R422:V422" si="432">if(min($K421:$O421)=K421,R421+1,R421)</f>
        <v>172</v>
      </c>
      <c r="S422" s="12">
        <f t="shared" si="432"/>
        <v>80</v>
      </c>
      <c r="T422" s="12">
        <f t="shared" si="432"/>
        <v>75</v>
      </c>
      <c r="U422" s="12">
        <f t="shared" si="432"/>
        <v>50</v>
      </c>
      <c r="V422" s="12">
        <f t="shared" si="432"/>
        <v>44</v>
      </c>
      <c r="X422" s="13">
        <f> 'Optimal Choice'!$B$5*'Optimal Choice'!$B$6^(R422+1)</f>
        <v>484678.2497</v>
      </c>
      <c r="Y422" s="13">
        <f> 'Optimal Choice'!$B$10*'Optimal Choice'!$B$11^(S422+1)</f>
        <v>4950810.679</v>
      </c>
      <c r="Z422" s="13">
        <f> 'Optimal Choice'!$B$15*'Optimal Choice'!$B$16^(T422+1)</f>
        <v>15209018.84</v>
      </c>
      <c r="AA422" s="13">
        <f> 'Optimal Choice'!$B$20*'Optimal Choice'!$B$21^(U422+1)</f>
        <v>4400624.985</v>
      </c>
      <c r="AB422" s="13">
        <f> 'Optimal Choice'!$B$25*'Optimal Choice'!$B$26^(V422+1)</f>
        <v>17002234.77</v>
      </c>
      <c r="AE422" s="12">
        <f t="shared" si="4"/>
        <v>60</v>
      </c>
      <c r="AF422" s="12">
        <f t="shared" si="5"/>
        <v>50</v>
      </c>
      <c r="AG422" s="12">
        <f t="shared" si="6"/>
        <v>32</v>
      </c>
      <c r="AH422" s="12">
        <f t="shared" si="7"/>
        <v>4</v>
      </c>
      <c r="AI422" s="12">
        <f t="shared" si="8"/>
        <v>1.5</v>
      </c>
      <c r="AL422" s="14">
        <f>R422*'Optimal Choice'!$B$4*AE422</f>
        <v>17234.4</v>
      </c>
      <c r="AM422" s="14">
        <f>S422*'Optimal Choice'!$B$9*AF422</f>
        <v>80000</v>
      </c>
      <c r="AN422" s="14">
        <f>T422*'Optimal Choice'!$B$14*AG422</f>
        <v>216000</v>
      </c>
      <c r="AO422" s="14">
        <f>U422*'Optimal Choice'!$B$19*AH422</f>
        <v>72000</v>
      </c>
      <c r="AP422" s="14">
        <f>V422*'Optimal Choice'!$B$24*AI422</f>
        <v>142560</v>
      </c>
      <c r="AS422" s="12">
        <f t="shared" si="9"/>
        <v>60</v>
      </c>
      <c r="AT422" s="12">
        <f t="shared" si="10"/>
        <v>50</v>
      </c>
      <c r="AU422" s="12">
        <f t="shared" si="11"/>
        <v>32</v>
      </c>
      <c r="AV422" s="12">
        <f t="shared" si="12"/>
        <v>4</v>
      </c>
      <c r="AW422" s="12">
        <f t="shared" si="13"/>
        <v>1.5</v>
      </c>
      <c r="AY422" s="11">
        <f t="shared" si="14"/>
        <v>0.1321713639</v>
      </c>
    </row>
    <row r="423" ht="15.75" customHeight="1">
      <c r="A423" s="15">
        <f t="shared" si="2"/>
        <v>20.65268395</v>
      </c>
      <c r="B423" s="7">
        <f>(sum(AL423:AP423))*'Optimal Choice'!$B$28</f>
        <v>529234.4</v>
      </c>
      <c r="C423" s="11"/>
      <c r="D423" s="12"/>
      <c r="E423" s="12"/>
      <c r="F423" s="11"/>
      <c r="G423" s="11"/>
      <c r="H423" s="11"/>
      <c r="I423" s="11"/>
      <c r="J423" s="11"/>
      <c r="K423" s="11">
        <f>(X423/$B423)+(X423/('Optimal Choice'!$B$4*AS423))</f>
        <v>4838.024091</v>
      </c>
      <c r="L423" s="11">
        <f>(Y423/$B423)+(Y423/('Optimal Choice'!$B$9*AT423))</f>
        <v>4960.165344</v>
      </c>
      <c r="M423" s="11">
        <f>(Z423/$B423)+(Z423/('Optimal Choice'!$B$14*AU423))</f>
        <v>5309.647096</v>
      </c>
      <c r="N423" s="11">
        <f>(AA423/$B423)+(AA423/('Optimal Choice'!$B$19*AV423))</f>
        <v>3462.664254</v>
      </c>
      <c r="O423" s="11">
        <f>(AB423/$B423)+(AB423/('Optimal Choice'!$B$24*AW423))</f>
        <v>5279.729419</v>
      </c>
      <c r="R423" s="12">
        <f t="shared" ref="R423:V423" si="433">if(min($K422:$O422)=K422,R422+1,R422)</f>
        <v>172</v>
      </c>
      <c r="S423" s="12">
        <f t="shared" si="433"/>
        <v>80</v>
      </c>
      <c r="T423" s="12">
        <f t="shared" si="433"/>
        <v>75</v>
      </c>
      <c r="U423" s="12">
        <f t="shared" si="433"/>
        <v>51</v>
      </c>
      <c r="V423" s="12">
        <f t="shared" si="433"/>
        <v>44</v>
      </c>
      <c r="X423" s="13">
        <f> 'Optimal Choice'!$B$5*'Optimal Choice'!$B$6^(R423+1)</f>
        <v>484678.2497</v>
      </c>
      <c r="Y423" s="13">
        <f> 'Optimal Choice'!$B$10*'Optimal Choice'!$B$11^(S423+1)</f>
        <v>4950810.679</v>
      </c>
      <c r="Z423" s="13">
        <f> 'Optimal Choice'!$B$15*'Optimal Choice'!$B$16^(T423+1)</f>
        <v>15209018.84</v>
      </c>
      <c r="AA423" s="13">
        <f> 'Optimal Choice'!$B$20*'Optimal Choice'!$B$21^(U423+1)</f>
        <v>4972706.232</v>
      </c>
      <c r="AB423" s="13">
        <f> 'Optimal Choice'!$B$25*'Optimal Choice'!$B$26^(V423+1)</f>
        <v>17002234.77</v>
      </c>
      <c r="AE423" s="12">
        <f t="shared" si="4"/>
        <v>60</v>
      </c>
      <c r="AF423" s="12">
        <f t="shared" si="5"/>
        <v>50</v>
      </c>
      <c r="AG423" s="12">
        <f t="shared" si="6"/>
        <v>32</v>
      </c>
      <c r="AH423" s="12">
        <f t="shared" si="7"/>
        <v>4</v>
      </c>
      <c r="AI423" s="12">
        <f t="shared" si="8"/>
        <v>1.5</v>
      </c>
      <c r="AL423" s="14">
        <f>R423*'Optimal Choice'!$B$4*AE423</f>
        <v>17234.4</v>
      </c>
      <c r="AM423" s="14">
        <f>S423*'Optimal Choice'!$B$9*AF423</f>
        <v>80000</v>
      </c>
      <c r="AN423" s="14">
        <f>T423*'Optimal Choice'!$B$14*AG423</f>
        <v>216000</v>
      </c>
      <c r="AO423" s="14">
        <f>U423*'Optimal Choice'!$B$19*AH423</f>
        <v>73440</v>
      </c>
      <c r="AP423" s="14">
        <f>V423*'Optimal Choice'!$B$24*AI423</f>
        <v>142560</v>
      </c>
      <c r="AS423" s="12">
        <f t="shared" si="9"/>
        <v>60</v>
      </c>
      <c r="AT423" s="12">
        <f t="shared" si="10"/>
        <v>50</v>
      </c>
      <c r="AU423" s="12">
        <f t="shared" si="11"/>
        <v>32</v>
      </c>
      <c r="AV423" s="12">
        <f t="shared" si="12"/>
        <v>4</v>
      </c>
      <c r="AW423" s="12">
        <f t="shared" si="13"/>
        <v>1.5</v>
      </c>
      <c r="AY423" s="11">
        <f t="shared" si="14"/>
        <v>0.1389627282</v>
      </c>
    </row>
    <row r="424" ht="15.75" customHeight="1">
      <c r="A424" s="15">
        <f t="shared" si="2"/>
        <v>20.80928457</v>
      </c>
      <c r="B424" s="7">
        <f>(sum(AL424:AP424))*'Optimal Choice'!$B$28</f>
        <v>530674.4</v>
      </c>
      <c r="C424" s="11"/>
      <c r="D424" s="12"/>
      <c r="E424" s="12"/>
      <c r="F424" s="11"/>
      <c r="G424" s="11"/>
      <c r="H424" s="11"/>
      <c r="I424" s="11"/>
      <c r="J424" s="11"/>
      <c r="K424" s="11">
        <f>(X424/$B424)+(X424/('Optimal Choice'!$B$4*AS424))</f>
        <v>4838.021606</v>
      </c>
      <c r="L424" s="11">
        <f>(Y424/$B424)+(Y424/('Optimal Choice'!$B$9*AT424))</f>
        <v>4960.13996</v>
      </c>
      <c r="M424" s="11">
        <f>(Z424/$B424)+(Z424/('Optimal Choice'!$B$14*AU424))</f>
        <v>5309.569115</v>
      </c>
      <c r="N424" s="11">
        <f>(AA424/$B424)+(AA424/('Optimal Choice'!$B$19*AV424))</f>
        <v>3912.781797</v>
      </c>
      <c r="O424" s="11">
        <f>(AB424/$B424)+(AB424/('Optimal Choice'!$B$24*AW424))</f>
        <v>5279.642244</v>
      </c>
      <c r="R424" s="12">
        <f t="shared" ref="R424:V424" si="434">if(min($K423:$O423)=K423,R423+1,R423)</f>
        <v>172</v>
      </c>
      <c r="S424" s="12">
        <f t="shared" si="434"/>
        <v>80</v>
      </c>
      <c r="T424" s="12">
        <f t="shared" si="434"/>
        <v>75</v>
      </c>
      <c r="U424" s="12">
        <f t="shared" si="434"/>
        <v>52</v>
      </c>
      <c r="V424" s="12">
        <f t="shared" si="434"/>
        <v>44</v>
      </c>
      <c r="X424" s="13">
        <f> 'Optimal Choice'!$B$5*'Optimal Choice'!$B$6^(R424+1)</f>
        <v>484678.2497</v>
      </c>
      <c r="Y424" s="13">
        <f> 'Optimal Choice'!$B$10*'Optimal Choice'!$B$11^(S424+1)</f>
        <v>4950810.679</v>
      </c>
      <c r="Z424" s="13">
        <f> 'Optimal Choice'!$B$15*'Optimal Choice'!$B$16^(T424+1)</f>
        <v>15209018.84</v>
      </c>
      <c r="AA424" s="13">
        <f> 'Optimal Choice'!$B$20*'Optimal Choice'!$B$21^(U424+1)</f>
        <v>5619158.043</v>
      </c>
      <c r="AB424" s="13">
        <f> 'Optimal Choice'!$B$25*'Optimal Choice'!$B$26^(V424+1)</f>
        <v>17002234.77</v>
      </c>
      <c r="AE424" s="12">
        <f t="shared" si="4"/>
        <v>60</v>
      </c>
      <c r="AF424" s="12">
        <f t="shared" si="5"/>
        <v>50</v>
      </c>
      <c r="AG424" s="12">
        <f t="shared" si="6"/>
        <v>32</v>
      </c>
      <c r="AH424" s="12">
        <f t="shared" si="7"/>
        <v>4</v>
      </c>
      <c r="AI424" s="12">
        <f t="shared" si="8"/>
        <v>1.5</v>
      </c>
      <c r="AL424" s="14">
        <f>R424*'Optimal Choice'!$B$4*AE424</f>
        <v>17234.4</v>
      </c>
      <c r="AM424" s="14">
        <f>S424*'Optimal Choice'!$B$9*AF424</f>
        <v>80000</v>
      </c>
      <c r="AN424" s="14">
        <f>T424*'Optimal Choice'!$B$14*AG424</f>
        <v>216000</v>
      </c>
      <c r="AO424" s="14">
        <f>U424*'Optimal Choice'!$B$19*AH424</f>
        <v>74880</v>
      </c>
      <c r="AP424" s="14">
        <f>V424*'Optimal Choice'!$B$24*AI424</f>
        <v>142560</v>
      </c>
      <c r="AS424" s="12">
        <f t="shared" si="9"/>
        <v>60</v>
      </c>
      <c r="AT424" s="12">
        <f t="shared" si="10"/>
        <v>50</v>
      </c>
      <c r="AU424" s="12">
        <f t="shared" si="11"/>
        <v>32</v>
      </c>
      <c r="AV424" s="12">
        <f t="shared" si="12"/>
        <v>4</v>
      </c>
      <c r="AW424" s="12">
        <f t="shared" si="13"/>
        <v>1.5</v>
      </c>
      <c r="AY424" s="11">
        <f t="shared" si="14"/>
        <v>0.1566006239</v>
      </c>
    </row>
    <row r="425" ht="15.75" customHeight="1">
      <c r="A425" s="15">
        <f t="shared" si="2"/>
        <v>20.98576309</v>
      </c>
      <c r="B425" s="7">
        <f>(sum(AL425:AP425))*'Optimal Choice'!$B$28</f>
        <v>532114.4</v>
      </c>
      <c r="C425" s="11"/>
      <c r="D425" s="12"/>
      <c r="E425" s="12"/>
      <c r="F425" s="11"/>
      <c r="G425" s="11"/>
      <c r="H425" s="11"/>
      <c r="I425" s="11"/>
      <c r="J425" s="11"/>
      <c r="K425" s="11">
        <f>(X425/$B425)+(X425/('Optimal Choice'!$B$4*AS425))</f>
        <v>4838.019134</v>
      </c>
      <c r="L425" s="11">
        <f>(Y425/$B425)+(Y425/('Optimal Choice'!$B$9*AT425))</f>
        <v>4960.114713</v>
      </c>
      <c r="M425" s="11">
        <f>(Z425/$B425)+(Z425/('Optimal Choice'!$B$14*AU425))</f>
        <v>5309.491556</v>
      </c>
      <c r="N425" s="11">
        <f>(AA425/$B425)+(AA425/('Optimal Choice'!$B$19*AV425))</f>
        <v>4421.41105</v>
      </c>
      <c r="O425" s="11">
        <f>(AB425/$B425)+(AB425/('Optimal Choice'!$B$24*AW425))</f>
        <v>5279.555541</v>
      </c>
      <c r="R425" s="12">
        <f t="shared" ref="R425:V425" si="435">if(min($K424:$O424)=K424,R424+1,R424)</f>
        <v>172</v>
      </c>
      <c r="S425" s="12">
        <f t="shared" si="435"/>
        <v>80</v>
      </c>
      <c r="T425" s="12">
        <f t="shared" si="435"/>
        <v>75</v>
      </c>
      <c r="U425" s="12">
        <f t="shared" si="435"/>
        <v>53</v>
      </c>
      <c r="V425" s="12">
        <f t="shared" si="435"/>
        <v>44</v>
      </c>
      <c r="X425" s="13">
        <f> 'Optimal Choice'!$B$5*'Optimal Choice'!$B$6^(R425+1)</f>
        <v>484678.2497</v>
      </c>
      <c r="Y425" s="13">
        <f> 'Optimal Choice'!$B$10*'Optimal Choice'!$B$11^(S425+1)</f>
        <v>4950810.679</v>
      </c>
      <c r="Z425" s="13">
        <f> 'Optimal Choice'!$B$15*'Optimal Choice'!$B$16^(T425+1)</f>
        <v>15209018.84</v>
      </c>
      <c r="AA425" s="13">
        <f> 'Optimal Choice'!$B$20*'Optimal Choice'!$B$21^(U425+1)</f>
        <v>6349648.588</v>
      </c>
      <c r="AB425" s="13">
        <f> 'Optimal Choice'!$B$25*'Optimal Choice'!$B$26^(V425+1)</f>
        <v>17002234.77</v>
      </c>
      <c r="AE425" s="12">
        <f t="shared" si="4"/>
        <v>60</v>
      </c>
      <c r="AF425" s="12">
        <f t="shared" si="5"/>
        <v>50</v>
      </c>
      <c r="AG425" s="12">
        <f t="shared" si="6"/>
        <v>32</v>
      </c>
      <c r="AH425" s="12">
        <f t="shared" si="7"/>
        <v>4</v>
      </c>
      <c r="AI425" s="12">
        <f t="shared" si="8"/>
        <v>1.5</v>
      </c>
      <c r="AL425" s="14">
        <f>R425*'Optimal Choice'!$B$4*AE425</f>
        <v>17234.4</v>
      </c>
      <c r="AM425" s="14">
        <f>S425*'Optimal Choice'!$B$9*AF425</f>
        <v>80000</v>
      </c>
      <c r="AN425" s="14">
        <f>T425*'Optimal Choice'!$B$14*AG425</f>
        <v>216000</v>
      </c>
      <c r="AO425" s="14">
        <f>U425*'Optimal Choice'!$B$19*AH425</f>
        <v>76320</v>
      </c>
      <c r="AP425" s="14">
        <f>V425*'Optimal Choice'!$B$24*AI425</f>
        <v>142560</v>
      </c>
      <c r="AS425" s="12">
        <f t="shared" si="9"/>
        <v>60</v>
      </c>
      <c r="AT425" s="12">
        <f t="shared" si="10"/>
        <v>50</v>
      </c>
      <c r="AU425" s="12">
        <f t="shared" si="11"/>
        <v>32</v>
      </c>
      <c r="AV425" s="12">
        <f t="shared" si="12"/>
        <v>4</v>
      </c>
      <c r="AW425" s="12">
        <f t="shared" si="13"/>
        <v>1.5</v>
      </c>
      <c r="AY425" s="11">
        <f t="shared" si="14"/>
        <v>0.1764785225</v>
      </c>
    </row>
    <row r="426" ht="15.75" customHeight="1">
      <c r="A426" s="15">
        <f t="shared" si="2"/>
        <v>21.18464415</v>
      </c>
      <c r="B426" s="7">
        <f>(sum(AL426:AP426))*'Optimal Choice'!$B$28</f>
        <v>533554.4</v>
      </c>
      <c r="C426" s="11"/>
      <c r="D426" s="12"/>
      <c r="E426" s="12"/>
      <c r="F426" s="11"/>
      <c r="G426" s="11"/>
      <c r="H426" s="11"/>
      <c r="I426" s="11"/>
      <c r="J426" s="11"/>
      <c r="K426" s="11">
        <f>(X426/$B426)+(X426/('Optimal Choice'!$B$4*AS426))</f>
        <v>4838.016676</v>
      </c>
      <c r="L426" s="11">
        <f>(Y426/$B426)+(Y426/('Optimal Choice'!$B$9*AT426))</f>
        <v>4960.089603</v>
      </c>
      <c r="M426" s="11">
        <f>(Z426/$B426)+(Z426/('Optimal Choice'!$B$14*AU426))</f>
        <v>5309.414416</v>
      </c>
      <c r="N426" s="11">
        <f>(AA426/$B426)+(AA426/('Optimal Choice'!$B$19*AV426))</f>
        <v>4996.158094</v>
      </c>
      <c r="O426" s="11">
        <f>(AB426/$B426)+(AB426/('Optimal Choice'!$B$24*AW426))</f>
        <v>5279.469306</v>
      </c>
      <c r="R426" s="12">
        <f t="shared" ref="R426:V426" si="436">if(min($K425:$O425)=K425,R425+1,R425)</f>
        <v>172</v>
      </c>
      <c r="S426" s="12">
        <f t="shared" si="436"/>
        <v>80</v>
      </c>
      <c r="T426" s="12">
        <f t="shared" si="436"/>
        <v>75</v>
      </c>
      <c r="U426" s="12">
        <f t="shared" si="436"/>
        <v>54</v>
      </c>
      <c r="V426" s="12">
        <f t="shared" si="436"/>
        <v>44</v>
      </c>
      <c r="X426" s="13">
        <f> 'Optimal Choice'!$B$5*'Optimal Choice'!$B$6^(R426+1)</f>
        <v>484678.2497</v>
      </c>
      <c r="Y426" s="13">
        <f> 'Optimal Choice'!$B$10*'Optimal Choice'!$B$11^(S426+1)</f>
        <v>4950810.679</v>
      </c>
      <c r="Z426" s="13">
        <f> 'Optimal Choice'!$B$15*'Optimal Choice'!$B$16^(T426+1)</f>
        <v>15209018.84</v>
      </c>
      <c r="AA426" s="13">
        <f> 'Optimal Choice'!$B$20*'Optimal Choice'!$B$21^(U426+1)</f>
        <v>7175102.905</v>
      </c>
      <c r="AB426" s="13">
        <f> 'Optimal Choice'!$B$25*'Optimal Choice'!$B$26^(V426+1)</f>
        <v>17002234.77</v>
      </c>
      <c r="AE426" s="12">
        <f t="shared" si="4"/>
        <v>60</v>
      </c>
      <c r="AF426" s="12">
        <f t="shared" si="5"/>
        <v>50</v>
      </c>
      <c r="AG426" s="12">
        <f t="shared" si="6"/>
        <v>32</v>
      </c>
      <c r="AH426" s="12">
        <f t="shared" si="7"/>
        <v>4</v>
      </c>
      <c r="AI426" s="12">
        <f t="shared" si="8"/>
        <v>1.5</v>
      </c>
      <c r="AL426" s="14">
        <f>R426*'Optimal Choice'!$B$4*AE426</f>
        <v>17234.4</v>
      </c>
      <c r="AM426" s="14">
        <f>S426*'Optimal Choice'!$B$9*AF426</f>
        <v>80000</v>
      </c>
      <c r="AN426" s="14">
        <f>T426*'Optimal Choice'!$B$14*AG426</f>
        <v>216000</v>
      </c>
      <c r="AO426" s="14">
        <f>U426*'Optimal Choice'!$B$19*AH426</f>
        <v>77760</v>
      </c>
      <c r="AP426" s="14">
        <f>V426*'Optimal Choice'!$B$24*AI426</f>
        <v>142560</v>
      </c>
      <c r="AS426" s="12">
        <f t="shared" si="9"/>
        <v>60</v>
      </c>
      <c r="AT426" s="12">
        <f t="shared" si="10"/>
        <v>50</v>
      </c>
      <c r="AU426" s="12">
        <f t="shared" si="11"/>
        <v>32</v>
      </c>
      <c r="AV426" s="12">
        <f t="shared" si="12"/>
        <v>4</v>
      </c>
      <c r="AW426" s="12">
        <f t="shared" si="13"/>
        <v>1.5</v>
      </c>
      <c r="AY426" s="11">
        <f t="shared" si="14"/>
        <v>0.198881061</v>
      </c>
    </row>
    <row r="427" ht="15.75" customHeight="1">
      <c r="A427" s="15">
        <f t="shared" si="2"/>
        <v>21.19978407</v>
      </c>
      <c r="B427" s="7">
        <f>(sum(AL427:AP427))*'Optimal Choice'!$B$28</f>
        <v>533654.6</v>
      </c>
      <c r="C427" s="11"/>
      <c r="D427" s="12"/>
      <c r="E427" s="12"/>
      <c r="F427" s="11"/>
      <c r="G427" s="11"/>
      <c r="H427" s="11"/>
      <c r="I427" s="11"/>
      <c r="J427" s="11"/>
      <c r="K427" s="11">
        <f>(X427/$B427)+(X427/('Optimal Choice'!$B$4*AS427))</f>
        <v>5176.67766</v>
      </c>
      <c r="L427" s="11">
        <f>(Y427/$B427)+(Y427/('Optimal Choice'!$B$9*AT427))</f>
        <v>4960.08786</v>
      </c>
      <c r="M427" s="11">
        <f>(Z427/$B427)+(Z427/('Optimal Choice'!$B$14*AU427))</f>
        <v>5309.409064</v>
      </c>
      <c r="N427" s="11">
        <f>(AA427/$B427)+(AA427/('Optimal Choice'!$B$19*AV427))</f>
        <v>4996.155569</v>
      </c>
      <c r="O427" s="11">
        <f>(AB427/$B427)+(AB427/('Optimal Choice'!$B$24*AW427))</f>
        <v>5279.463322</v>
      </c>
      <c r="R427" s="12">
        <f t="shared" ref="R427:V427" si="437">if(min($K426:$O426)=K426,R426+1,R426)</f>
        <v>173</v>
      </c>
      <c r="S427" s="12">
        <f t="shared" si="437"/>
        <v>80</v>
      </c>
      <c r="T427" s="12">
        <f t="shared" si="437"/>
        <v>75</v>
      </c>
      <c r="U427" s="12">
        <f t="shared" si="437"/>
        <v>54</v>
      </c>
      <c r="V427" s="12">
        <f t="shared" si="437"/>
        <v>44</v>
      </c>
      <c r="X427" s="13">
        <f> 'Optimal Choice'!$B$5*'Optimal Choice'!$B$6^(R427+1)</f>
        <v>518605.7272</v>
      </c>
      <c r="Y427" s="13">
        <f> 'Optimal Choice'!$B$10*'Optimal Choice'!$B$11^(S427+1)</f>
        <v>4950810.679</v>
      </c>
      <c r="Z427" s="13">
        <f> 'Optimal Choice'!$B$15*'Optimal Choice'!$B$16^(T427+1)</f>
        <v>15209018.84</v>
      </c>
      <c r="AA427" s="13">
        <f> 'Optimal Choice'!$B$20*'Optimal Choice'!$B$21^(U427+1)</f>
        <v>7175102.905</v>
      </c>
      <c r="AB427" s="13">
        <f> 'Optimal Choice'!$B$25*'Optimal Choice'!$B$26^(V427+1)</f>
        <v>17002234.77</v>
      </c>
      <c r="AE427" s="12">
        <f t="shared" si="4"/>
        <v>60</v>
      </c>
      <c r="AF427" s="12">
        <f t="shared" si="5"/>
        <v>50</v>
      </c>
      <c r="AG427" s="12">
        <f t="shared" si="6"/>
        <v>32</v>
      </c>
      <c r="AH427" s="12">
        <f t="shared" si="7"/>
        <v>4</v>
      </c>
      <c r="AI427" s="12">
        <f t="shared" si="8"/>
        <v>1.5</v>
      </c>
      <c r="AL427" s="14">
        <f>R427*'Optimal Choice'!$B$4*AE427</f>
        <v>17334.6</v>
      </c>
      <c r="AM427" s="14">
        <f>S427*'Optimal Choice'!$B$9*AF427</f>
        <v>80000</v>
      </c>
      <c r="AN427" s="14">
        <f>T427*'Optimal Choice'!$B$14*AG427</f>
        <v>216000</v>
      </c>
      <c r="AO427" s="14">
        <f>U427*'Optimal Choice'!$B$19*AH427</f>
        <v>77760</v>
      </c>
      <c r="AP427" s="14">
        <f>V427*'Optimal Choice'!$B$24*AI427</f>
        <v>142560</v>
      </c>
      <c r="AS427" s="12">
        <f t="shared" si="9"/>
        <v>60</v>
      </c>
      <c r="AT427" s="12">
        <f t="shared" si="10"/>
        <v>50</v>
      </c>
      <c r="AU427" s="12">
        <f t="shared" si="11"/>
        <v>32</v>
      </c>
      <c r="AV427" s="12">
        <f t="shared" si="12"/>
        <v>4</v>
      </c>
      <c r="AW427" s="12">
        <f t="shared" si="13"/>
        <v>1.5</v>
      </c>
      <c r="AY427" s="11">
        <f t="shared" si="14"/>
        <v>0.01513991981</v>
      </c>
    </row>
    <row r="428" ht="15.75" customHeight="1">
      <c r="A428" s="15">
        <f t="shared" si="2"/>
        <v>21.35440377</v>
      </c>
      <c r="B428" s="7">
        <f>(sum(AL428:AP428))*'Optimal Choice'!$B$28</f>
        <v>534654.6</v>
      </c>
      <c r="C428" s="11"/>
      <c r="D428" s="12"/>
      <c r="E428" s="12"/>
      <c r="F428" s="11"/>
      <c r="G428" s="11"/>
      <c r="H428" s="11"/>
      <c r="I428" s="11"/>
      <c r="J428" s="11"/>
      <c r="K428" s="11">
        <f>(X428/$B428)+(X428/('Optimal Choice'!$B$4*AS428))</f>
        <v>5176.675843</v>
      </c>
      <c r="L428" s="11">
        <f>(Y428/$B428)+(Y428/('Optimal Choice'!$B$9*AT428))</f>
        <v>5704.081085</v>
      </c>
      <c r="M428" s="11">
        <f>(Z428/$B428)+(Z428/('Optimal Choice'!$B$14*AU428))</f>
        <v>5309.355759</v>
      </c>
      <c r="N428" s="11">
        <f>(AA428/$B428)+(AA428/('Optimal Choice'!$B$19*AV428))</f>
        <v>4996.130422</v>
      </c>
      <c r="O428" s="11">
        <f>(AB428/$B428)+(AB428/('Optimal Choice'!$B$24*AW428))</f>
        <v>5279.403733</v>
      </c>
      <c r="R428" s="12">
        <f t="shared" ref="R428:V428" si="438">if(min($K427:$O427)=K427,R427+1,R427)</f>
        <v>173</v>
      </c>
      <c r="S428" s="12">
        <f t="shared" si="438"/>
        <v>81</v>
      </c>
      <c r="T428" s="12">
        <f t="shared" si="438"/>
        <v>75</v>
      </c>
      <c r="U428" s="12">
        <f t="shared" si="438"/>
        <v>54</v>
      </c>
      <c r="V428" s="12">
        <f t="shared" si="438"/>
        <v>44</v>
      </c>
      <c r="X428" s="13">
        <f> 'Optimal Choice'!$B$5*'Optimal Choice'!$B$6^(R428+1)</f>
        <v>518605.7272</v>
      </c>
      <c r="Y428" s="13">
        <f> 'Optimal Choice'!$B$10*'Optimal Choice'!$B$11^(S428+1)</f>
        <v>5693432.281</v>
      </c>
      <c r="Z428" s="13">
        <f> 'Optimal Choice'!$B$15*'Optimal Choice'!$B$16^(T428+1)</f>
        <v>15209018.84</v>
      </c>
      <c r="AA428" s="13">
        <f> 'Optimal Choice'!$B$20*'Optimal Choice'!$B$21^(U428+1)</f>
        <v>7175102.905</v>
      </c>
      <c r="AB428" s="13">
        <f> 'Optimal Choice'!$B$25*'Optimal Choice'!$B$26^(V428+1)</f>
        <v>17002234.77</v>
      </c>
      <c r="AE428" s="12">
        <f t="shared" si="4"/>
        <v>60</v>
      </c>
      <c r="AF428" s="12">
        <f t="shared" si="5"/>
        <v>50</v>
      </c>
      <c r="AG428" s="12">
        <f t="shared" si="6"/>
        <v>32</v>
      </c>
      <c r="AH428" s="12">
        <f t="shared" si="7"/>
        <v>4</v>
      </c>
      <c r="AI428" s="12">
        <f t="shared" si="8"/>
        <v>1.5</v>
      </c>
      <c r="AL428" s="14">
        <f>R428*'Optimal Choice'!$B$4*AE428</f>
        <v>17334.6</v>
      </c>
      <c r="AM428" s="14">
        <f>S428*'Optimal Choice'!$B$9*AF428</f>
        <v>81000</v>
      </c>
      <c r="AN428" s="14">
        <f>T428*'Optimal Choice'!$B$14*AG428</f>
        <v>216000</v>
      </c>
      <c r="AO428" s="14">
        <f>U428*'Optimal Choice'!$B$19*AH428</f>
        <v>77760</v>
      </c>
      <c r="AP428" s="14">
        <f>V428*'Optimal Choice'!$B$24*AI428</f>
        <v>142560</v>
      </c>
      <c r="AS428" s="12">
        <f t="shared" si="9"/>
        <v>60</v>
      </c>
      <c r="AT428" s="12">
        <f t="shared" si="10"/>
        <v>50</v>
      </c>
      <c r="AU428" s="12">
        <f t="shared" si="11"/>
        <v>32</v>
      </c>
      <c r="AV428" s="12">
        <f t="shared" si="12"/>
        <v>4</v>
      </c>
      <c r="AW428" s="12">
        <f t="shared" si="13"/>
        <v>1.5</v>
      </c>
      <c r="AY428" s="11">
        <f t="shared" si="14"/>
        <v>0.1546196947</v>
      </c>
    </row>
    <row r="429" ht="15.75" customHeight="1">
      <c r="A429" s="15">
        <f t="shared" si="2"/>
        <v>21.57807163</v>
      </c>
      <c r="B429" s="7">
        <f>(sum(AL429:AP429))*'Optimal Choice'!$B$28</f>
        <v>536094.6</v>
      </c>
      <c r="C429" s="11"/>
      <c r="D429" s="12"/>
      <c r="E429" s="12"/>
      <c r="F429" s="11"/>
      <c r="G429" s="11"/>
      <c r="H429" s="11"/>
      <c r="I429" s="11"/>
      <c r="J429" s="11"/>
      <c r="K429" s="11">
        <f>(X429/$B429)+(X429/('Optimal Choice'!$B$4*AS429))</f>
        <v>5176.673237</v>
      </c>
      <c r="L429" s="11">
        <f>(Y429/$B429)+(Y429/('Optimal Choice'!$B$9*AT429))</f>
        <v>5704.052481</v>
      </c>
      <c r="M429" s="11">
        <f>(Z429/$B429)+(Z429/('Optimal Choice'!$B$14*AU429))</f>
        <v>5309.279349</v>
      </c>
      <c r="N429" s="11">
        <f>(AA429/$B429)+(AA429/('Optimal Choice'!$B$19*AV429))</f>
        <v>5645.586643</v>
      </c>
      <c r="O429" s="11">
        <f>(AB429/$B429)+(AB429/('Optimal Choice'!$B$24*AW429))</f>
        <v>5279.318314</v>
      </c>
      <c r="R429" s="12">
        <f t="shared" ref="R429:V429" si="439">if(min($K428:$O428)=K428,R428+1,R428)</f>
        <v>173</v>
      </c>
      <c r="S429" s="12">
        <f t="shared" si="439"/>
        <v>81</v>
      </c>
      <c r="T429" s="12">
        <f t="shared" si="439"/>
        <v>75</v>
      </c>
      <c r="U429" s="12">
        <f t="shared" si="439"/>
        <v>55</v>
      </c>
      <c r="V429" s="12">
        <f t="shared" si="439"/>
        <v>44</v>
      </c>
      <c r="X429" s="13">
        <f> 'Optimal Choice'!$B$5*'Optimal Choice'!$B$6^(R429+1)</f>
        <v>518605.7272</v>
      </c>
      <c r="Y429" s="13">
        <f> 'Optimal Choice'!$B$10*'Optimal Choice'!$B$11^(S429+1)</f>
        <v>5693432.281</v>
      </c>
      <c r="Z429" s="13">
        <f> 'Optimal Choice'!$B$15*'Optimal Choice'!$B$16^(T429+1)</f>
        <v>15209018.84</v>
      </c>
      <c r="AA429" s="13">
        <f> 'Optimal Choice'!$B$20*'Optimal Choice'!$B$21^(U429+1)</f>
        <v>8107866.282</v>
      </c>
      <c r="AB429" s="13">
        <f> 'Optimal Choice'!$B$25*'Optimal Choice'!$B$26^(V429+1)</f>
        <v>17002234.77</v>
      </c>
      <c r="AE429" s="12">
        <f t="shared" si="4"/>
        <v>60</v>
      </c>
      <c r="AF429" s="12">
        <f t="shared" si="5"/>
        <v>50</v>
      </c>
      <c r="AG429" s="12">
        <f t="shared" si="6"/>
        <v>32</v>
      </c>
      <c r="AH429" s="12">
        <f t="shared" si="7"/>
        <v>4</v>
      </c>
      <c r="AI429" s="12">
        <f t="shared" si="8"/>
        <v>1.5</v>
      </c>
      <c r="AL429" s="14">
        <f>R429*'Optimal Choice'!$B$4*AE429</f>
        <v>17334.6</v>
      </c>
      <c r="AM429" s="14">
        <f>S429*'Optimal Choice'!$B$9*AF429</f>
        <v>81000</v>
      </c>
      <c r="AN429" s="14">
        <f>T429*'Optimal Choice'!$B$14*AG429</f>
        <v>216000</v>
      </c>
      <c r="AO429" s="14">
        <f>U429*'Optimal Choice'!$B$19*AH429</f>
        <v>79200</v>
      </c>
      <c r="AP429" s="14">
        <f>V429*'Optimal Choice'!$B$24*AI429</f>
        <v>142560</v>
      </c>
      <c r="AS429" s="12">
        <f t="shared" si="9"/>
        <v>60</v>
      </c>
      <c r="AT429" s="12">
        <f t="shared" si="10"/>
        <v>50</v>
      </c>
      <c r="AU429" s="12">
        <f t="shared" si="11"/>
        <v>32</v>
      </c>
      <c r="AV429" s="12">
        <f t="shared" si="12"/>
        <v>4</v>
      </c>
      <c r="AW429" s="12">
        <f t="shared" si="13"/>
        <v>1.5</v>
      </c>
      <c r="AY429" s="11">
        <f t="shared" si="14"/>
        <v>0.2236678566</v>
      </c>
    </row>
    <row r="430" ht="15.75" customHeight="1">
      <c r="A430" s="15">
        <f t="shared" si="2"/>
        <v>21.59419458</v>
      </c>
      <c r="B430" s="7">
        <f>(sum(AL430:AP430))*'Optimal Choice'!$B$28</f>
        <v>536194.8</v>
      </c>
      <c r="C430" s="11"/>
      <c r="D430" s="12"/>
      <c r="E430" s="12"/>
      <c r="F430" s="11"/>
      <c r="G430" s="11"/>
      <c r="H430" s="11"/>
      <c r="I430" s="11"/>
      <c r="J430" s="11"/>
      <c r="K430" s="11">
        <f>(X430/$B430)+(X430/('Optimal Choice'!$B$4*AS430))</f>
        <v>5539.040171</v>
      </c>
      <c r="L430" s="11">
        <f>(Y430/$B430)+(Y430/('Optimal Choice'!$B$9*AT430))</f>
        <v>5704.050497</v>
      </c>
      <c r="M430" s="11">
        <f>(Z430/$B430)+(Z430/('Optimal Choice'!$B$14*AU430))</f>
        <v>5309.274048</v>
      </c>
      <c r="N430" s="11">
        <f>(AA430/$B430)+(AA430/('Optimal Choice'!$B$19*AV430))</f>
        <v>5645.583817</v>
      </c>
      <c r="O430" s="11">
        <f>(AB430/$B430)+(AB430/('Optimal Choice'!$B$24*AW430))</f>
        <v>5279.312387</v>
      </c>
      <c r="R430" s="12">
        <f t="shared" ref="R430:V430" si="440">if(min($K429:$O429)=K429,R429+1,R429)</f>
        <v>174</v>
      </c>
      <c r="S430" s="12">
        <f t="shared" si="440"/>
        <v>81</v>
      </c>
      <c r="T430" s="12">
        <f t="shared" si="440"/>
        <v>75</v>
      </c>
      <c r="U430" s="12">
        <f t="shared" si="440"/>
        <v>55</v>
      </c>
      <c r="V430" s="12">
        <f t="shared" si="440"/>
        <v>44</v>
      </c>
      <c r="X430" s="13">
        <f> 'Optimal Choice'!$B$5*'Optimal Choice'!$B$6^(R430+1)</f>
        <v>554908.1281</v>
      </c>
      <c r="Y430" s="13">
        <f> 'Optimal Choice'!$B$10*'Optimal Choice'!$B$11^(S430+1)</f>
        <v>5693432.281</v>
      </c>
      <c r="Z430" s="13">
        <f> 'Optimal Choice'!$B$15*'Optimal Choice'!$B$16^(T430+1)</f>
        <v>15209018.84</v>
      </c>
      <c r="AA430" s="13">
        <f> 'Optimal Choice'!$B$20*'Optimal Choice'!$B$21^(U430+1)</f>
        <v>8107866.282</v>
      </c>
      <c r="AB430" s="13">
        <f> 'Optimal Choice'!$B$25*'Optimal Choice'!$B$26^(V430+1)</f>
        <v>17002234.77</v>
      </c>
      <c r="AE430" s="12">
        <f t="shared" si="4"/>
        <v>60</v>
      </c>
      <c r="AF430" s="12">
        <f t="shared" si="5"/>
        <v>50</v>
      </c>
      <c r="AG430" s="12">
        <f t="shared" si="6"/>
        <v>32</v>
      </c>
      <c r="AH430" s="12">
        <f t="shared" si="7"/>
        <v>4</v>
      </c>
      <c r="AI430" s="12">
        <f t="shared" si="8"/>
        <v>1.5</v>
      </c>
      <c r="AL430" s="14">
        <f>R430*'Optimal Choice'!$B$4*AE430</f>
        <v>17434.8</v>
      </c>
      <c r="AM430" s="14">
        <f>S430*'Optimal Choice'!$B$9*AF430</f>
        <v>81000</v>
      </c>
      <c r="AN430" s="14">
        <f>T430*'Optimal Choice'!$B$14*AG430</f>
        <v>216000</v>
      </c>
      <c r="AO430" s="14">
        <f>U430*'Optimal Choice'!$B$19*AH430</f>
        <v>79200</v>
      </c>
      <c r="AP430" s="14">
        <f>V430*'Optimal Choice'!$B$24*AI430</f>
        <v>142560</v>
      </c>
      <c r="AS430" s="12">
        <f t="shared" si="9"/>
        <v>60</v>
      </c>
      <c r="AT430" s="12">
        <f t="shared" si="10"/>
        <v>50</v>
      </c>
      <c r="AU430" s="12">
        <f t="shared" si="11"/>
        <v>32</v>
      </c>
      <c r="AV430" s="12">
        <f t="shared" si="12"/>
        <v>4</v>
      </c>
      <c r="AW430" s="12">
        <f t="shared" si="13"/>
        <v>1.5</v>
      </c>
      <c r="AY430" s="11">
        <f t="shared" si="14"/>
        <v>0.01612295439</v>
      </c>
    </row>
    <row r="431" ht="15.75" customHeight="1">
      <c r="A431" s="15">
        <f t="shared" si="2"/>
        <v>22.12267897</v>
      </c>
      <c r="B431" s="7">
        <f>(sum(AL431:AP431))*'Optimal Choice'!$B$28</f>
        <v>539434.8</v>
      </c>
      <c r="C431" s="11"/>
      <c r="D431" s="12"/>
      <c r="E431" s="12"/>
      <c r="F431" s="11"/>
      <c r="G431" s="11"/>
      <c r="H431" s="11"/>
      <c r="I431" s="11"/>
      <c r="J431" s="11"/>
      <c r="K431" s="11">
        <f>(X431/$B431)+(X431/('Optimal Choice'!$B$4*AS431))</f>
        <v>5539.033955</v>
      </c>
      <c r="L431" s="11">
        <f>(Y431/$B431)+(Y431/('Optimal Choice'!$B$9*AT431))</f>
        <v>5703.986721</v>
      </c>
      <c r="M431" s="11">
        <f>(Z431/$B431)+(Z431/('Optimal Choice'!$B$14*AU431))</f>
        <v>5309.103681</v>
      </c>
      <c r="N431" s="11">
        <f>(AA431/$B431)+(AA431/('Optimal Choice'!$B$19*AV431))</f>
        <v>5645.492995</v>
      </c>
      <c r="O431" s="11">
        <f>(AB431/$B431)+(AB431/('Optimal Choice'!$B$24*AW431))</f>
        <v>5912.616565</v>
      </c>
      <c r="R431" s="12">
        <f t="shared" ref="R431:V431" si="441">if(min($K430:$O430)=K430,R430+1,R430)</f>
        <v>174</v>
      </c>
      <c r="S431" s="12">
        <f t="shared" si="441"/>
        <v>81</v>
      </c>
      <c r="T431" s="12">
        <f t="shared" si="441"/>
        <v>75</v>
      </c>
      <c r="U431" s="12">
        <f t="shared" si="441"/>
        <v>55</v>
      </c>
      <c r="V431" s="12">
        <f t="shared" si="441"/>
        <v>45</v>
      </c>
      <c r="X431" s="13">
        <f> 'Optimal Choice'!$B$5*'Optimal Choice'!$B$6^(R431+1)</f>
        <v>554908.1281</v>
      </c>
      <c r="Y431" s="13">
        <f> 'Optimal Choice'!$B$10*'Optimal Choice'!$B$11^(S431+1)</f>
        <v>5693432.281</v>
      </c>
      <c r="Z431" s="13">
        <f> 'Optimal Choice'!$B$15*'Optimal Choice'!$B$16^(T431+1)</f>
        <v>15209018.84</v>
      </c>
      <c r="AA431" s="13">
        <f> 'Optimal Choice'!$B$20*'Optimal Choice'!$B$21^(U431+1)</f>
        <v>8107866.282</v>
      </c>
      <c r="AB431" s="13">
        <f> 'Optimal Choice'!$B$25*'Optimal Choice'!$B$26^(V431+1)</f>
        <v>19042502.94</v>
      </c>
      <c r="AE431" s="12">
        <f t="shared" si="4"/>
        <v>60</v>
      </c>
      <c r="AF431" s="12">
        <f t="shared" si="5"/>
        <v>50</v>
      </c>
      <c r="AG431" s="12">
        <f t="shared" si="6"/>
        <v>32</v>
      </c>
      <c r="AH431" s="12">
        <f t="shared" si="7"/>
        <v>4</v>
      </c>
      <c r="AI431" s="12">
        <f t="shared" si="8"/>
        <v>1.5</v>
      </c>
      <c r="AL431" s="14">
        <f>R431*'Optimal Choice'!$B$4*AE431</f>
        <v>17434.8</v>
      </c>
      <c r="AM431" s="14">
        <f>S431*'Optimal Choice'!$B$9*AF431</f>
        <v>81000</v>
      </c>
      <c r="AN431" s="14">
        <f>T431*'Optimal Choice'!$B$14*AG431</f>
        <v>216000</v>
      </c>
      <c r="AO431" s="14">
        <f>U431*'Optimal Choice'!$B$19*AH431</f>
        <v>79200</v>
      </c>
      <c r="AP431" s="14">
        <f>V431*'Optimal Choice'!$B$24*AI431</f>
        <v>145800</v>
      </c>
      <c r="AS431" s="12">
        <f t="shared" si="9"/>
        <v>60</v>
      </c>
      <c r="AT431" s="12">
        <f t="shared" si="10"/>
        <v>50</v>
      </c>
      <c r="AU431" s="12">
        <f t="shared" si="11"/>
        <v>32</v>
      </c>
      <c r="AV431" s="12">
        <f t="shared" si="12"/>
        <v>4</v>
      </c>
      <c r="AW431" s="12">
        <f t="shared" si="13"/>
        <v>1.5</v>
      </c>
      <c r="AY431" s="11">
        <f t="shared" si="14"/>
        <v>0.5284843857</v>
      </c>
    </row>
    <row r="432" ht="15.75" customHeight="1">
      <c r="A432" s="15">
        <f t="shared" si="2"/>
        <v>22.59258496</v>
      </c>
      <c r="B432" s="7">
        <f>(sum(AL432:AP432))*'Optimal Choice'!$B$28</f>
        <v>542314.8</v>
      </c>
      <c r="C432" s="11"/>
      <c r="D432" s="12"/>
      <c r="E432" s="12"/>
      <c r="F432" s="11"/>
      <c r="G432" s="11"/>
      <c r="H432" s="11"/>
      <c r="I432" s="11"/>
      <c r="J432" s="11"/>
      <c r="K432" s="11">
        <f>(X432/$B432)+(X432/('Optimal Choice'!$B$4*AS432))</f>
        <v>5539.028492</v>
      </c>
      <c r="L432" s="11">
        <f>(Y432/$B432)+(Y432/('Optimal Choice'!$B$9*AT432))</f>
        <v>5703.930671</v>
      </c>
      <c r="M432" s="11">
        <f>(Z432/$B432)+(Z432/('Optimal Choice'!$B$14*AU432))</f>
        <v>6052.207506</v>
      </c>
      <c r="N432" s="11">
        <f>(AA432/$B432)+(AA432/('Optimal Choice'!$B$19*AV432))</f>
        <v>5645.413176</v>
      </c>
      <c r="O432" s="11">
        <f>(AB432/$B432)+(AB432/('Optimal Choice'!$B$24*AW432))</f>
        <v>5912.429098</v>
      </c>
      <c r="R432" s="12">
        <f t="shared" ref="R432:V432" si="442">if(min($K431:$O431)=K431,R431+1,R431)</f>
        <v>174</v>
      </c>
      <c r="S432" s="12">
        <f t="shared" si="442"/>
        <v>81</v>
      </c>
      <c r="T432" s="12">
        <f t="shared" si="442"/>
        <v>76</v>
      </c>
      <c r="U432" s="12">
        <f t="shared" si="442"/>
        <v>55</v>
      </c>
      <c r="V432" s="12">
        <f t="shared" si="442"/>
        <v>45</v>
      </c>
      <c r="X432" s="13">
        <f> 'Optimal Choice'!$B$5*'Optimal Choice'!$B$6^(R432+1)</f>
        <v>554908.1281</v>
      </c>
      <c r="Y432" s="13">
        <f> 'Optimal Choice'!$B$10*'Optimal Choice'!$B$11^(S432+1)</f>
        <v>5693432.281</v>
      </c>
      <c r="Z432" s="13">
        <f> 'Optimal Choice'!$B$15*'Optimal Choice'!$B$16^(T432+1)</f>
        <v>17338281.48</v>
      </c>
      <c r="AA432" s="13">
        <f> 'Optimal Choice'!$B$20*'Optimal Choice'!$B$21^(U432+1)</f>
        <v>8107866.282</v>
      </c>
      <c r="AB432" s="13">
        <f> 'Optimal Choice'!$B$25*'Optimal Choice'!$B$26^(V432+1)</f>
        <v>19042502.94</v>
      </c>
      <c r="AE432" s="12">
        <f t="shared" si="4"/>
        <v>60</v>
      </c>
      <c r="AF432" s="12">
        <f t="shared" si="5"/>
        <v>50</v>
      </c>
      <c r="AG432" s="12">
        <f t="shared" si="6"/>
        <v>32</v>
      </c>
      <c r="AH432" s="12">
        <f t="shared" si="7"/>
        <v>4</v>
      </c>
      <c r="AI432" s="12">
        <f t="shared" si="8"/>
        <v>1.5</v>
      </c>
      <c r="AL432" s="14">
        <f>R432*'Optimal Choice'!$B$4*AE432</f>
        <v>17434.8</v>
      </c>
      <c r="AM432" s="14">
        <f>S432*'Optimal Choice'!$B$9*AF432</f>
        <v>81000</v>
      </c>
      <c r="AN432" s="14">
        <f>T432*'Optimal Choice'!$B$14*AG432</f>
        <v>218880</v>
      </c>
      <c r="AO432" s="14">
        <f>U432*'Optimal Choice'!$B$19*AH432</f>
        <v>79200</v>
      </c>
      <c r="AP432" s="14">
        <f>V432*'Optimal Choice'!$B$24*AI432</f>
        <v>145800</v>
      </c>
      <c r="AS432" s="12">
        <f t="shared" si="9"/>
        <v>60</v>
      </c>
      <c r="AT432" s="12">
        <f t="shared" si="10"/>
        <v>50</v>
      </c>
      <c r="AU432" s="12">
        <f t="shared" si="11"/>
        <v>32</v>
      </c>
      <c r="AV432" s="12">
        <f t="shared" si="12"/>
        <v>4</v>
      </c>
      <c r="AW432" s="12">
        <f t="shared" si="13"/>
        <v>1.5</v>
      </c>
      <c r="AY432" s="11">
        <f t="shared" si="14"/>
        <v>0.4699059968</v>
      </c>
    </row>
    <row r="433" ht="15.75" customHeight="1">
      <c r="A433" s="15">
        <f t="shared" si="2"/>
        <v>22.60963865</v>
      </c>
      <c r="B433" s="7">
        <f>(sum(AL433:AP433))*'Optimal Choice'!$B$28</f>
        <v>542415</v>
      </c>
      <c r="C433" s="11"/>
      <c r="D433" s="12"/>
      <c r="E433" s="12"/>
      <c r="F433" s="11"/>
      <c r="G433" s="11"/>
      <c r="H433" s="11"/>
      <c r="I433" s="11"/>
      <c r="J433" s="11"/>
      <c r="K433" s="11">
        <f>(X433/$B433)+(X433/('Optimal Choice'!$B$4*AS433))</f>
        <v>5926.760284</v>
      </c>
      <c r="L433" s="11">
        <f>(Y433/$B433)+(Y433/('Optimal Choice'!$B$9*AT433))</f>
        <v>5703.928731</v>
      </c>
      <c r="M433" s="11">
        <f>(Z433/$B433)+(Z433/('Optimal Choice'!$B$14*AU433))</f>
        <v>6052.2016</v>
      </c>
      <c r="N433" s="11">
        <f>(AA433/$B433)+(AA433/('Optimal Choice'!$B$19*AV433))</f>
        <v>5645.410414</v>
      </c>
      <c r="O433" s="11">
        <f>(AB433/$B433)+(AB433/('Optimal Choice'!$B$24*AW433))</f>
        <v>5912.422611</v>
      </c>
      <c r="R433" s="12">
        <f t="shared" ref="R433:V433" si="443">if(min($K432:$O432)=K432,R432+1,R432)</f>
        <v>175</v>
      </c>
      <c r="S433" s="12">
        <f t="shared" si="443"/>
        <v>81</v>
      </c>
      <c r="T433" s="12">
        <f t="shared" si="443"/>
        <v>76</v>
      </c>
      <c r="U433" s="12">
        <f t="shared" si="443"/>
        <v>55</v>
      </c>
      <c r="V433" s="12">
        <f t="shared" si="443"/>
        <v>45</v>
      </c>
      <c r="X433" s="13">
        <f> 'Optimal Choice'!$B$5*'Optimal Choice'!$B$6^(R433+1)</f>
        <v>593751.697</v>
      </c>
      <c r="Y433" s="13">
        <f> 'Optimal Choice'!$B$10*'Optimal Choice'!$B$11^(S433+1)</f>
        <v>5693432.281</v>
      </c>
      <c r="Z433" s="13">
        <f> 'Optimal Choice'!$B$15*'Optimal Choice'!$B$16^(T433+1)</f>
        <v>17338281.48</v>
      </c>
      <c r="AA433" s="13">
        <f> 'Optimal Choice'!$B$20*'Optimal Choice'!$B$21^(U433+1)</f>
        <v>8107866.282</v>
      </c>
      <c r="AB433" s="13">
        <f> 'Optimal Choice'!$B$25*'Optimal Choice'!$B$26^(V433+1)</f>
        <v>19042502.94</v>
      </c>
      <c r="AE433" s="12">
        <f t="shared" si="4"/>
        <v>60</v>
      </c>
      <c r="AF433" s="12">
        <f t="shared" si="5"/>
        <v>50</v>
      </c>
      <c r="AG433" s="12">
        <f t="shared" si="6"/>
        <v>32</v>
      </c>
      <c r="AH433" s="12">
        <f t="shared" si="7"/>
        <v>4</v>
      </c>
      <c r="AI433" s="12">
        <f t="shared" si="8"/>
        <v>1.5</v>
      </c>
      <c r="AL433" s="14">
        <f>R433*'Optimal Choice'!$B$4*AE433</f>
        <v>17535</v>
      </c>
      <c r="AM433" s="14">
        <f>S433*'Optimal Choice'!$B$9*AF433</f>
        <v>81000</v>
      </c>
      <c r="AN433" s="14">
        <f>T433*'Optimal Choice'!$B$14*AG433</f>
        <v>218880</v>
      </c>
      <c r="AO433" s="14">
        <f>U433*'Optimal Choice'!$B$19*AH433</f>
        <v>79200</v>
      </c>
      <c r="AP433" s="14">
        <f>V433*'Optimal Choice'!$B$24*AI433</f>
        <v>145800</v>
      </c>
      <c r="AS433" s="12">
        <f t="shared" si="9"/>
        <v>60</v>
      </c>
      <c r="AT433" s="12">
        <f t="shared" si="10"/>
        <v>50</v>
      </c>
      <c r="AU433" s="12">
        <f t="shared" si="11"/>
        <v>32</v>
      </c>
      <c r="AV433" s="12">
        <f t="shared" si="12"/>
        <v>4</v>
      </c>
      <c r="AW433" s="12">
        <f t="shared" si="13"/>
        <v>1.5</v>
      </c>
      <c r="AY433" s="11">
        <f t="shared" si="14"/>
        <v>0.01705369059</v>
      </c>
    </row>
    <row r="434" ht="15.75" customHeight="1">
      <c r="A434" s="15">
        <f t="shared" si="2"/>
        <v>22.85876728</v>
      </c>
      <c r="B434" s="7">
        <f>(sum(AL434:AP434))*'Optimal Choice'!$B$28</f>
        <v>543855</v>
      </c>
      <c r="C434" s="11"/>
      <c r="D434" s="12"/>
      <c r="E434" s="12"/>
      <c r="F434" s="11"/>
      <c r="G434" s="11"/>
      <c r="H434" s="11"/>
      <c r="I434" s="11"/>
      <c r="J434" s="11"/>
      <c r="K434" s="11">
        <f>(X434/$B434)+(X434/('Optimal Choice'!$B$4*AS434))</f>
        <v>5926.757386</v>
      </c>
      <c r="L434" s="11">
        <f>(Y434/$B434)+(Y434/('Optimal Choice'!$B$9*AT434))</f>
        <v>5703.900939</v>
      </c>
      <c r="M434" s="11">
        <f>(Z434/$B434)+(Z434/('Optimal Choice'!$B$14*AU434))</f>
        <v>6052.116964</v>
      </c>
      <c r="N434" s="11">
        <f>(AA434/$B434)+(AA434/('Optimal Choice'!$B$19*AV434))</f>
        <v>6379.269044</v>
      </c>
      <c r="O434" s="11">
        <f>(AB434/$B434)+(AB434/('Optimal Choice'!$B$24*AW434))</f>
        <v>5912.329656</v>
      </c>
      <c r="R434" s="12">
        <f t="shared" ref="R434:V434" si="444">if(min($K433:$O433)=K433,R433+1,R433)</f>
        <v>175</v>
      </c>
      <c r="S434" s="12">
        <f t="shared" si="444"/>
        <v>81</v>
      </c>
      <c r="T434" s="12">
        <f t="shared" si="444"/>
        <v>76</v>
      </c>
      <c r="U434" s="12">
        <f t="shared" si="444"/>
        <v>56</v>
      </c>
      <c r="V434" s="12">
        <f t="shared" si="444"/>
        <v>45</v>
      </c>
      <c r="X434" s="13">
        <f> 'Optimal Choice'!$B$5*'Optimal Choice'!$B$6^(R434+1)</f>
        <v>593751.697</v>
      </c>
      <c r="Y434" s="13">
        <f> 'Optimal Choice'!$B$10*'Optimal Choice'!$B$11^(S434+1)</f>
        <v>5693432.281</v>
      </c>
      <c r="Z434" s="13">
        <f> 'Optimal Choice'!$B$15*'Optimal Choice'!$B$16^(T434+1)</f>
        <v>17338281.48</v>
      </c>
      <c r="AA434" s="13">
        <f> 'Optimal Choice'!$B$20*'Optimal Choice'!$B$21^(U434+1)</f>
        <v>9161888.899</v>
      </c>
      <c r="AB434" s="13">
        <f> 'Optimal Choice'!$B$25*'Optimal Choice'!$B$26^(V434+1)</f>
        <v>19042502.94</v>
      </c>
      <c r="AE434" s="12">
        <f t="shared" si="4"/>
        <v>60</v>
      </c>
      <c r="AF434" s="12">
        <f t="shared" si="5"/>
        <v>50</v>
      </c>
      <c r="AG434" s="12">
        <f t="shared" si="6"/>
        <v>32</v>
      </c>
      <c r="AH434" s="12">
        <f t="shared" si="7"/>
        <v>4</v>
      </c>
      <c r="AI434" s="12">
        <f t="shared" si="8"/>
        <v>1.5</v>
      </c>
      <c r="AL434" s="14">
        <f>R434*'Optimal Choice'!$B$4*AE434</f>
        <v>17535</v>
      </c>
      <c r="AM434" s="14">
        <f>S434*'Optimal Choice'!$B$9*AF434</f>
        <v>81000</v>
      </c>
      <c r="AN434" s="14">
        <f>T434*'Optimal Choice'!$B$14*AG434</f>
        <v>218880</v>
      </c>
      <c r="AO434" s="14">
        <f>U434*'Optimal Choice'!$B$19*AH434</f>
        <v>80640</v>
      </c>
      <c r="AP434" s="14">
        <f>V434*'Optimal Choice'!$B$24*AI434</f>
        <v>145800</v>
      </c>
      <c r="AS434" s="12">
        <f t="shared" si="9"/>
        <v>60</v>
      </c>
      <c r="AT434" s="12">
        <f t="shared" si="10"/>
        <v>50</v>
      </c>
      <c r="AU434" s="12">
        <f t="shared" si="11"/>
        <v>32</v>
      </c>
      <c r="AV434" s="12">
        <f t="shared" si="12"/>
        <v>4</v>
      </c>
      <c r="AW434" s="12">
        <f t="shared" si="13"/>
        <v>1.5</v>
      </c>
      <c r="AY434" s="11">
        <f t="shared" si="14"/>
        <v>0.2491286279</v>
      </c>
    </row>
    <row r="435" ht="15.75" customHeight="1">
      <c r="A435" s="15">
        <f t="shared" si="2"/>
        <v>23.03324492</v>
      </c>
      <c r="B435" s="7">
        <f>(sum(AL435:AP435))*'Optimal Choice'!$B$28</f>
        <v>544855</v>
      </c>
      <c r="C435" s="11"/>
      <c r="D435" s="12"/>
      <c r="E435" s="12"/>
      <c r="F435" s="11"/>
      <c r="G435" s="11"/>
      <c r="H435" s="11"/>
      <c r="I435" s="11"/>
      <c r="J435" s="11"/>
      <c r="K435" s="11">
        <f>(X435/$B435)+(X435/('Optimal Choice'!$B$4*AS435))</f>
        <v>5926.755382</v>
      </c>
      <c r="L435" s="11">
        <f>(Y435/$B435)+(Y435/('Optimal Choice'!$B$9*AT435))</f>
        <v>6559.463984</v>
      </c>
      <c r="M435" s="11">
        <f>(Z435/$B435)+(Z435/('Optimal Choice'!$B$14*AU435))</f>
        <v>6052.058453</v>
      </c>
      <c r="N435" s="11">
        <f>(AA435/$B435)+(AA435/('Optimal Choice'!$B$19*AV435))</f>
        <v>6379.238126</v>
      </c>
      <c r="O435" s="11">
        <f>(AB435/$B435)+(AB435/('Optimal Choice'!$B$24*AW435))</f>
        <v>5912.265394</v>
      </c>
      <c r="R435" s="12">
        <f t="shared" ref="R435:V435" si="445">if(min($K434:$O434)=K434,R434+1,R434)</f>
        <v>175</v>
      </c>
      <c r="S435" s="12">
        <f t="shared" si="445"/>
        <v>82</v>
      </c>
      <c r="T435" s="12">
        <f t="shared" si="445"/>
        <v>76</v>
      </c>
      <c r="U435" s="12">
        <f t="shared" si="445"/>
        <v>56</v>
      </c>
      <c r="V435" s="12">
        <f t="shared" si="445"/>
        <v>45</v>
      </c>
      <c r="X435" s="13">
        <f> 'Optimal Choice'!$B$5*'Optimal Choice'!$B$6^(R435+1)</f>
        <v>593751.697</v>
      </c>
      <c r="Y435" s="13">
        <f> 'Optimal Choice'!$B$10*'Optimal Choice'!$B$11^(S435+1)</f>
        <v>6547447.123</v>
      </c>
      <c r="Z435" s="13">
        <f> 'Optimal Choice'!$B$15*'Optimal Choice'!$B$16^(T435+1)</f>
        <v>17338281.48</v>
      </c>
      <c r="AA435" s="13">
        <f> 'Optimal Choice'!$B$20*'Optimal Choice'!$B$21^(U435+1)</f>
        <v>9161888.899</v>
      </c>
      <c r="AB435" s="13">
        <f> 'Optimal Choice'!$B$25*'Optimal Choice'!$B$26^(V435+1)</f>
        <v>19042502.94</v>
      </c>
      <c r="AE435" s="12">
        <f t="shared" si="4"/>
        <v>60</v>
      </c>
      <c r="AF435" s="12">
        <f t="shared" si="5"/>
        <v>50</v>
      </c>
      <c r="AG435" s="12">
        <f t="shared" si="6"/>
        <v>32</v>
      </c>
      <c r="AH435" s="12">
        <f t="shared" si="7"/>
        <v>4</v>
      </c>
      <c r="AI435" s="12">
        <f t="shared" si="8"/>
        <v>1.5</v>
      </c>
      <c r="AL435" s="14">
        <f>R435*'Optimal Choice'!$B$4*AE435</f>
        <v>17535</v>
      </c>
      <c r="AM435" s="14">
        <f>S435*'Optimal Choice'!$B$9*AF435</f>
        <v>82000</v>
      </c>
      <c r="AN435" s="14">
        <f>T435*'Optimal Choice'!$B$14*AG435</f>
        <v>218880</v>
      </c>
      <c r="AO435" s="14">
        <f>U435*'Optimal Choice'!$B$19*AH435</f>
        <v>80640</v>
      </c>
      <c r="AP435" s="14">
        <f>V435*'Optimal Choice'!$B$24*AI435</f>
        <v>145800</v>
      </c>
      <c r="AS435" s="12">
        <f t="shared" si="9"/>
        <v>60</v>
      </c>
      <c r="AT435" s="12">
        <f t="shared" si="10"/>
        <v>50</v>
      </c>
      <c r="AU435" s="12">
        <f t="shared" si="11"/>
        <v>32</v>
      </c>
      <c r="AV435" s="12">
        <f t="shared" si="12"/>
        <v>4</v>
      </c>
      <c r="AW435" s="12">
        <f t="shared" si="13"/>
        <v>1.5</v>
      </c>
      <c r="AY435" s="11">
        <f t="shared" si="14"/>
        <v>0.174477642</v>
      </c>
    </row>
    <row r="436" ht="15.75" customHeight="1">
      <c r="A436" s="15">
        <f t="shared" si="2"/>
        <v>23.61573944</v>
      </c>
      <c r="B436" s="7">
        <f>(sum(AL436:AP436))*'Optimal Choice'!$B$28</f>
        <v>548095</v>
      </c>
      <c r="C436" s="11"/>
      <c r="D436" s="12"/>
      <c r="E436" s="12"/>
      <c r="F436" s="11"/>
      <c r="G436" s="11"/>
      <c r="H436" s="11"/>
      <c r="I436" s="11"/>
      <c r="J436" s="11"/>
      <c r="K436" s="11">
        <f>(X436/$B436)+(X436/('Optimal Choice'!$B$4*AS436))</f>
        <v>5926.74894</v>
      </c>
      <c r="L436" s="11">
        <f>(Y436/$B436)+(Y436/('Optimal Choice'!$B$9*AT436))</f>
        <v>6559.392948</v>
      </c>
      <c r="M436" s="11">
        <f>(Z436/$B436)+(Z436/('Optimal Choice'!$B$14*AU436))</f>
        <v>6051.870342</v>
      </c>
      <c r="N436" s="11">
        <f>(AA436/$B436)+(AA436/('Optimal Choice'!$B$19*AV436))</f>
        <v>6379.138724</v>
      </c>
      <c r="O436" s="11">
        <f>(AB436/$B436)+(AB436/('Optimal Choice'!$B$24*AW436))</f>
        <v>6621.505848</v>
      </c>
      <c r="R436" s="12">
        <f t="shared" ref="R436:V436" si="446">if(min($K435:$O435)=K435,R435+1,R435)</f>
        <v>175</v>
      </c>
      <c r="S436" s="12">
        <f t="shared" si="446"/>
        <v>82</v>
      </c>
      <c r="T436" s="12">
        <f t="shared" si="446"/>
        <v>76</v>
      </c>
      <c r="U436" s="12">
        <f t="shared" si="446"/>
        <v>56</v>
      </c>
      <c r="V436" s="12">
        <f t="shared" si="446"/>
        <v>46</v>
      </c>
      <c r="X436" s="13">
        <f> 'Optimal Choice'!$B$5*'Optimal Choice'!$B$6^(R436+1)</f>
        <v>593751.697</v>
      </c>
      <c r="Y436" s="13">
        <f> 'Optimal Choice'!$B$10*'Optimal Choice'!$B$11^(S436+1)</f>
        <v>6547447.123</v>
      </c>
      <c r="Z436" s="13">
        <f> 'Optimal Choice'!$B$15*'Optimal Choice'!$B$16^(T436+1)</f>
        <v>17338281.48</v>
      </c>
      <c r="AA436" s="13">
        <f> 'Optimal Choice'!$B$20*'Optimal Choice'!$B$21^(U436+1)</f>
        <v>9161888.899</v>
      </c>
      <c r="AB436" s="13">
        <f> 'Optimal Choice'!$B$25*'Optimal Choice'!$B$26^(V436+1)</f>
        <v>21327603.29</v>
      </c>
      <c r="AE436" s="12">
        <f t="shared" si="4"/>
        <v>60</v>
      </c>
      <c r="AF436" s="12">
        <f t="shared" si="5"/>
        <v>50</v>
      </c>
      <c r="AG436" s="12">
        <f t="shared" si="6"/>
        <v>32</v>
      </c>
      <c r="AH436" s="12">
        <f t="shared" si="7"/>
        <v>4</v>
      </c>
      <c r="AI436" s="12">
        <f t="shared" si="8"/>
        <v>1.5</v>
      </c>
      <c r="AL436" s="14">
        <f>R436*'Optimal Choice'!$B$4*AE436</f>
        <v>17535</v>
      </c>
      <c r="AM436" s="14">
        <f>S436*'Optimal Choice'!$B$9*AF436</f>
        <v>82000</v>
      </c>
      <c r="AN436" s="14">
        <f>T436*'Optimal Choice'!$B$14*AG436</f>
        <v>218880</v>
      </c>
      <c r="AO436" s="14">
        <f>U436*'Optimal Choice'!$B$19*AH436</f>
        <v>80640</v>
      </c>
      <c r="AP436" s="14">
        <f>V436*'Optimal Choice'!$B$24*AI436</f>
        <v>149040</v>
      </c>
      <c r="AS436" s="12">
        <f t="shared" si="9"/>
        <v>60</v>
      </c>
      <c r="AT436" s="12">
        <f t="shared" si="10"/>
        <v>50</v>
      </c>
      <c r="AU436" s="12">
        <f t="shared" si="11"/>
        <v>32</v>
      </c>
      <c r="AV436" s="12">
        <f t="shared" si="12"/>
        <v>4</v>
      </c>
      <c r="AW436" s="12">
        <f t="shared" si="13"/>
        <v>1.5</v>
      </c>
      <c r="AY436" s="11">
        <f t="shared" si="14"/>
        <v>0.5824945151</v>
      </c>
    </row>
    <row r="437" ht="15.75" customHeight="1">
      <c r="A437" s="15">
        <f t="shared" si="2"/>
        <v>23.63379445</v>
      </c>
      <c r="B437" s="7">
        <f>(sum(AL437:AP437))*'Optimal Choice'!$B$28</f>
        <v>548195.2</v>
      </c>
      <c r="C437" s="11"/>
      <c r="D437" s="12"/>
      <c r="E437" s="12"/>
      <c r="F437" s="11"/>
      <c r="G437" s="11"/>
      <c r="H437" s="11"/>
      <c r="I437" s="11"/>
      <c r="J437" s="11"/>
      <c r="K437" s="11">
        <f>(X437/$B437)+(X437/('Optimal Choice'!$B$4*AS437))</f>
        <v>6341.621154</v>
      </c>
      <c r="L437" s="11">
        <f>(Y437/$B437)+(Y437/('Optimal Choice'!$B$9*AT437))</f>
        <v>6559.390764</v>
      </c>
      <c r="M437" s="11">
        <f>(Z437/$B437)+(Z437/('Optimal Choice'!$B$14*AU437))</f>
        <v>6051.86456</v>
      </c>
      <c r="N437" s="11">
        <f>(AA437/$B437)+(AA437/('Optimal Choice'!$B$19*AV437))</f>
        <v>6379.135669</v>
      </c>
      <c r="O437" s="11">
        <f>(AB437/$B437)+(AB437/('Optimal Choice'!$B$24*AW437))</f>
        <v>6621.498735</v>
      </c>
      <c r="R437" s="12">
        <f t="shared" ref="R437:V437" si="447">if(min($K436:$O436)=K436,R436+1,R436)</f>
        <v>176</v>
      </c>
      <c r="S437" s="12">
        <f t="shared" si="447"/>
        <v>82</v>
      </c>
      <c r="T437" s="12">
        <f t="shared" si="447"/>
        <v>76</v>
      </c>
      <c r="U437" s="12">
        <f t="shared" si="447"/>
        <v>56</v>
      </c>
      <c r="V437" s="12">
        <f t="shared" si="447"/>
        <v>46</v>
      </c>
      <c r="X437" s="13">
        <f> 'Optimal Choice'!$B$5*'Optimal Choice'!$B$6^(R437+1)</f>
        <v>635314.3158</v>
      </c>
      <c r="Y437" s="13">
        <f> 'Optimal Choice'!$B$10*'Optimal Choice'!$B$11^(S437+1)</f>
        <v>6547447.123</v>
      </c>
      <c r="Z437" s="13">
        <f> 'Optimal Choice'!$B$15*'Optimal Choice'!$B$16^(T437+1)</f>
        <v>17338281.48</v>
      </c>
      <c r="AA437" s="13">
        <f> 'Optimal Choice'!$B$20*'Optimal Choice'!$B$21^(U437+1)</f>
        <v>9161888.899</v>
      </c>
      <c r="AB437" s="13">
        <f> 'Optimal Choice'!$B$25*'Optimal Choice'!$B$26^(V437+1)</f>
        <v>21327603.29</v>
      </c>
      <c r="AE437" s="12">
        <f t="shared" si="4"/>
        <v>60</v>
      </c>
      <c r="AF437" s="12">
        <f t="shared" si="5"/>
        <v>50</v>
      </c>
      <c r="AG437" s="12">
        <f t="shared" si="6"/>
        <v>32</v>
      </c>
      <c r="AH437" s="12">
        <f t="shared" si="7"/>
        <v>4</v>
      </c>
      <c r="AI437" s="12">
        <f t="shared" si="8"/>
        <v>1.5</v>
      </c>
      <c r="AL437" s="14">
        <f>R437*'Optimal Choice'!$B$4*AE437</f>
        <v>17635.2</v>
      </c>
      <c r="AM437" s="14">
        <f>S437*'Optimal Choice'!$B$9*AF437</f>
        <v>82000</v>
      </c>
      <c r="AN437" s="14">
        <f>T437*'Optimal Choice'!$B$14*AG437</f>
        <v>218880</v>
      </c>
      <c r="AO437" s="14">
        <f>U437*'Optimal Choice'!$B$19*AH437</f>
        <v>80640</v>
      </c>
      <c r="AP437" s="14">
        <f>V437*'Optimal Choice'!$B$24*AI437</f>
        <v>149040</v>
      </c>
      <c r="AS437" s="12">
        <f t="shared" si="9"/>
        <v>60</v>
      </c>
      <c r="AT437" s="12">
        <f t="shared" si="10"/>
        <v>50</v>
      </c>
      <c r="AU437" s="12">
        <f t="shared" si="11"/>
        <v>32</v>
      </c>
      <c r="AV437" s="12">
        <f t="shared" si="12"/>
        <v>4</v>
      </c>
      <c r="AW437" s="12">
        <f t="shared" si="13"/>
        <v>1.5</v>
      </c>
      <c r="AY437" s="11">
        <f t="shared" si="14"/>
        <v>0.01805501166</v>
      </c>
    </row>
    <row r="438" ht="15.75" customHeight="1">
      <c r="A438" s="15">
        <f t="shared" si="2"/>
        <v>24.16092668</v>
      </c>
      <c r="B438" s="7">
        <f>(sum(AL438:AP438))*'Optimal Choice'!$B$28</f>
        <v>551075.2</v>
      </c>
      <c r="C438" s="11"/>
      <c r="D438" s="12"/>
      <c r="E438" s="12"/>
      <c r="F438" s="11"/>
      <c r="G438" s="11"/>
      <c r="H438" s="11"/>
      <c r="I438" s="11"/>
      <c r="J438" s="11"/>
      <c r="K438" s="11">
        <f>(X438/$B438)+(X438/('Optimal Choice'!$B$4*AS438))</f>
        <v>6341.615097</v>
      </c>
      <c r="L438" s="11">
        <f>(Y438/$B438)+(Y438/('Optimal Choice'!$B$9*AT438))</f>
        <v>6559.328345</v>
      </c>
      <c r="M438" s="11">
        <f>(Z438/$B438)+(Z438/('Optimal Choice'!$B$14*AU438))</f>
        <v>6898.937165</v>
      </c>
      <c r="N438" s="11">
        <f>(AA438/$B438)+(AA438/('Optimal Choice'!$B$19*AV438))</f>
        <v>6379.048325</v>
      </c>
      <c r="O438" s="11">
        <f>(AB438/$B438)+(AB438/('Optimal Choice'!$B$24*AW438))</f>
        <v>6621.295411</v>
      </c>
      <c r="R438" s="12">
        <f t="shared" ref="R438:V438" si="448">if(min($K437:$O437)=K437,R437+1,R437)</f>
        <v>176</v>
      </c>
      <c r="S438" s="12">
        <f t="shared" si="448"/>
        <v>82</v>
      </c>
      <c r="T438" s="12">
        <f t="shared" si="448"/>
        <v>77</v>
      </c>
      <c r="U438" s="12">
        <f t="shared" si="448"/>
        <v>56</v>
      </c>
      <c r="V438" s="12">
        <f t="shared" si="448"/>
        <v>46</v>
      </c>
      <c r="X438" s="13">
        <f> 'Optimal Choice'!$B$5*'Optimal Choice'!$B$6^(R438+1)</f>
        <v>635314.3158</v>
      </c>
      <c r="Y438" s="13">
        <f> 'Optimal Choice'!$B$10*'Optimal Choice'!$B$11^(S438+1)</f>
        <v>6547447.123</v>
      </c>
      <c r="Z438" s="13">
        <f> 'Optimal Choice'!$B$15*'Optimal Choice'!$B$16^(T438+1)</f>
        <v>19765640.89</v>
      </c>
      <c r="AA438" s="13">
        <f> 'Optimal Choice'!$B$20*'Optimal Choice'!$B$21^(U438+1)</f>
        <v>9161888.899</v>
      </c>
      <c r="AB438" s="13">
        <f> 'Optimal Choice'!$B$25*'Optimal Choice'!$B$26^(V438+1)</f>
        <v>21327603.29</v>
      </c>
      <c r="AE438" s="12">
        <f t="shared" si="4"/>
        <v>60</v>
      </c>
      <c r="AF438" s="12">
        <f t="shared" si="5"/>
        <v>50</v>
      </c>
      <c r="AG438" s="12">
        <f t="shared" si="6"/>
        <v>32</v>
      </c>
      <c r="AH438" s="12">
        <f t="shared" si="7"/>
        <v>4</v>
      </c>
      <c r="AI438" s="12">
        <f t="shared" si="8"/>
        <v>1.5</v>
      </c>
      <c r="AL438" s="14">
        <f>R438*'Optimal Choice'!$B$4*AE438</f>
        <v>17635.2</v>
      </c>
      <c r="AM438" s="14">
        <f>S438*'Optimal Choice'!$B$9*AF438</f>
        <v>82000</v>
      </c>
      <c r="AN438" s="14">
        <f>T438*'Optimal Choice'!$B$14*AG438</f>
        <v>221760</v>
      </c>
      <c r="AO438" s="14">
        <f>U438*'Optimal Choice'!$B$19*AH438</f>
        <v>80640</v>
      </c>
      <c r="AP438" s="14">
        <f>V438*'Optimal Choice'!$B$24*AI438</f>
        <v>149040</v>
      </c>
      <c r="AS438" s="12">
        <f t="shared" si="9"/>
        <v>60</v>
      </c>
      <c r="AT438" s="12">
        <f t="shared" si="10"/>
        <v>50</v>
      </c>
      <c r="AU438" s="12">
        <f t="shared" si="11"/>
        <v>32</v>
      </c>
      <c r="AV438" s="12">
        <f t="shared" si="12"/>
        <v>4</v>
      </c>
      <c r="AW438" s="12">
        <f t="shared" si="13"/>
        <v>1.5</v>
      </c>
      <c r="AY438" s="11">
        <f t="shared" si="14"/>
        <v>0.5271322296</v>
      </c>
    </row>
    <row r="439" ht="15.75" customHeight="1">
      <c r="A439" s="15">
        <f t="shared" si="2"/>
        <v>24.18014107</v>
      </c>
      <c r="B439" s="7">
        <f>(sum(AL439:AP439))*'Optimal Choice'!$B$28</f>
        <v>551175.4</v>
      </c>
      <c r="C439" s="11"/>
      <c r="D439" s="12"/>
      <c r="E439" s="12"/>
      <c r="F439" s="11"/>
      <c r="G439" s="11"/>
      <c r="H439" s="11"/>
      <c r="I439" s="11"/>
      <c r="J439" s="11"/>
      <c r="K439" s="11">
        <f>(X439/$B439)+(X439/('Optimal Choice'!$B$4*AS439))</f>
        <v>6785.52793</v>
      </c>
      <c r="L439" s="11">
        <f>(Y439/$B439)+(Y439/('Optimal Choice'!$B$9*AT439))</f>
        <v>6559.326185</v>
      </c>
      <c r="M439" s="11">
        <f>(Z439/$B439)+(Z439/('Optimal Choice'!$B$14*AU439))</f>
        <v>6898.930645</v>
      </c>
      <c r="N439" s="11">
        <f>(AA439/$B439)+(AA439/('Optimal Choice'!$B$19*AV439))</f>
        <v>6379.045303</v>
      </c>
      <c r="O439" s="11">
        <f>(AB439/$B439)+(AB439/('Optimal Choice'!$B$24*AW439))</f>
        <v>6621.288376</v>
      </c>
      <c r="R439" s="12">
        <f t="shared" ref="R439:V439" si="449">if(min($K438:$O438)=K438,R438+1,R438)</f>
        <v>177</v>
      </c>
      <c r="S439" s="12">
        <f t="shared" si="449"/>
        <v>82</v>
      </c>
      <c r="T439" s="12">
        <f t="shared" si="449"/>
        <v>77</v>
      </c>
      <c r="U439" s="12">
        <f t="shared" si="449"/>
        <v>56</v>
      </c>
      <c r="V439" s="12">
        <f t="shared" si="449"/>
        <v>46</v>
      </c>
      <c r="X439" s="13">
        <f> 'Optimal Choice'!$B$5*'Optimal Choice'!$B$6^(R439+1)</f>
        <v>679786.3179</v>
      </c>
      <c r="Y439" s="13">
        <f> 'Optimal Choice'!$B$10*'Optimal Choice'!$B$11^(S439+1)</f>
        <v>6547447.123</v>
      </c>
      <c r="Z439" s="13">
        <f> 'Optimal Choice'!$B$15*'Optimal Choice'!$B$16^(T439+1)</f>
        <v>19765640.89</v>
      </c>
      <c r="AA439" s="13">
        <f> 'Optimal Choice'!$B$20*'Optimal Choice'!$B$21^(U439+1)</f>
        <v>9161888.899</v>
      </c>
      <c r="AB439" s="13">
        <f> 'Optimal Choice'!$B$25*'Optimal Choice'!$B$26^(V439+1)</f>
        <v>21327603.29</v>
      </c>
      <c r="AE439" s="12">
        <f t="shared" si="4"/>
        <v>60</v>
      </c>
      <c r="AF439" s="12">
        <f t="shared" si="5"/>
        <v>50</v>
      </c>
      <c r="AG439" s="12">
        <f t="shared" si="6"/>
        <v>32</v>
      </c>
      <c r="AH439" s="12">
        <f t="shared" si="7"/>
        <v>4</v>
      </c>
      <c r="AI439" s="12">
        <f t="shared" si="8"/>
        <v>1.5</v>
      </c>
      <c r="AL439" s="14">
        <f>R439*'Optimal Choice'!$B$4*AE439</f>
        <v>17735.4</v>
      </c>
      <c r="AM439" s="14">
        <f>S439*'Optimal Choice'!$B$9*AF439</f>
        <v>82000</v>
      </c>
      <c r="AN439" s="14">
        <f>T439*'Optimal Choice'!$B$14*AG439</f>
        <v>221760</v>
      </c>
      <c r="AO439" s="14">
        <f>U439*'Optimal Choice'!$B$19*AH439</f>
        <v>80640</v>
      </c>
      <c r="AP439" s="14">
        <f>V439*'Optimal Choice'!$B$24*AI439</f>
        <v>149040</v>
      </c>
      <c r="AS439" s="12">
        <f t="shared" si="9"/>
        <v>60</v>
      </c>
      <c r="AT439" s="12">
        <f t="shared" si="10"/>
        <v>50</v>
      </c>
      <c r="AU439" s="12">
        <f t="shared" si="11"/>
        <v>32</v>
      </c>
      <c r="AV439" s="12">
        <f t="shared" si="12"/>
        <v>4</v>
      </c>
      <c r="AW439" s="12">
        <f t="shared" si="13"/>
        <v>1.5</v>
      </c>
      <c r="AY439" s="11">
        <f t="shared" si="14"/>
        <v>0.01921438659</v>
      </c>
    </row>
    <row r="440" ht="15.75" customHeight="1">
      <c r="A440" s="15">
        <f t="shared" si="2"/>
        <v>24.457182</v>
      </c>
      <c r="B440" s="7">
        <f>(sum(AL440:AP440))*'Optimal Choice'!$B$28</f>
        <v>552615.4</v>
      </c>
      <c r="C440" s="11"/>
      <c r="D440" s="12"/>
      <c r="E440" s="12"/>
      <c r="F440" s="11"/>
      <c r="G440" s="11"/>
      <c r="H440" s="11"/>
      <c r="I440" s="11"/>
      <c r="J440" s="11"/>
      <c r="K440" s="11">
        <f>(X440/$B440)+(X440/('Optimal Choice'!$B$4*AS440))</f>
        <v>6785.524716</v>
      </c>
      <c r="L440" s="11">
        <f>(Y440/$B440)+(Y440/('Optimal Choice'!$B$9*AT440))</f>
        <v>6559.295231</v>
      </c>
      <c r="M440" s="11">
        <f>(Z440/$B440)+(Z440/('Optimal Choice'!$B$14*AU440))</f>
        <v>6898.837199</v>
      </c>
      <c r="N440" s="11">
        <f>(AA440/$B440)+(AA440/('Optimal Choice'!$B$19*AV440))</f>
        <v>7208.272246</v>
      </c>
      <c r="O440" s="11">
        <f>(AB440/$B440)+(AB440/('Optimal Choice'!$B$24*AW440))</f>
        <v>6621.187545</v>
      </c>
      <c r="R440" s="12">
        <f t="shared" ref="R440:V440" si="450">if(min($K439:$O439)=K439,R439+1,R439)</f>
        <v>177</v>
      </c>
      <c r="S440" s="12">
        <f t="shared" si="450"/>
        <v>82</v>
      </c>
      <c r="T440" s="12">
        <f t="shared" si="450"/>
        <v>77</v>
      </c>
      <c r="U440" s="12">
        <f t="shared" si="450"/>
        <v>57</v>
      </c>
      <c r="V440" s="12">
        <f t="shared" si="450"/>
        <v>46</v>
      </c>
      <c r="X440" s="13">
        <f> 'Optimal Choice'!$B$5*'Optimal Choice'!$B$6^(R440+1)</f>
        <v>679786.3179</v>
      </c>
      <c r="Y440" s="13">
        <f> 'Optimal Choice'!$B$10*'Optimal Choice'!$B$11^(S440+1)</f>
        <v>6547447.123</v>
      </c>
      <c r="Z440" s="13">
        <f> 'Optimal Choice'!$B$15*'Optimal Choice'!$B$16^(T440+1)</f>
        <v>19765640.89</v>
      </c>
      <c r="AA440" s="13">
        <f> 'Optimal Choice'!$B$20*'Optimal Choice'!$B$21^(U440+1)</f>
        <v>10352934.46</v>
      </c>
      <c r="AB440" s="13">
        <f> 'Optimal Choice'!$B$25*'Optimal Choice'!$B$26^(V440+1)</f>
        <v>21327603.29</v>
      </c>
      <c r="AE440" s="12">
        <f t="shared" si="4"/>
        <v>60</v>
      </c>
      <c r="AF440" s="12">
        <f t="shared" si="5"/>
        <v>50</v>
      </c>
      <c r="AG440" s="12">
        <f t="shared" si="6"/>
        <v>32</v>
      </c>
      <c r="AH440" s="12">
        <f t="shared" si="7"/>
        <v>4</v>
      </c>
      <c r="AI440" s="12">
        <f t="shared" si="8"/>
        <v>1.5</v>
      </c>
      <c r="AL440" s="14">
        <f>R440*'Optimal Choice'!$B$4*AE440</f>
        <v>17735.4</v>
      </c>
      <c r="AM440" s="14">
        <f>S440*'Optimal Choice'!$B$9*AF440</f>
        <v>82000</v>
      </c>
      <c r="AN440" s="14">
        <f>T440*'Optimal Choice'!$B$14*AG440</f>
        <v>221760</v>
      </c>
      <c r="AO440" s="14">
        <f>U440*'Optimal Choice'!$B$19*AH440</f>
        <v>82080</v>
      </c>
      <c r="AP440" s="14">
        <f>V440*'Optimal Choice'!$B$24*AI440</f>
        <v>149040</v>
      </c>
      <c r="AS440" s="12">
        <f t="shared" si="9"/>
        <v>60</v>
      </c>
      <c r="AT440" s="12">
        <f t="shared" si="10"/>
        <v>50</v>
      </c>
      <c r="AU440" s="12">
        <f t="shared" si="11"/>
        <v>32</v>
      </c>
      <c r="AV440" s="12">
        <f t="shared" si="12"/>
        <v>4</v>
      </c>
      <c r="AW440" s="12">
        <f t="shared" si="13"/>
        <v>1.5</v>
      </c>
      <c r="AY440" s="11">
        <f t="shared" si="14"/>
        <v>0.2770409353</v>
      </c>
    </row>
    <row r="441" ht="15.75" customHeight="1">
      <c r="A441" s="15">
        <f t="shared" si="2"/>
        <v>24.65465047</v>
      </c>
      <c r="B441" s="7">
        <f>(sum(AL441:AP441))*'Optimal Choice'!$B$28</f>
        <v>553615.4</v>
      </c>
      <c r="C441" s="11"/>
      <c r="D441" s="12"/>
      <c r="E441" s="12"/>
      <c r="F441" s="11"/>
      <c r="G441" s="11"/>
      <c r="H441" s="11"/>
      <c r="I441" s="11"/>
      <c r="J441" s="11"/>
      <c r="K441" s="11">
        <f>(X441/$B441)+(X441/('Optimal Choice'!$B$4*AS441))</f>
        <v>6785.522494</v>
      </c>
      <c r="L441" s="11">
        <f>(Y441/$B441)+(Y441/('Optimal Choice'!$B$9*AT441))</f>
        <v>7543.164904</v>
      </c>
      <c r="M441" s="11">
        <f>(Z441/$B441)+(Z441/('Optimal Choice'!$B$14*AU441))</f>
        <v>6898.772592</v>
      </c>
      <c r="N441" s="11">
        <f>(AA441/$B441)+(AA441/('Optimal Choice'!$B$19*AV441))</f>
        <v>7208.238406</v>
      </c>
      <c r="O441" s="11">
        <f>(AB441/$B441)+(AB441/('Optimal Choice'!$B$24*AW441))</f>
        <v>6621.117833</v>
      </c>
      <c r="R441" s="12">
        <f t="shared" ref="R441:V441" si="451">if(min($K440:$O440)=K440,R440+1,R440)</f>
        <v>177</v>
      </c>
      <c r="S441" s="12">
        <f t="shared" si="451"/>
        <v>83</v>
      </c>
      <c r="T441" s="12">
        <f t="shared" si="451"/>
        <v>77</v>
      </c>
      <c r="U441" s="12">
        <f t="shared" si="451"/>
        <v>57</v>
      </c>
      <c r="V441" s="12">
        <f t="shared" si="451"/>
        <v>46</v>
      </c>
      <c r="X441" s="13">
        <f> 'Optimal Choice'!$B$5*'Optimal Choice'!$B$6^(R441+1)</f>
        <v>679786.3179</v>
      </c>
      <c r="Y441" s="13">
        <f> 'Optimal Choice'!$B$10*'Optimal Choice'!$B$11^(S441+1)</f>
        <v>7529564.191</v>
      </c>
      <c r="Z441" s="13">
        <f> 'Optimal Choice'!$B$15*'Optimal Choice'!$B$16^(T441+1)</f>
        <v>19765640.89</v>
      </c>
      <c r="AA441" s="13">
        <f> 'Optimal Choice'!$B$20*'Optimal Choice'!$B$21^(U441+1)</f>
        <v>10352934.46</v>
      </c>
      <c r="AB441" s="13">
        <f> 'Optimal Choice'!$B$25*'Optimal Choice'!$B$26^(V441+1)</f>
        <v>21327603.29</v>
      </c>
      <c r="AE441" s="12">
        <f t="shared" si="4"/>
        <v>60</v>
      </c>
      <c r="AF441" s="12">
        <f t="shared" si="5"/>
        <v>50</v>
      </c>
      <c r="AG441" s="12">
        <f t="shared" si="6"/>
        <v>32</v>
      </c>
      <c r="AH441" s="12">
        <f t="shared" si="7"/>
        <v>4</v>
      </c>
      <c r="AI441" s="12">
        <f t="shared" si="8"/>
        <v>1.5</v>
      </c>
      <c r="AL441" s="14">
        <f>R441*'Optimal Choice'!$B$4*AE441</f>
        <v>17735.4</v>
      </c>
      <c r="AM441" s="14">
        <f>S441*'Optimal Choice'!$B$9*AF441</f>
        <v>83000</v>
      </c>
      <c r="AN441" s="14">
        <f>T441*'Optimal Choice'!$B$14*AG441</f>
        <v>221760</v>
      </c>
      <c r="AO441" s="14">
        <f>U441*'Optimal Choice'!$B$19*AH441</f>
        <v>82080</v>
      </c>
      <c r="AP441" s="14">
        <f>V441*'Optimal Choice'!$B$24*AI441</f>
        <v>149040</v>
      </c>
      <c r="AS441" s="12">
        <f t="shared" si="9"/>
        <v>60</v>
      </c>
      <c r="AT441" s="12">
        <f t="shared" si="10"/>
        <v>50</v>
      </c>
      <c r="AU441" s="12">
        <f t="shared" si="11"/>
        <v>32</v>
      </c>
      <c r="AV441" s="12">
        <f t="shared" si="12"/>
        <v>4</v>
      </c>
      <c r="AW441" s="12">
        <f t="shared" si="13"/>
        <v>1.5</v>
      </c>
      <c r="AY441" s="11">
        <f t="shared" si="14"/>
        <v>0.1974684721</v>
      </c>
    </row>
    <row r="442" ht="15.75" customHeight="1">
      <c r="A442" s="15">
        <f t="shared" si="2"/>
        <v>25.29672086</v>
      </c>
      <c r="B442" s="7">
        <f>(sum(AL442:AP442))*'Optimal Choice'!$B$28</f>
        <v>556855.4</v>
      </c>
      <c r="C442" s="11"/>
      <c r="D442" s="12"/>
      <c r="E442" s="12"/>
      <c r="F442" s="11"/>
      <c r="G442" s="11"/>
      <c r="H442" s="11"/>
      <c r="I442" s="11"/>
      <c r="J442" s="11"/>
      <c r="K442" s="11">
        <f>(X442/$B442)+(X442/('Optimal Choice'!$B$4*AS442))</f>
        <v>6785.515349</v>
      </c>
      <c r="L442" s="11">
        <f>(Y442/$B442)+(Y442/('Optimal Choice'!$B$9*AT442))</f>
        <v>7543.08577</v>
      </c>
      <c r="M442" s="11">
        <f>(Z442/$B442)+(Z442/('Optimal Choice'!$B$14*AU442))</f>
        <v>6898.564859</v>
      </c>
      <c r="N442" s="11">
        <f>(AA442/$B442)+(AA442/('Optimal Choice'!$B$19*AV442))</f>
        <v>7208.129599</v>
      </c>
      <c r="O442" s="11">
        <f>(AB442/$B442)+(AB442/('Optimal Choice'!$B$24*AW442))</f>
        <v>7415.400926</v>
      </c>
      <c r="R442" s="12">
        <f t="shared" ref="R442:V442" si="452">if(min($K441:$O441)=K441,R441+1,R441)</f>
        <v>177</v>
      </c>
      <c r="S442" s="12">
        <f t="shared" si="452"/>
        <v>83</v>
      </c>
      <c r="T442" s="12">
        <f t="shared" si="452"/>
        <v>77</v>
      </c>
      <c r="U442" s="12">
        <f t="shared" si="452"/>
        <v>57</v>
      </c>
      <c r="V442" s="12">
        <f t="shared" si="452"/>
        <v>47</v>
      </c>
      <c r="X442" s="13">
        <f> 'Optimal Choice'!$B$5*'Optimal Choice'!$B$6^(R442+1)</f>
        <v>679786.3179</v>
      </c>
      <c r="Y442" s="13">
        <f> 'Optimal Choice'!$B$10*'Optimal Choice'!$B$11^(S442+1)</f>
        <v>7529564.191</v>
      </c>
      <c r="Z442" s="13">
        <f> 'Optimal Choice'!$B$15*'Optimal Choice'!$B$16^(T442+1)</f>
        <v>19765640.89</v>
      </c>
      <c r="AA442" s="13">
        <f> 'Optimal Choice'!$B$20*'Optimal Choice'!$B$21^(U442+1)</f>
        <v>10352934.46</v>
      </c>
      <c r="AB442" s="13">
        <f> 'Optimal Choice'!$B$25*'Optimal Choice'!$B$26^(V442+1)</f>
        <v>23886915.69</v>
      </c>
      <c r="AE442" s="12">
        <f t="shared" si="4"/>
        <v>60</v>
      </c>
      <c r="AF442" s="12">
        <f t="shared" si="5"/>
        <v>50</v>
      </c>
      <c r="AG442" s="12">
        <f t="shared" si="6"/>
        <v>32</v>
      </c>
      <c r="AH442" s="12">
        <f t="shared" si="7"/>
        <v>4</v>
      </c>
      <c r="AI442" s="12">
        <f t="shared" si="8"/>
        <v>1.5</v>
      </c>
      <c r="AL442" s="14">
        <f>R442*'Optimal Choice'!$B$4*AE442</f>
        <v>17735.4</v>
      </c>
      <c r="AM442" s="14">
        <f>S442*'Optimal Choice'!$B$9*AF442</f>
        <v>83000</v>
      </c>
      <c r="AN442" s="14">
        <f>T442*'Optimal Choice'!$B$14*AG442</f>
        <v>221760</v>
      </c>
      <c r="AO442" s="14">
        <f>U442*'Optimal Choice'!$B$19*AH442</f>
        <v>82080</v>
      </c>
      <c r="AP442" s="14">
        <f>V442*'Optimal Choice'!$B$24*AI442</f>
        <v>152280</v>
      </c>
      <c r="AS442" s="12">
        <f t="shared" si="9"/>
        <v>60</v>
      </c>
      <c r="AT442" s="12">
        <f t="shared" si="10"/>
        <v>50</v>
      </c>
      <c r="AU442" s="12">
        <f t="shared" si="11"/>
        <v>32</v>
      </c>
      <c r="AV442" s="12">
        <f t="shared" si="12"/>
        <v>4</v>
      </c>
      <c r="AW442" s="12">
        <f t="shared" si="13"/>
        <v>1.5</v>
      </c>
      <c r="AY442" s="11">
        <f t="shared" si="14"/>
        <v>0.6420703884</v>
      </c>
    </row>
    <row r="443" ht="15.75" customHeight="1">
      <c r="A443" s="15">
        <f t="shared" si="2"/>
        <v>25.31706685</v>
      </c>
      <c r="B443" s="7">
        <f>(sum(AL443:AP443))*'Optimal Choice'!$B$28</f>
        <v>556955.6</v>
      </c>
      <c r="C443" s="11"/>
      <c r="D443" s="12"/>
      <c r="E443" s="12"/>
      <c r="F443" s="11"/>
      <c r="G443" s="11"/>
      <c r="H443" s="11"/>
      <c r="I443" s="11"/>
      <c r="J443" s="11"/>
      <c r="K443" s="11">
        <f>(X443/$B443)+(X443/('Optimal Choice'!$B$4*AS443))</f>
        <v>7260.501189</v>
      </c>
      <c r="L443" s="11">
        <f>(Y443/$B443)+(Y443/('Optimal Choice'!$B$9*AT443))</f>
        <v>7543.083337</v>
      </c>
      <c r="M443" s="11">
        <f>(Z443/$B443)+(Z443/('Optimal Choice'!$B$14*AU443))</f>
        <v>6898.558473</v>
      </c>
      <c r="N443" s="11">
        <f>(AA443/$B443)+(AA443/('Optimal Choice'!$B$19*AV443))</f>
        <v>7208.126254</v>
      </c>
      <c r="O443" s="11">
        <f>(AB443/$B443)+(AB443/('Optimal Choice'!$B$24*AW443))</f>
        <v>7415.393209</v>
      </c>
      <c r="R443" s="12">
        <f t="shared" ref="R443:V443" si="453">if(min($K442:$O442)=K442,R442+1,R442)</f>
        <v>178</v>
      </c>
      <c r="S443" s="12">
        <f t="shared" si="453"/>
        <v>83</v>
      </c>
      <c r="T443" s="12">
        <f t="shared" si="453"/>
        <v>77</v>
      </c>
      <c r="U443" s="12">
        <f t="shared" si="453"/>
        <v>57</v>
      </c>
      <c r="V443" s="12">
        <f t="shared" si="453"/>
        <v>47</v>
      </c>
      <c r="X443" s="13">
        <f> 'Optimal Choice'!$B$5*'Optimal Choice'!$B$6^(R443+1)</f>
        <v>727371.3602</v>
      </c>
      <c r="Y443" s="13">
        <f> 'Optimal Choice'!$B$10*'Optimal Choice'!$B$11^(S443+1)</f>
        <v>7529564.191</v>
      </c>
      <c r="Z443" s="13">
        <f> 'Optimal Choice'!$B$15*'Optimal Choice'!$B$16^(T443+1)</f>
        <v>19765640.89</v>
      </c>
      <c r="AA443" s="13">
        <f> 'Optimal Choice'!$B$20*'Optimal Choice'!$B$21^(U443+1)</f>
        <v>10352934.46</v>
      </c>
      <c r="AB443" s="13">
        <f> 'Optimal Choice'!$B$25*'Optimal Choice'!$B$26^(V443+1)</f>
        <v>23886915.69</v>
      </c>
      <c r="AE443" s="12">
        <f t="shared" si="4"/>
        <v>60</v>
      </c>
      <c r="AF443" s="12">
        <f t="shared" si="5"/>
        <v>50</v>
      </c>
      <c r="AG443" s="12">
        <f t="shared" si="6"/>
        <v>32</v>
      </c>
      <c r="AH443" s="12">
        <f t="shared" si="7"/>
        <v>4</v>
      </c>
      <c r="AI443" s="12">
        <f t="shared" si="8"/>
        <v>1.5</v>
      </c>
      <c r="AL443" s="14">
        <f>R443*'Optimal Choice'!$B$4*AE443</f>
        <v>17835.6</v>
      </c>
      <c r="AM443" s="14">
        <f>S443*'Optimal Choice'!$B$9*AF443</f>
        <v>83000</v>
      </c>
      <c r="AN443" s="14">
        <f>T443*'Optimal Choice'!$B$14*AG443</f>
        <v>221760</v>
      </c>
      <c r="AO443" s="14">
        <f>U443*'Optimal Choice'!$B$19*AH443</f>
        <v>82080</v>
      </c>
      <c r="AP443" s="14">
        <f>V443*'Optimal Choice'!$B$24*AI443</f>
        <v>152280</v>
      </c>
      <c r="AS443" s="12">
        <f t="shared" si="9"/>
        <v>60</v>
      </c>
      <c r="AT443" s="12">
        <f t="shared" si="10"/>
        <v>50</v>
      </c>
      <c r="AU443" s="12">
        <f t="shared" si="11"/>
        <v>32</v>
      </c>
      <c r="AV443" s="12">
        <f t="shared" si="12"/>
        <v>4</v>
      </c>
      <c r="AW443" s="12">
        <f t="shared" si="13"/>
        <v>1.5</v>
      </c>
      <c r="AY443" s="11">
        <f t="shared" si="14"/>
        <v>0.02034598563</v>
      </c>
    </row>
    <row r="444" ht="15.75" customHeight="1">
      <c r="A444" s="15">
        <f t="shared" si="2"/>
        <v>25.9085455</v>
      </c>
      <c r="B444" s="7">
        <f>(sum(AL444:AP444))*'Optimal Choice'!$B$28</f>
        <v>559835.6</v>
      </c>
      <c r="C444" s="11"/>
      <c r="D444" s="12"/>
      <c r="E444" s="12"/>
      <c r="F444" s="11"/>
      <c r="G444" s="11"/>
      <c r="H444" s="11"/>
      <c r="I444" s="11"/>
      <c r="J444" s="11"/>
      <c r="K444" s="11">
        <f>(X444/$B444)+(X444/('Optimal Choice'!$B$4*AS444))</f>
        <v>7260.49447</v>
      </c>
      <c r="L444" s="11">
        <f>(Y444/$B444)+(Y444/('Optimal Choice'!$B$9*AT444))</f>
        <v>7543.01379</v>
      </c>
      <c r="M444" s="11">
        <f>(Z444/$B444)+(Z444/('Optimal Choice'!$B$14*AU444))</f>
        <v>7864.148533</v>
      </c>
      <c r="N444" s="11">
        <f>(AA444/$B444)+(AA444/('Optimal Choice'!$B$19*AV444))</f>
        <v>7208.030629</v>
      </c>
      <c r="O444" s="11">
        <f>(AB444/$B444)+(AB444/('Optimal Choice'!$B$24*AW444))</f>
        <v>7415.172575</v>
      </c>
      <c r="R444" s="12">
        <f t="shared" ref="R444:V444" si="454">if(min($K443:$O443)=K443,R443+1,R443)</f>
        <v>178</v>
      </c>
      <c r="S444" s="12">
        <f t="shared" si="454"/>
        <v>83</v>
      </c>
      <c r="T444" s="12">
        <f t="shared" si="454"/>
        <v>78</v>
      </c>
      <c r="U444" s="12">
        <f t="shared" si="454"/>
        <v>57</v>
      </c>
      <c r="V444" s="12">
        <f t="shared" si="454"/>
        <v>47</v>
      </c>
      <c r="X444" s="13">
        <f> 'Optimal Choice'!$B$5*'Optimal Choice'!$B$6^(R444+1)</f>
        <v>727371.3602</v>
      </c>
      <c r="Y444" s="13">
        <f> 'Optimal Choice'!$B$10*'Optimal Choice'!$B$11^(S444+1)</f>
        <v>7529564.191</v>
      </c>
      <c r="Z444" s="13">
        <f> 'Optimal Choice'!$B$15*'Optimal Choice'!$B$16^(T444+1)</f>
        <v>22532830.62</v>
      </c>
      <c r="AA444" s="13">
        <f> 'Optimal Choice'!$B$20*'Optimal Choice'!$B$21^(U444+1)</f>
        <v>10352934.46</v>
      </c>
      <c r="AB444" s="13">
        <f> 'Optimal Choice'!$B$25*'Optimal Choice'!$B$26^(V444+1)</f>
        <v>23886915.69</v>
      </c>
      <c r="AE444" s="12">
        <f t="shared" si="4"/>
        <v>60</v>
      </c>
      <c r="AF444" s="12">
        <f t="shared" si="5"/>
        <v>50</v>
      </c>
      <c r="AG444" s="12">
        <f t="shared" si="6"/>
        <v>32</v>
      </c>
      <c r="AH444" s="12">
        <f t="shared" si="7"/>
        <v>4</v>
      </c>
      <c r="AI444" s="12">
        <f t="shared" si="8"/>
        <v>1.5</v>
      </c>
      <c r="AL444" s="14">
        <f>R444*'Optimal Choice'!$B$4*AE444</f>
        <v>17835.6</v>
      </c>
      <c r="AM444" s="14">
        <f>S444*'Optimal Choice'!$B$9*AF444</f>
        <v>83000</v>
      </c>
      <c r="AN444" s="14">
        <f>T444*'Optimal Choice'!$B$14*AG444</f>
        <v>224640</v>
      </c>
      <c r="AO444" s="14">
        <f>U444*'Optimal Choice'!$B$19*AH444</f>
        <v>82080</v>
      </c>
      <c r="AP444" s="14">
        <f>V444*'Optimal Choice'!$B$24*AI444</f>
        <v>152280</v>
      </c>
      <c r="AS444" s="12">
        <f t="shared" si="9"/>
        <v>60</v>
      </c>
      <c r="AT444" s="12">
        <f t="shared" si="10"/>
        <v>50</v>
      </c>
      <c r="AU444" s="12">
        <f t="shared" si="11"/>
        <v>32</v>
      </c>
      <c r="AV444" s="12">
        <f t="shared" si="12"/>
        <v>4</v>
      </c>
      <c r="AW444" s="12">
        <f t="shared" si="13"/>
        <v>1.5</v>
      </c>
      <c r="AY444" s="11">
        <f t="shared" si="14"/>
        <v>0.5914786532</v>
      </c>
    </row>
    <row r="445" ht="15.75" customHeight="1">
      <c r="A445" s="15">
        <f t="shared" si="2"/>
        <v>26.21675903</v>
      </c>
      <c r="B445" s="7">
        <f>(sum(AL445:AP445))*'Optimal Choice'!$B$28</f>
        <v>561275.6</v>
      </c>
      <c r="C445" s="11"/>
      <c r="D445" s="12"/>
      <c r="E445" s="12"/>
      <c r="F445" s="11"/>
      <c r="G445" s="11"/>
      <c r="H445" s="11"/>
      <c r="I445" s="11"/>
      <c r="J445" s="11"/>
      <c r="K445" s="11">
        <f>(X445/$B445)+(X445/('Optimal Choice'!$B$4*AS445))</f>
        <v>7260.491137</v>
      </c>
      <c r="L445" s="11">
        <f>(Y445/$B445)+(Y445/('Optimal Choice'!$B$9*AT445))</f>
        <v>7542.979284</v>
      </c>
      <c r="M445" s="11">
        <f>(Z445/$B445)+(Z445/('Optimal Choice'!$B$14*AU445))</f>
        <v>7864.04527</v>
      </c>
      <c r="N445" s="11">
        <f>(AA445/$B445)+(AA445/('Optimal Choice'!$B$19*AV445))</f>
        <v>8145.020998</v>
      </c>
      <c r="O445" s="11">
        <f>(AB445/$B445)+(AB445/('Optimal Choice'!$B$24*AW445))</f>
        <v>7415.063108</v>
      </c>
      <c r="R445" s="12">
        <f t="shared" ref="R445:V445" si="455">if(min($K444:$O444)=K444,R444+1,R444)</f>
        <v>178</v>
      </c>
      <c r="S445" s="12">
        <f t="shared" si="455"/>
        <v>83</v>
      </c>
      <c r="T445" s="12">
        <f t="shared" si="455"/>
        <v>78</v>
      </c>
      <c r="U445" s="12">
        <f t="shared" si="455"/>
        <v>58</v>
      </c>
      <c r="V445" s="12">
        <f t="shared" si="455"/>
        <v>47</v>
      </c>
      <c r="X445" s="13">
        <f> 'Optimal Choice'!$B$5*'Optimal Choice'!$B$6^(R445+1)</f>
        <v>727371.3602</v>
      </c>
      <c r="Y445" s="13">
        <f> 'Optimal Choice'!$B$10*'Optimal Choice'!$B$11^(S445+1)</f>
        <v>7529564.191</v>
      </c>
      <c r="Z445" s="13">
        <f> 'Optimal Choice'!$B$15*'Optimal Choice'!$B$16^(T445+1)</f>
        <v>22532830.62</v>
      </c>
      <c r="AA445" s="13">
        <f> 'Optimal Choice'!$B$20*'Optimal Choice'!$B$21^(U445+1)</f>
        <v>11698815.94</v>
      </c>
      <c r="AB445" s="13">
        <f> 'Optimal Choice'!$B$25*'Optimal Choice'!$B$26^(V445+1)</f>
        <v>23886915.69</v>
      </c>
      <c r="AE445" s="12">
        <f t="shared" si="4"/>
        <v>60</v>
      </c>
      <c r="AF445" s="12">
        <f t="shared" si="5"/>
        <v>50</v>
      </c>
      <c r="AG445" s="12">
        <f t="shared" si="6"/>
        <v>32</v>
      </c>
      <c r="AH445" s="12">
        <f t="shared" si="7"/>
        <v>4</v>
      </c>
      <c r="AI445" s="12">
        <f t="shared" si="8"/>
        <v>1.5</v>
      </c>
      <c r="AL445" s="14">
        <f>R445*'Optimal Choice'!$B$4*AE445</f>
        <v>17835.6</v>
      </c>
      <c r="AM445" s="14">
        <f>S445*'Optimal Choice'!$B$9*AF445</f>
        <v>83000</v>
      </c>
      <c r="AN445" s="14">
        <f>T445*'Optimal Choice'!$B$14*AG445</f>
        <v>224640</v>
      </c>
      <c r="AO445" s="14">
        <f>U445*'Optimal Choice'!$B$19*AH445</f>
        <v>83520</v>
      </c>
      <c r="AP445" s="14">
        <f>V445*'Optimal Choice'!$B$24*AI445</f>
        <v>152280</v>
      </c>
      <c r="AS445" s="12">
        <f t="shared" si="9"/>
        <v>60</v>
      </c>
      <c r="AT445" s="12">
        <f t="shared" si="10"/>
        <v>50</v>
      </c>
      <c r="AU445" s="12">
        <f t="shared" si="11"/>
        <v>32</v>
      </c>
      <c r="AV445" s="12">
        <f t="shared" si="12"/>
        <v>4</v>
      </c>
      <c r="AW445" s="12">
        <f t="shared" si="13"/>
        <v>1.5</v>
      </c>
      <c r="AY445" s="11">
        <f t="shared" si="14"/>
        <v>0.308213532</v>
      </c>
    </row>
    <row r="446" ht="15.75" customHeight="1">
      <c r="A446" s="15">
        <f t="shared" si="2"/>
        <v>26.23835779</v>
      </c>
      <c r="B446" s="7">
        <f>(sum(AL446:AP446))*'Optimal Choice'!$B$28</f>
        <v>561375.8</v>
      </c>
      <c r="C446" s="11"/>
      <c r="D446" s="12"/>
      <c r="E446" s="12"/>
      <c r="F446" s="11"/>
      <c r="G446" s="11"/>
      <c r="H446" s="11"/>
      <c r="I446" s="11"/>
      <c r="J446" s="11"/>
      <c r="K446" s="11">
        <f>(X446/$B446)+(X446/('Optimal Choice'!$B$4*AS446))</f>
        <v>7768.725269</v>
      </c>
      <c r="L446" s="11">
        <f>(Y446/$B446)+(Y446/('Optimal Choice'!$B$9*AT446))</f>
        <v>7542.976889</v>
      </c>
      <c r="M446" s="11">
        <f>(Z446/$B446)+(Z446/('Optimal Choice'!$B$14*AU446))</f>
        <v>7864.038105</v>
      </c>
      <c r="N446" s="11">
        <f>(AA446/$B446)+(AA446/('Optimal Choice'!$B$19*AV446))</f>
        <v>8145.017277</v>
      </c>
      <c r="O446" s="11">
        <f>(AB446/$B446)+(AB446/('Optimal Choice'!$B$24*AW446))</f>
        <v>7415.055511</v>
      </c>
      <c r="R446" s="12">
        <f t="shared" ref="R446:V446" si="456">if(min($K445:$O445)=K445,R445+1,R445)</f>
        <v>179</v>
      </c>
      <c r="S446" s="12">
        <f t="shared" si="456"/>
        <v>83</v>
      </c>
      <c r="T446" s="12">
        <f t="shared" si="456"/>
        <v>78</v>
      </c>
      <c r="U446" s="12">
        <f t="shared" si="456"/>
        <v>58</v>
      </c>
      <c r="V446" s="12">
        <f t="shared" si="456"/>
        <v>47</v>
      </c>
      <c r="X446" s="13">
        <f> 'Optimal Choice'!$B$5*'Optimal Choice'!$B$6^(R446+1)</f>
        <v>778287.3554</v>
      </c>
      <c r="Y446" s="13">
        <f> 'Optimal Choice'!$B$10*'Optimal Choice'!$B$11^(S446+1)</f>
        <v>7529564.191</v>
      </c>
      <c r="Z446" s="13">
        <f> 'Optimal Choice'!$B$15*'Optimal Choice'!$B$16^(T446+1)</f>
        <v>22532830.62</v>
      </c>
      <c r="AA446" s="13">
        <f> 'Optimal Choice'!$B$20*'Optimal Choice'!$B$21^(U446+1)</f>
        <v>11698815.94</v>
      </c>
      <c r="AB446" s="13">
        <f> 'Optimal Choice'!$B$25*'Optimal Choice'!$B$26^(V446+1)</f>
        <v>23886915.69</v>
      </c>
      <c r="AE446" s="12">
        <f t="shared" si="4"/>
        <v>60</v>
      </c>
      <c r="AF446" s="12">
        <f t="shared" si="5"/>
        <v>50</v>
      </c>
      <c r="AG446" s="12">
        <f t="shared" si="6"/>
        <v>32</v>
      </c>
      <c r="AH446" s="12">
        <f t="shared" si="7"/>
        <v>4</v>
      </c>
      <c r="AI446" s="12">
        <f t="shared" si="8"/>
        <v>1.5</v>
      </c>
      <c r="AL446" s="14">
        <f>R446*'Optimal Choice'!$B$4*AE446</f>
        <v>17935.8</v>
      </c>
      <c r="AM446" s="14">
        <f>S446*'Optimal Choice'!$B$9*AF446</f>
        <v>83000</v>
      </c>
      <c r="AN446" s="14">
        <f>T446*'Optimal Choice'!$B$14*AG446</f>
        <v>224640</v>
      </c>
      <c r="AO446" s="14">
        <f>U446*'Optimal Choice'!$B$19*AH446</f>
        <v>83520</v>
      </c>
      <c r="AP446" s="14">
        <f>V446*'Optimal Choice'!$B$24*AI446</f>
        <v>152280</v>
      </c>
      <c r="AS446" s="12">
        <f t="shared" si="9"/>
        <v>60</v>
      </c>
      <c r="AT446" s="12">
        <f t="shared" si="10"/>
        <v>50</v>
      </c>
      <c r="AU446" s="12">
        <f t="shared" si="11"/>
        <v>32</v>
      </c>
      <c r="AV446" s="12">
        <f t="shared" si="12"/>
        <v>4</v>
      </c>
      <c r="AW446" s="12">
        <f t="shared" si="13"/>
        <v>1.5</v>
      </c>
      <c r="AY446" s="11">
        <f t="shared" si="14"/>
        <v>0.02159875826</v>
      </c>
    </row>
    <row r="447" ht="15.75" customHeight="1">
      <c r="A447" s="15">
        <f t="shared" si="2"/>
        <v>26.9475356</v>
      </c>
      <c r="B447" s="7">
        <f>(sum(AL447:AP447))*'Optimal Choice'!$B$28</f>
        <v>564615.8</v>
      </c>
      <c r="C447" s="11"/>
      <c r="D447" s="12"/>
      <c r="E447" s="12"/>
      <c r="F447" s="11"/>
      <c r="G447" s="11"/>
      <c r="H447" s="11"/>
      <c r="I447" s="11"/>
      <c r="J447" s="11"/>
      <c r="K447" s="11">
        <f>(X447/$B447)+(X447/('Optimal Choice'!$B$4*AS447))</f>
        <v>7768.717314</v>
      </c>
      <c r="L447" s="11">
        <f>(Y447/$B447)+(Y447/('Optimal Choice'!$B$9*AT447))</f>
        <v>7542.899922</v>
      </c>
      <c r="M447" s="11">
        <f>(Z447/$B447)+(Z447/('Optimal Choice'!$B$14*AU447))</f>
        <v>7863.807773</v>
      </c>
      <c r="N447" s="11">
        <f>(AA447/$B447)+(AA447/('Optimal Choice'!$B$19*AV447))</f>
        <v>8144.897691</v>
      </c>
      <c r="O447" s="11">
        <f>(AB447/$B447)+(AB447/('Optimal Choice'!$B$24*AW447))</f>
        <v>8304.588698</v>
      </c>
      <c r="R447" s="12">
        <f t="shared" ref="R447:V447" si="457">if(min($K446:$O446)=K446,R446+1,R446)</f>
        <v>179</v>
      </c>
      <c r="S447" s="12">
        <f t="shared" si="457"/>
        <v>83</v>
      </c>
      <c r="T447" s="12">
        <f t="shared" si="457"/>
        <v>78</v>
      </c>
      <c r="U447" s="12">
        <f t="shared" si="457"/>
        <v>58</v>
      </c>
      <c r="V447" s="12">
        <f t="shared" si="457"/>
        <v>48</v>
      </c>
      <c r="X447" s="13">
        <f> 'Optimal Choice'!$B$5*'Optimal Choice'!$B$6^(R447+1)</f>
        <v>778287.3554</v>
      </c>
      <c r="Y447" s="13">
        <f> 'Optimal Choice'!$B$10*'Optimal Choice'!$B$11^(S447+1)</f>
        <v>7529564.191</v>
      </c>
      <c r="Z447" s="13">
        <f> 'Optimal Choice'!$B$15*'Optimal Choice'!$B$16^(T447+1)</f>
        <v>22532830.62</v>
      </c>
      <c r="AA447" s="13">
        <f> 'Optimal Choice'!$B$20*'Optimal Choice'!$B$21^(U447+1)</f>
        <v>11698815.94</v>
      </c>
      <c r="AB447" s="13">
        <f> 'Optimal Choice'!$B$25*'Optimal Choice'!$B$26^(V447+1)</f>
        <v>26753345.57</v>
      </c>
      <c r="AE447" s="12">
        <f t="shared" si="4"/>
        <v>60</v>
      </c>
      <c r="AF447" s="12">
        <f t="shared" si="5"/>
        <v>50</v>
      </c>
      <c r="AG447" s="12">
        <f t="shared" si="6"/>
        <v>32</v>
      </c>
      <c r="AH447" s="12">
        <f t="shared" si="7"/>
        <v>4</v>
      </c>
      <c r="AI447" s="12">
        <f t="shared" si="8"/>
        <v>1.5</v>
      </c>
      <c r="AL447" s="14">
        <f>R447*'Optimal Choice'!$B$4*AE447</f>
        <v>17935.8</v>
      </c>
      <c r="AM447" s="14">
        <f>S447*'Optimal Choice'!$B$9*AF447</f>
        <v>83000</v>
      </c>
      <c r="AN447" s="14">
        <f>T447*'Optimal Choice'!$B$14*AG447</f>
        <v>224640</v>
      </c>
      <c r="AO447" s="14">
        <f>U447*'Optimal Choice'!$B$19*AH447</f>
        <v>83520</v>
      </c>
      <c r="AP447" s="14">
        <f>V447*'Optimal Choice'!$B$24*AI447</f>
        <v>155520</v>
      </c>
      <c r="AS447" s="12">
        <f t="shared" si="9"/>
        <v>60</v>
      </c>
      <c r="AT447" s="12">
        <f t="shared" si="10"/>
        <v>50</v>
      </c>
      <c r="AU447" s="12">
        <f t="shared" si="11"/>
        <v>32</v>
      </c>
      <c r="AV447" s="12">
        <f t="shared" si="12"/>
        <v>4</v>
      </c>
      <c r="AW447" s="12">
        <f t="shared" si="13"/>
        <v>1.5</v>
      </c>
      <c r="AY447" s="11">
        <f t="shared" si="14"/>
        <v>0.7091778119</v>
      </c>
    </row>
    <row r="448" ht="15.75" customHeight="1">
      <c r="A448" s="15">
        <f t="shared" si="2"/>
        <v>27.16979778</v>
      </c>
      <c r="B448" s="7">
        <f>(sum(AL448:AP448))*'Optimal Choice'!$B$28</f>
        <v>565615.8</v>
      </c>
      <c r="C448" s="11"/>
      <c r="D448" s="12"/>
      <c r="E448" s="12"/>
      <c r="F448" s="11"/>
      <c r="G448" s="11"/>
      <c r="H448" s="11"/>
      <c r="I448" s="11"/>
      <c r="J448" s="11"/>
      <c r="K448" s="11">
        <f>(X448/$B448)+(X448/('Optimal Choice'!$B$4*AS448))</f>
        <v>7768.714876</v>
      </c>
      <c r="L448" s="11">
        <f>(Y448/$B448)+(Y448/('Optimal Choice'!$B$9*AT448))</f>
        <v>8674.307796</v>
      </c>
      <c r="M448" s="11">
        <f>(Z448/$B448)+(Z448/('Optimal Choice'!$B$14*AU448))</f>
        <v>7863.737216</v>
      </c>
      <c r="N448" s="11">
        <f>(AA448/$B448)+(AA448/('Optimal Choice'!$B$19*AV448))</f>
        <v>8144.861059</v>
      </c>
      <c r="O448" s="11">
        <f>(AB448/$B448)+(AB448/('Optimal Choice'!$B$24*AW448))</f>
        <v>8304.504926</v>
      </c>
      <c r="R448" s="12">
        <f t="shared" ref="R448:V448" si="458">if(min($K447:$O447)=K447,R447+1,R447)</f>
        <v>179</v>
      </c>
      <c r="S448" s="12">
        <f t="shared" si="458"/>
        <v>84</v>
      </c>
      <c r="T448" s="12">
        <f t="shared" si="458"/>
        <v>78</v>
      </c>
      <c r="U448" s="12">
        <f t="shared" si="458"/>
        <v>58</v>
      </c>
      <c r="V448" s="12">
        <f t="shared" si="458"/>
        <v>48</v>
      </c>
      <c r="X448" s="13">
        <f> 'Optimal Choice'!$B$5*'Optimal Choice'!$B$6^(R448+1)</f>
        <v>778287.3554</v>
      </c>
      <c r="Y448" s="13">
        <f> 'Optimal Choice'!$B$10*'Optimal Choice'!$B$11^(S448+1)</f>
        <v>8658998.82</v>
      </c>
      <c r="Z448" s="13">
        <f> 'Optimal Choice'!$B$15*'Optimal Choice'!$B$16^(T448+1)</f>
        <v>22532830.62</v>
      </c>
      <c r="AA448" s="13">
        <f> 'Optimal Choice'!$B$20*'Optimal Choice'!$B$21^(U448+1)</f>
        <v>11698815.94</v>
      </c>
      <c r="AB448" s="13">
        <f> 'Optimal Choice'!$B$25*'Optimal Choice'!$B$26^(V448+1)</f>
        <v>26753345.57</v>
      </c>
      <c r="AE448" s="12">
        <f t="shared" si="4"/>
        <v>60</v>
      </c>
      <c r="AF448" s="12">
        <f t="shared" si="5"/>
        <v>50</v>
      </c>
      <c r="AG448" s="12">
        <f t="shared" si="6"/>
        <v>32</v>
      </c>
      <c r="AH448" s="12">
        <f t="shared" si="7"/>
        <v>4</v>
      </c>
      <c r="AI448" s="12">
        <f t="shared" si="8"/>
        <v>1.5</v>
      </c>
      <c r="AL448" s="14">
        <f>R448*'Optimal Choice'!$B$4*AE448</f>
        <v>17935.8</v>
      </c>
      <c r="AM448" s="14">
        <f>S448*'Optimal Choice'!$B$9*AF448</f>
        <v>84000</v>
      </c>
      <c r="AN448" s="14">
        <f>T448*'Optimal Choice'!$B$14*AG448</f>
        <v>224640</v>
      </c>
      <c r="AO448" s="14">
        <f>U448*'Optimal Choice'!$B$19*AH448</f>
        <v>83520</v>
      </c>
      <c r="AP448" s="14">
        <f>V448*'Optimal Choice'!$B$24*AI448</f>
        <v>155520</v>
      </c>
      <c r="AS448" s="12">
        <f t="shared" si="9"/>
        <v>60</v>
      </c>
      <c r="AT448" s="12">
        <f t="shared" si="10"/>
        <v>50</v>
      </c>
      <c r="AU448" s="12">
        <f t="shared" si="11"/>
        <v>32</v>
      </c>
      <c r="AV448" s="12">
        <f t="shared" si="12"/>
        <v>4</v>
      </c>
      <c r="AW448" s="12">
        <f t="shared" si="13"/>
        <v>1.5</v>
      </c>
      <c r="AY448" s="11">
        <f t="shared" si="14"/>
        <v>0.2222621764</v>
      </c>
    </row>
    <row r="449" ht="15.75" customHeight="1">
      <c r="A449" s="15">
        <f t="shared" si="2"/>
        <v>27.19273111</v>
      </c>
      <c r="B449" s="7">
        <f>(sum(AL449:AP449))*'Optimal Choice'!$B$28</f>
        <v>565716</v>
      </c>
      <c r="C449" s="11"/>
      <c r="D449" s="12"/>
      <c r="E449" s="12"/>
      <c r="F449" s="11"/>
      <c r="G449" s="11"/>
      <c r="H449" s="11"/>
      <c r="I449" s="11"/>
      <c r="J449" s="11"/>
      <c r="K449" s="11">
        <f>(X449/$B449)+(X449/('Optimal Choice'!$B$4*AS449))</f>
        <v>8312.524657</v>
      </c>
      <c r="L449" s="11">
        <f>(Y449/$B449)+(Y449/('Optimal Choice'!$B$9*AT449))</f>
        <v>8674.305084</v>
      </c>
      <c r="M449" s="11">
        <f>(Z449/$B449)+(Z449/('Optimal Choice'!$B$14*AU449))</f>
        <v>7863.73016</v>
      </c>
      <c r="N449" s="11">
        <f>(AA449/$B449)+(AA449/('Optimal Choice'!$B$19*AV449))</f>
        <v>8144.857395</v>
      </c>
      <c r="O449" s="11">
        <f>(AB449/$B449)+(AB449/('Optimal Choice'!$B$24*AW449))</f>
        <v>8304.496548</v>
      </c>
      <c r="R449" s="12">
        <f t="shared" ref="R449:V449" si="459">if(min($K448:$O448)=K448,R448+1,R448)</f>
        <v>180</v>
      </c>
      <c r="S449" s="12">
        <f t="shared" si="459"/>
        <v>84</v>
      </c>
      <c r="T449" s="12">
        <f t="shared" si="459"/>
        <v>78</v>
      </c>
      <c r="U449" s="12">
        <f t="shared" si="459"/>
        <v>58</v>
      </c>
      <c r="V449" s="12">
        <f t="shared" si="459"/>
        <v>48</v>
      </c>
      <c r="X449" s="13">
        <f> 'Optimal Choice'!$B$5*'Optimal Choice'!$B$6^(R449+1)</f>
        <v>832767.4703</v>
      </c>
      <c r="Y449" s="13">
        <f> 'Optimal Choice'!$B$10*'Optimal Choice'!$B$11^(S449+1)</f>
        <v>8658998.82</v>
      </c>
      <c r="Z449" s="13">
        <f> 'Optimal Choice'!$B$15*'Optimal Choice'!$B$16^(T449+1)</f>
        <v>22532830.62</v>
      </c>
      <c r="AA449" s="13">
        <f> 'Optimal Choice'!$B$20*'Optimal Choice'!$B$21^(U449+1)</f>
        <v>11698815.94</v>
      </c>
      <c r="AB449" s="13">
        <f> 'Optimal Choice'!$B$25*'Optimal Choice'!$B$26^(V449+1)</f>
        <v>26753345.57</v>
      </c>
      <c r="AE449" s="12">
        <f t="shared" si="4"/>
        <v>60</v>
      </c>
      <c r="AF449" s="12">
        <f t="shared" si="5"/>
        <v>50</v>
      </c>
      <c r="AG449" s="12">
        <f t="shared" si="6"/>
        <v>32</v>
      </c>
      <c r="AH449" s="12">
        <f t="shared" si="7"/>
        <v>4</v>
      </c>
      <c r="AI449" s="12">
        <f t="shared" si="8"/>
        <v>1.5</v>
      </c>
      <c r="AL449" s="14">
        <f>R449*'Optimal Choice'!$B$4*AE449</f>
        <v>18036</v>
      </c>
      <c r="AM449" s="14">
        <f>S449*'Optimal Choice'!$B$9*AF449</f>
        <v>84000</v>
      </c>
      <c r="AN449" s="14">
        <f>T449*'Optimal Choice'!$B$14*AG449</f>
        <v>224640</v>
      </c>
      <c r="AO449" s="14">
        <f>U449*'Optimal Choice'!$B$19*AH449</f>
        <v>83520</v>
      </c>
      <c r="AP449" s="14">
        <f>V449*'Optimal Choice'!$B$24*AI449</f>
        <v>155520</v>
      </c>
      <c r="AS449" s="12">
        <f t="shared" si="9"/>
        <v>60</v>
      </c>
      <c r="AT449" s="12">
        <f t="shared" si="10"/>
        <v>50</v>
      </c>
      <c r="AU449" s="12">
        <f t="shared" si="11"/>
        <v>32</v>
      </c>
      <c r="AV449" s="12">
        <f t="shared" si="12"/>
        <v>4</v>
      </c>
      <c r="AW449" s="12">
        <f t="shared" si="13"/>
        <v>1.5</v>
      </c>
      <c r="AY449" s="11">
        <f t="shared" si="14"/>
        <v>0.02293333376</v>
      </c>
    </row>
    <row r="450" ht="15.75" customHeight="1">
      <c r="A450" s="15">
        <f t="shared" si="2"/>
        <v>27.85657512</v>
      </c>
      <c r="B450" s="7">
        <f>(sum(AL450:AP450))*'Optimal Choice'!$B$28</f>
        <v>568596</v>
      </c>
      <c r="C450" s="11"/>
      <c r="D450" s="12"/>
      <c r="E450" s="12"/>
      <c r="F450" s="11"/>
      <c r="G450" s="11"/>
      <c r="H450" s="11"/>
      <c r="I450" s="11"/>
      <c r="J450" s="11"/>
      <c r="K450" s="11">
        <f>(X450/$B450)+(X450/('Optimal Choice'!$B$4*AS450))</f>
        <v>8312.517201</v>
      </c>
      <c r="L450" s="11">
        <f>(Y450/$B450)+(Y450/('Optimal Choice'!$B$9*AT450))</f>
        <v>8674.227556</v>
      </c>
      <c r="M450" s="11">
        <f>(Z450/$B450)+(Z450/('Optimal Choice'!$B$14*AU450))</f>
        <v>8964.422391</v>
      </c>
      <c r="N450" s="11">
        <f>(AA450/$B450)+(AA450/('Optimal Choice'!$B$19*AV450))</f>
        <v>8144.752651</v>
      </c>
      <c r="O450" s="11">
        <f>(AB450/$B450)+(AB450/('Optimal Choice'!$B$24*AW450))</f>
        <v>8304.257013</v>
      </c>
      <c r="R450" s="12">
        <f t="shared" ref="R450:V450" si="460">if(min($K449:$O449)=K449,R449+1,R449)</f>
        <v>180</v>
      </c>
      <c r="S450" s="12">
        <f t="shared" si="460"/>
        <v>84</v>
      </c>
      <c r="T450" s="12">
        <f t="shared" si="460"/>
        <v>79</v>
      </c>
      <c r="U450" s="12">
        <f t="shared" si="460"/>
        <v>58</v>
      </c>
      <c r="V450" s="12">
        <f t="shared" si="460"/>
        <v>48</v>
      </c>
      <c r="X450" s="13">
        <f> 'Optimal Choice'!$B$5*'Optimal Choice'!$B$6^(R450+1)</f>
        <v>832767.4703</v>
      </c>
      <c r="Y450" s="13">
        <f> 'Optimal Choice'!$B$10*'Optimal Choice'!$B$11^(S450+1)</f>
        <v>8658998.82</v>
      </c>
      <c r="Z450" s="13">
        <f> 'Optimal Choice'!$B$15*'Optimal Choice'!$B$16^(T450+1)</f>
        <v>25687426.9</v>
      </c>
      <c r="AA450" s="13">
        <f> 'Optimal Choice'!$B$20*'Optimal Choice'!$B$21^(U450+1)</f>
        <v>11698815.94</v>
      </c>
      <c r="AB450" s="13">
        <f> 'Optimal Choice'!$B$25*'Optimal Choice'!$B$26^(V450+1)</f>
        <v>26753345.57</v>
      </c>
      <c r="AE450" s="12">
        <f t="shared" si="4"/>
        <v>60</v>
      </c>
      <c r="AF450" s="12">
        <f t="shared" si="5"/>
        <v>50</v>
      </c>
      <c r="AG450" s="12">
        <f t="shared" si="6"/>
        <v>32</v>
      </c>
      <c r="AH450" s="12">
        <f t="shared" si="7"/>
        <v>4</v>
      </c>
      <c r="AI450" s="12">
        <f t="shared" si="8"/>
        <v>1.5</v>
      </c>
      <c r="AL450" s="14">
        <f>R450*'Optimal Choice'!$B$4*AE450</f>
        <v>18036</v>
      </c>
      <c r="AM450" s="14">
        <f>S450*'Optimal Choice'!$B$9*AF450</f>
        <v>84000</v>
      </c>
      <c r="AN450" s="14">
        <f>T450*'Optimal Choice'!$B$14*AG450</f>
        <v>227520</v>
      </c>
      <c r="AO450" s="14">
        <f>U450*'Optimal Choice'!$B$19*AH450</f>
        <v>83520</v>
      </c>
      <c r="AP450" s="14">
        <f>V450*'Optimal Choice'!$B$24*AI450</f>
        <v>155520</v>
      </c>
      <c r="AS450" s="12">
        <f t="shared" si="9"/>
        <v>60</v>
      </c>
      <c r="AT450" s="12">
        <f t="shared" si="10"/>
        <v>50</v>
      </c>
      <c r="AU450" s="12">
        <f t="shared" si="11"/>
        <v>32</v>
      </c>
      <c r="AV450" s="12">
        <f t="shared" si="12"/>
        <v>4</v>
      </c>
      <c r="AW450" s="12">
        <f t="shared" si="13"/>
        <v>1.5</v>
      </c>
      <c r="AY450" s="11">
        <f t="shared" si="14"/>
        <v>0.6638440082</v>
      </c>
    </row>
    <row r="451" ht="15.75" customHeight="1">
      <c r="A451" s="15">
        <f t="shared" si="2"/>
        <v>28.19949042</v>
      </c>
      <c r="B451" s="7">
        <f>(sum(AL451:AP451))*'Optimal Choice'!$B$28</f>
        <v>570036</v>
      </c>
      <c r="C451" s="11"/>
      <c r="D451" s="12"/>
      <c r="E451" s="12"/>
      <c r="F451" s="11"/>
      <c r="G451" s="11"/>
      <c r="H451" s="11"/>
      <c r="I451" s="11"/>
      <c r="J451" s="11"/>
      <c r="K451" s="11">
        <f>(X451/$B451)+(X451/('Optimal Choice'!$B$4*AS451))</f>
        <v>8312.513501</v>
      </c>
      <c r="L451" s="11">
        <f>(Y451/$B451)+(Y451/('Optimal Choice'!$B$9*AT451))</f>
        <v>8674.189086</v>
      </c>
      <c r="M451" s="11">
        <f>(Z451/$B451)+(Z451/('Optimal Choice'!$B$14*AU451))</f>
        <v>8964.308267</v>
      </c>
      <c r="N451" s="11">
        <f>(AA451/$B451)+(AA451/('Optimal Choice'!$B$19*AV451))</f>
        <v>9203.511763</v>
      </c>
      <c r="O451" s="11">
        <f>(AB451/$B451)+(AB451/('Optimal Choice'!$B$24*AW451))</f>
        <v>8304.138154</v>
      </c>
      <c r="R451" s="12">
        <f t="shared" ref="R451:V451" si="461">if(min($K450:$O450)=K450,R450+1,R450)</f>
        <v>180</v>
      </c>
      <c r="S451" s="12">
        <f t="shared" si="461"/>
        <v>84</v>
      </c>
      <c r="T451" s="12">
        <f t="shared" si="461"/>
        <v>79</v>
      </c>
      <c r="U451" s="12">
        <f t="shared" si="461"/>
        <v>59</v>
      </c>
      <c r="V451" s="12">
        <f t="shared" si="461"/>
        <v>48</v>
      </c>
      <c r="X451" s="13">
        <f> 'Optimal Choice'!$B$5*'Optimal Choice'!$B$6^(R451+1)</f>
        <v>832767.4703</v>
      </c>
      <c r="Y451" s="13">
        <f> 'Optimal Choice'!$B$10*'Optimal Choice'!$B$11^(S451+1)</f>
        <v>8658998.82</v>
      </c>
      <c r="Z451" s="13">
        <f> 'Optimal Choice'!$B$15*'Optimal Choice'!$B$16^(T451+1)</f>
        <v>25687426.9</v>
      </c>
      <c r="AA451" s="13">
        <f> 'Optimal Choice'!$B$20*'Optimal Choice'!$B$21^(U451+1)</f>
        <v>13219662.01</v>
      </c>
      <c r="AB451" s="13">
        <f> 'Optimal Choice'!$B$25*'Optimal Choice'!$B$26^(V451+1)</f>
        <v>26753345.57</v>
      </c>
      <c r="AE451" s="12">
        <f t="shared" si="4"/>
        <v>60</v>
      </c>
      <c r="AF451" s="12">
        <f t="shared" si="5"/>
        <v>50</v>
      </c>
      <c r="AG451" s="12">
        <f t="shared" si="6"/>
        <v>32</v>
      </c>
      <c r="AH451" s="12">
        <f t="shared" si="7"/>
        <v>4</v>
      </c>
      <c r="AI451" s="12">
        <f t="shared" si="8"/>
        <v>1.5</v>
      </c>
      <c r="AL451" s="14">
        <f>R451*'Optimal Choice'!$B$4*AE451</f>
        <v>18036</v>
      </c>
      <c r="AM451" s="14">
        <f>S451*'Optimal Choice'!$B$9*AF451</f>
        <v>84000</v>
      </c>
      <c r="AN451" s="14">
        <f>T451*'Optimal Choice'!$B$14*AG451</f>
        <v>227520</v>
      </c>
      <c r="AO451" s="14">
        <f>U451*'Optimal Choice'!$B$19*AH451</f>
        <v>84960</v>
      </c>
      <c r="AP451" s="14">
        <f>V451*'Optimal Choice'!$B$24*AI451</f>
        <v>155520</v>
      </c>
      <c r="AS451" s="12">
        <f t="shared" si="9"/>
        <v>60</v>
      </c>
      <c r="AT451" s="12">
        <f t="shared" si="10"/>
        <v>50</v>
      </c>
      <c r="AU451" s="12">
        <f t="shared" si="11"/>
        <v>32</v>
      </c>
      <c r="AV451" s="12">
        <f t="shared" si="12"/>
        <v>4</v>
      </c>
      <c r="AW451" s="12">
        <f t="shared" si="13"/>
        <v>1.5</v>
      </c>
      <c r="AY451" s="11">
        <f t="shared" si="14"/>
        <v>0.3429152959</v>
      </c>
    </row>
    <row r="452" ht="15.75" customHeight="1">
      <c r="A452" s="15">
        <f t="shared" si="2"/>
        <v>28.98170258</v>
      </c>
      <c r="B452" s="7">
        <f>(sum(AL452:AP452))*'Optimal Choice'!$B$28</f>
        <v>573276</v>
      </c>
      <c r="C452" s="11"/>
      <c r="D452" s="12"/>
      <c r="E452" s="12"/>
      <c r="F452" s="11"/>
      <c r="G452" s="11"/>
      <c r="H452" s="11"/>
      <c r="I452" s="11"/>
      <c r="J452" s="11"/>
      <c r="K452" s="11">
        <f>(X452/$B452)+(X452/('Optimal Choice'!$B$4*AS452))</f>
        <v>8312.505244</v>
      </c>
      <c r="L452" s="11">
        <f>(Y452/$B452)+(Y452/('Optimal Choice'!$B$9*AT452))</f>
        <v>8674.103235</v>
      </c>
      <c r="M452" s="11">
        <f>(Z452/$B452)+(Z452/('Optimal Choice'!$B$14*AU452))</f>
        <v>8964.053584</v>
      </c>
      <c r="N452" s="11">
        <f>(AA452/$B452)+(AA452/('Optimal Choice'!$B$19*AV452))</f>
        <v>9203.380694</v>
      </c>
      <c r="O452" s="11">
        <f>(AB452/$B452)+(AB452/('Optimal Choice'!$B$24*AW452))</f>
        <v>4676.302614</v>
      </c>
      <c r="R452" s="12">
        <f t="shared" ref="R452:V452" si="462">if(min($K451:$O451)=K451,R451+1,R451)</f>
        <v>180</v>
      </c>
      <c r="S452" s="12">
        <f t="shared" si="462"/>
        <v>84</v>
      </c>
      <c r="T452" s="12">
        <f t="shared" si="462"/>
        <v>79</v>
      </c>
      <c r="U452" s="12">
        <f t="shared" si="462"/>
        <v>59</v>
      </c>
      <c r="V452" s="12">
        <f t="shared" si="462"/>
        <v>49</v>
      </c>
      <c r="X452" s="13">
        <f> 'Optimal Choice'!$B$5*'Optimal Choice'!$B$6^(R452+1)</f>
        <v>832767.4703</v>
      </c>
      <c r="Y452" s="13">
        <f> 'Optimal Choice'!$B$10*'Optimal Choice'!$B$11^(S452+1)</f>
        <v>8658998.82</v>
      </c>
      <c r="Z452" s="13">
        <f> 'Optimal Choice'!$B$15*'Optimal Choice'!$B$16^(T452+1)</f>
        <v>25687426.9</v>
      </c>
      <c r="AA452" s="13">
        <f> 'Optimal Choice'!$B$20*'Optimal Choice'!$B$21^(U452+1)</f>
        <v>13219662.01</v>
      </c>
      <c r="AB452" s="13">
        <f> 'Optimal Choice'!$B$25*'Optimal Choice'!$B$26^(V452+1)</f>
        <v>29963747.04</v>
      </c>
      <c r="AE452" s="12">
        <f t="shared" si="4"/>
        <v>60</v>
      </c>
      <c r="AF452" s="12">
        <f t="shared" si="5"/>
        <v>50</v>
      </c>
      <c r="AG452" s="12">
        <f t="shared" si="6"/>
        <v>32</v>
      </c>
      <c r="AH452" s="12">
        <f t="shared" si="7"/>
        <v>4</v>
      </c>
      <c r="AI452" s="12">
        <f t="shared" si="8"/>
        <v>1.5</v>
      </c>
      <c r="AL452" s="14">
        <f>R452*'Optimal Choice'!$B$4*AE452</f>
        <v>18036</v>
      </c>
      <c r="AM452" s="14">
        <f>S452*'Optimal Choice'!$B$9*AF452</f>
        <v>84000</v>
      </c>
      <c r="AN452" s="14">
        <f>T452*'Optimal Choice'!$B$14*AG452</f>
        <v>227520</v>
      </c>
      <c r="AO452" s="14">
        <f>U452*'Optimal Choice'!$B$19*AH452</f>
        <v>84960</v>
      </c>
      <c r="AP452" s="14">
        <f>V452*'Optimal Choice'!$B$24*AI452</f>
        <v>158760</v>
      </c>
      <c r="AS452" s="12">
        <f t="shared" si="9"/>
        <v>60</v>
      </c>
      <c r="AT452" s="12">
        <f t="shared" si="10"/>
        <v>50</v>
      </c>
      <c r="AU452" s="12">
        <f t="shared" si="11"/>
        <v>32</v>
      </c>
      <c r="AV452" s="12">
        <f t="shared" si="12"/>
        <v>4</v>
      </c>
      <c r="AW452" s="12">
        <f t="shared" si="13"/>
        <v>3</v>
      </c>
      <c r="AY452" s="11">
        <f t="shared" si="14"/>
        <v>0.7822121636</v>
      </c>
    </row>
    <row r="453" ht="15.75" customHeight="1">
      <c r="A453" s="15">
        <f t="shared" si="2"/>
        <v>29.85282885</v>
      </c>
      <c r="B453" s="7">
        <f>(sum(AL453:AP453))*'Optimal Choice'!$B$28</f>
        <v>738516</v>
      </c>
      <c r="C453" s="11"/>
      <c r="D453" s="12"/>
      <c r="E453" s="12"/>
      <c r="F453" s="11"/>
      <c r="G453" s="11"/>
      <c r="H453" s="11"/>
      <c r="I453" s="11"/>
      <c r="J453" s="11"/>
      <c r="K453" s="11">
        <f>(X453/$B453)+(X453/('Optimal Choice'!$B$4*AS453))</f>
        <v>8312.180221</v>
      </c>
      <c r="L453" s="11">
        <f>(Y453/$B453)+(Y453/('Optimal Choice'!$B$9*AT453))</f>
        <v>8670.723682</v>
      </c>
      <c r="M453" s="11">
        <f>(Z453/$B453)+(Z453/('Optimal Choice'!$B$14*AU453))</f>
        <v>8954.027944</v>
      </c>
      <c r="N453" s="11">
        <f>(AA453/$B453)+(AA453/('Optimal Choice'!$B$19*AV453))</f>
        <v>9198.221144</v>
      </c>
      <c r="O453" s="11">
        <f>(AB453/$B453)+(AB453/('Optimal Choice'!$B$24*AW453))</f>
        <v>5224.360907</v>
      </c>
      <c r="R453" s="12">
        <f t="shared" ref="R453:V453" si="463">if(min($K452:$O452)=K452,R452+1,R452)</f>
        <v>180</v>
      </c>
      <c r="S453" s="12">
        <f t="shared" si="463"/>
        <v>84</v>
      </c>
      <c r="T453" s="12">
        <f t="shared" si="463"/>
        <v>79</v>
      </c>
      <c r="U453" s="12">
        <f t="shared" si="463"/>
        <v>59</v>
      </c>
      <c r="V453" s="12">
        <f t="shared" si="463"/>
        <v>50</v>
      </c>
      <c r="X453" s="13">
        <f> 'Optimal Choice'!$B$5*'Optimal Choice'!$B$6^(R453+1)</f>
        <v>832767.4703</v>
      </c>
      <c r="Y453" s="13">
        <f> 'Optimal Choice'!$B$10*'Optimal Choice'!$B$11^(S453+1)</f>
        <v>8658998.82</v>
      </c>
      <c r="Z453" s="13">
        <f> 'Optimal Choice'!$B$15*'Optimal Choice'!$B$16^(T453+1)</f>
        <v>25687426.9</v>
      </c>
      <c r="AA453" s="13">
        <f> 'Optimal Choice'!$B$20*'Optimal Choice'!$B$21^(U453+1)</f>
        <v>13219662.01</v>
      </c>
      <c r="AB453" s="13">
        <f> 'Optimal Choice'!$B$25*'Optimal Choice'!$B$26^(V453+1)</f>
        <v>33559396.69</v>
      </c>
      <c r="AE453" s="12">
        <f t="shared" si="4"/>
        <v>60</v>
      </c>
      <c r="AF453" s="12">
        <f t="shared" si="5"/>
        <v>50</v>
      </c>
      <c r="AG453" s="12">
        <f t="shared" si="6"/>
        <v>32</v>
      </c>
      <c r="AH453" s="12">
        <f t="shared" si="7"/>
        <v>4</v>
      </c>
      <c r="AI453" s="12">
        <f t="shared" si="8"/>
        <v>3</v>
      </c>
      <c r="AL453" s="14">
        <f>R453*'Optimal Choice'!$B$4*AE453</f>
        <v>18036</v>
      </c>
      <c r="AM453" s="14">
        <f>S453*'Optimal Choice'!$B$9*AF453</f>
        <v>84000</v>
      </c>
      <c r="AN453" s="14">
        <f>T453*'Optimal Choice'!$B$14*AG453</f>
        <v>227520</v>
      </c>
      <c r="AO453" s="14">
        <f>U453*'Optimal Choice'!$B$19*AH453</f>
        <v>84960</v>
      </c>
      <c r="AP453" s="14">
        <f>V453*'Optimal Choice'!$B$24*AI453</f>
        <v>324000</v>
      </c>
      <c r="AS453" s="12">
        <f t="shared" si="9"/>
        <v>60</v>
      </c>
      <c r="AT453" s="12">
        <f t="shared" si="10"/>
        <v>50</v>
      </c>
      <c r="AU453" s="12">
        <f t="shared" si="11"/>
        <v>32</v>
      </c>
      <c r="AV453" s="12">
        <f t="shared" si="12"/>
        <v>4</v>
      </c>
      <c r="AW453" s="12">
        <f t="shared" si="13"/>
        <v>3</v>
      </c>
      <c r="AY453" s="11">
        <f t="shared" si="14"/>
        <v>0.8711262708</v>
      </c>
    </row>
    <row r="454" ht="15.75" customHeight="1">
      <c r="A454" s="15">
        <f t="shared" si="2"/>
        <v>30.61018993</v>
      </c>
      <c r="B454" s="7">
        <f>(sum(AL454:AP454))*'Optimal Choice'!$B$28</f>
        <v>744996</v>
      </c>
      <c r="C454" s="11"/>
      <c r="D454" s="12"/>
      <c r="E454" s="12"/>
      <c r="F454" s="11"/>
      <c r="G454" s="11"/>
      <c r="H454" s="11"/>
      <c r="I454" s="11"/>
      <c r="J454" s="11"/>
      <c r="K454" s="11">
        <f>(X454/$B454)+(X454/('Optimal Choice'!$B$4*AS454))</f>
        <v>8312.170412</v>
      </c>
      <c r="L454" s="11">
        <f>(Y454/$B454)+(Y454/('Optimal Choice'!$B$9*AT454))</f>
        <v>8670.621699</v>
      </c>
      <c r="M454" s="11">
        <f>(Z454/$B454)+(Z454/('Optimal Choice'!$B$14*AU454))</f>
        <v>8953.725405</v>
      </c>
      <c r="N454" s="11">
        <f>(AA454/$B454)+(AA454/('Optimal Choice'!$B$19*AV454))</f>
        <v>9198.065446</v>
      </c>
      <c r="O454" s="11">
        <f>(AB454/$B454)+(AB454/('Optimal Choice'!$B$24*AW454))</f>
        <v>5850.841532</v>
      </c>
      <c r="R454" s="12">
        <f t="shared" ref="R454:V454" si="464">if(min($K453:$O453)=K453,R453+1,R453)</f>
        <v>180</v>
      </c>
      <c r="S454" s="12">
        <f t="shared" si="464"/>
        <v>84</v>
      </c>
      <c r="T454" s="12">
        <f t="shared" si="464"/>
        <v>79</v>
      </c>
      <c r="U454" s="12">
        <f t="shared" si="464"/>
        <v>59</v>
      </c>
      <c r="V454" s="12">
        <f t="shared" si="464"/>
        <v>51</v>
      </c>
      <c r="X454" s="13">
        <f> 'Optimal Choice'!$B$5*'Optimal Choice'!$B$6^(R454+1)</f>
        <v>832767.4703</v>
      </c>
      <c r="Y454" s="13">
        <f> 'Optimal Choice'!$B$10*'Optimal Choice'!$B$11^(S454+1)</f>
        <v>8658998.82</v>
      </c>
      <c r="Z454" s="13">
        <f> 'Optimal Choice'!$B$15*'Optimal Choice'!$B$16^(T454+1)</f>
        <v>25687426.9</v>
      </c>
      <c r="AA454" s="13">
        <f> 'Optimal Choice'!$B$20*'Optimal Choice'!$B$21^(U454+1)</f>
        <v>13219662.01</v>
      </c>
      <c r="AB454" s="13">
        <f> 'Optimal Choice'!$B$25*'Optimal Choice'!$B$26^(V454+1)</f>
        <v>37586524.29</v>
      </c>
      <c r="AE454" s="12">
        <f t="shared" si="4"/>
        <v>60</v>
      </c>
      <c r="AF454" s="12">
        <f t="shared" si="5"/>
        <v>50</v>
      </c>
      <c r="AG454" s="12">
        <f t="shared" si="6"/>
        <v>32</v>
      </c>
      <c r="AH454" s="12">
        <f t="shared" si="7"/>
        <v>4</v>
      </c>
      <c r="AI454" s="12">
        <f t="shared" si="8"/>
        <v>3</v>
      </c>
      <c r="AL454" s="14">
        <f>R454*'Optimal Choice'!$B$4*AE454</f>
        <v>18036</v>
      </c>
      <c r="AM454" s="14">
        <f>S454*'Optimal Choice'!$B$9*AF454</f>
        <v>84000</v>
      </c>
      <c r="AN454" s="14">
        <f>T454*'Optimal Choice'!$B$14*AG454</f>
        <v>227520</v>
      </c>
      <c r="AO454" s="14">
        <f>U454*'Optimal Choice'!$B$19*AH454</f>
        <v>84960</v>
      </c>
      <c r="AP454" s="14">
        <f>V454*'Optimal Choice'!$B$24*AI454</f>
        <v>330480</v>
      </c>
      <c r="AS454" s="12">
        <f t="shared" si="9"/>
        <v>60</v>
      </c>
      <c r="AT454" s="12">
        <f t="shared" si="10"/>
        <v>50</v>
      </c>
      <c r="AU454" s="12">
        <f t="shared" si="11"/>
        <v>32</v>
      </c>
      <c r="AV454" s="12">
        <f t="shared" si="12"/>
        <v>4</v>
      </c>
      <c r="AW454" s="12">
        <f t="shared" si="13"/>
        <v>3</v>
      </c>
      <c r="AY454" s="11">
        <f t="shared" si="14"/>
        <v>0.7573610837</v>
      </c>
    </row>
    <row r="455" ht="15.75" customHeight="1">
      <c r="A455" s="15">
        <f t="shared" si="2"/>
        <v>31.45105629</v>
      </c>
      <c r="B455" s="7">
        <f>(sum(AL455:AP455))*'Optimal Choice'!$B$28</f>
        <v>751476</v>
      </c>
      <c r="C455" s="11"/>
      <c r="D455" s="12"/>
      <c r="E455" s="12"/>
      <c r="F455" s="11"/>
      <c r="G455" s="11"/>
      <c r="H455" s="11"/>
      <c r="I455" s="11"/>
      <c r="J455" s="11"/>
      <c r="K455" s="11">
        <f>(X455/$B455)+(X455/('Optimal Choice'!$B$4*AS455))</f>
        <v>8312.160774</v>
      </c>
      <c r="L455" s="11">
        <f>(Y455/$B455)+(Y455/('Optimal Choice'!$B$9*AT455))</f>
        <v>8670.521475</v>
      </c>
      <c r="M455" s="11">
        <f>(Z455/$B455)+(Z455/('Optimal Choice'!$B$14*AU455))</f>
        <v>8953.428083</v>
      </c>
      <c r="N455" s="11">
        <f>(AA455/$B455)+(AA455/('Optimal Choice'!$B$19*AV455))</f>
        <v>9197.912434</v>
      </c>
      <c r="O455" s="11">
        <f>(AB455/$B455)+(AB455/('Optimal Choice'!$B$24*AW455))</f>
        <v>6552.455261</v>
      </c>
      <c r="R455" s="12">
        <f t="shared" ref="R455:V455" si="465">if(min($K454:$O454)=K454,R454+1,R454)</f>
        <v>180</v>
      </c>
      <c r="S455" s="12">
        <f t="shared" si="465"/>
        <v>84</v>
      </c>
      <c r="T455" s="12">
        <f t="shared" si="465"/>
        <v>79</v>
      </c>
      <c r="U455" s="12">
        <f t="shared" si="465"/>
        <v>59</v>
      </c>
      <c r="V455" s="12">
        <f t="shared" si="465"/>
        <v>52</v>
      </c>
      <c r="X455" s="13">
        <f> 'Optimal Choice'!$B$5*'Optimal Choice'!$B$6^(R455+1)</f>
        <v>832767.4703</v>
      </c>
      <c r="Y455" s="13">
        <f> 'Optimal Choice'!$B$10*'Optimal Choice'!$B$11^(S455+1)</f>
        <v>8658998.82</v>
      </c>
      <c r="Z455" s="13">
        <f> 'Optimal Choice'!$B$15*'Optimal Choice'!$B$16^(T455+1)</f>
        <v>25687426.9</v>
      </c>
      <c r="AA455" s="13">
        <f> 'Optimal Choice'!$B$20*'Optimal Choice'!$B$21^(U455+1)</f>
        <v>13219662.01</v>
      </c>
      <c r="AB455" s="13">
        <f> 'Optimal Choice'!$B$25*'Optimal Choice'!$B$26^(V455+1)</f>
        <v>42096907.2</v>
      </c>
      <c r="AE455" s="12">
        <f t="shared" si="4"/>
        <v>60</v>
      </c>
      <c r="AF455" s="12">
        <f t="shared" si="5"/>
        <v>50</v>
      </c>
      <c r="AG455" s="12">
        <f t="shared" si="6"/>
        <v>32</v>
      </c>
      <c r="AH455" s="12">
        <f t="shared" si="7"/>
        <v>4</v>
      </c>
      <c r="AI455" s="12">
        <f t="shared" si="8"/>
        <v>3</v>
      </c>
      <c r="AL455" s="14">
        <f>R455*'Optimal Choice'!$B$4*AE455</f>
        <v>18036</v>
      </c>
      <c r="AM455" s="14">
        <f>S455*'Optimal Choice'!$B$9*AF455</f>
        <v>84000</v>
      </c>
      <c r="AN455" s="14">
        <f>T455*'Optimal Choice'!$B$14*AG455</f>
        <v>227520</v>
      </c>
      <c r="AO455" s="14">
        <f>U455*'Optimal Choice'!$B$19*AH455</f>
        <v>84960</v>
      </c>
      <c r="AP455" s="14">
        <f>V455*'Optimal Choice'!$B$24*AI455</f>
        <v>336960</v>
      </c>
      <c r="AS455" s="12">
        <f t="shared" si="9"/>
        <v>60</v>
      </c>
      <c r="AT455" s="12">
        <f t="shared" si="10"/>
        <v>50</v>
      </c>
      <c r="AU455" s="12">
        <f t="shared" si="11"/>
        <v>32</v>
      </c>
      <c r="AV455" s="12">
        <f t="shared" si="12"/>
        <v>4</v>
      </c>
      <c r="AW455" s="12">
        <f t="shared" si="13"/>
        <v>3</v>
      </c>
      <c r="AY455" s="11">
        <f t="shared" si="14"/>
        <v>0.8408663556</v>
      </c>
    </row>
    <row r="456" ht="15.75" customHeight="1">
      <c r="A456" s="15">
        <f t="shared" si="2"/>
        <v>32.3847057</v>
      </c>
      <c r="B456" s="7">
        <f>(sum(AL456:AP456))*'Optimal Choice'!$B$28</f>
        <v>757956</v>
      </c>
      <c r="C456" s="11"/>
      <c r="D456" s="12"/>
      <c r="E456" s="12"/>
      <c r="F456" s="11"/>
      <c r="G456" s="11"/>
      <c r="H456" s="11"/>
      <c r="I456" s="11"/>
      <c r="J456" s="11"/>
      <c r="K456" s="11">
        <f>(X456/$B456)+(X456/('Optimal Choice'!$B$4*AS456))</f>
        <v>8312.151299</v>
      </c>
      <c r="L456" s="11">
        <f>(Y456/$B456)+(Y456/('Optimal Choice'!$B$9*AT456))</f>
        <v>8670.422964</v>
      </c>
      <c r="M456" s="11">
        <f>(Z456/$B456)+(Z456/('Optimal Choice'!$B$14*AU456))</f>
        <v>8953.135845</v>
      </c>
      <c r="N456" s="11">
        <f>(AA456/$B456)+(AA456/('Optimal Choice'!$B$19*AV456))</f>
        <v>9197.762038</v>
      </c>
      <c r="O456" s="11">
        <f>(AB456/$B456)+(AB456/('Optimal Choice'!$B$24*AW456))</f>
        <v>7338.213498</v>
      </c>
      <c r="R456" s="12">
        <f t="shared" ref="R456:V456" si="466">if(min($K455:$O455)=K455,R455+1,R455)</f>
        <v>180</v>
      </c>
      <c r="S456" s="12">
        <f t="shared" si="466"/>
        <v>84</v>
      </c>
      <c r="T456" s="12">
        <f t="shared" si="466"/>
        <v>79</v>
      </c>
      <c r="U456" s="12">
        <f t="shared" si="466"/>
        <v>59</v>
      </c>
      <c r="V456" s="12">
        <f t="shared" si="466"/>
        <v>53</v>
      </c>
      <c r="X456" s="13">
        <f> 'Optimal Choice'!$B$5*'Optimal Choice'!$B$6^(R456+1)</f>
        <v>832767.4703</v>
      </c>
      <c r="Y456" s="13">
        <f> 'Optimal Choice'!$B$10*'Optimal Choice'!$B$11^(S456+1)</f>
        <v>8658998.82</v>
      </c>
      <c r="Z456" s="13">
        <f> 'Optimal Choice'!$B$15*'Optimal Choice'!$B$16^(T456+1)</f>
        <v>25687426.9</v>
      </c>
      <c r="AA456" s="13">
        <f> 'Optimal Choice'!$B$20*'Optimal Choice'!$B$21^(U456+1)</f>
        <v>13219662.01</v>
      </c>
      <c r="AB456" s="13">
        <f> 'Optimal Choice'!$B$25*'Optimal Choice'!$B$26^(V456+1)</f>
        <v>47148536.07</v>
      </c>
      <c r="AE456" s="12">
        <f t="shared" si="4"/>
        <v>60</v>
      </c>
      <c r="AF456" s="12">
        <f t="shared" si="5"/>
        <v>50</v>
      </c>
      <c r="AG456" s="12">
        <f t="shared" si="6"/>
        <v>32</v>
      </c>
      <c r="AH456" s="12">
        <f t="shared" si="7"/>
        <v>4</v>
      </c>
      <c r="AI456" s="12">
        <f t="shared" si="8"/>
        <v>3</v>
      </c>
      <c r="AL456" s="14">
        <f>R456*'Optimal Choice'!$B$4*AE456</f>
        <v>18036</v>
      </c>
      <c r="AM456" s="14">
        <f>S456*'Optimal Choice'!$B$9*AF456</f>
        <v>84000</v>
      </c>
      <c r="AN456" s="14">
        <f>T456*'Optimal Choice'!$B$14*AG456</f>
        <v>227520</v>
      </c>
      <c r="AO456" s="14">
        <f>U456*'Optimal Choice'!$B$19*AH456</f>
        <v>84960</v>
      </c>
      <c r="AP456" s="14">
        <f>V456*'Optimal Choice'!$B$24*AI456</f>
        <v>343440</v>
      </c>
      <c r="AS456" s="12">
        <f t="shared" si="9"/>
        <v>60</v>
      </c>
      <c r="AT456" s="12">
        <f t="shared" si="10"/>
        <v>50</v>
      </c>
      <c r="AU456" s="12">
        <f t="shared" si="11"/>
        <v>32</v>
      </c>
      <c r="AV456" s="12">
        <f t="shared" si="12"/>
        <v>4</v>
      </c>
      <c r="AW456" s="12">
        <f t="shared" si="13"/>
        <v>3</v>
      </c>
      <c r="AY456" s="11">
        <f t="shared" si="14"/>
        <v>0.9336494047</v>
      </c>
    </row>
    <row r="457" ht="15.75" customHeight="1">
      <c r="A457" s="15">
        <f t="shared" si="2"/>
        <v>33.42145312</v>
      </c>
      <c r="B457" s="7">
        <f>(sum(AL457:AP457))*'Optimal Choice'!$B$28</f>
        <v>764436</v>
      </c>
      <c r="C457" s="11"/>
      <c r="D457" s="12"/>
      <c r="E457" s="12"/>
      <c r="F457" s="11"/>
      <c r="G457" s="11"/>
      <c r="H457" s="11"/>
      <c r="I457" s="11"/>
      <c r="J457" s="11"/>
      <c r="K457" s="11">
        <f>(X457/$B457)+(X457/('Optimal Choice'!$B$4*AS457))</f>
        <v>8312.141986</v>
      </c>
      <c r="L457" s="11">
        <f>(Y457/$B457)+(Y457/('Optimal Choice'!$B$9*AT457))</f>
        <v>8670.326123</v>
      </c>
      <c r="M457" s="11">
        <f>(Z457/$B457)+(Z457/('Optimal Choice'!$B$14*AU457))</f>
        <v>8952.848562</v>
      </c>
      <c r="N457" s="11">
        <f>(AA457/$B457)+(AA457/('Optimal Choice'!$B$19*AV457))</f>
        <v>9197.614192</v>
      </c>
      <c r="O457" s="11">
        <f>(AB457/$B457)+(AB457/('Optimal Choice'!$B$24*AW457))</f>
        <v>8218.208542</v>
      </c>
      <c r="R457" s="12">
        <f t="shared" ref="R457:V457" si="467">if(min($K456:$O456)=K456,R456+1,R456)</f>
        <v>180</v>
      </c>
      <c r="S457" s="12">
        <f t="shared" si="467"/>
        <v>84</v>
      </c>
      <c r="T457" s="12">
        <f t="shared" si="467"/>
        <v>79</v>
      </c>
      <c r="U457" s="12">
        <f t="shared" si="467"/>
        <v>59</v>
      </c>
      <c r="V457" s="12">
        <f t="shared" si="467"/>
        <v>54</v>
      </c>
      <c r="X457" s="13">
        <f> 'Optimal Choice'!$B$5*'Optimal Choice'!$B$6^(R457+1)</f>
        <v>832767.4703</v>
      </c>
      <c r="Y457" s="13">
        <f> 'Optimal Choice'!$B$10*'Optimal Choice'!$B$11^(S457+1)</f>
        <v>8658998.82</v>
      </c>
      <c r="Z457" s="13">
        <f> 'Optimal Choice'!$B$15*'Optimal Choice'!$B$16^(T457+1)</f>
        <v>25687426.9</v>
      </c>
      <c r="AA457" s="13">
        <f> 'Optimal Choice'!$B$20*'Optimal Choice'!$B$21^(U457+1)</f>
        <v>13219662.01</v>
      </c>
      <c r="AB457" s="13">
        <f> 'Optimal Choice'!$B$25*'Optimal Choice'!$B$26^(V457+1)</f>
        <v>52806360.4</v>
      </c>
      <c r="AE457" s="12">
        <f t="shared" si="4"/>
        <v>60</v>
      </c>
      <c r="AF457" s="12">
        <f t="shared" si="5"/>
        <v>50</v>
      </c>
      <c r="AG457" s="12">
        <f t="shared" si="6"/>
        <v>32</v>
      </c>
      <c r="AH457" s="12">
        <f t="shared" si="7"/>
        <v>4</v>
      </c>
      <c r="AI457" s="12">
        <f t="shared" si="8"/>
        <v>3</v>
      </c>
      <c r="AL457" s="14">
        <f>R457*'Optimal Choice'!$B$4*AE457</f>
        <v>18036</v>
      </c>
      <c r="AM457" s="14">
        <f>S457*'Optimal Choice'!$B$9*AF457</f>
        <v>84000</v>
      </c>
      <c r="AN457" s="14">
        <f>T457*'Optimal Choice'!$B$14*AG457</f>
        <v>227520</v>
      </c>
      <c r="AO457" s="14">
        <f>U457*'Optimal Choice'!$B$19*AH457</f>
        <v>84960</v>
      </c>
      <c r="AP457" s="14">
        <f>V457*'Optimal Choice'!$B$24*AI457</f>
        <v>349920</v>
      </c>
      <c r="AS457" s="12">
        <f t="shared" si="9"/>
        <v>60</v>
      </c>
      <c r="AT457" s="12">
        <f t="shared" si="10"/>
        <v>50</v>
      </c>
      <c r="AU457" s="12">
        <f t="shared" si="11"/>
        <v>32</v>
      </c>
      <c r="AV457" s="12">
        <f t="shared" si="12"/>
        <v>4</v>
      </c>
      <c r="AW457" s="12">
        <f t="shared" si="13"/>
        <v>3</v>
      </c>
      <c r="AY457" s="11">
        <f t="shared" si="14"/>
        <v>1.036747429</v>
      </c>
    </row>
    <row r="458" ht="15.75" customHeight="1">
      <c r="A458" s="15">
        <f t="shared" si="2"/>
        <v>34.5727673</v>
      </c>
      <c r="B458" s="7">
        <f>(sum(AL458:AP458))*'Optimal Choice'!$B$28</f>
        <v>770916</v>
      </c>
      <c r="C458" s="11"/>
      <c r="D458" s="12"/>
      <c r="E458" s="12"/>
      <c r="F458" s="11"/>
      <c r="G458" s="11"/>
      <c r="H458" s="11"/>
      <c r="I458" s="11"/>
      <c r="J458" s="11"/>
      <c r="K458" s="11">
        <f>(X458/$B458)+(X458/('Optimal Choice'!$B$4*AS458))</f>
        <v>8312.132829</v>
      </c>
      <c r="L458" s="11">
        <f>(Y458/$B458)+(Y458/('Optimal Choice'!$B$9*AT458))</f>
        <v>8670.230911</v>
      </c>
      <c r="M458" s="11">
        <f>(Z458/$B458)+(Z458/('Optimal Choice'!$B$14*AU458))</f>
        <v>8952.566108</v>
      </c>
      <c r="N458" s="11">
        <f>(AA458/$B458)+(AA458/('Optimal Choice'!$B$19*AV458))</f>
        <v>9197.468831</v>
      </c>
      <c r="O458" s="11">
        <f>(AB458/$B458)+(AB458/('Optimal Choice'!$B$24*AW458))</f>
        <v>9203.743241</v>
      </c>
      <c r="R458" s="12">
        <f t="shared" ref="R458:V458" si="468">if(min($K457:$O457)=K457,R457+1,R457)</f>
        <v>180</v>
      </c>
      <c r="S458" s="12">
        <f t="shared" si="468"/>
        <v>84</v>
      </c>
      <c r="T458" s="12">
        <f t="shared" si="468"/>
        <v>79</v>
      </c>
      <c r="U458" s="12">
        <f t="shared" si="468"/>
        <v>59</v>
      </c>
      <c r="V458" s="12">
        <f t="shared" si="468"/>
        <v>55</v>
      </c>
      <c r="X458" s="13">
        <f> 'Optimal Choice'!$B$5*'Optimal Choice'!$B$6^(R458+1)</f>
        <v>832767.4703</v>
      </c>
      <c r="Y458" s="13">
        <f> 'Optimal Choice'!$B$10*'Optimal Choice'!$B$11^(S458+1)</f>
        <v>8658998.82</v>
      </c>
      <c r="Z458" s="13">
        <f> 'Optimal Choice'!$B$15*'Optimal Choice'!$B$16^(T458+1)</f>
        <v>25687426.9</v>
      </c>
      <c r="AA458" s="13">
        <f> 'Optimal Choice'!$B$20*'Optimal Choice'!$B$21^(U458+1)</f>
        <v>13219662.01</v>
      </c>
      <c r="AB458" s="13">
        <f> 'Optimal Choice'!$B$25*'Optimal Choice'!$B$26^(V458+1)</f>
        <v>59143123.64</v>
      </c>
      <c r="AE458" s="12">
        <f t="shared" si="4"/>
        <v>60</v>
      </c>
      <c r="AF458" s="12">
        <f t="shared" si="5"/>
        <v>50</v>
      </c>
      <c r="AG458" s="12">
        <f t="shared" si="6"/>
        <v>32</v>
      </c>
      <c r="AH458" s="12">
        <f t="shared" si="7"/>
        <v>4</v>
      </c>
      <c r="AI458" s="12">
        <f t="shared" si="8"/>
        <v>3</v>
      </c>
      <c r="AL458" s="14">
        <f>R458*'Optimal Choice'!$B$4*AE458</f>
        <v>18036</v>
      </c>
      <c r="AM458" s="14">
        <f>S458*'Optimal Choice'!$B$9*AF458</f>
        <v>84000</v>
      </c>
      <c r="AN458" s="14">
        <f>T458*'Optimal Choice'!$B$14*AG458</f>
        <v>227520</v>
      </c>
      <c r="AO458" s="14">
        <f>U458*'Optimal Choice'!$B$19*AH458</f>
        <v>84960</v>
      </c>
      <c r="AP458" s="14">
        <f>V458*'Optimal Choice'!$B$24*AI458</f>
        <v>356400</v>
      </c>
      <c r="AS458" s="12">
        <f t="shared" si="9"/>
        <v>60</v>
      </c>
      <c r="AT458" s="12">
        <f t="shared" si="10"/>
        <v>50</v>
      </c>
      <c r="AU458" s="12">
        <f t="shared" si="11"/>
        <v>32</v>
      </c>
      <c r="AV458" s="12">
        <f t="shared" si="12"/>
        <v>4</v>
      </c>
      <c r="AW458" s="12">
        <f t="shared" si="13"/>
        <v>3</v>
      </c>
      <c r="AY458" s="11">
        <f t="shared" si="14"/>
        <v>1.15131418</v>
      </c>
    </row>
    <row r="459" ht="15.75" customHeight="1">
      <c r="A459" s="15">
        <f t="shared" si="2"/>
        <v>34.59077116</v>
      </c>
      <c r="B459" s="7">
        <f>(sum(AL459:AP459))*'Optimal Choice'!$B$28</f>
        <v>771016.2</v>
      </c>
      <c r="C459" s="11"/>
      <c r="D459" s="12"/>
      <c r="E459" s="12"/>
      <c r="F459" s="11"/>
      <c r="G459" s="11"/>
      <c r="H459" s="11"/>
      <c r="I459" s="11"/>
      <c r="J459" s="11"/>
      <c r="K459" s="11">
        <f>(X459/$B459)+(X459/('Optimal Choice'!$B$4*AS459))</f>
        <v>8893.981977</v>
      </c>
      <c r="L459" s="11">
        <f>(Y459/$B459)+(Y459/('Optimal Choice'!$B$9*AT459))</f>
        <v>8670.229451</v>
      </c>
      <c r="M459" s="11">
        <f>(Z459/$B459)+(Z459/('Optimal Choice'!$B$14*AU459))</f>
        <v>8952.561778</v>
      </c>
      <c r="N459" s="11">
        <f>(AA459/$B459)+(AA459/('Optimal Choice'!$B$19*AV459))</f>
        <v>9197.466602</v>
      </c>
      <c r="O459" s="11">
        <f>(AB459/$B459)+(AB459/('Optimal Choice'!$B$24*AW459))</f>
        <v>9203.73327</v>
      </c>
      <c r="R459" s="12">
        <f t="shared" ref="R459:V459" si="469">if(min($K458:$O458)=K458,R458+1,R458)</f>
        <v>181</v>
      </c>
      <c r="S459" s="12">
        <f t="shared" si="469"/>
        <v>84</v>
      </c>
      <c r="T459" s="12">
        <f t="shared" si="469"/>
        <v>79</v>
      </c>
      <c r="U459" s="12">
        <f t="shared" si="469"/>
        <v>59</v>
      </c>
      <c r="V459" s="12">
        <f t="shared" si="469"/>
        <v>55</v>
      </c>
      <c r="X459" s="13">
        <f> 'Optimal Choice'!$B$5*'Optimal Choice'!$B$6^(R459+1)</f>
        <v>891061.1932</v>
      </c>
      <c r="Y459" s="13">
        <f> 'Optimal Choice'!$B$10*'Optimal Choice'!$B$11^(S459+1)</f>
        <v>8658998.82</v>
      </c>
      <c r="Z459" s="13">
        <f> 'Optimal Choice'!$B$15*'Optimal Choice'!$B$16^(T459+1)</f>
        <v>25687426.9</v>
      </c>
      <c r="AA459" s="13">
        <f> 'Optimal Choice'!$B$20*'Optimal Choice'!$B$21^(U459+1)</f>
        <v>13219662.01</v>
      </c>
      <c r="AB459" s="13">
        <f> 'Optimal Choice'!$B$25*'Optimal Choice'!$B$26^(V459+1)</f>
        <v>59143123.64</v>
      </c>
      <c r="AE459" s="12">
        <f t="shared" si="4"/>
        <v>60</v>
      </c>
      <c r="AF459" s="12">
        <f t="shared" si="5"/>
        <v>50</v>
      </c>
      <c r="AG459" s="12">
        <f t="shared" si="6"/>
        <v>32</v>
      </c>
      <c r="AH459" s="12">
        <f t="shared" si="7"/>
        <v>4</v>
      </c>
      <c r="AI459" s="12">
        <f t="shared" si="8"/>
        <v>3</v>
      </c>
      <c r="AL459" s="14">
        <f>R459*'Optimal Choice'!$B$4*AE459</f>
        <v>18136.2</v>
      </c>
      <c r="AM459" s="14">
        <f>S459*'Optimal Choice'!$B$9*AF459</f>
        <v>84000</v>
      </c>
      <c r="AN459" s="14">
        <f>T459*'Optimal Choice'!$B$14*AG459</f>
        <v>227520</v>
      </c>
      <c r="AO459" s="14">
        <f>U459*'Optimal Choice'!$B$19*AH459</f>
        <v>84960</v>
      </c>
      <c r="AP459" s="14">
        <f>V459*'Optimal Choice'!$B$24*AI459</f>
        <v>356400</v>
      </c>
      <c r="AS459" s="12">
        <f t="shared" si="9"/>
        <v>60</v>
      </c>
      <c r="AT459" s="12">
        <f t="shared" si="10"/>
        <v>50</v>
      </c>
      <c r="AU459" s="12">
        <f t="shared" si="11"/>
        <v>32</v>
      </c>
      <c r="AV459" s="12">
        <f t="shared" si="12"/>
        <v>4</v>
      </c>
      <c r="AW459" s="12">
        <f t="shared" si="13"/>
        <v>3</v>
      </c>
      <c r="AY459" s="11">
        <f t="shared" si="14"/>
        <v>0.01800385235</v>
      </c>
    </row>
    <row r="460" ht="15.75" customHeight="1">
      <c r="A460" s="15">
        <f t="shared" si="2"/>
        <v>34.77794835</v>
      </c>
      <c r="B460" s="7">
        <f>(sum(AL460:AP460))*'Optimal Choice'!$B$28</f>
        <v>772016.2</v>
      </c>
      <c r="C460" s="11"/>
      <c r="D460" s="12"/>
      <c r="E460" s="12"/>
      <c r="F460" s="11"/>
      <c r="G460" s="11"/>
      <c r="H460" s="11"/>
      <c r="I460" s="11"/>
      <c r="J460" s="11"/>
      <c r="K460" s="11">
        <f>(X460/$B460)+(X460/('Optimal Choice'!$B$4*AS460))</f>
        <v>8893.98048</v>
      </c>
      <c r="L460" s="11">
        <f>(Y460/$B460)+(Y460/('Optimal Choice'!$B$9*AT460))</f>
        <v>9970.74714</v>
      </c>
      <c r="M460" s="11">
        <f>(Z460/$B460)+(Z460/('Optimal Choice'!$B$14*AU460))</f>
        <v>8952.518623</v>
      </c>
      <c r="N460" s="11">
        <f>(AA460/$B460)+(AA460/('Optimal Choice'!$B$19*AV460))</f>
        <v>9197.444393</v>
      </c>
      <c r="O460" s="11">
        <f>(AB460/$B460)+(AB460/('Optimal Choice'!$B$24*AW460))</f>
        <v>9203.63391</v>
      </c>
      <c r="R460" s="12">
        <f t="shared" ref="R460:V460" si="470">if(min($K459:$O459)=K459,R459+1,R459)</f>
        <v>181</v>
      </c>
      <c r="S460" s="12">
        <f t="shared" si="470"/>
        <v>85</v>
      </c>
      <c r="T460" s="12">
        <f t="shared" si="470"/>
        <v>79</v>
      </c>
      <c r="U460" s="12">
        <f t="shared" si="470"/>
        <v>59</v>
      </c>
      <c r="V460" s="12">
        <f t="shared" si="470"/>
        <v>55</v>
      </c>
      <c r="X460" s="13">
        <f> 'Optimal Choice'!$B$5*'Optimal Choice'!$B$6^(R460+1)</f>
        <v>891061.1932</v>
      </c>
      <c r="Y460" s="13">
        <f> 'Optimal Choice'!$B$10*'Optimal Choice'!$B$11^(S460+1)</f>
        <v>9957848.643</v>
      </c>
      <c r="Z460" s="13">
        <f> 'Optimal Choice'!$B$15*'Optimal Choice'!$B$16^(T460+1)</f>
        <v>25687426.9</v>
      </c>
      <c r="AA460" s="13">
        <f> 'Optimal Choice'!$B$20*'Optimal Choice'!$B$21^(U460+1)</f>
        <v>13219662.01</v>
      </c>
      <c r="AB460" s="13">
        <f> 'Optimal Choice'!$B$25*'Optimal Choice'!$B$26^(V460+1)</f>
        <v>59143123.64</v>
      </c>
      <c r="AE460" s="12">
        <f t="shared" si="4"/>
        <v>60</v>
      </c>
      <c r="AF460" s="12">
        <f t="shared" si="5"/>
        <v>50</v>
      </c>
      <c r="AG460" s="12">
        <f t="shared" si="6"/>
        <v>32</v>
      </c>
      <c r="AH460" s="12">
        <f t="shared" si="7"/>
        <v>4</v>
      </c>
      <c r="AI460" s="12">
        <f t="shared" si="8"/>
        <v>3</v>
      </c>
      <c r="AL460" s="14">
        <f>R460*'Optimal Choice'!$B$4*AE460</f>
        <v>18136.2</v>
      </c>
      <c r="AM460" s="14">
        <f>S460*'Optimal Choice'!$B$9*AF460</f>
        <v>85000</v>
      </c>
      <c r="AN460" s="14">
        <f>T460*'Optimal Choice'!$B$14*AG460</f>
        <v>227520</v>
      </c>
      <c r="AO460" s="14">
        <f>U460*'Optimal Choice'!$B$19*AH460</f>
        <v>84960</v>
      </c>
      <c r="AP460" s="14">
        <f>V460*'Optimal Choice'!$B$24*AI460</f>
        <v>356400</v>
      </c>
      <c r="AS460" s="12">
        <f t="shared" si="9"/>
        <v>60</v>
      </c>
      <c r="AT460" s="12">
        <f t="shared" si="10"/>
        <v>50</v>
      </c>
      <c r="AU460" s="12">
        <f t="shared" si="11"/>
        <v>32</v>
      </c>
      <c r="AV460" s="12">
        <f t="shared" si="12"/>
        <v>4</v>
      </c>
      <c r="AW460" s="12">
        <f t="shared" si="13"/>
        <v>3</v>
      </c>
      <c r="AY460" s="11">
        <f t="shared" si="14"/>
        <v>0.1871771916</v>
      </c>
    </row>
    <row r="461" ht="15.75" customHeight="1">
      <c r="A461" s="15">
        <f t="shared" si="2"/>
        <v>34.79718502</v>
      </c>
      <c r="B461" s="7">
        <f>(sum(AL461:AP461))*'Optimal Choice'!$B$28</f>
        <v>772116.4</v>
      </c>
      <c r="C461" s="11"/>
      <c r="D461" s="12"/>
      <c r="E461" s="12"/>
      <c r="F461" s="11"/>
      <c r="G461" s="11"/>
      <c r="H461" s="11"/>
      <c r="I461" s="11"/>
      <c r="J461" s="11"/>
      <c r="K461" s="11">
        <f>(X461/$B461)+(X461/('Optimal Choice'!$B$4*AS461))</f>
        <v>9516.558953</v>
      </c>
      <c r="L461" s="11">
        <f>(Y461/$B461)+(Y461/('Optimal Choice'!$B$9*AT461))</f>
        <v>9970.745466</v>
      </c>
      <c r="M461" s="11">
        <f>(Z461/$B461)+(Z461/('Optimal Choice'!$B$14*AU461))</f>
        <v>8952.514305</v>
      </c>
      <c r="N461" s="11">
        <f>(AA461/$B461)+(AA461/('Optimal Choice'!$B$19*AV461))</f>
        <v>9197.442171</v>
      </c>
      <c r="O461" s="11">
        <f>(AB461/$B461)+(AB461/('Optimal Choice'!$B$24*AW461))</f>
        <v>9203.623968</v>
      </c>
      <c r="R461" s="12">
        <f t="shared" ref="R461:V461" si="471">if(min($K460:$O460)=K460,R460+1,R460)</f>
        <v>182</v>
      </c>
      <c r="S461" s="12">
        <f t="shared" si="471"/>
        <v>85</v>
      </c>
      <c r="T461" s="12">
        <f t="shared" si="471"/>
        <v>79</v>
      </c>
      <c r="U461" s="12">
        <f t="shared" si="471"/>
        <v>59</v>
      </c>
      <c r="V461" s="12">
        <f t="shared" si="471"/>
        <v>55</v>
      </c>
      <c r="X461" s="13">
        <f> 'Optimal Choice'!$B$5*'Optimal Choice'!$B$6^(R461+1)</f>
        <v>953435.4767</v>
      </c>
      <c r="Y461" s="13">
        <f> 'Optimal Choice'!$B$10*'Optimal Choice'!$B$11^(S461+1)</f>
        <v>9957848.643</v>
      </c>
      <c r="Z461" s="13">
        <f> 'Optimal Choice'!$B$15*'Optimal Choice'!$B$16^(T461+1)</f>
        <v>25687426.9</v>
      </c>
      <c r="AA461" s="13">
        <f> 'Optimal Choice'!$B$20*'Optimal Choice'!$B$21^(U461+1)</f>
        <v>13219662.01</v>
      </c>
      <c r="AB461" s="13">
        <f> 'Optimal Choice'!$B$25*'Optimal Choice'!$B$26^(V461+1)</f>
        <v>59143123.64</v>
      </c>
      <c r="AE461" s="12">
        <f t="shared" si="4"/>
        <v>60</v>
      </c>
      <c r="AF461" s="12">
        <f t="shared" si="5"/>
        <v>50</v>
      </c>
      <c r="AG461" s="12">
        <f t="shared" si="6"/>
        <v>32</v>
      </c>
      <c r="AH461" s="12">
        <f t="shared" si="7"/>
        <v>4</v>
      </c>
      <c r="AI461" s="12">
        <f t="shared" si="8"/>
        <v>3</v>
      </c>
      <c r="AL461" s="14">
        <f>R461*'Optimal Choice'!$B$4*AE461</f>
        <v>18236.4</v>
      </c>
      <c r="AM461" s="14">
        <f>S461*'Optimal Choice'!$B$9*AF461</f>
        <v>85000</v>
      </c>
      <c r="AN461" s="14">
        <f>T461*'Optimal Choice'!$B$14*AG461</f>
        <v>227520</v>
      </c>
      <c r="AO461" s="14">
        <f>U461*'Optimal Choice'!$B$19*AH461</f>
        <v>84960</v>
      </c>
      <c r="AP461" s="14">
        <f>V461*'Optimal Choice'!$B$24*AI461</f>
        <v>356400</v>
      </c>
      <c r="AS461" s="12">
        <f t="shared" si="9"/>
        <v>60</v>
      </c>
      <c r="AT461" s="12">
        <f t="shared" si="10"/>
        <v>50</v>
      </c>
      <c r="AU461" s="12">
        <f t="shared" si="11"/>
        <v>32</v>
      </c>
      <c r="AV461" s="12">
        <f t="shared" si="12"/>
        <v>4</v>
      </c>
      <c r="AW461" s="12">
        <f t="shared" si="13"/>
        <v>3</v>
      </c>
      <c r="AY461" s="11">
        <f t="shared" si="14"/>
        <v>0.01923666872</v>
      </c>
    </row>
    <row r="462" ht="15.75" customHeight="1">
      <c r="A462" s="15">
        <f t="shared" si="2"/>
        <v>35.3516659</v>
      </c>
      <c r="B462" s="7">
        <f>(sum(AL462:AP462))*'Optimal Choice'!$B$28</f>
        <v>774996.4</v>
      </c>
      <c r="C462" s="11"/>
      <c r="D462" s="12"/>
      <c r="E462" s="12"/>
      <c r="F462" s="11"/>
      <c r="G462" s="11"/>
      <c r="H462" s="11"/>
      <c r="I462" s="11"/>
      <c r="J462" s="11"/>
      <c r="K462" s="11">
        <f>(X462/$B462)+(X462/('Optimal Choice'!$B$4*AS462))</f>
        <v>9516.554364</v>
      </c>
      <c r="L462" s="11">
        <f>(Y462/$B462)+(Y462/('Optimal Choice'!$B$9*AT462))</f>
        <v>9970.697539</v>
      </c>
      <c r="M462" s="11">
        <f>(Z462/$B462)+(Z462/('Optimal Choice'!$B$14*AU462))</f>
        <v>10205.72537</v>
      </c>
      <c r="N462" s="11">
        <f>(AA462/$B462)+(AA462/('Optimal Choice'!$B$19*AV462))</f>
        <v>9197.378546</v>
      </c>
      <c r="O462" s="11">
        <f>(AB462/$B462)+(AB462/('Optimal Choice'!$B$24*AW462))</f>
        <v>9203.339316</v>
      </c>
      <c r="R462" s="12">
        <f t="shared" ref="R462:V462" si="472">if(min($K461:$O461)=K461,R461+1,R461)</f>
        <v>182</v>
      </c>
      <c r="S462" s="12">
        <f t="shared" si="472"/>
        <v>85</v>
      </c>
      <c r="T462" s="12">
        <f t="shared" si="472"/>
        <v>80</v>
      </c>
      <c r="U462" s="12">
        <f t="shared" si="472"/>
        <v>59</v>
      </c>
      <c r="V462" s="12">
        <f t="shared" si="472"/>
        <v>55</v>
      </c>
      <c r="X462" s="13">
        <f> 'Optimal Choice'!$B$5*'Optimal Choice'!$B$6^(R462+1)</f>
        <v>953435.4767</v>
      </c>
      <c r="Y462" s="13">
        <f> 'Optimal Choice'!$B$10*'Optimal Choice'!$B$11^(S462+1)</f>
        <v>9957848.643</v>
      </c>
      <c r="Z462" s="13">
        <f> 'Optimal Choice'!$B$15*'Optimal Choice'!$B$16^(T462+1)</f>
        <v>29283666.67</v>
      </c>
      <c r="AA462" s="13">
        <f> 'Optimal Choice'!$B$20*'Optimal Choice'!$B$21^(U462+1)</f>
        <v>13219662.01</v>
      </c>
      <c r="AB462" s="13">
        <f> 'Optimal Choice'!$B$25*'Optimal Choice'!$B$26^(V462+1)</f>
        <v>59143123.64</v>
      </c>
      <c r="AE462" s="12">
        <f t="shared" si="4"/>
        <v>60</v>
      </c>
      <c r="AF462" s="12">
        <f t="shared" si="5"/>
        <v>50</v>
      </c>
      <c r="AG462" s="12">
        <f t="shared" si="6"/>
        <v>32</v>
      </c>
      <c r="AH462" s="12">
        <f t="shared" si="7"/>
        <v>4</v>
      </c>
      <c r="AI462" s="12">
        <f t="shared" si="8"/>
        <v>3</v>
      </c>
      <c r="AL462" s="14">
        <f>R462*'Optimal Choice'!$B$4*AE462</f>
        <v>18236.4</v>
      </c>
      <c r="AM462" s="14">
        <f>S462*'Optimal Choice'!$B$9*AF462</f>
        <v>85000</v>
      </c>
      <c r="AN462" s="14">
        <f>T462*'Optimal Choice'!$B$14*AG462</f>
        <v>230400</v>
      </c>
      <c r="AO462" s="14">
        <f>U462*'Optimal Choice'!$B$19*AH462</f>
        <v>84960</v>
      </c>
      <c r="AP462" s="14">
        <f>V462*'Optimal Choice'!$B$24*AI462</f>
        <v>356400</v>
      </c>
      <c r="AS462" s="12">
        <f t="shared" si="9"/>
        <v>60</v>
      </c>
      <c r="AT462" s="12">
        <f t="shared" si="10"/>
        <v>50</v>
      </c>
      <c r="AU462" s="12">
        <f t="shared" si="11"/>
        <v>32</v>
      </c>
      <c r="AV462" s="12">
        <f t="shared" si="12"/>
        <v>4</v>
      </c>
      <c r="AW462" s="12">
        <f t="shared" si="13"/>
        <v>3</v>
      </c>
      <c r="AY462" s="11">
        <f t="shared" si="14"/>
        <v>0.554480881</v>
      </c>
    </row>
    <row r="463" ht="15.75" customHeight="1">
      <c r="A463" s="15">
        <f t="shared" si="2"/>
        <v>35.63596103</v>
      </c>
      <c r="B463" s="7">
        <f>(sum(AL463:AP463))*'Optimal Choice'!$B$28</f>
        <v>776436.4</v>
      </c>
      <c r="C463" s="11"/>
      <c r="D463" s="12"/>
      <c r="E463" s="12"/>
      <c r="F463" s="11"/>
      <c r="G463" s="11"/>
      <c r="H463" s="11"/>
      <c r="I463" s="11"/>
      <c r="J463" s="11"/>
      <c r="K463" s="11">
        <f>(X463/$B463)+(X463/('Optimal Choice'!$B$4*AS463))</f>
        <v>9516.552083</v>
      </c>
      <c r="L463" s="11">
        <f>(Y463/$B463)+(Y463/('Optimal Choice'!$B$9*AT463))</f>
        <v>9970.673709</v>
      </c>
      <c r="M463" s="11">
        <f>(Z463/$B463)+(Z463/('Optimal Choice'!$B$14*AU463))</f>
        <v>10205.65529</v>
      </c>
      <c r="N463" s="11">
        <f>(AA463/$B463)+(AA463/('Optimal Choice'!$B$19*AV463))</f>
        <v>10393.00201</v>
      </c>
      <c r="O463" s="11">
        <f>(AB463/$B463)+(AB463/('Optimal Choice'!$B$24*AW463))</f>
        <v>9203.197782</v>
      </c>
      <c r="R463" s="12">
        <f t="shared" ref="R463:V463" si="473">if(min($K462:$O462)=K462,R462+1,R462)</f>
        <v>182</v>
      </c>
      <c r="S463" s="12">
        <f t="shared" si="473"/>
        <v>85</v>
      </c>
      <c r="T463" s="12">
        <f t="shared" si="473"/>
        <v>80</v>
      </c>
      <c r="U463" s="12">
        <f t="shared" si="473"/>
        <v>60</v>
      </c>
      <c r="V463" s="12">
        <f t="shared" si="473"/>
        <v>55</v>
      </c>
      <c r="X463" s="13">
        <f> 'Optimal Choice'!$B$5*'Optimal Choice'!$B$6^(R463+1)</f>
        <v>953435.4767</v>
      </c>
      <c r="Y463" s="13">
        <f> 'Optimal Choice'!$B$10*'Optimal Choice'!$B$11^(S463+1)</f>
        <v>9957848.643</v>
      </c>
      <c r="Z463" s="13">
        <f> 'Optimal Choice'!$B$15*'Optimal Choice'!$B$16^(T463+1)</f>
        <v>29283666.67</v>
      </c>
      <c r="AA463" s="13">
        <f> 'Optimal Choice'!$B$20*'Optimal Choice'!$B$21^(U463+1)</f>
        <v>14938218.07</v>
      </c>
      <c r="AB463" s="13">
        <f> 'Optimal Choice'!$B$25*'Optimal Choice'!$B$26^(V463+1)</f>
        <v>59143123.64</v>
      </c>
      <c r="AE463" s="12">
        <f t="shared" si="4"/>
        <v>60</v>
      </c>
      <c r="AF463" s="12">
        <f t="shared" si="5"/>
        <v>50</v>
      </c>
      <c r="AG463" s="12">
        <f t="shared" si="6"/>
        <v>32</v>
      </c>
      <c r="AH463" s="12">
        <f t="shared" si="7"/>
        <v>4</v>
      </c>
      <c r="AI463" s="12">
        <f t="shared" si="8"/>
        <v>3</v>
      </c>
      <c r="AL463" s="14">
        <f>R463*'Optimal Choice'!$B$4*AE463</f>
        <v>18236.4</v>
      </c>
      <c r="AM463" s="14">
        <f>S463*'Optimal Choice'!$B$9*AF463</f>
        <v>85000</v>
      </c>
      <c r="AN463" s="14">
        <f>T463*'Optimal Choice'!$B$14*AG463</f>
        <v>230400</v>
      </c>
      <c r="AO463" s="14">
        <f>U463*'Optimal Choice'!$B$19*AH463</f>
        <v>86400</v>
      </c>
      <c r="AP463" s="14">
        <f>V463*'Optimal Choice'!$B$24*AI463</f>
        <v>356400</v>
      </c>
      <c r="AS463" s="12">
        <f t="shared" si="9"/>
        <v>60</v>
      </c>
      <c r="AT463" s="12">
        <f t="shared" si="10"/>
        <v>50</v>
      </c>
      <c r="AU463" s="12">
        <f t="shared" si="11"/>
        <v>32</v>
      </c>
      <c r="AV463" s="12">
        <f t="shared" si="12"/>
        <v>4</v>
      </c>
      <c r="AW463" s="12">
        <f t="shared" si="13"/>
        <v>3</v>
      </c>
      <c r="AY463" s="11">
        <f t="shared" si="14"/>
        <v>0.2842951272</v>
      </c>
    </row>
    <row r="464" ht="15.75" customHeight="1">
      <c r="A464" s="15">
        <f t="shared" si="2"/>
        <v>36.90550316</v>
      </c>
      <c r="B464" s="7">
        <f>(sum(AL464:AP464))*'Optimal Choice'!$B$28</f>
        <v>782916.4</v>
      </c>
      <c r="C464" s="11"/>
      <c r="D464" s="12"/>
      <c r="E464" s="12"/>
      <c r="F464" s="11"/>
      <c r="G464" s="11"/>
      <c r="H464" s="11"/>
      <c r="I464" s="11"/>
      <c r="J464" s="11"/>
      <c r="K464" s="11">
        <f>(X464/$B464)+(X464/('Optimal Choice'!$B$4*AS464))</f>
        <v>9516.541919</v>
      </c>
      <c r="L464" s="11">
        <f>(Y464/$B464)+(Y464/('Optimal Choice'!$B$9*AT464))</f>
        <v>9970.567559</v>
      </c>
      <c r="M464" s="11">
        <f>(Z464/$B464)+(Z464/('Optimal Choice'!$B$14*AU464))</f>
        <v>10205.34313</v>
      </c>
      <c r="N464" s="11">
        <f>(AA464/$B464)+(AA464/('Optimal Choice'!$B$19*AV464))</f>
        <v>10392.84277</v>
      </c>
      <c r="O464" s="11">
        <f>(AB464/$B464)+(AB464/('Optimal Choice'!$B$24*AW464))</f>
        <v>10306.8754</v>
      </c>
      <c r="R464" s="12">
        <f t="shared" ref="R464:V464" si="474">if(min($K463:$O463)=K463,R463+1,R463)</f>
        <v>182</v>
      </c>
      <c r="S464" s="12">
        <f t="shared" si="474"/>
        <v>85</v>
      </c>
      <c r="T464" s="12">
        <f t="shared" si="474"/>
        <v>80</v>
      </c>
      <c r="U464" s="12">
        <f t="shared" si="474"/>
        <v>60</v>
      </c>
      <c r="V464" s="12">
        <f t="shared" si="474"/>
        <v>56</v>
      </c>
      <c r="X464" s="13">
        <f> 'Optimal Choice'!$B$5*'Optimal Choice'!$B$6^(R464+1)</f>
        <v>953435.4767</v>
      </c>
      <c r="Y464" s="13">
        <f> 'Optimal Choice'!$B$10*'Optimal Choice'!$B$11^(S464+1)</f>
        <v>9957848.643</v>
      </c>
      <c r="Z464" s="13">
        <f> 'Optimal Choice'!$B$15*'Optimal Choice'!$B$16^(T464+1)</f>
        <v>29283666.67</v>
      </c>
      <c r="AA464" s="13">
        <f> 'Optimal Choice'!$B$20*'Optimal Choice'!$B$21^(U464+1)</f>
        <v>14938218.07</v>
      </c>
      <c r="AB464" s="13">
        <f> 'Optimal Choice'!$B$25*'Optimal Choice'!$B$26^(V464+1)</f>
        <v>66240298.48</v>
      </c>
      <c r="AE464" s="12">
        <f t="shared" si="4"/>
        <v>60</v>
      </c>
      <c r="AF464" s="12">
        <f t="shared" si="5"/>
        <v>50</v>
      </c>
      <c r="AG464" s="12">
        <f t="shared" si="6"/>
        <v>32</v>
      </c>
      <c r="AH464" s="12">
        <f t="shared" si="7"/>
        <v>4</v>
      </c>
      <c r="AI464" s="12">
        <f t="shared" si="8"/>
        <v>3</v>
      </c>
      <c r="AL464" s="14">
        <f>R464*'Optimal Choice'!$B$4*AE464</f>
        <v>18236.4</v>
      </c>
      <c r="AM464" s="14">
        <f>S464*'Optimal Choice'!$B$9*AF464</f>
        <v>85000</v>
      </c>
      <c r="AN464" s="14">
        <f>T464*'Optimal Choice'!$B$14*AG464</f>
        <v>230400</v>
      </c>
      <c r="AO464" s="14">
        <f>U464*'Optimal Choice'!$B$19*AH464</f>
        <v>86400</v>
      </c>
      <c r="AP464" s="14">
        <f>V464*'Optimal Choice'!$B$24*AI464</f>
        <v>362880</v>
      </c>
      <c r="AS464" s="12">
        <f t="shared" si="9"/>
        <v>60</v>
      </c>
      <c r="AT464" s="12">
        <f t="shared" si="10"/>
        <v>50</v>
      </c>
      <c r="AU464" s="12">
        <f t="shared" si="11"/>
        <v>32</v>
      </c>
      <c r="AV464" s="12">
        <f t="shared" si="12"/>
        <v>4</v>
      </c>
      <c r="AW464" s="12">
        <f t="shared" si="13"/>
        <v>3</v>
      </c>
      <c r="AY464" s="11">
        <f t="shared" si="14"/>
        <v>1.269542138</v>
      </c>
    </row>
    <row r="465" ht="15.75" customHeight="1">
      <c r="A465" s="15">
        <f t="shared" si="2"/>
        <v>36.92579983</v>
      </c>
      <c r="B465" s="7">
        <f>(sum(AL465:AP465))*'Optimal Choice'!$B$28</f>
        <v>783016.6</v>
      </c>
      <c r="C465" s="11"/>
      <c r="D465" s="12"/>
      <c r="E465" s="12"/>
      <c r="F465" s="11"/>
      <c r="G465" s="11"/>
      <c r="H465" s="11"/>
      <c r="I465" s="11"/>
      <c r="J465" s="11"/>
      <c r="K465" s="11">
        <f>(X465/$B465)+(X465/('Optimal Choice'!$B$4*AS465))</f>
        <v>10182.69969</v>
      </c>
      <c r="L465" s="11">
        <f>(Y465/$B465)+(Y465/('Optimal Choice'!$B$9*AT465))</f>
        <v>9970.565932</v>
      </c>
      <c r="M465" s="11">
        <f>(Z465/$B465)+(Z465/('Optimal Choice'!$B$14*AU465))</f>
        <v>10205.33834</v>
      </c>
      <c r="N465" s="11">
        <f>(AA465/$B465)+(AA465/('Optimal Choice'!$B$19*AV465))</f>
        <v>10392.84033</v>
      </c>
      <c r="O465" s="11">
        <f>(AB465/$B465)+(AB465/('Optimal Choice'!$B$24*AW465))</f>
        <v>10306.86457</v>
      </c>
      <c r="R465" s="12">
        <f t="shared" ref="R465:V465" si="475">if(min($K464:$O464)=K464,R464+1,R464)</f>
        <v>183</v>
      </c>
      <c r="S465" s="12">
        <f t="shared" si="475"/>
        <v>85</v>
      </c>
      <c r="T465" s="12">
        <f t="shared" si="475"/>
        <v>80</v>
      </c>
      <c r="U465" s="12">
        <f t="shared" si="475"/>
        <v>60</v>
      </c>
      <c r="V465" s="12">
        <f t="shared" si="475"/>
        <v>56</v>
      </c>
      <c r="X465" s="13">
        <f> 'Optimal Choice'!$B$5*'Optimal Choice'!$B$6^(R465+1)</f>
        <v>1020175.96</v>
      </c>
      <c r="Y465" s="13">
        <f> 'Optimal Choice'!$B$10*'Optimal Choice'!$B$11^(S465+1)</f>
        <v>9957848.643</v>
      </c>
      <c r="Z465" s="13">
        <f> 'Optimal Choice'!$B$15*'Optimal Choice'!$B$16^(T465+1)</f>
        <v>29283666.67</v>
      </c>
      <c r="AA465" s="13">
        <f> 'Optimal Choice'!$B$20*'Optimal Choice'!$B$21^(U465+1)</f>
        <v>14938218.07</v>
      </c>
      <c r="AB465" s="13">
        <f> 'Optimal Choice'!$B$25*'Optimal Choice'!$B$26^(V465+1)</f>
        <v>66240298.48</v>
      </c>
      <c r="AE465" s="12">
        <f t="shared" si="4"/>
        <v>60</v>
      </c>
      <c r="AF465" s="12">
        <f t="shared" si="5"/>
        <v>50</v>
      </c>
      <c r="AG465" s="12">
        <f t="shared" si="6"/>
        <v>32</v>
      </c>
      <c r="AH465" s="12">
        <f t="shared" si="7"/>
        <v>4</v>
      </c>
      <c r="AI465" s="12">
        <f t="shared" si="8"/>
        <v>3</v>
      </c>
      <c r="AL465" s="14">
        <f>R465*'Optimal Choice'!$B$4*AE465</f>
        <v>18336.6</v>
      </c>
      <c r="AM465" s="14">
        <f>S465*'Optimal Choice'!$B$9*AF465</f>
        <v>85000</v>
      </c>
      <c r="AN465" s="14">
        <f>T465*'Optimal Choice'!$B$14*AG465</f>
        <v>230400</v>
      </c>
      <c r="AO465" s="14">
        <f>U465*'Optimal Choice'!$B$19*AH465</f>
        <v>86400</v>
      </c>
      <c r="AP465" s="14">
        <f>V465*'Optimal Choice'!$B$24*AI465</f>
        <v>362880</v>
      </c>
      <c r="AS465" s="12">
        <f t="shared" si="9"/>
        <v>60</v>
      </c>
      <c r="AT465" s="12">
        <f t="shared" si="10"/>
        <v>50</v>
      </c>
      <c r="AU465" s="12">
        <f t="shared" si="11"/>
        <v>32</v>
      </c>
      <c r="AV465" s="12">
        <f t="shared" si="12"/>
        <v>4</v>
      </c>
      <c r="AW465" s="12">
        <f t="shared" si="13"/>
        <v>3</v>
      </c>
      <c r="AY465" s="11">
        <f t="shared" si="14"/>
        <v>0.02029666421</v>
      </c>
    </row>
    <row r="466" ht="15.75" customHeight="1">
      <c r="A466" s="15">
        <f t="shared" si="2"/>
        <v>37.13775465</v>
      </c>
      <c r="B466" s="7">
        <f>(sum(AL466:AP466))*'Optimal Choice'!$B$28</f>
        <v>784016.6</v>
      </c>
      <c r="C466" s="11"/>
      <c r="D466" s="12"/>
      <c r="E466" s="12"/>
      <c r="F466" s="11"/>
      <c r="G466" s="11"/>
      <c r="H466" s="11"/>
      <c r="I466" s="11"/>
      <c r="J466" s="11"/>
      <c r="K466" s="11">
        <f>(X466/$B466)+(X466/('Optimal Choice'!$B$4*AS466))</f>
        <v>10182.69802</v>
      </c>
      <c r="L466" s="11">
        <f>(Y466/$B466)+(Y466/('Optimal Choice'!$B$9*AT466))</f>
        <v>11466.13217</v>
      </c>
      <c r="M466" s="11">
        <f>(Z466/$B466)+(Z466/('Optimal Choice'!$B$14*AU466))</f>
        <v>10205.29064</v>
      </c>
      <c r="N466" s="11">
        <f>(AA466/$B466)+(AA466/('Optimal Choice'!$B$19*AV466))</f>
        <v>10392.81599</v>
      </c>
      <c r="O466" s="11">
        <f>(AB466/$B466)+(AB466/('Optimal Choice'!$B$24*AW466))</f>
        <v>10306.75667</v>
      </c>
      <c r="R466" s="12">
        <f t="shared" ref="R466:V466" si="476">if(min($K465:$O465)=K465,R465+1,R465)</f>
        <v>183</v>
      </c>
      <c r="S466" s="12">
        <f t="shared" si="476"/>
        <v>86</v>
      </c>
      <c r="T466" s="12">
        <f t="shared" si="476"/>
        <v>80</v>
      </c>
      <c r="U466" s="12">
        <f t="shared" si="476"/>
        <v>60</v>
      </c>
      <c r="V466" s="12">
        <f t="shared" si="476"/>
        <v>56</v>
      </c>
      <c r="X466" s="13">
        <f> 'Optimal Choice'!$B$5*'Optimal Choice'!$B$6^(R466+1)</f>
        <v>1020175.96</v>
      </c>
      <c r="Y466" s="13">
        <f> 'Optimal Choice'!$B$10*'Optimal Choice'!$B$11^(S466+1)</f>
        <v>11451525.94</v>
      </c>
      <c r="Z466" s="13">
        <f> 'Optimal Choice'!$B$15*'Optimal Choice'!$B$16^(T466+1)</f>
        <v>29283666.67</v>
      </c>
      <c r="AA466" s="13">
        <f> 'Optimal Choice'!$B$20*'Optimal Choice'!$B$21^(U466+1)</f>
        <v>14938218.07</v>
      </c>
      <c r="AB466" s="13">
        <f> 'Optimal Choice'!$B$25*'Optimal Choice'!$B$26^(V466+1)</f>
        <v>66240298.48</v>
      </c>
      <c r="AE466" s="12">
        <f t="shared" si="4"/>
        <v>60</v>
      </c>
      <c r="AF466" s="12">
        <f t="shared" si="5"/>
        <v>50</v>
      </c>
      <c r="AG466" s="12">
        <f t="shared" si="6"/>
        <v>32</v>
      </c>
      <c r="AH466" s="12">
        <f t="shared" si="7"/>
        <v>4</v>
      </c>
      <c r="AI466" s="12">
        <f t="shared" si="8"/>
        <v>3</v>
      </c>
      <c r="AL466" s="14">
        <f>R466*'Optimal Choice'!$B$4*AE466</f>
        <v>18336.6</v>
      </c>
      <c r="AM466" s="14">
        <f>S466*'Optimal Choice'!$B$9*AF466</f>
        <v>86000</v>
      </c>
      <c r="AN466" s="14">
        <f>T466*'Optimal Choice'!$B$14*AG466</f>
        <v>230400</v>
      </c>
      <c r="AO466" s="14">
        <f>U466*'Optimal Choice'!$B$19*AH466</f>
        <v>86400</v>
      </c>
      <c r="AP466" s="14">
        <f>V466*'Optimal Choice'!$B$24*AI466</f>
        <v>362880</v>
      </c>
      <c r="AS466" s="12">
        <f t="shared" si="9"/>
        <v>60</v>
      </c>
      <c r="AT466" s="12">
        <f t="shared" si="10"/>
        <v>50</v>
      </c>
      <c r="AU466" s="12">
        <f t="shared" si="11"/>
        <v>32</v>
      </c>
      <c r="AV466" s="12">
        <f t="shared" si="12"/>
        <v>4</v>
      </c>
      <c r="AW466" s="12">
        <f t="shared" si="13"/>
        <v>3</v>
      </c>
      <c r="AY466" s="11">
        <f t="shared" si="14"/>
        <v>0.211954822</v>
      </c>
    </row>
    <row r="467" ht="15.75" customHeight="1">
      <c r="A467" s="15">
        <f t="shared" si="2"/>
        <v>37.1594416</v>
      </c>
      <c r="B467" s="7">
        <f>(sum(AL467:AP467))*'Optimal Choice'!$B$28</f>
        <v>784116.8</v>
      </c>
      <c r="C467" s="11"/>
      <c r="D467" s="12"/>
      <c r="E467" s="12"/>
      <c r="F467" s="11"/>
      <c r="G467" s="11"/>
      <c r="H467" s="11"/>
      <c r="I467" s="11"/>
      <c r="J467" s="11"/>
      <c r="K467" s="11">
        <f>(X467/$B467)+(X467/('Optimal Choice'!$B$4*AS467))</f>
        <v>10895.48671</v>
      </c>
      <c r="L467" s="11">
        <f>(Y467/$B467)+(Y467/('Optimal Choice'!$B$9*AT467))</f>
        <v>11466.1303</v>
      </c>
      <c r="M467" s="11">
        <f>(Z467/$B467)+(Z467/('Optimal Choice'!$B$14*AU467))</f>
        <v>10205.28587</v>
      </c>
      <c r="N467" s="11">
        <f>(AA467/$B467)+(AA467/('Optimal Choice'!$B$19*AV467))</f>
        <v>10392.81356</v>
      </c>
      <c r="O467" s="11">
        <f>(AB467/$B467)+(AB467/('Optimal Choice'!$B$24*AW467))</f>
        <v>10306.74588</v>
      </c>
      <c r="R467" s="12">
        <f t="shared" ref="R467:V467" si="477">if(min($K466:$O466)=K466,R466+1,R466)</f>
        <v>184</v>
      </c>
      <c r="S467" s="12">
        <f t="shared" si="477"/>
        <v>86</v>
      </c>
      <c r="T467" s="12">
        <f t="shared" si="477"/>
        <v>80</v>
      </c>
      <c r="U467" s="12">
        <f t="shared" si="477"/>
        <v>60</v>
      </c>
      <c r="V467" s="12">
        <f t="shared" si="477"/>
        <v>56</v>
      </c>
      <c r="X467" s="13">
        <f> 'Optimal Choice'!$B$5*'Optimal Choice'!$B$6^(R467+1)</f>
        <v>1091588.277</v>
      </c>
      <c r="Y467" s="13">
        <f> 'Optimal Choice'!$B$10*'Optimal Choice'!$B$11^(S467+1)</f>
        <v>11451525.94</v>
      </c>
      <c r="Z467" s="13">
        <f> 'Optimal Choice'!$B$15*'Optimal Choice'!$B$16^(T467+1)</f>
        <v>29283666.67</v>
      </c>
      <c r="AA467" s="13">
        <f> 'Optimal Choice'!$B$20*'Optimal Choice'!$B$21^(U467+1)</f>
        <v>14938218.07</v>
      </c>
      <c r="AB467" s="13">
        <f> 'Optimal Choice'!$B$25*'Optimal Choice'!$B$26^(V467+1)</f>
        <v>66240298.48</v>
      </c>
      <c r="AE467" s="12">
        <f t="shared" si="4"/>
        <v>60</v>
      </c>
      <c r="AF467" s="12">
        <f t="shared" si="5"/>
        <v>50</v>
      </c>
      <c r="AG467" s="12">
        <f t="shared" si="6"/>
        <v>32</v>
      </c>
      <c r="AH467" s="12">
        <f t="shared" si="7"/>
        <v>4</v>
      </c>
      <c r="AI467" s="12">
        <f t="shared" si="8"/>
        <v>3</v>
      </c>
      <c r="AL467" s="14">
        <f>R467*'Optimal Choice'!$B$4*AE467</f>
        <v>18436.8</v>
      </c>
      <c r="AM467" s="14">
        <f>S467*'Optimal Choice'!$B$9*AF467</f>
        <v>86000</v>
      </c>
      <c r="AN467" s="14">
        <f>T467*'Optimal Choice'!$B$14*AG467</f>
        <v>230400</v>
      </c>
      <c r="AO467" s="14">
        <f>U467*'Optimal Choice'!$B$19*AH467</f>
        <v>86400</v>
      </c>
      <c r="AP467" s="14">
        <f>V467*'Optimal Choice'!$B$24*AI467</f>
        <v>362880</v>
      </c>
      <c r="AS467" s="12">
        <f t="shared" si="9"/>
        <v>60</v>
      </c>
      <c r="AT467" s="12">
        <f t="shared" si="10"/>
        <v>50</v>
      </c>
      <c r="AU467" s="12">
        <f t="shared" si="11"/>
        <v>32</v>
      </c>
      <c r="AV467" s="12">
        <f t="shared" si="12"/>
        <v>4</v>
      </c>
      <c r="AW467" s="12">
        <f t="shared" si="13"/>
        <v>3</v>
      </c>
      <c r="AY467" s="11">
        <f t="shared" si="14"/>
        <v>0.02168695493</v>
      </c>
    </row>
    <row r="468" ht="15.75" customHeight="1">
      <c r="A468" s="15">
        <f t="shared" si="2"/>
        <v>37.7818758</v>
      </c>
      <c r="B468" s="7">
        <f>(sum(AL468:AP468))*'Optimal Choice'!$B$28</f>
        <v>786996.8</v>
      </c>
      <c r="C468" s="11"/>
      <c r="D468" s="12"/>
      <c r="E468" s="12"/>
      <c r="F468" s="11"/>
      <c r="G468" s="11"/>
      <c r="H468" s="11"/>
      <c r="I468" s="11"/>
      <c r="J468" s="11"/>
      <c r="K468" s="11">
        <f>(X468/$B468)+(X468/('Optimal Choice'!$B$4*AS468))</f>
        <v>10895.48161</v>
      </c>
      <c r="L468" s="11">
        <f>(Y468/$B468)+(Y468/('Optimal Choice'!$B$9*AT468))</f>
        <v>11466.07686</v>
      </c>
      <c r="M468" s="11">
        <f>(Z468/$B468)+(Z468/('Optimal Choice'!$B$14*AU468))</f>
        <v>11633.87009</v>
      </c>
      <c r="N468" s="11">
        <f>(AA468/$B468)+(AA468/('Optimal Choice'!$B$19*AV468))</f>
        <v>10392.74384</v>
      </c>
      <c r="O468" s="11">
        <f>(AB468/$B468)+(AB468/('Optimal Choice'!$B$24*AW468))</f>
        <v>10306.43673</v>
      </c>
      <c r="R468" s="12">
        <f t="shared" ref="R468:V468" si="478">if(min($K467:$O467)=K467,R467+1,R467)</f>
        <v>184</v>
      </c>
      <c r="S468" s="12">
        <f t="shared" si="478"/>
        <v>86</v>
      </c>
      <c r="T468" s="12">
        <f t="shared" si="478"/>
        <v>81</v>
      </c>
      <c r="U468" s="12">
        <f t="shared" si="478"/>
        <v>60</v>
      </c>
      <c r="V468" s="12">
        <f t="shared" si="478"/>
        <v>56</v>
      </c>
      <c r="X468" s="13">
        <f> 'Optimal Choice'!$B$5*'Optimal Choice'!$B$6^(R468+1)</f>
        <v>1091588.277</v>
      </c>
      <c r="Y468" s="13">
        <f> 'Optimal Choice'!$B$10*'Optimal Choice'!$B$11^(S468+1)</f>
        <v>11451525.94</v>
      </c>
      <c r="Z468" s="13">
        <f> 'Optimal Choice'!$B$15*'Optimal Choice'!$B$16^(T468+1)</f>
        <v>33383380</v>
      </c>
      <c r="AA468" s="13">
        <f> 'Optimal Choice'!$B$20*'Optimal Choice'!$B$21^(U468+1)</f>
        <v>14938218.07</v>
      </c>
      <c r="AB468" s="13">
        <f> 'Optimal Choice'!$B$25*'Optimal Choice'!$B$26^(V468+1)</f>
        <v>66240298.48</v>
      </c>
      <c r="AE468" s="12">
        <f t="shared" si="4"/>
        <v>60</v>
      </c>
      <c r="AF468" s="12">
        <f t="shared" si="5"/>
        <v>50</v>
      </c>
      <c r="AG468" s="12">
        <f t="shared" si="6"/>
        <v>32</v>
      </c>
      <c r="AH468" s="12">
        <f t="shared" si="7"/>
        <v>4</v>
      </c>
      <c r="AI468" s="12">
        <f t="shared" si="8"/>
        <v>3</v>
      </c>
      <c r="AL468" s="14">
        <f>R468*'Optimal Choice'!$B$4*AE468</f>
        <v>18436.8</v>
      </c>
      <c r="AM468" s="14">
        <f>S468*'Optimal Choice'!$B$9*AF468</f>
        <v>86000</v>
      </c>
      <c r="AN468" s="14">
        <f>T468*'Optimal Choice'!$B$14*AG468</f>
        <v>233280</v>
      </c>
      <c r="AO468" s="14">
        <f>U468*'Optimal Choice'!$B$19*AH468</f>
        <v>86400</v>
      </c>
      <c r="AP468" s="14">
        <f>V468*'Optimal Choice'!$B$24*AI468</f>
        <v>362880</v>
      </c>
      <c r="AS468" s="12">
        <f t="shared" si="9"/>
        <v>60</v>
      </c>
      <c r="AT468" s="12">
        <f t="shared" si="10"/>
        <v>50</v>
      </c>
      <c r="AU468" s="12">
        <f t="shared" si="11"/>
        <v>32</v>
      </c>
      <c r="AV468" s="12">
        <f t="shared" si="12"/>
        <v>4</v>
      </c>
      <c r="AW468" s="12">
        <f t="shared" si="13"/>
        <v>3</v>
      </c>
      <c r="AY468" s="11">
        <f t="shared" si="14"/>
        <v>0.6224341975</v>
      </c>
    </row>
    <row r="469" ht="15.75" customHeight="1">
      <c r="A469" s="15">
        <f t="shared" si="2"/>
        <v>39.18468325</v>
      </c>
      <c r="B469" s="7">
        <f>(sum(AL469:AP469))*'Optimal Choice'!$B$28</f>
        <v>793476.8</v>
      </c>
      <c r="C469" s="11"/>
      <c r="D469" s="12"/>
      <c r="E469" s="12"/>
      <c r="F469" s="11"/>
      <c r="G469" s="11"/>
      <c r="H469" s="11"/>
      <c r="I469" s="11"/>
      <c r="J469" s="11"/>
      <c r="K469" s="11">
        <f>(X469/$B469)+(X469/('Optimal Choice'!$B$4*AS469))</f>
        <v>10895.47029</v>
      </c>
      <c r="L469" s="11">
        <f>(Y469/$B469)+(Y469/('Optimal Choice'!$B$9*AT469))</f>
        <v>11465.95803</v>
      </c>
      <c r="M469" s="11">
        <f>(Z469/$B469)+(Z469/('Optimal Choice'!$B$14*AU469))</f>
        <v>11633.52367</v>
      </c>
      <c r="N469" s="11">
        <f>(AA469/$B469)+(AA469/('Optimal Choice'!$B$19*AV469))</f>
        <v>10392.58883</v>
      </c>
      <c r="O469" s="11">
        <f>(AB469/$B469)+(AB469/('Optimal Choice'!$B$24*AW469))</f>
        <v>11542.43929</v>
      </c>
      <c r="R469" s="12">
        <f t="shared" ref="R469:V469" si="479">if(min($K468:$O468)=K468,R468+1,R468)</f>
        <v>184</v>
      </c>
      <c r="S469" s="12">
        <f t="shared" si="479"/>
        <v>86</v>
      </c>
      <c r="T469" s="12">
        <f t="shared" si="479"/>
        <v>81</v>
      </c>
      <c r="U469" s="12">
        <f t="shared" si="479"/>
        <v>60</v>
      </c>
      <c r="V469" s="12">
        <f t="shared" si="479"/>
        <v>57</v>
      </c>
      <c r="X469" s="13">
        <f> 'Optimal Choice'!$B$5*'Optimal Choice'!$B$6^(R469+1)</f>
        <v>1091588.277</v>
      </c>
      <c r="Y469" s="13">
        <f> 'Optimal Choice'!$B$10*'Optimal Choice'!$B$11^(S469+1)</f>
        <v>11451525.94</v>
      </c>
      <c r="Z469" s="13">
        <f> 'Optimal Choice'!$B$15*'Optimal Choice'!$B$16^(T469+1)</f>
        <v>33383380</v>
      </c>
      <c r="AA469" s="13">
        <f> 'Optimal Choice'!$B$20*'Optimal Choice'!$B$21^(U469+1)</f>
        <v>14938218.07</v>
      </c>
      <c r="AB469" s="13">
        <f> 'Optimal Choice'!$B$25*'Optimal Choice'!$B$26^(V469+1)</f>
        <v>74189134.3</v>
      </c>
      <c r="AE469" s="12">
        <f t="shared" si="4"/>
        <v>60</v>
      </c>
      <c r="AF469" s="12">
        <f t="shared" si="5"/>
        <v>50</v>
      </c>
      <c r="AG469" s="12">
        <f t="shared" si="6"/>
        <v>32</v>
      </c>
      <c r="AH469" s="12">
        <f t="shared" si="7"/>
        <v>4</v>
      </c>
      <c r="AI469" s="12">
        <f t="shared" si="8"/>
        <v>3</v>
      </c>
      <c r="AL469" s="14">
        <f>R469*'Optimal Choice'!$B$4*AE469</f>
        <v>18436.8</v>
      </c>
      <c r="AM469" s="14">
        <f>S469*'Optimal Choice'!$B$9*AF469</f>
        <v>86000</v>
      </c>
      <c r="AN469" s="14">
        <f>T469*'Optimal Choice'!$B$14*AG469</f>
        <v>233280</v>
      </c>
      <c r="AO469" s="14">
        <f>U469*'Optimal Choice'!$B$19*AH469</f>
        <v>86400</v>
      </c>
      <c r="AP469" s="14">
        <f>V469*'Optimal Choice'!$B$24*AI469</f>
        <v>369360</v>
      </c>
      <c r="AS469" s="12">
        <f t="shared" si="9"/>
        <v>60</v>
      </c>
      <c r="AT469" s="12">
        <f t="shared" si="10"/>
        <v>50</v>
      </c>
      <c r="AU469" s="12">
        <f t="shared" si="11"/>
        <v>32</v>
      </c>
      <c r="AV469" s="12">
        <f t="shared" si="12"/>
        <v>4</v>
      </c>
      <c r="AW469" s="12">
        <f t="shared" si="13"/>
        <v>3</v>
      </c>
      <c r="AY469" s="11">
        <f t="shared" si="14"/>
        <v>1.402807451</v>
      </c>
    </row>
    <row r="470" ht="15.75" customHeight="1">
      <c r="A470" s="15">
        <f t="shared" si="2"/>
        <v>39.49845462</v>
      </c>
      <c r="B470" s="7">
        <f>(sum(AL470:AP470))*'Optimal Choice'!$B$28</f>
        <v>794916.8</v>
      </c>
      <c r="C470" s="11"/>
      <c r="D470" s="12"/>
      <c r="E470" s="12"/>
      <c r="F470" s="11"/>
      <c r="G470" s="11"/>
      <c r="H470" s="11"/>
      <c r="I470" s="11"/>
      <c r="J470" s="11"/>
      <c r="K470" s="11">
        <f>(X470/$B470)+(X470/('Optimal Choice'!$B$4*AS470))</f>
        <v>10895.46779</v>
      </c>
      <c r="L470" s="11">
        <f>(Y470/$B470)+(Y470/('Optimal Choice'!$B$9*AT470))</f>
        <v>11465.93188</v>
      </c>
      <c r="M470" s="11">
        <f>(Z470/$B470)+(Z470/('Optimal Choice'!$B$14*AU470))</f>
        <v>11633.44746</v>
      </c>
      <c r="N470" s="11">
        <f>(AA470/$B470)+(AA470/('Optimal Choice'!$B$19*AV470))</f>
        <v>11743.58684</v>
      </c>
      <c r="O470" s="11">
        <f>(AB470/$B470)+(AB470/('Optimal Choice'!$B$24*AW470))</f>
        <v>11542.26991</v>
      </c>
      <c r="R470" s="12">
        <f t="shared" ref="R470:V470" si="480">if(min($K469:$O469)=K469,R469+1,R469)</f>
        <v>184</v>
      </c>
      <c r="S470" s="12">
        <f t="shared" si="480"/>
        <v>86</v>
      </c>
      <c r="T470" s="12">
        <f t="shared" si="480"/>
        <v>81</v>
      </c>
      <c r="U470" s="12">
        <f t="shared" si="480"/>
        <v>61</v>
      </c>
      <c r="V470" s="12">
        <f t="shared" si="480"/>
        <v>57</v>
      </c>
      <c r="X470" s="13">
        <f> 'Optimal Choice'!$B$5*'Optimal Choice'!$B$6^(R470+1)</f>
        <v>1091588.277</v>
      </c>
      <c r="Y470" s="13">
        <f> 'Optimal Choice'!$B$10*'Optimal Choice'!$B$11^(S470+1)</f>
        <v>11451525.94</v>
      </c>
      <c r="Z470" s="13">
        <f> 'Optimal Choice'!$B$15*'Optimal Choice'!$B$16^(T470+1)</f>
        <v>33383380</v>
      </c>
      <c r="AA470" s="13">
        <f> 'Optimal Choice'!$B$20*'Optimal Choice'!$B$21^(U470+1)</f>
        <v>16880186.42</v>
      </c>
      <c r="AB470" s="13">
        <f> 'Optimal Choice'!$B$25*'Optimal Choice'!$B$26^(V470+1)</f>
        <v>74189134.3</v>
      </c>
      <c r="AE470" s="12">
        <f t="shared" si="4"/>
        <v>60</v>
      </c>
      <c r="AF470" s="12">
        <f t="shared" si="5"/>
        <v>50</v>
      </c>
      <c r="AG470" s="12">
        <f t="shared" si="6"/>
        <v>32</v>
      </c>
      <c r="AH470" s="12">
        <f t="shared" si="7"/>
        <v>4</v>
      </c>
      <c r="AI470" s="12">
        <f t="shared" si="8"/>
        <v>3</v>
      </c>
      <c r="AL470" s="14">
        <f>R470*'Optimal Choice'!$B$4*AE470</f>
        <v>18436.8</v>
      </c>
      <c r="AM470" s="14">
        <f>S470*'Optimal Choice'!$B$9*AF470</f>
        <v>86000</v>
      </c>
      <c r="AN470" s="14">
        <f>T470*'Optimal Choice'!$B$14*AG470</f>
        <v>233280</v>
      </c>
      <c r="AO470" s="14">
        <f>U470*'Optimal Choice'!$B$19*AH470</f>
        <v>87840</v>
      </c>
      <c r="AP470" s="14">
        <f>V470*'Optimal Choice'!$B$24*AI470</f>
        <v>369360</v>
      </c>
      <c r="AS470" s="12">
        <f t="shared" si="9"/>
        <v>60</v>
      </c>
      <c r="AT470" s="12">
        <f t="shared" si="10"/>
        <v>50</v>
      </c>
      <c r="AU470" s="12">
        <f t="shared" si="11"/>
        <v>32</v>
      </c>
      <c r="AV470" s="12">
        <f t="shared" si="12"/>
        <v>4</v>
      </c>
      <c r="AW470" s="12">
        <f t="shared" si="13"/>
        <v>3</v>
      </c>
      <c r="AY470" s="11">
        <f t="shared" si="14"/>
        <v>0.3137713681</v>
      </c>
    </row>
    <row r="471" ht="15.75" customHeight="1">
      <c r="A471" s="15">
        <f t="shared" si="2"/>
        <v>39.52134147</v>
      </c>
      <c r="B471" s="7">
        <f>(sum(AL471:AP471))*'Optimal Choice'!$B$28</f>
        <v>795017</v>
      </c>
      <c r="C471" s="11"/>
      <c r="D471" s="12"/>
      <c r="E471" s="12"/>
      <c r="F471" s="11"/>
      <c r="G471" s="11"/>
      <c r="H471" s="11"/>
      <c r="I471" s="11"/>
      <c r="J471" s="11"/>
      <c r="K471" s="11">
        <f>(X471/$B471)+(X471/('Optimal Choice'!$B$4*AS471))</f>
        <v>11658.15036</v>
      </c>
      <c r="L471" s="11">
        <f>(Y471/$B471)+(Y471/('Optimal Choice'!$B$9*AT471))</f>
        <v>11465.93007</v>
      </c>
      <c r="M471" s="11">
        <f>(Z471/$B471)+(Z471/('Optimal Choice'!$B$14*AU471))</f>
        <v>11633.44216</v>
      </c>
      <c r="N471" s="11">
        <f>(AA471/$B471)+(AA471/('Optimal Choice'!$B$19*AV471))</f>
        <v>11743.58416</v>
      </c>
      <c r="O471" s="11">
        <f>(AB471/$B471)+(AB471/('Optimal Choice'!$B$24*AW471))</f>
        <v>11542.25815</v>
      </c>
      <c r="R471" s="12">
        <f t="shared" ref="R471:V471" si="481">if(min($K470:$O470)=K470,R470+1,R470)</f>
        <v>185</v>
      </c>
      <c r="S471" s="12">
        <f t="shared" si="481"/>
        <v>86</v>
      </c>
      <c r="T471" s="12">
        <f t="shared" si="481"/>
        <v>81</v>
      </c>
      <c r="U471" s="12">
        <f t="shared" si="481"/>
        <v>61</v>
      </c>
      <c r="V471" s="12">
        <f t="shared" si="481"/>
        <v>57</v>
      </c>
      <c r="X471" s="13">
        <f> 'Optimal Choice'!$B$5*'Optimal Choice'!$B$6^(R471+1)</f>
        <v>1167999.457</v>
      </c>
      <c r="Y471" s="13">
        <f> 'Optimal Choice'!$B$10*'Optimal Choice'!$B$11^(S471+1)</f>
        <v>11451525.94</v>
      </c>
      <c r="Z471" s="13">
        <f> 'Optimal Choice'!$B$15*'Optimal Choice'!$B$16^(T471+1)</f>
        <v>33383380</v>
      </c>
      <c r="AA471" s="13">
        <f> 'Optimal Choice'!$B$20*'Optimal Choice'!$B$21^(U471+1)</f>
        <v>16880186.42</v>
      </c>
      <c r="AB471" s="13">
        <f> 'Optimal Choice'!$B$25*'Optimal Choice'!$B$26^(V471+1)</f>
        <v>74189134.3</v>
      </c>
      <c r="AE471" s="12">
        <f t="shared" si="4"/>
        <v>60</v>
      </c>
      <c r="AF471" s="12">
        <f t="shared" si="5"/>
        <v>50</v>
      </c>
      <c r="AG471" s="12">
        <f t="shared" si="6"/>
        <v>32</v>
      </c>
      <c r="AH471" s="12">
        <f t="shared" si="7"/>
        <v>4</v>
      </c>
      <c r="AI471" s="12">
        <f t="shared" si="8"/>
        <v>3</v>
      </c>
      <c r="AL471" s="14">
        <f>R471*'Optimal Choice'!$B$4*AE471</f>
        <v>18537</v>
      </c>
      <c r="AM471" s="14">
        <f>S471*'Optimal Choice'!$B$9*AF471</f>
        <v>86000</v>
      </c>
      <c r="AN471" s="14">
        <f>T471*'Optimal Choice'!$B$14*AG471</f>
        <v>233280</v>
      </c>
      <c r="AO471" s="14">
        <f>U471*'Optimal Choice'!$B$19*AH471</f>
        <v>87840</v>
      </c>
      <c r="AP471" s="14">
        <f>V471*'Optimal Choice'!$B$24*AI471</f>
        <v>369360</v>
      </c>
      <c r="AS471" s="12">
        <f t="shared" si="9"/>
        <v>60</v>
      </c>
      <c r="AT471" s="12">
        <f t="shared" si="10"/>
        <v>50</v>
      </c>
      <c r="AU471" s="12">
        <f t="shared" si="11"/>
        <v>32</v>
      </c>
      <c r="AV471" s="12">
        <f t="shared" si="12"/>
        <v>4</v>
      </c>
      <c r="AW471" s="12">
        <f t="shared" si="13"/>
        <v>3</v>
      </c>
      <c r="AY471" s="11">
        <f t="shared" si="14"/>
        <v>0.02288684546</v>
      </c>
    </row>
    <row r="472" ht="15.75" customHeight="1">
      <c r="A472" s="15">
        <f t="shared" si="2"/>
        <v>39.76141025</v>
      </c>
      <c r="B472" s="7">
        <f>(sum(AL472:AP472))*'Optimal Choice'!$B$28</f>
        <v>796017</v>
      </c>
      <c r="C472" s="11"/>
      <c r="D472" s="12"/>
      <c r="E472" s="12"/>
      <c r="F472" s="11"/>
      <c r="G472" s="11"/>
      <c r="H472" s="11"/>
      <c r="I472" s="11"/>
      <c r="J472" s="11"/>
      <c r="K472" s="11">
        <f>(X472/$B472)+(X472/('Optimal Choice'!$B$4*AS472))</f>
        <v>11658.14851</v>
      </c>
      <c r="L472" s="11">
        <f>(Y472/$B472)+(Y472/('Optimal Choice'!$B$9*AT472))</f>
        <v>13185.79877</v>
      </c>
      <c r="M472" s="11">
        <f>(Z472/$B472)+(Z472/('Optimal Choice'!$B$14*AU472))</f>
        <v>11633.38941</v>
      </c>
      <c r="N472" s="11">
        <f>(AA472/$B472)+(AA472/('Optimal Choice'!$B$19*AV472))</f>
        <v>11743.55749</v>
      </c>
      <c r="O472" s="11">
        <f>(AB472/$B472)+(AB472/('Optimal Choice'!$B$24*AW472))</f>
        <v>11542.14092</v>
      </c>
      <c r="R472" s="12">
        <f t="shared" ref="R472:V472" si="482">if(min($K471:$O471)=K471,R471+1,R471)</f>
        <v>185</v>
      </c>
      <c r="S472" s="12">
        <f t="shared" si="482"/>
        <v>87</v>
      </c>
      <c r="T472" s="12">
        <f t="shared" si="482"/>
        <v>81</v>
      </c>
      <c r="U472" s="12">
        <f t="shared" si="482"/>
        <v>61</v>
      </c>
      <c r="V472" s="12">
        <f t="shared" si="482"/>
        <v>57</v>
      </c>
      <c r="X472" s="13">
        <f> 'Optimal Choice'!$B$5*'Optimal Choice'!$B$6^(R472+1)</f>
        <v>1167999.457</v>
      </c>
      <c r="Y472" s="13">
        <f> 'Optimal Choice'!$B$10*'Optimal Choice'!$B$11^(S472+1)</f>
        <v>13169254.83</v>
      </c>
      <c r="Z472" s="13">
        <f> 'Optimal Choice'!$B$15*'Optimal Choice'!$B$16^(T472+1)</f>
        <v>33383380</v>
      </c>
      <c r="AA472" s="13">
        <f> 'Optimal Choice'!$B$20*'Optimal Choice'!$B$21^(U472+1)</f>
        <v>16880186.42</v>
      </c>
      <c r="AB472" s="13">
        <f> 'Optimal Choice'!$B$25*'Optimal Choice'!$B$26^(V472+1)</f>
        <v>74189134.3</v>
      </c>
      <c r="AE472" s="12">
        <f t="shared" si="4"/>
        <v>60</v>
      </c>
      <c r="AF472" s="12">
        <f t="shared" si="5"/>
        <v>50</v>
      </c>
      <c r="AG472" s="12">
        <f t="shared" si="6"/>
        <v>32</v>
      </c>
      <c r="AH472" s="12">
        <f t="shared" si="7"/>
        <v>4</v>
      </c>
      <c r="AI472" s="12">
        <f t="shared" si="8"/>
        <v>3</v>
      </c>
      <c r="AL472" s="14">
        <f>R472*'Optimal Choice'!$B$4*AE472</f>
        <v>18537</v>
      </c>
      <c r="AM472" s="14">
        <f>S472*'Optimal Choice'!$B$9*AF472</f>
        <v>87000</v>
      </c>
      <c r="AN472" s="14">
        <f>T472*'Optimal Choice'!$B$14*AG472</f>
        <v>233280</v>
      </c>
      <c r="AO472" s="14">
        <f>U472*'Optimal Choice'!$B$19*AH472</f>
        <v>87840</v>
      </c>
      <c r="AP472" s="14">
        <f>V472*'Optimal Choice'!$B$24*AI472</f>
        <v>369360</v>
      </c>
      <c r="AS472" s="12">
        <f t="shared" si="9"/>
        <v>60</v>
      </c>
      <c r="AT472" s="12">
        <f t="shared" si="10"/>
        <v>50</v>
      </c>
      <c r="AU472" s="12">
        <f t="shared" si="11"/>
        <v>32</v>
      </c>
      <c r="AV472" s="12">
        <f t="shared" si="12"/>
        <v>4</v>
      </c>
      <c r="AW472" s="12">
        <f t="shared" si="13"/>
        <v>3</v>
      </c>
      <c r="AY472" s="11">
        <f t="shared" si="14"/>
        <v>0.2400687855</v>
      </c>
    </row>
    <row r="473" ht="15.75" customHeight="1">
      <c r="A473" s="15">
        <f t="shared" si="2"/>
        <v>41.31475091</v>
      </c>
      <c r="B473" s="7">
        <f>(sum(AL473:AP473))*'Optimal Choice'!$B$28</f>
        <v>802497</v>
      </c>
      <c r="C473" s="11"/>
      <c r="D473" s="12"/>
      <c r="E473" s="12"/>
      <c r="F473" s="11"/>
      <c r="G473" s="11"/>
      <c r="H473" s="11"/>
      <c r="I473" s="11"/>
      <c r="J473" s="11"/>
      <c r="K473" s="11">
        <f>(X473/$B473)+(X473/('Optimal Choice'!$B$4*AS473))</f>
        <v>11658.13666</v>
      </c>
      <c r="L473" s="11">
        <f>(Y473/$B473)+(Y473/('Optimal Choice'!$B$9*AT473))</f>
        <v>13185.66518</v>
      </c>
      <c r="M473" s="11">
        <f>(Z473/$B473)+(Z473/('Optimal Choice'!$B$14*AU473))</f>
        <v>11633.05077</v>
      </c>
      <c r="N473" s="11">
        <f>(AA473/$B473)+(AA473/('Optimal Choice'!$B$19*AV473))</f>
        <v>11743.38626</v>
      </c>
      <c r="O473" s="11">
        <f>(AB473/$B473)+(AB473/('Optimal Choice'!$B$24*AW473))</f>
        <v>12926.35494</v>
      </c>
      <c r="R473" s="12">
        <f t="shared" ref="R473:V473" si="483">if(min($K472:$O472)=K472,R472+1,R472)</f>
        <v>185</v>
      </c>
      <c r="S473" s="12">
        <f t="shared" si="483"/>
        <v>87</v>
      </c>
      <c r="T473" s="12">
        <f t="shared" si="483"/>
        <v>81</v>
      </c>
      <c r="U473" s="12">
        <f t="shared" si="483"/>
        <v>61</v>
      </c>
      <c r="V473" s="12">
        <f t="shared" si="483"/>
        <v>58</v>
      </c>
      <c r="X473" s="13">
        <f> 'Optimal Choice'!$B$5*'Optimal Choice'!$B$6^(R473+1)</f>
        <v>1167999.457</v>
      </c>
      <c r="Y473" s="13">
        <f> 'Optimal Choice'!$B$10*'Optimal Choice'!$B$11^(S473+1)</f>
        <v>13169254.83</v>
      </c>
      <c r="Z473" s="13">
        <f> 'Optimal Choice'!$B$15*'Optimal Choice'!$B$16^(T473+1)</f>
        <v>33383380</v>
      </c>
      <c r="AA473" s="13">
        <f> 'Optimal Choice'!$B$20*'Optimal Choice'!$B$21^(U473+1)</f>
        <v>16880186.42</v>
      </c>
      <c r="AB473" s="13">
        <f> 'Optimal Choice'!$B$25*'Optimal Choice'!$B$26^(V473+1)</f>
        <v>83091830.41</v>
      </c>
      <c r="AE473" s="12">
        <f t="shared" si="4"/>
        <v>60</v>
      </c>
      <c r="AF473" s="12">
        <f t="shared" si="5"/>
        <v>50</v>
      </c>
      <c r="AG473" s="12">
        <f t="shared" si="6"/>
        <v>32</v>
      </c>
      <c r="AH473" s="12">
        <f t="shared" si="7"/>
        <v>4</v>
      </c>
      <c r="AI473" s="12">
        <f t="shared" si="8"/>
        <v>3</v>
      </c>
      <c r="AL473" s="14">
        <f>R473*'Optimal Choice'!$B$4*AE473</f>
        <v>18537</v>
      </c>
      <c r="AM473" s="14">
        <f>S473*'Optimal Choice'!$B$9*AF473</f>
        <v>87000</v>
      </c>
      <c r="AN473" s="14">
        <f>T473*'Optimal Choice'!$B$14*AG473</f>
        <v>233280</v>
      </c>
      <c r="AO473" s="14">
        <f>U473*'Optimal Choice'!$B$19*AH473</f>
        <v>87840</v>
      </c>
      <c r="AP473" s="14">
        <f>V473*'Optimal Choice'!$B$24*AI473</f>
        <v>375840</v>
      </c>
      <c r="AS473" s="12">
        <f t="shared" si="9"/>
        <v>60</v>
      </c>
      <c r="AT473" s="12">
        <f t="shared" si="10"/>
        <v>50</v>
      </c>
      <c r="AU473" s="12">
        <f t="shared" si="11"/>
        <v>32</v>
      </c>
      <c r="AV473" s="12">
        <f t="shared" si="12"/>
        <v>4</v>
      </c>
      <c r="AW473" s="12">
        <f t="shared" si="13"/>
        <v>3</v>
      </c>
      <c r="AY473" s="11">
        <f t="shared" si="14"/>
        <v>1.553340659</v>
      </c>
    </row>
    <row r="474" ht="15.75" customHeight="1">
      <c r="A474" s="15">
        <f t="shared" si="2"/>
        <v>42.00807396</v>
      </c>
      <c r="B474" s="7">
        <f>(sum(AL474:AP474))*'Optimal Choice'!$B$28</f>
        <v>805377</v>
      </c>
      <c r="C474" s="11"/>
      <c r="D474" s="12"/>
      <c r="E474" s="12"/>
      <c r="F474" s="11"/>
      <c r="G474" s="11"/>
      <c r="H474" s="11"/>
      <c r="I474" s="11"/>
      <c r="J474" s="11"/>
      <c r="K474" s="11">
        <f>(X474/$B474)+(X474/('Optimal Choice'!$B$4*AS474))</f>
        <v>11658.13146</v>
      </c>
      <c r="L474" s="11">
        <f>(Y474/$B474)+(Y474/('Optimal Choice'!$B$9*AT474))</f>
        <v>13185.60649</v>
      </c>
      <c r="M474" s="11">
        <f>(Z474/$B474)+(Z474/('Optimal Choice'!$B$14*AU474))</f>
        <v>13261.5083</v>
      </c>
      <c r="N474" s="11">
        <f>(AA474/$B474)+(AA474/('Optimal Choice'!$B$19*AV474))</f>
        <v>11743.31104</v>
      </c>
      <c r="O474" s="11">
        <f>(AB474/$B474)+(AB474/('Optimal Choice'!$B$24*AW474))</f>
        <v>12925.98468</v>
      </c>
      <c r="R474" s="12">
        <f t="shared" ref="R474:V474" si="484">if(min($K473:$O473)=K473,R473+1,R473)</f>
        <v>185</v>
      </c>
      <c r="S474" s="12">
        <f t="shared" si="484"/>
        <v>87</v>
      </c>
      <c r="T474" s="12">
        <f t="shared" si="484"/>
        <v>82</v>
      </c>
      <c r="U474" s="12">
        <f t="shared" si="484"/>
        <v>61</v>
      </c>
      <c r="V474" s="12">
        <f t="shared" si="484"/>
        <v>58</v>
      </c>
      <c r="X474" s="13">
        <f> 'Optimal Choice'!$B$5*'Optimal Choice'!$B$6^(R474+1)</f>
        <v>1167999.457</v>
      </c>
      <c r="Y474" s="13">
        <f> 'Optimal Choice'!$B$10*'Optimal Choice'!$B$11^(S474+1)</f>
        <v>13169254.83</v>
      </c>
      <c r="Z474" s="13">
        <f> 'Optimal Choice'!$B$15*'Optimal Choice'!$B$16^(T474+1)</f>
        <v>38057053.2</v>
      </c>
      <c r="AA474" s="13">
        <f> 'Optimal Choice'!$B$20*'Optimal Choice'!$B$21^(U474+1)</f>
        <v>16880186.42</v>
      </c>
      <c r="AB474" s="13">
        <f> 'Optimal Choice'!$B$25*'Optimal Choice'!$B$26^(V474+1)</f>
        <v>83091830.41</v>
      </c>
      <c r="AE474" s="12">
        <f t="shared" si="4"/>
        <v>60</v>
      </c>
      <c r="AF474" s="12">
        <f t="shared" si="5"/>
        <v>50</v>
      </c>
      <c r="AG474" s="12">
        <f t="shared" si="6"/>
        <v>32</v>
      </c>
      <c r="AH474" s="12">
        <f t="shared" si="7"/>
        <v>4</v>
      </c>
      <c r="AI474" s="12">
        <f t="shared" si="8"/>
        <v>3</v>
      </c>
      <c r="AL474" s="14">
        <f>R474*'Optimal Choice'!$B$4*AE474</f>
        <v>18537</v>
      </c>
      <c r="AM474" s="14">
        <f>S474*'Optimal Choice'!$B$9*AF474</f>
        <v>87000</v>
      </c>
      <c r="AN474" s="14">
        <f>T474*'Optimal Choice'!$B$14*AG474</f>
        <v>236160</v>
      </c>
      <c r="AO474" s="14">
        <f>U474*'Optimal Choice'!$B$19*AH474</f>
        <v>87840</v>
      </c>
      <c r="AP474" s="14">
        <f>V474*'Optimal Choice'!$B$24*AI474</f>
        <v>375840</v>
      </c>
      <c r="AS474" s="12">
        <f t="shared" si="9"/>
        <v>60</v>
      </c>
      <c r="AT474" s="12">
        <f t="shared" si="10"/>
        <v>50</v>
      </c>
      <c r="AU474" s="12">
        <f t="shared" si="11"/>
        <v>32</v>
      </c>
      <c r="AV474" s="12">
        <f t="shared" si="12"/>
        <v>4</v>
      </c>
      <c r="AW474" s="12">
        <f t="shared" si="13"/>
        <v>3</v>
      </c>
      <c r="AY474" s="11">
        <f t="shared" si="14"/>
        <v>0.6933230488</v>
      </c>
    </row>
    <row r="475" ht="15.75" customHeight="1">
      <c r="A475" s="15">
        <f t="shared" si="2"/>
        <v>42.03224482</v>
      </c>
      <c r="B475" s="7">
        <f>(sum(AL475:AP475))*'Optimal Choice'!$B$28</f>
        <v>805477.2</v>
      </c>
      <c r="C475" s="11"/>
      <c r="D475" s="12"/>
      <c r="E475" s="12"/>
      <c r="F475" s="11"/>
      <c r="G475" s="11"/>
      <c r="H475" s="11"/>
      <c r="I475" s="11"/>
      <c r="J475" s="11"/>
      <c r="K475" s="11">
        <f>(X475/$B475)+(X475/('Optimal Choice'!$B$4*AS475))</f>
        <v>12474.20047</v>
      </c>
      <c r="L475" s="11">
        <f>(Y475/$B475)+(Y475/('Optimal Choice'!$B$9*AT475))</f>
        <v>13185.60446</v>
      </c>
      <c r="M475" s="11">
        <f>(Z475/$B475)+(Z475/('Optimal Choice'!$B$14*AU475))</f>
        <v>13261.50242</v>
      </c>
      <c r="N475" s="11">
        <f>(AA475/$B475)+(AA475/('Optimal Choice'!$B$19*AV475))</f>
        <v>11743.30843</v>
      </c>
      <c r="O475" s="11">
        <f>(AB475/$B475)+(AB475/('Optimal Choice'!$B$24*AW475))</f>
        <v>12925.97185</v>
      </c>
      <c r="R475" s="12">
        <f t="shared" ref="R475:V475" si="485">if(min($K474:$O474)=K474,R474+1,R474)</f>
        <v>186</v>
      </c>
      <c r="S475" s="12">
        <f t="shared" si="485"/>
        <v>87</v>
      </c>
      <c r="T475" s="12">
        <f t="shared" si="485"/>
        <v>82</v>
      </c>
      <c r="U475" s="12">
        <f t="shared" si="485"/>
        <v>61</v>
      </c>
      <c r="V475" s="12">
        <f t="shared" si="485"/>
        <v>58</v>
      </c>
      <c r="X475" s="13">
        <f> 'Optimal Choice'!$B$5*'Optimal Choice'!$B$6^(R475+1)</f>
        <v>1249759.419</v>
      </c>
      <c r="Y475" s="13">
        <f> 'Optimal Choice'!$B$10*'Optimal Choice'!$B$11^(S475+1)</f>
        <v>13169254.83</v>
      </c>
      <c r="Z475" s="13">
        <f> 'Optimal Choice'!$B$15*'Optimal Choice'!$B$16^(T475+1)</f>
        <v>38057053.2</v>
      </c>
      <c r="AA475" s="13">
        <f> 'Optimal Choice'!$B$20*'Optimal Choice'!$B$21^(U475+1)</f>
        <v>16880186.42</v>
      </c>
      <c r="AB475" s="13">
        <f> 'Optimal Choice'!$B$25*'Optimal Choice'!$B$26^(V475+1)</f>
        <v>83091830.41</v>
      </c>
      <c r="AE475" s="12">
        <f t="shared" si="4"/>
        <v>60</v>
      </c>
      <c r="AF475" s="12">
        <f t="shared" si="5"/>
        <v>50</v>
      </c>
      <c r="AG475" s="12">
        <f t="shared" si="6"/>
        <v>32</v>
      </c>
      <c r="AH475" s="12">
        <f t="shared" si="7"/>
        <v>4</v>
      </c>
      <c r="AI475" s="12">
        <f t="shared" si="8"/>
        <v>3</v>
      </c>
      <c r="AL475" s="14">
        <f>R475*'Optimal Choice'!$B$4*AE475</f>
        <v>18637.2</v>
      </c>
      <c r="AM475" s="14">
        <f>S475*'Optimal Choice'!$B$9*AF475</f>
        <v>87000</v>
      </c>
      <c r="AN475" s="14">
        <f>T475*'Optimal Choice'!$B$14*AG475</f>
        <v>236160</v>
      </c>
      <c r="AO475" s="14">
        <f>U475*'Optimal Choice'!$B$19*AH475</f>
        <v>87840</v>
      </c>
      <c r="AP475" s="14">
        <f>V475*'Optimal Choice'!$B$24*AI475</f>
        <v>375840</v>
      </c>
      <c r="AS475" s="12">
        <f t="shared" si="9"/>
        <v>60</v>
      </c>
      <c r="AT475" s="12">
        <f t="shared" si="10"/>
        <v>50</v>
      </c>
      <c r="AU475" s="12">
        <f t="shared" si="11"/>
        <v>32</v>
      </c>
      <c r="AV475" s="12">
        <f t="shared" si="12"/>
        <v>4</v>
      </c>
      <c r="AW475" s="12">
        <f t="shared" si="13"/>
        <v>3</v>
      </c>
      <c r="AY475" s="11">
        <f t="shared" si="14"/>
        <v>0.0241708636</v>
      </c>
    </row>
    <row r="476" ht="15.75" customHeight="1">
      <c r="A476" s="15">
        <f t="shared" si="2"/>
        <v>42.38152403</v>
      </c>
      <c r="B476" s="7">
        <f>(sum(AL476:AP476))*'Optimal Choice'!$B$28</f>
        <v>806917.2</v>
      </c>
      <c r="C476" s="11"/>
      <c r="D476" s="12"/>
      <c r="E476" s="12"/>
      <c r="F476" s="11"/>
      <c r="G476" s="11"/>
      <c r="H476" s="11"/>
      <c r="I476" s="11"/>
      <c r="J476" s="11"/>
      <c r="K476" s="11">
        <f>(X476/$B476)+(X476/('Optimal Choice'!$B$4*AS476))</f>
        <v>12474.1977</v>
      </c>
      <c r="L476" s="11">
        <f>(Y476/$B476)+(Y476/('Optimal Choice'!$B$9*AT476))</f>
        <v>13185.57528</v>
      </c>
      <c r="M476" s="11">
        <f>(Z476/$B476)+(Z476/('Optimal Choice'!$B$14*AU476))</f>
        <v>13261.4181</v>
      </c>
      <c r="N476" s="11">
        <f>(AA476/$B476)+(AA476/('Optimal Choice'!$B$19*AV476))</f>
        <v>13269.89627</v>
      </c>
      <c r="O476" s="11">
        <f>(AB476/$B476)+(AB476/('Optimal Choice'!$B$24*AW476))</f>
        <v>12925.78776</v>
      </c>
      <c r="R476" s="12">
        <f t="shared" ref="R476:V476" si="486">if(min($K475:$O475)=K475,R475+1,R475)</f>
        <v>186</v>
      </c>
      <c r="S476" s="12">
        <f t="shared" si="486"/>
        <v>87</v>
      </c>
      <c r="T476" s="12">
        <f t="shared" si="486"/>
        <v>82</v>
      </c>
      <c r="U476" s="12">
        <f t="shared" si="486"/>
        <v>62</v>
      </c>
      <c r="V476" s="12">
        <f t="shared" si="486"/>
        <v>58</v>
      </c>
      <c r="X476" s="13">
        <f> 'Optimal Choice'!$B$5*'Optimal Choice'!$B$6^(R476+1)</f>
        <v>1249759.419</v>
      </c>
      <c r="Y476" s="13">
        <f> 'Optimal Choice'!$B$10*'Optimal Choice'!$B$11^(S476+1)</f>
        <v>13169254.83</v>
      </c>
      <c r="Z476" s="13">
        <f> 'Optimal Choice'!$B$15*'Optimal Choice'!$B$16^(T476+1)</f>
        <v>38057053.2</v>
      </c>
      <c r="AA476" s="13">
        <f> 'Optimal Choice'!$B$20*'Optimal Choice'!$B$21^(U476+1)</f>
        <v>19074610.65</v>
      </c>
      <c r="AB476" s="13">
        <f> 'Optimal Choice'!$B$25*'Optimal Choice'!$B$26^(V476+1)</f>
        <v>83091830.41</v>
      </c>
      <c r="AE476" s="12">
        <f t="shared" si="4"/>
        <v>60</v>
      </c>
      <c r="AF476" s="12">
        <f t="shared" si="5"/>
        <v>50</v>
      </c>
      <c r="AG476" s="12">
        <f t="shared" si="6"/>
        <v>32</v>
      </c>
      <c r="AH476" s="12">
        <f t="shared" si="7"/>
        <v>4</v>
      </c>
      <c r="AI476" s="12">
        <f t="shared" si="8"/>
        <v>3</v>
      </c>
      <c r="AL476" s="14">
        <f>R476*'Optimal Choice'!$B$4*AE476</f>
        <v>18637.2</v>
      </c>
      <c r="AM476" s="14">
        <f>S476*'Optimal Choice'!$B$9*AF476</f>
        <v>87000</v>
      </c>
      <c r="AN476" s="14">
        <f>T476*'Optimal Choice'!$B$14*AG476</f>
        <v>236160</v>
      </c>
      <c r="AO476" s="14">
        <f>U476*'Optimal Choice'!$B$19*AH476</f>
        <v>89280</v>
      </c>
      <c r="AP476" s="14">
        <f>V476*'Optimal Choice'!$B$24*AI476</f>
        <v>375840</v>
      </c>
      <c r="AS476" s="12">
        <f t="shared" si="9"/>
        <v>60</v>
      </c>
      <c r="AT476" s="12">
        <f t="shared" si="10"/>
        <v>50</v>
      </c>
      <c r="AU476" s="12">
        <f t="shared" si="11"/>
        <v>32</v>
      </c>
      <c r="AV476" s="12">
        <f t="shared" si="12"/>
        <v>4</v>
      </c>
      <c r="AW476" s="12">
        <f t="shared" si="13"/>
        <v>3</v>
      </c>
      <c r="AY476" s="11">
        <f t="shared" si="14"/>
        <v>0.3492792102</v>
      </c>
    </row>
    <row r="477" ht="15.75" customHeight="1">
      <c r="A477" s="15">
        <f t="shared" si="2"/>
        <v>42.40733749</v>
      </c>
      <c r="B477" s="7">
        <f>(sum(AL477:AP477))*'Optimal Choice'!$B$28</f>
        <v>807017.4</v>
      </c>
      <c r="C477" s="11"/>
      <c r="D477" s="12"/>
      <c r="E477" s="12"/>
      <c r="F477" s="11"/>
      <c r="G477" s="11"/>
      <c r="H477" s="11"/>
      <c r="I477" s="11"/>
      <c r="J477" s="11"/>
      <c r="K477" s="11">
        <f>(X477/$B477)+(X477/('Optimal Choice'!$B$4*AS477))</f>
        <v>13347.39133</v>
      </c>
      <c r="L477" s="11">
        <f>(Y477/$B477)+(Y477/('Optimal Choice'!$B$9*AT477))</f>
        <v>13185.57326</v>
      </c>
      <c r="M477" s="11">
        <f>(Z477/$B477)+(Z477/('Optimal Choice'!$B$14*AU477))</f>
        <v>13261.41224</v>
      </c>
      <c r="N477" s="11">
        <f>(AA477/$B477)+(AA477/('Optimal Choice'!$B$19*AV477))</f>
        <v>13269.89333</v>
      </c>
      <c r="O477" s="11">
        <f>(AB477/$B477)+(AB477/('Optimal Choice'!$B$24*AW477))</f>
        <v>12925.77497</v>
      </c>
      <c r="R477" s="12">
        <f t="shared" ref="R477:V477" si="487">if(min($K476:$O476)=K476,R476+1,R476)</f>
        <v>187</v>
      </c>
      <c r="S477" s="12">
        <f t="shared" si="487"/>
        <v>87</v>
      </c>
      <c r="T477" s="12">
        <f t="shared" si="487"/>
        <v>82</v>
      </c>
      <c r="U477" s="12">
        <f t="shared" si="487"/>
        <v>62</v>
      </c>
      <c r="V477" s="12">
        <f t="shared" si="487"/>
        <v>58</v>
      </c>
      <c r="X477" s="13">
        <f> 'Optimal Choice'!$B$5*'Optimal Choice'!$B$6^(R477+1)</f>
        <v>1337242.578</v>
      </c>
      <c r="Y477" s="13">
        <f> 'Optimal Choice'!$B$10*'Optimal Choice'!$B$11^(S477+1)</f>
        <v>13169254.83</v>
      </c>
      <c r="Z477" s="13">
        <f> 'Optimal Choice'!$B$15*'Optimal Choice'!$B$16^(T477+1)</f>
        <v>38057053.2</v>
      </c>
      <c r="AA477" s="13">
        <f> 'Optimal Choice'!$B$20*'Optimal Choice'!$B$21^(U477+1)</f>
        <v>19074610.65</v>
      </c>
      <c r="AB477" s="13">
        <f> 'Optimal Choice'!$B$25*'Optimal Choice'!$B$26^(V477+1)</f>
        <v>83091830.41</v>
      </c>
      <c r="AE477" s="12">
        <f t="shared" si="4"/>
        <v>60</v>
      </c>
      <c r="AF477" s="12">
        <f t="shared" si="5"/>
        <v>50</v>
      </c>
      <c r="AG477" s="12">
        <f t="shared" si="6"/>
        <v>32</v>
      </c>
      <c r="AH477" s="12">
        <f t="shared" si="7"/>
        <v>4</v>
      </c>
      <c r="AI477" s="12">
        <f t="shared" si="8"/>
        <v>3</v>
      </c>
      <c r="AL477" s="14">
        <f>R477*'Optimal Choice'!$B$4*AE477</f>
        <v>18737.4</v>
      </c>
      <c r="AM477" s="14">
        <f>S477*'Optimal Choice'!$B$9*AF477</f>
        <v>87000</v>
      </c>
      <c r="AN477" s="14">
        <f>T477*'Optimal Choice'!$B$14*AG477</f>
        <v>236160</v>
      </c>
      <c r="AO477" s="14">
        <f>U477*'Optimal Choice'!$B$19*AH477</f>
        <v>89280</v>
      </c>
      <c r="AP477" s="14">
        <f>V477*'Optimal Choice'!$B$24*AI477</f>
        <v>375840</v>
      </c>
      <c r="AS477" s="12">
        <f t="shared" si="9"/>
        <v>60</v>
      </c>
      <c r="AT477" s="12">
        <f t="shared" si="10"/>
        <v>50</v>
      </c>
      <c r="AU477" s="12">
        <f t="shared" si="11"/>
        <v>32</v>
      </c>
      <c r="AV477" s="12">
        <f t="shared" si="12"/>
        <v>4</v>
      </c>
      <c r="AW477" s="12">
        <f t="shared" si="13"/>
        <v>3</v>
      </c>
      <c r="AY477" s="11">
        <f t="shared" si="14"/>
        <v>0.02581345849</v>
      </c>
    </row>
    <row r="478" ht="15.75" customHeight="1">
      <c r="A478" s="15">
        <f t="shared" si="2"/>
        <v>44.12336473</v>
      </c>
      <c r="B478" s="7">
        <f>(sum(AL478:AP478))*'Optimal Choice'!$B$28</f>
        <v>813497.4</v>
      </c>
      <c r="C478" s="11"/>
      <c r="D478" s="12"/>
      <c r="E478" s="12"/>
      <c r="F478" s="11"/>
      <c r="G478" s="11"/>
      <c r="H478" s="11"/>
      <c r="I478" s="11"/>
      <c r="J478" s="11"/>
      <c r="K478" s="11">
        <f>(X478/$B478)+(X478/('Optimal Choice'!$B$4*AS478))</f>
        <v>13347.37813</v>
      </c>
      <c r="L478" s="11">
        <f>(Y478/$B478)+(Y478/('Optimal Choice'!$B$9*AT478))</f>
        <v>13185.44327</v>
      </c>
      <c r="M478" s="11">
        <f>(Z478/$B478)+(Z478/('Optimal Choice'!$B$14*AU478))</f>
        <v>13261.03661</v>
      </c>
      <c r="N478" s="11">
        <f>(AA478/$B478)+(AA478/('Optimal Choice'!$B$19*AV478))</f>
        <v>13269.70506</v>
      </c>
      <c r="O478" s="11">
        <f>(AB478/$B478)+(AB478/('Optimal Choice'!$B$24*AW478))</f>
        <v>14475.9494</v>
      </c>
      <c r="R478" s="12">
        <f t="shared" ref="R478:V478" si="488">if(min($K477:$O477)=K477,R477+1,R477)</f>
        <v>187</v>
      </c>
      <c r="S478" s="12">
        <f t="shared" si="488"/>
        <v>87</v>
      </c>
      <c r="T478" s="12">
        <f t="shared" si="488"/>
        <v>82</v>
      </c>
      <c r="U478" s="12">
        <f t="shared" si="488"/>
        <v>62</v>
      </c>
      <c r="V478" s="12">
        <f t="shared" si="488"/>
        <v>59</v>
      </c>
      <c r="X478" s="13">
        <f> 'Optimal Choice'!$B$5*'Optimal Choice'!$B$6^(R478+1)</f>
        <v>1337242.578</v>
      </c>
      <c r="Y478" s="13">
        <f> 'Optimal Choice'!$B$10*'Optimal Choice'!$B$11^(S478+1)</f>
        <v>13169254.83</v>
      </c>
      <c r="Z478" s="13">
        <f> 'Optimal Choice'!$B$15*'Optimal Choice'!$B$16^(T478+1)</f>
        <v>38057053.2</v>
      </c>
      <c r="AA478" s="13">
        <f> 'Optimal Choice'!$B$20*'Optimal Choice'!$B$21^(U478+1)</f>
        <v>19074610.65</v>
      </c>
      <c r="AB478" s="13">
        <f> 'Optimal Choice'!$B$25*'Optimal Choice'!$B$26^(V478+1)</f>
        <v>93062850.06</v>
      </c>
      <c r="AE478" s="12">
        <f t="shared" si="4"/>
        <v>60</v>
      </c>
      <c r="AF478" s="12">
        <f t="shared" si="5"/>
        <v>50</v>
      </c>
      <c r="AG478" s="12">
        <f t="shared" si="6"/>
        <v>32</v>
      </c>
      <c r="AH478" s="12">
        <f t="shared" si="7"/>
        <v>4</v>
      </c>
      <c r="AI478" s="12">
        <f t="shared" si="8"/>
        <v>3</v>
      </c>
      <c r="AL478" s="14">
        <f>R478*'Optimal Choice'!$B$4*AE478</f>
        <v>18737.4</v>
      </c>
      <c r="AM478" s="14">
        <f>S478*'Optimal Choice'!$B$9*AF478</f>
        <v>87000</v>
      </c>
      <c r="AN478" s="14">
        <f>T478*'Optimal Choice'!$B$14*AG478</f>
        <v>236160</v>
      </c>
      <c r="AO478" s="14">
        <f>U478*'Optimal Choice'!$B$19*AH478</f>
        <v>89280</v>
      </c>
      <c r="AP478" s="14">
        <f>V478*'Optimal Choice'!$B$24*AI478</f>
        <v>382320</v>
      </c>
      <c r="AS478" s="12">
        <f t="shared" si="9"/>
        <v>60</v>
      </c>
      <c r="AT478" s="12">
        <f t="shared" si="10"/>
        <v>50</v>
      </c>
      <c r="AU478" s="12">
        <f t="shared" si="11"/>
        <v>32</v>
      </c>
      <c r="AV478" s="12">
        <f t="shared" si="12"/>
        <v>4</v>
      </c>
      <c r="AW478" s="12">
        <f t="shared" si="13"/>
        <v>3</v>
      </c>
      <c r="AY478" s="11">
        <f t="shared" si="14"/>
        <v>1.716027238</v>
      </c>
    </row>
    <row r="479" ht="15.75" customHeight="1">
      <c r="A479" s="15">
        <f t="shared" si="2"/>
        <v>44.39317208</v>
      </c>
      <c r="B479" s="7">
        <f>(sum(AL479:AP479))*'Optimal Choice'!$B$28</f>
        <v>814497.4</v>
      </c>
      <c r="C479" s="11"/>
      <c r="D479" s="12"/>
      <c r="E479" s="12"/>
      <c r="F479" s="11"/>
      <c r="G479" s="11"/>
      <c r="H479" s="11"/>
      <c r="I479" s="11"/>
      <c r="J479" s="11"/>
      <c r="K479" s="11">
        <f>(X479/$B479)+(X479/('Optimal Choice'!$B$4*AS479))</f>
        <v>13347.37611</v>
      </c>
      <c r="L479" s="11">
        <f>(Y479/$B479)+(Y479/('Optimal Choice'!$B$9*AT479))</f>
        <v>15163.2369</v>
      </c>
      <c r="M479" s="11">
        <f>(Z479/$B479)+(Z479/('Optimal Choice'!$B$14*AU479))</f>
        <v>13260.97917</v>
      </c>
      <c r="N479" s="11">
        <f>(AA479/$B479)+(AA479/('Optimal Choice'!$B$19*AV479))</f>
        <v>13269.67627</v>
      </c>
      <c r="O479" s="11">
        <f>(AB479/$B479)+(AB479/('Optimal Choice'!$B$24*AW479))</f>
        <v>14475.80894</v>
      </c>
      <c r="R479" s="12">
        <f t="shared" ref="R479:V479" si="489">if(min($K478:$O478)=K478,R478+1,R478)</f>
        <v>187</v>
      </c>
      <c r="S479" s="12">
        <f t="shared" si="489"/>
        <v>88</v>
      </c>
      <c r="T479" s="12">
        <f t="shared" si="489"/>
        <v>82</v>
      </c>
      <c r="U479" s="12">
        <f t="shared" si="489"/>
        <v>62</v>
      </c>
      <c r="V479" s="12">
        <f t="shared" si="489"/>
        <v>59</v>
      </c>
      <c r="X479" s="13">
        <f> 'Optimal Choice'!$B$5*'Optimal Choice'!$B$6^(R479+1)</f>
        <v>1337242.578</v>
      </c>
      <c r="Y479" s="13">
        <f> 'Optimal Choice'!$B$10*'Optimal Choice'!$B$11^(S479+1)</f>
        <v>15144643.05</v>
      </c>
      <c r="Z479" s="13">
        <f> 'Optimal Choice'!$B$15*'Optimal Choice'!$B$16^(T479+1)</f>
        <v>38057053.2</v>
      </c>
      <c r="AA479" s="13">
        <f> 'Optimal Choice'!$B$20*'Optimal Choice'!$B$21^(U479+1)</f>
        <v>19074610.65</v>
      </c>
      <c r="AB479" s="13">
        <f> 'Optimal Choice'!$B$25*'Optimal Choice'!$B$26^(V479+1)</f>
        <v>93062850.06</v>
      </c>
      <c r="AE479" s="12">
        <f t="shared" si="4"/>
        <v>60</v>
      </c>
      <c r="AF479" s="12">
        <f t="shared" si="5"/>
        <v>50</v>
      </c>
      <c r="AG479" s="12">
        <f t="shared" si="6"/>
        <v>32</v>
      </c>
      <c r="AH479" s="12">
        <f t="shared" si="7"/>
        <v>4</v>
      </c>
      <c r="AI479" s="12">
        <f t="shared" si="8"/>
        <v>3</v>
      </c>
      <c r="AL479" s="14">
        <f>R479*'Optimal Choice'!$B$4*AE479</f>
        <v>18737.4</v>
      </c>
      <c r="AM479" s="14">
        <f>S479*'Optimal Choice'!$B$9*AF479</f>
        <v>88000</v>
      </c>
      <c r="AN479" s="14">
        <f>T479*'Optimal Choice'!$B$14*AG479</f>
        <v>236160</v>
      </c>
      <c r="AO479" s="14">
        <f>U479*'Optimal Choice'!$B$19*AH479</f>
        <v>89280</v>
      </c>
      <c r="AP479" s="14">
        <f>V479*'Optimal Choice'!$B$24*AI479</f>
        <v>382320</v>
      </c>
      <c r="AS479" s="12">
        <f t="shared" si="9"/>
        <v>60</v>
      </c>
      <c r="AT479" s="12">
        <f t="shared" si="10"/>
        <v>50</v>
      </c>
      <c r="AU479" s="12">
        <f t="shared" si="11"/>
        <v>32</v>
      </c>
      <c r="AV479" s="12">
        <f t="shared" si="12"/>
        <v>4</v>
      </c>
      <c r="AW479" s="12">
        <f t="shared" si="13"/>
        <v>3</v>
      </c>
      <c r="AY479" s="11">
        <f t="shared" si="14"/>
        <v>0.2698073534</v>
      </c>
    </row>
    <row r="480" ht="15.75" customHeight="1">
      <c r="A480" s="15">
        <f t="shared" si="2"/>
        <v>45.17191517</v>
      </c>
      <c r="B480" s="7">
        <f>(sum(AL480:AP480))*'Optimal Choice'!$B$28</f>
        <v>817377.4</v>
      </c>
      <c r="C480" s="11"/>
      <c r="D480" s="12"/>
      <c r="E480" s="12"/>
      <c r="F480" s="11"/>
      <c r="G480" s="11"/>
      <c r="H480" s="11"/>
      <c r="I480" s="11"/>
      <c r="J480" s="11"/>
      <c r="K480" s="11">
        <f>(X480/$B480)+(X480/('Optimal Choice'!$B$4*AS480))</f>
        <v>13347.37033</v>
      </c>
      <c r="L480" s="11">
        <f>(Y480/$B480)+(Y480/('Optimal Choice'!$B$9*AT480))</f>
        <v>15163.17139</v>
      </c>
      <c r="M480" s="11">
        <f>(Z480/$B480)+(Z480/('Optimal Choice'!$B$14*AU480))</f>
        <v>15117.32857</v>
      </c>
      <c r="N480" s="11">
        <f>(AA480/$B480)+(AA480/('Optimal Choice'!$B$19*AV480))</f>
        <v>13269.59375</v>
      </c>
      <c r="O480" s="11">
        <f>(AB480/$B480)+(AB480/('Optimal Choice'!$B$24*AW480))</f>
        <v>14475.40636</v>
      </c>
      <c r="R480" s="12">
        <f t="shared" ref="R480:V480" si="490">if(min($K479:$O479)=K479,R479+1,R479)</f>
        <v>187</v>
      </c>
      <c r="S480" s="12">
        <f t="shared" si="490"/>
        <v>88</v>
      </c>
      <c r="T480" s="12">
        <f t="shared" si="490"/>
        <v>83</v>
      </c>
      <c r="U480" s="12">
        <f t="shared" si="490"/>
        <v>62</v>
      </c>
      <c r="V480" s="12">
        <f t="shared" si="490"/>
        <v>59</v>
      </c>
      <c r="X480" s="13">
        <f> 'Optimal Choice'!$B$5*'Optimal Choice'!$B$6^(R480+1)</f>
        <v>1337242.578</v>
      </c>
      <c r="Y480" s="13">
        <f> 'Optimal Choice'!$B$10*'Optimal Choice'!$B$11^(S480+1)</f>
        <v>15144643.05</v>
      </c>
      <c r="Z480" s="13">
        <f> 'Optimal Choice'!$B$15*'Optimal Choice'!$B$16^(T480+1)</f>
        <v>43385040.65</v>
      </c>
      <c r="AA480" s="13">
        <f> 'Optimal Choice'!$B$20*'Optimal Choice'!$B$21^(U480+1)</f>
        <v>19074610.65</v>
      </c>
      <c r="AB480" s="13">
        <f> 'Optimal Choice'!$B$25*'Optimal Choice'!$B$26^(V480+1)</f>
        <v>93062850.06</v>
      </c>
      <c r="AE480" s="12">
        <f t="shared" si="4"/>
        <v>60</v>
      </c>
      <c r="AF480" s="12">
        <f t="shared" si="5"/>
        <v>50</v>
      </c>
      <c r="AG480" s="12">
        <f t="shared" si="6"/>
        <v>32</v>
      </c>
      <c r="AH480" s="12">
        <f t="shared" si="7"/>
        <v>4</v>
      </c>
      <c r="AI480" s="12">
        <f t="shared" si="8"/>
        <v>3</v>
      </c>
      <c r="AL480" s="14">
        <f>R480*'Optimal Choice'!$B$4*AE480</f>
        <v>18737.4</v>
      </c>
      <c r="AM480" s="14">
        <f>S480*'Optimal Choice'!$B$9*AF480</f>
        <v>88000</v>
      </c>
      <c r="AN480" s="14">
        <f>T480*'Optimal Choice'!$B$14*AG480</f>
        <v>239040</v>
      </c>
      <c r="AO480" s="14">
        <f>U480*'Optimal Choice'!$B$19*AH480</f>
        <v>89280</v>
      </c>
      <c r="AP480" s="14">
        <f>V480*'Optimal Choice'!$B$24*AI480</f>
        <v>382320</v>
      </c>
      <c r="AS480" s="12">
        <f t="shared" si="9"/>
        <v>60</v>
      </c>
      <c r="AT480" s="12">
        <f t="shared" si="10"/>
        <v>50</v>
      </c>
      <c r="AU480" s="12">
        <f t="shared" si="11"/>
        <v>32</v>
      </c>
      <c r="AV480" s="12">
        <f t="shared" si="12"/>
        <v>4</v>
      </c>
      <c r="AW480" s="12">
        <f t="shared" si="13"/>
        <v>3</v>
      </c>
      <c r="AY480" s="11">
        <f t="shared" si="14"/>
        <v>0.7787430875</v>
      </c>
    </row>
    <row r="481" ht="15.75" customHeight="1">
      <c r="A481" s="15">
        <f t="shared" si="2"/>
        <v>45.56085445</v>
      </c>
      <c r="B481" s="7">
        <f>(sum(AL481:AP481))*'Optimal Choice'!$B$28</f>
        <v>818817.4</v>
      </c>
      <c r="C481" s="11"/>
      <c r="D481" s="12"/>
      <c r="E481" s="12"/>
      <c r="F481" s="11"/>
      <c r="G481" s="11"/>
      <c r="H481" s="11"/>
      <c r="I481" s="11"/>
      <c r="J481" s="11"/>
      <c r="K481" s="11">
        <f>(X481/$B481)+(X481/('Optimal Choice'!$B$4*AS481))</f>
        <v>13347.36745</v>
      </c>
      <c r="L481" s="11">
        <f>(Y481/$B481)+(Y481/('Optimal Choice'!$B$9*AT481))</f>
        <v>15163.13881</v>
      </c>
      <c r="M481" s="11">
        <f>(Z481/$B481)+(Z481/('Optimal Choice'!$B$14*AU481))</f>
        <v>15117.23523</v>
      </c>
      <c r="N481" s="11">
        <f>(AA481/$B481)+(AA481/('Optimal Choice'!$B$19*AV481))</f>
        <v>14994.59457</v>
      </c>
      <c r="O481" s="11">
        <f>(AB481/$B481)+(AB481/('Optimal Choice'!$B$24*AW481))</f>
        <v>14475.20613</v>
      </c>
      <c r="R481" s="12">
        <f t="shared" ref="R481:V481" si="491">if(min($K480:$O480)=K480,R480+1,R480)</f>
        <v>187</v>
      </c>
      <c r="S481" s="12">
        <f t="shared" si="491"/>
        <v>88</v>
      </c>
      <c r="T481" s="12">
        <f t="shared" si="491"/>
        <v>83</v>
      </c>
      <c r="U481" s="12">
        <f t="shared" si="491"/>
        <v>63</v>
      </c>
      <c r="V481" s="12">
        <f t="shared" si="491"/>
        <v>59</v>
      </c>
      <c r="X481" s="13">
        <f> 'Optimal Choice'!$B$5*'Optimal Choice'!$B$6^(R481+1)</f>
        <v>1337242.578</v>
      </c>
      <c r="Y481" s="13">
        <f> 'Optimal Choice'!$B$10*'Optimal Choice'!$B$11^(S481+1)</f>
        <v>15144643.05</v>
      </c>
      <c r="Z481" s="13">
        <f> 'Optimal Choice'!$B$15*'Optimal Choice'!$B$16^(T481+1)</f>
        <v>43385040.65</v>
      </c>
      <c r="AA481" s="13">
        <f> 'Optimal Choice'!$B$20*'Optimal Choice'!$B$21^(U481+1)</f>
        <v>21554310.04</v>
      </c>
      <c r="AB481" s="13">
        <f> 'Optimal Choice'!$B$25*'Optimal Choice'!$B$26^(V481+1)</f>
        <v>93062850.06</v>
      </c>
      <c r="AE481" s="12">
        <f t="shared" si="4"/>
        <v>60</v>
      </c>
      <c r="AF481" s="12">
        <f t="shared" si="5"/>
        <v>50</v>
      </c>
      <c r="AG481" s="12">
        <f t="shared" si="6"/>
        <v>32</v>
      </c>
      <c r="AH481" s="12">
        <f t="shared" si="7"/>
        <v>4</v>
      </c>
      <c r="AI481" s="12">
        <f t="shared" si="8"/>
        <v>3</v>
      </c>
      <c r="AL481" s="14">
        <f>R481*'Optimal Choice'!$B$4*AE481</f>
        <v>18737.4</v>
      </c>
      <c r="AM481" s="14">
        <f>S481*'Optimal Choice'!$B$9*AF481</f>
        <v>88000</v>
      </c>
      <c r="AN481" s="14">
        <f>T481*'Optimal Choice'!$B$14*AG481</f>
        <v>239040</v>
      </c>
      <c r="AO481" s="14">
        <f>U481*'Optimal Choice'!$B$19*AH481</f>
        <v>90720</v>
      </c>
      <c r="AP481" s="14">
        <f>V481*'Optimal Choice'!$B$24*AI481</f>
        <v>382320</v>
      </c>
      <c r="AS481" s="12">
        <f t="shared" si="9"/>
        <v>60</v>
      </c>
      <c r="AT481" s="12">
        <f t="shared" si="10"/>
        <v>50</v>
      </c>
      <c r="AU481" s="12">
        <f t="shared" si="11"/>
        <v>32</v>
      </c>
      <c r="AV481" s="12">
        <f t="shared" si="12"/>
        <v>4</v>
      </c>
      <c r="AW481" s="12">
        <f t="shared" si="13"/>
        <v>3</v>
      </c>
      <c r="AY481" s="11">
        <f t="shared" si="14"/>
        <v>0.3889392801</v>
      </c>
    </row>
    <row r="482" ht="15.75" customHeight="1">
      <c r="A482" s="15">
        <f t="shared" si="2"/>
        <v>45.58807343</v>
      </c>
      <c r="B482" s="7">
        <f>(sum(AL482:AP482))*'Optimal Choice'!$B$28</f>
        <v>818917.6</v>
      </c>
      <c r="C482" s="11"/>
      <c r="D482" s="12"/>
      <c r="E482" s="12"/>
      <c r="F482" s="11"/>
      <c r="G482" s="11"/>
      <c r="H482" s="11"/>
      <c r="I482" s="11"/>
      <c r="J482" s="11"/>
      <c r="K482" s="11">
        <f>(X482/$B482)+(X482/('Optimal Choice'!$B$4*AS482))</f>
        <v>14281.68296</v>
      </c>
      <c r="L482" s="11">
        <f>(Y482/$B482)+(Y482/('Optimal Choice'!$B$9*AT482))</f>
        <v>15163.13654</v>
      </c>
      <c r="M482" s="11">
        <f>(Z482/$B482)+(Z482/('Optimal Choice'!$B$14*AU482))</f>
        <v>15117.22874</v>
      </c>
      <c r="N482" s="11">
        <f>(AA482/$B482)+(AA482/('Optimal Choice'!$B$19*AV482))</f>
        <v>14994.59134</v>
      </c>
      <c r="O482" s="11">
        <f>(AB482/$B482)+(AB482/('Optimal Choice'!$B$24*AW482))</f>
        <v>14475.19222</v>
      </c>
      <c r="R482" s="12">
        <f t="shared" ref="R482:V482" si="492">if(min($K481:$O481)=K481,R481+1,R481)</f>
        <v>188</v>
      </c>
      <c r="S482" s="12">
        <f t="shared" si="492"/>
        <v>88</v>
      </c>
      <c r="T482" s="12">
        <f t="shared" si="492"/>
        <v>83</v>
      </c>
      <c r="U482" s="12">
        <f t="shared" si="492"/>
        <v>63</v>
      </c>
      <c r="V482" s="12">
        <f t="shared" si="492"/>
        <v>59</v>
      </c>
      <c r="X482" s="13">
        <f> 'Optimal Choice'!$B$5*'Optimal Choice'!$B$6^(R482+1)</f>
        <v>1430849.558</v>
      </c>
      <c r="Y482" s="13">
        <f> 'Optimal Choice'!$B$10*'Optimal Choice'!$B$11^(S482+1)</f>
        <v>15144643.05</v>
      </c>
      <c r="Z482" s="13">
        <f> 'Optimal Choice'!$B$15*'Optimal Choice'!$B$16^(T482+1)</f>
        <v>43385040.65</v>
      </c>
      <c r="AA482" s="13">
        <f> 'Optimal Choice'!$B$20*'Optimal Choice'!$B$21^(U482+1)</f>
        <v>21554310.04</v>
      </c>
      <c r="AB482" s="13">
        <f> 'Optimal Choice'!$B$25*'Optimal Choice'!$B$26^(V482+1)</f>
        <v>93062850.06</v>
      </c>
      <c r="AE482" s="12">
        <f t="shared" si="4"/>
        <v>60</v>
      </c>
      <c r="AF482" s="12">
        <f t="shared" si="5"/>
        <v>50</v>
      </c>
      <c r="AG482" s="12">
        <f t="shared" si="6"/>
        <v>32</v>
      </c>
      <c r="AH482" s="12">
        <f t="shared" si="7"/>
        <v>4</v>
      </c>
      <c r="AI482" s="12">
        <f t="shared" si="8"/>
        <v>3</v>
      </c>
      <c r="AL482" s="14">
        <f>R482*'Optimal Choice'!$B$4*AE482</f>
        <v>18837.6</v>
      </c>
      <c r="AM482" s="14">
        <f>S482*'Optimal Choice'!$B$9*AF482</f>
        <v>88000</v>
      </c>
      <c r="AN482" s="14">
        <f>T482*'Optimal Choice'!$B$14*AG482</f>
        <v>239040</v>
      </c>
      <c r="AO482" s="14">
        <f>U482*'Optimal Choice'!$B$19*AH482</f>
        <v>90720</v>
      </c>
      <c r="AP482" s="14">
        <f>V482*'Optimal Choice'!$B$24*AI482</f>
        <v>382320</v>
      </c>
      <c r="AS482" s="12">
        <f t="shared" si="9"/>
        <v>60</v>
      </c>
      <c r="AT482" s="12">
        <f t="shared" si="10"/>
        <v>50</v>
      </c>
      <c r="AU482" s="12">
        <f t="shared" si="11"/>
        <v>32</v>
      </c>
      <c r="AV482" s="12">
        <f t="shared" si="12"/>
        <v>4</v>
      </c>
      <c r="AW482" s="12">
        <f t="shared" si="13"/>
        <v>3</v>
      </c>
      <c r="AY482" s="11">
        <f t="shared" si="14"/>
        <v>0.02721898228</v>
      </c>
    </row>
    <row r="483" ht="15.75" customHeight="1">
      <c r="A483" s="15">
        <f t="shared" si="2"/>
        <v>45.61719418</v>
      </c>
      <c r="B483" s="7">
        <f>(sum(AL483:AP483))*'Optimal Choice'!$B$28</f>
        <v>819017.8</v>
      </c>
      <c r="C483" s="11"/>
      <c r="D483" s="12"/>
      <c r="E483" s="12"/>
      <c r="F483" s="11"/>
      <c r="G483" s="11"/>
      <c r="H483" s="11"/>
      <c r="I483" s="11"/>
      <c r="J483" s="11"/>
      <c r="K483" s="11">
        <f>(X483/$B483)+(X483/('Optimal Choice'!$B$4*AS483))</f>
        <v>15281.40054</v>
      </c>
      <c r="L483" s="11">
        <f>(Y483/$B483)+(Y483/('Optimal Choice'!$B$9*AT483))</f>
        <v>15163.13428</v>
      </c>
      <c r="M483" s="11">
        <f>(Z483/$B483)+(Z483/('Optimal Choice'!$B$14*AU483))</f>
        <v>15117.22226</v>
      </c>
      <c r="N483" s="11">
        <f>(AA483/$B483)+(AA483/('Optimal Choice'!$B$19*AV483))</f>
        <v>14994.58812</v>
      </c>
      <c r="O483" s="11">
        <f>(AB483/$B483)+(AB483/('Optimal Choice'!$B$24*AW483))</f>
        <v>14475.17832</v>
      </c>
      <c r="R483" s="12">
        <f t="shared" ref="R483:V483" si="493">if(min($K482:$O482)=K482,R482+1,R482)</f>
        <v>189</v>
      </c>
      <c r="S483" s="12">
        <f t="shared" si="493"/>
        <v>88</v>
      </c>
      <c r="T483" s="12">
        <f t="shared" si="493"/>
        <v>83</v>
      </c>
      <c r="U483" s="12">
        <f t="shared" si="493"/>
        <v>63</v>
      </c>
      <c r="V483" s="12">
        <f t="shared" si="493"/>
        <v>59</v>
      </c>
      <c r="X483" s="13">
        <f> 'Optimal Choice'!$B$5*'Optimal Choice'!$B$6^(R483+1)</f>
        <v>1531009.028</v>
      </c>
      <c r="Y483" s="13">
        <f> 'Optimal Choice'!$B$10*'Optimal Choice'!$B$11^(S483+1)</f>
        <v>15144643.05</v>
      </c>
      <c r="Z483" s="13">
        <f> 'Optimal Choice'!$B$15*'Optimal Choice'!$B$16^(T483+1)</f>
        <v>43385040.65</v>
      </c>
      <c r="AA483" s="13">
        <f> 'Optimal Choice'!$B$20*'Optimal Choice'!$B$21^(U483+1)</f>
        <v>21554310.04</v>
      </c>
      <c r="AB483" s="13">
        <f> 'Optimal Choice'!$B$25*'Optimal Choice'!$B$26^(V483+1)</f>
        <v>93062850.06</v>
      </c>
      <c r="AE483" s="12">
        <f t="shared" si="4"/>
        <v>60</v>
      </c>
      <c r="AF483" s="12">
        <f t="shared" si="5"/>
        <v>50</v>
      </c>
      <c r="AG483" s="12">
        <f t="shared" si="6"/>
        <v>32</v>
      </c>
      <c r="AH483" s="12">
        <f t="shared" si="7"/>
        <v>4</v>
      </c>
      <c r="AI483" s="12">
        <f t="shared" si="8"/>
        <v>3</v>
      </c>
      <c r="AL483" s="14">
        <f>R483*'Optimal Choice'!$B$4*AE483</f>
        <v>18937.8</v>
      </c>
      <c r="AM483" s="14">
        <f>S483*'Optimal Choice'!$B$9*AF483</f>
        <v>88000</v>
      </c>
      <c r="AN483" s="14">
        <f>T483*'Optimal Choice'!$B$14*AG483</f>
        <v>239040</v>
      </c>
      <c r="AO483" s="14">
        <f>U483*'Optimal Choice'!$B$19*AH483</f>
        <v>90720</v>
      </c>
      <c r="AP483" s="14">
        <f>V483*'Optimal Choice'!$B$24*AI483</f>
        <v>382320</v>
      </c>
      <c r="AS483" s="12">
        <f t="shared" si="9"/>
        <v>60</v>
      </c>
      <c r="AT483" s="12">
        <f t="shared" si="10"/>
        <v>50</v>
      </c>
      <c r="AU483" s="12">
        <f t="shared" si="11"/>
        <v>32</v>
      </c>
      <c r="AV483" s="12">
        <f t="shared" si="12"/>
        <v>4</v>
      </c>
      <c r="AW483" s="12">
        <f t="shared" si="13"/>
        <v>3</v>
      </c>
      <c r="AY483" s="11">
        <f t="shared" si="14"/>
        <v>0.02912074749</v>
      </c>
    </row>
    <row r="484" ht="15.75" customHeight="1">
      <c r="A484" s="15">
        <f t="shared" si="2"/>
        <v>47.51098391</v>
      </c>
      <c r="B484" s="7">
        <f>(sum(AL484:AP484))*'Optimal Choice'!$B$28</f>
        <v>825497.8</v>
      </c>
      <c r="C484" s="11"/>
      <c r="D484" s="12"/>
      <c r="E484" s="12"/>
      <c r="F484" s="11"/>
      <c r="G484" s="11"/>
      <c r="H484" s="11"/>
      <c r="I484" s="11"/>
      <c r="J484" s="11"/>
      <c r="K484" s="11">
        <f>(X484/$B484)+(X484/('Optimal Choice'!$B$4*AS484))</f>
        <v>15281.38586</v>
      </c>
      <c r="L484" s="11">
        <f>(Y484/$B484)+(Y484/('Optimal Choice'!$B$9*AT484))</f>
        <v>15162.98913</v>
      </c>
      <c r="M484" s="11">
        <f>(Z484/$B484)+(Z484/('Optimal Choice'!$B$14*AU484))</f>
        <v>15116.80644</v>
      </c>
      <c r="N484" s="11">
        <f>(AA484/$B484)+(AA484/('Optimal Choice'!$B$19*AV484))</f>
        <v>14994.38154</v>
      </c>
      <c r="O484" s="11">
        <f>(AB484/$B484)+(AB484/('Optimal Choice'!$B$24*AW484))</f>
        <v>16211.20073</v>
      </c>
      <c r="R484" s="12">
        <f t="shared" ref="R484:V484" si="494">if(min($K483:$O483)=K483,R483+1,R483)</f>
        <v>189</v>
      </c>
      <c r="S484" s="12">
        <f t="shared" si="494"/>
        <v>88</v>
      </c>
      <c r="T484" s="12">
        <f t="shared" si="494"/>
        <v>83</v>
      </c>
      <c r="U484" s="12">
        <f t="shared" si="494"/>
        <v>63</v>
      </c>
      <c r="V484" s="12">
        <f t="shared" si="494"/>
        <v>60</v>
      </c>
      <c r="X484" s="13">
        <f> 'Optimal Choice'!$B$5*'Optimal Choice'!$B$6^(R484+1)</f>
        <v>1531009.028</v>
      </c>
      <c r="Y484" s="13">
        <f> 'Optimal Choice'!$B$10*'Optimal Choice'!$B$11^(S484+1)</f>
        <v>15144643.05</v>
      </c>
      <c r="Z484" s="13">
        <f> 'Optimal Choice'!$B$15*'Optimal Choice'!$B$16^(T484+1)</f>
        <v>43385040.65</v>
      </c>
      <c r="AA484" s="13">
        <f> 'Optimal Choice'!$B$20*'Optimal Choice'!$B$21^(U484+1)</f>
        <v>21554310.04</v>
      </c>
      <c r="AB484" s="13">
        <f> 'Optimal Choice'!$B$25*'Optimal Choice'!$B$26^(V484+1)</f>
        <v>104230392.1</v>
      </c>
      <c r="AE484" s="12">
        <f t="shared" si="4"/>
        <v>60</v>
      </c>
      <c r="AF484" s="12">
        <f t="shared" si="5"/>
        <v>50</v>
      </c>
      <c r="AG484" s="12">
        <f t="shared" si="6"/>
        <v>32</v>
      </c>
      <c r="AH484" s="12">
        <f t="shared" si="7"/>
        <v>4</v>
      </c>
      <c r="AI484" s="12">
        <f t="shared" si="8"/>
        <v>3</v>
      </c>
      <c r="AL484" s="14">
        <f>R484*'Optimal Choice'!$B$4*AE484</f>
        <v>18937.8</v>
      </c>
      <c r="AM484" s="14">
        <f>S484*'Optimal Choice'!$B$9*AF484</f>
        <v>88000</v>
      </c>
      <c r="AN484" s="14">
        <f>T484*'Optimal Choice'!$B$14*AG484</f>
        <v>239040</v>
      </c>
      <c r="AO484" s="14">
        <f>U484*'Optimal Choice'!$B$19*AH484</f>
        <v>90720</v>
      </c>
      <c r="AP484" s="14">
        <f>V484*'Optimal Choice'!$B$24*AI484</f>
        <v>388800</v>
      </c>
      <c r="AS484" s="12">
        <f t="shared" si="9"/>
        <v>60</v>
      </c>
      <c r="AT484" s="12">
        <f t="shared" si="10"/>
        <v>50</v>
      </c>
      <c r="AU484" s="12">
        <f t="shared" si="11"/>
        <v>32</v>
      </c>
      <c r="AV484" s="12">
        <f t="shared" si="12"/>
        <v>4</v>
      </c>
      <c r="AW484" s="12">
        <f t="shared" si="13"/>
        <v>3</v>
      </c>
      <c r="AY484" s="11">
        <f t="shared" si="14"/>
        <v>1.893789733</v>
      </c>
    </row>
    <row r="485" ht="15.75" customHeight="1">
      <c r="A485" s="15">
        <f t="shared" si="2"/>
        <v>47.94616194</v>
      </c>
      <c r="B485" s="7">
        <f>(sum(AL485:AP485))*'Optimal Choice'!$B$28</f>
        <v>826937.8</v>
      </c>
      <c r="C485" s="11"/>
      <c r="D485" s="12"/>
      <c r="E485" s="12"/>
      <c r="F485" s="11"/>
      <c r="G485" s="11"/>
      <c r="H485" s="11"/>
      <c r="I485" s="11"/>
      <c r="J485" s="11"/>
      <c r="K485" s="11">
        <f>(X485/$B485)+(X485/('Optimal Choice'!$B$4*AS485))</f>
        <v>15281.38263</v>
      </c>
      <c r="L485" s="11">
        <f>(Y485/$B485)+(Y485/('Optimal Choice'!$B$9*AT485))</f>
        <v>15162.95718</v>
      </c>
      <c r="M485" s="11">
        <f>(Z485/$B485)+(Z485/('Optimal Choice'!$B$14*AU485))</f>
        <v>15116.71492</v>
      </c>
      <c r="N485" s="11">
        <f>(AA485/$B485)+(AA485/('Optimal Choice'!$B$19*AV485))</f>
        <v>16943.59976</v>
      </c>
      <c r="O485" s="11">
        <f>(AB485/$B485)+(AB485/('Optimal Choice'!$B$24*AW485))</f>
        <v>16210.98086</v>
      </c>
      <c r="R485" s="12">
        <f t="shared" ref="R485:V485" si="495">if(min($K484:$O484)=K484,R484+1,R484)</f>
        <v>189</v>
      </c>
      <c r="S485" s="12">
        <f t="shared" si="495"/>
        <v>88</v>
      </c>
      <c r="T485" s="12">
        <f t="shared" si="495"/>
        <v>83</v>
      </c>
      <c r="U485" s="12">
        <f t="shared" si="495"/>
        <v>64</v>
      </c>
      <c r="V485" s="12">
        <f t="shared" si="495"/>
        <v>60</v>
      </c>
      <c r="X485" s="13">
        <f> 'Optimal Choice'!$B$5*'Optimal Choice'!$B$6^(R485+1)</f>
        <v>1531009.028</v>
      </c>
      <c r="Y485" s="13">
        <f> 'Optimal Choice'!$B$10*'Optimal Choice'!$B$11^(S485+1)</f>
        <v>15144643.05</v>
      </c>
      <c r="Z485" s="13">
        <f> 'Optimal Choice'!$B$15*'Optimal Choice'!$B$16^(T485+1)</f>
        <v>43385040.65</v>
      </c>
      <c r="AA485" s="13">
        <f> 'Optimal Choice'!$B$20*'Optimal Choice'!$B$21^(U485+1)</f>
        <v>24356370.34</v>
      </c>
      <c r="AB485" s="13">
        <f> 'Optimal Choice'!$B$25*'Optimal Choice'!$B$26^(V485+1)</f>
        <v>104230392.1</v>
      </c>
      <c r="AE485" s="12">
        <f t="shared" si="4"/>
        <v>60</v>
      </c>
      <c r="AF485" s="12">
        <f t="shared" si="5"/>
        <v>50</v>
      </c>
      <c r="AG485" s="12">
        <f t="shared" si="6"/>
        <v>32</v>
      </c>
      <c r="AH485" s="12">
        <f t="shared" si="7"/>
        <v>4</v>
      </c>
      <c r="AI485" s="12">
        <f t="shared" si="8"/>
        <v>3</v>
      </c>
      <c r="AL485" s="14">
        <f>R485*'Optimal Choice'!$B$4*AE485</f>
        <v>18937.8</v>
      </c>
      <c r="AM485" s="14">
        <f>S485*'Optimal Choice'!$B$9*AF485</f>
        <v>88000</v>
      </c>
      <c r="AN485" s="14">
        <f>T485*'Optimal Choice'!$B$14*AG485</f>
        <v>239040</v>
      </c>
      <c r="AO485" s="14">
        <f>U485*'Optimal Choice'!$B$19*AH485</f>
        <v>92160</v>
      </c>
      <c r="AP485" s="14">
        <f>V485*'Optimal Choice'!$B$24*AI485</f>
        <v>388800</v>
      </c>
      <c r="AS485" s="12">
        <f t="shared" si="9"/>
        <v>60</v>
      </c>
      <c r="AT485" s="12">
        <f t="shared" si="10"/>
        <v>50</v>
      </c>
      <c r="AU485" s="12">
        <f t="shared" si="11"/>
        <v>32</v>
      </c>
      <c r="AV485" s="12">
        <f t="shared" si="12"/>
        <v>4</v>
      </c>
      <c r="AW485" s="12">
        <f t="shared" si="13"/>
        <v>3</v>
      </c>
      <c r="AY485" s="11">
        <f t="shared" si="14"/>
        <v>0.435178023</v>
      </c>
    </row>
    <row r="486" ht="15.75" customHeight="1">
      <c r="A486" s="15">
        <f t="shared" si="2"/>
        <v>48.82057355</v>
      </c>
      <c r="B486" s="7">
        <f>(sum(AL486:AP486))*'Optimal Choice'!$B$28</f>
        <v>829817.8</v>
      </c>
      <c r="C486" s="11"/>
      <c r="D486" s="12"/>
      <c r="E486" s="12"/>
      <c r="F486" s="11"/>
      <c r="G486" s="11"/>
      <c r="H486" s="11"/>
      <c r="I486" s="11"/>
      <c r="J486" s="11"/>
      <c r="K486" s="11">
        <f>(X486/$B486)+(X486/('Optimal Choice'!$B$4*AS486))</f>
        <v>15281.37621</v>
      </c>
      <c r="L486" s="11">
        <f>(Y486/$B486)+(Y486/('Optimal Choice'!$B$9*AT486))</f>
        <v>15162.89362</v>
      </c>
      <c r="M486" s="11">
        <f>(Z486/$B486)+(Z486/('Optimal Choice'!$B$14*AU486))</f>
        <v>17232.84743</v>
      </c>
      <c r="N486" s="11">
        <f>(AA486/$B486)+(AA486/('Optimal Choice'!$B$19*AV486))</f>
        <v>16943.49754</v>
      </c>
      <c r="O486" s="11">
        <f>(AB486/$B486)+(AB486/('Optimal Choice'!$B$24*AW486))</f>
        <v>16210.54341</v>
      </c>
      <c r="R486" s="12">
        <f t="shared" ref="R486:V486" si="496">if(min($K485:$O485)=K485,R485+1,R485)</f>
        <v>189</v>
      </c>
      <c r="S486" s="12">
        <f t="shared" si="496"/>
        <v>88</v>
      </c>
      <c r="T486" s="12">
        <f t="shared" si="496"/>
        <v>84</v>
      </c>
      <c r="U486" s="12">
        <f t="shared" si="496"/>
        <v>64</v>
      </c>
      <c r="V486" s="12">
        <f t="shared" si="496"/>
        <v>60</v>
      </c>
      <c r="X486" s="13">
        <f> 'Optimal Choice'!$B$5*'Optimal Choice'!$B$6^(R486+1)</f>
        <v>1531009.028</v>
      </c>
      <c r="Y486" s="13">
        <f> 'Optimal Choice'!$B$10*'Optimal Choice'!$B$11^(S486+1)</f>
        <v>15144643.05</v>
      </c>
      <c r="Z486" s="13">
        <f> 'Optimal Choice'!$B$15*'Optimal Choice'!$B$16^(T486+1)</f>
        <v>49458946.34</v>
      </c>
      <c r="AA486" s="13">
        <f> 'Optimal Choice'!$B$20*'Optimal Choice'!$B$21^(U486+1)</f>
        <v>24356370.34</v>
      </c>
      <c r="AB486" s="13">
        <f> 'Optimal Choice'!$B$25*'Optimal Choice'!$B$26^(V486+1)</f>
        <v>104230392.1</v>
      </c>
      <c r="AE486" s="12">
        <f t="shared" si="4"/>
        <v>60</v>
      </c>
      <c r="AF486" s="12">
        <f t="shared" si="5"/>
        <v>50</v>
      </c>
      <c r="AG486" s="12">
        <f t="shared" si="6"/>
        <v>32</v>
      </c>
      <c r="AH486" s="12">
        <f t="shared" si="7"/>
        <v>4</v>
      </c>
      <c r="AI486" s="12">
        <f t="shared" si="8"/>
        <v>3</v>
      </c>
      <c r="AL486" s="14">
        <f>R486*'Optimal Choice'!$B$4*AE486</f>
        <v>18937.8</v>
      </c>
      <c r="AM486" s="14">
        <f>S486*'Optimal Choice'!$B$9*AF486</f>
        <v>88000</v>
      </c>
      <c r="AN486" s="14">
        <f>T486*'Optimal Choice'!$B$14*AG486</f>
        <v>241920</v>
      </c>
      <c r="AO486" s="14">
        <f>U486*'Optimal Choice'!$B$19*AH486</f>
        <v>92160</v>
      </c>
      <c r="AP486" s="14">
        <f>V486*'Optimal Choice'!$B$24*AI486</f>
        <v>388800</v>
      </c>
      <c r="AS486" s="12">
        <f t="shared" si="9"/>
        <v>60</v>
      </c>
      <c r="AT486" s="12">
        <f t="shared" si="10"/>
        <v>50</v>
      </c>
      <c r="AU486" s="12">
        <f t="shared" si="11"/>
        <v>32</v>
      </c>
      <c r="AV486" s="12">
        <f t="shared" si="12"/>
        <v>4</v>
      </c>
      <c r="AW486" s="12">
        <f t="shared" si="13"/>
        <v>3</v>
      </c>
      <c r="AY486" s="11">
        <f t="shared" si="14"/>
        <v>0.8744116073</v>
      </c>
    </row>
    <row r="487" ht="15.75" customHeight="1">
      <c r="A487" s="15">
        <f t="shared" si="2"/>
        <v>49.12474962</v>
      </c>
      <c r="B487" s="7">
        <f>(sum(AL487:AP487))*'Optimal Choice'!$B$28</f>
        <v>830817.8</v>
      </c>
      <c r="C487" s="11"/>
      <c r="D487" s="12"/>
      <c r="E487" s="12"/>
      <c r="F487" s="11"/>
      <c r="G487" s="11"/>
      <c r="H487" s="11"/>
      <c r="I487" s="11"/>
      <c r="J487" s="11"/>
      <c r="K487" s="11">
        <f>(X487/$B487)+(X487/('Optimal Choice'!$B$4*AS487))</f>
        <v>15281.37399</v>
      </c>
      <c r="L487" s="11">
        <f>(Y487/$B487)+(Y487/('Optimal Choice'!$B$9*AT487))</f>
        <v>17437.3024</v>
      </c>
      <c r="M487" s="11">
        <f>(Z487/$B487)+(Z487/('Optimal Choice'!$B$14*AU487))</f>
        <v>17232.77569</v>
      </c>
      <c r="N487" s="11">
        <f>(AA487/$B487)+(AA487/('Optimal Choice'!$B$19*AV487))</f>
        <v>16943.46221</v>
      </c>
      <c r="O487" s="11">
        <f>(AB487/$B487)+(AB487/('Optimal Choice'!$B$24*AW487))</f>
        <v>16210.39222</v>
      </c>
      <c r="R487" s="12">
        <f t="shared" ref="R487:V487" si="497">if(min($K486:$O486)=K486,R486+1,R486)</f>
        <v>189</v>
      </c>
      <c r="S487" s="12">
        <f t="shared" si="497"/>
        <v>89</v>
      </c>
      <c r="T487" s="12">
        <f t="shared" si="497"/>
        <v>84</v>
      </c>
      <c r="U487" s="12">
        <f t="shared" si="497"/>
        <v>64</v>
      </c>
      <c r="V487" s="12">
        <f t="shared" si="497"/>
        <v>60</v>
      </c>
      <c r="X487" s="13">
        <f> 'Optimal Choice'!$B$5*'Optimal Choice'!$B$6^(R487+1)</f>
        <v>1531009.028</v>
      </c>
      <c r="Y487" s="13">
        <f> 'Optimal Choice'!$B$10*'Optimal Choice'!$B$11^(S487+1)</f>
        <v>17416339.51</v>
      </c>
      <c r="Z487" s="13">
        <f> 'Optimal Choice'!$B$15*'Optimal Choice'!$B$16^(T487+1)</f>
        <v>49458946.34</v>
      </c>
      <c r="AA487" s="13">
        <f> 'Optimal Choice'!$B$20*'Optimal Choice'!$B$21^(U487+1)</f>
        <v>24356370.34</v>
      </c>
      <c r="AB487" s="13">
        <f> 'Optimal Choice'!$B$25*'Optimal Choice'!$B$26^(V487+1)</f>
        <v>104230392.1</v>
      </c>
      <c r="AE487" s="12">
        <f t="shared" si="4"/>
        <v>60</v>
      </c>
      <c r="AF487" s="12">
        <f t="shared" si="5"/>
        <v>50</v>
      </c>
      <c r="AG487" s="12">
        <f t="shared" si="6"/>
        <v>32</v>
      </c>
      <c r="AH487" s="12">
        <f t="shared" si="7"/>
        <v>4</v>
      </c>
      <c r="AI487" s="12">
        <f t="shared" si="8"/>
        <v>3</v>
      </c>
      <c r="AL487" s="14">
        <f>R487*'Optimal Choice'!$B$4*AE487</f>
        <v>18937.8</v>
      </c>
      <c r="AM487" s="14">
        <f>S487*'Optimal Choice'!$B$9*AF487</f>
        <v>89000</v>
      </c>
      <c r="AN487" s="14">
        <f>T487*'Optimal Choice'!$B$14*AG487</f>
        <v>241920</v>
      </c>
      <c r="AO487" s="14">
        <f>U487*'Optimal Choice'!$B$19*AH487</f>
        <v>92160</v>
      </c>
      <c r="AP487" s="14">
        <f>V487*'Optimal Choice'!$B$24*AI487</f>
        <v>388800</v>
      </c>
      <c r="AS487" s="12">
        <f t="shared" si="9"/>
        <v>60</v>
      </c>
      <c r="AT487" s="12">
        <f t="shared" si="10"/>
        <v>50</v>
      </c>
      <c r="AU487" s="12">
        <f t="shared" si="11"/>
        <v>32</v>
      </c>
      <c r="AV487" s="12">
        <f t="shared" si="12"/>
        <v>4</v>
      </c>
      <c r="AW487" s="12">
        <f t="shared" si="13"/>
        <v>3</v>
      </c>
      <c r="AY487" s="11">
        <f t="shared" si="14"/>
        <v>0.3041760704</v>
      </c>
    </row>
    <row r="488" ht="15.75" customHeight="1">
      <c r="A488" s="15">
        <f t="shared" si="2"/>
        <v>49.15546251</v>
      </c>
      <c r="B488" s="7">
        <f>(sum(AL488:AP488))*'Optimal Choice'!$B$28</f>
        <v>830918</v>
      </c>
      <c r="C488" s="11"/>
      <c r="D488" s="12"/>
      <c r="E488" s="12"/>
      <c r="F488" s="11"/>
      <c r="G488" s="11"/>
      <c r="H488" s="11"/>
      <c r="I488" s="11"/>
      <c r="J488" s="11"/>
      <c r="K488" s="11">
        <f>(X488/$B488)+(X488/('Optimal Choice'!$B$4*AS488))</f>
        <v>16351.06993</v>
      </c>
      <c r="L488" s="11">
        <f>(Y488/$B488)+(Y488/('Optimal Choice'!$B$9*AT488))</f>
        <v>17437.29987</v>
      </c>
      <c r="M488" s="11">
        <f>(Z488/$B488)+(Z488/('Optimal Choice'!$B$14*AU488))</f>
        <v>17232.76851</v>
      </c>
      <c r="N488" s="11">
        <f>(AA488/$B488)+(AA488/('Optimal Choice'!$B$19*AV488))</f>
        <v>16943.45867</v>
      </c>
      <c r="O488" s="11">
        <f>(AB488/$B488)+(AB488/('Optimal Choice'!$B$24*AW488))</f>
        <v>16210.37709</v>
      </c>
      <c r="R488" s="12">
        <f t="shared" ref="R488:V488" si="498">if(min($K487:$O487)=K487,R487+1,R487)</f>
        <v>190</v>
      </c>
      <c r="S488" s="12">
        <f t="shared" si="498"/>
        <v>89</v>
      </c>
      <c r="T488" s="12">
        <f t="shared" si="498"/>
        <v>84</v>
      </c>
      <c r="U488" s="12">
        <f t="shared" si="498"/>
        <v>64</v>
      </c>
      <c r="V488" s="12">
        <f t="shared" si="498"/>
        <v>60</v>
      </c>
      <c r="X488" s="13">
        <f> 'Optimal Choice'!$B$5*'Optimal Choice'!$B$6^(R488+1)</f>
        <v>1638179.66</v>
      </c>
      <c r="Y488" s="13">
        <f> 'Optimal Choice'!$B$10*'Optimal Choice'!$B$11^(S488+1)</f>
        <v>17416339.51</v>
      </c>
      <c r="Z488" s="13">
        <f> 'Optimal Choice'!$B$15*'Optimal Choice'!$B$16^(T488+1)</f>
        <v>49458946.34</v>
      </c>
      <c r="AA488" s="13">
        <f> 'Optimal Choice'!$B$20*'Optimal Choice'!$B$21^(U488+1)</f>
        <v>24356370.34</v>
      </c>
      <c r="AB488" s="13">
        <f> 'Optimal Choice'!$B$25*'Optimal Choice'!$B$26^(V488+1)</f>
        <v>104230392.1</v>
      </c>
      <c r="AE488" s="12">
        <f t="shared" si="4"/>
        <v>60</v>
      </c>
      <c r="AF488" s="12">
        <f t="shared" si="5"/>
        <v>50</v>
      </c>
      <c r="AG488" s="12">
        <f t="shared" si="6"/>
        <v>32</v>
      </c>
      <c r="AH488" s="12">
        <f t="shared" si="7"/>
        <v>4</v>
      </c>
      <c r="AI488" s="12">
        <f t="shared" si="8"/>
        <v>3</v>
      </c>
      <c r="AL488" s="14">
        <f>R488*'Optimal Choice'!$B$4*AE488</f>
        <v>19038</v>
      </c>
      <c r="AM488" s="14">
        <f>S488*'Optimal Choice'!$B$9*AF488</f>
        <v>89000</v>
      </c>
      <c r="AN488" s="14">
        <f>T488*'Optimal Choice'!$B$14*AG488</f>
        <v>241920</v>
      </c>
      <c r="AO488" s="14">
        <f>U488*'Optimal Choice'!$B$19*AH488</f>
        <v>92160</v>
      </c>
      <c r="AP488" s="14">
        <f>V488*'Optimal Choice'!$B$24*AI488</f>
        <v>388800</v>
      </c>
      <c r="AS488" s="12">
        <f t="shared" si="9"/>
        <v>60</v>
      </c>
      <c r="AT488" s="12">
        <f t="shared" si="10"/>
        <v>50</v>
      </c>
      <c r="AU488" s="12">
        <f t="shared" si="11"/>
        <v>32</v>
      </c>
      <c r="AV488" s="12">
        <f t="shared" si="12"/>
        <v>4</v>
      </c>
      <c r="AW488" s="12">
        <f t="shared" si="13"/>
        <v>3</v>
      </c>
      <c r="AY488" s="11">
        <f t="shared" si="14"/>
        <v>0.03071289171</v>
      </c>
    </row>
    <row r="489" ht="15.75" customHeight="1">
      <c r="A489" s="15">
        <f t="shared" si="2"/>
        <v>51.24612994</v>
      </c>
      <c r="B489" s="7">
        <f>(sum(AL489:AP489))*'Optimal Choice'!$B$28</f>
        <v>837398</v>
      </c>
      <c r="C489" s="11"/>
      <c r="D489" s="12"/>
      <c r="E489" s="12"/>
      <c r="F489" s="11"/>
      <c r="G489" s="11"/>
      <c r="H489" s="11"/>
      <c r="I489" s="11"/>
      <c r="J489" s="11"/>
      <c r="K489" s="11">
        <f>(X489/$B489)+(X489/('Optimal Choice'!$B$4*AS489))</f>
        <v>16351.05467</v>
      </c>
      <c r="L489" s="11">
        <f>(Y489/$B489)+(Y489/('Optimal Choice'!$B$9*AT489))</f>
        <v>17437.13767</v>
      </c>
      <c r="M489" s="11">
        <f>(Z489/$B489)+(Z489/('Optimal Choice'!$B$14*AU489))</f>
        <v>17232.30791</v>
      </c>
      <c r="N489" s="11">
        <f>(AA489/$B489)+(AA489/('Optimal Choice'!$B$19*AV489))</f>
        <v>16943.23184</v>
      </c>
      <c r="O489" s="11">
        <f>(AB489/$B489)+(AB489/('Optimal Choice'!$B$24*AW489))</f>
        <v>18154.53518</v>
      </c>
      <c r="R489" s="12">
        <f t="shared" ref="R489:V489" si="499">if(min($K488:$O488)=K488,R488+1,R488)</f>
        <v>190</v>
      </c>
      <c r="S489" s="12">
        <f t="shared" si="499"/>
        <v>89</v>
      </c>
      <c r="T489" s="12">
        <f t="shared" si="499"/>
        <v>84</v>
      </c>
      <c r="U489" s="12">
        <f t="shared" si="499"/>
        <v>64</v>
      </c>
      <c r="V489" s="12">
        <f t="shared" si="499"/>
        <v>61</v>
      </c>
      <c r="X489" s="13">
        <f> 'Optimal Choice'!$B$5*'Optimal Choice'!$B$6^(R489+1)</f>
        <v>1638179.66</v>
      </c>
      <c r="Y489" s="13">
        <f> 'Optimal Choice'!$B$10*'Optimal Choice'!$B$11^(S489+1)</f>
        <v>17416339.51</v>
      </c>
      <c r="Z489" s="13">
        <f> 'Optimal Choice'!$B$15*'Optimal Choice'!$B$16^(T489+1)</f>
        <v>49458946.34</v>
      </c>
      <c r="AA489" s="13">
        <f> 'Optimal Choice'!$B$20*'Optimal Choice'!$B$21^(U489+1)</f>
        <v>24356370.34</v>
      </c>
      <c r="AB489" s="13">
        <f> 'Optimal Choice'!$B$25*'Optimal Choice'!$B$26^(V489+1)</f>
        <v>116738039.1</v>
      </c>
      <c r="AE489" s="12">
        <f t="shared" si="4"/>
        <v>60</v>
      </c>
      <c r="AF489" s="12">
        <f t="shared" si="5"/>
        <v>50</v>
      </c>
      <c r="AG489" s="12">
        <f t="shared" si="6"/>
        <v>32</v>
      </c>
      <c r="AH489" s="12">
        <f t="shared" si="7"/>
        <v>4</v>
      </c>
      <c r="AI489" s="12">
        <f t="shared" si="8"/>
        <v>3</v>
      </c>
      <c r="AL489" s="14">
        <f>R489*'Optimal Choice'!$B$4*AE489</f>
        <v>19038</v>
      </c>
      <c r="AM489" s="14">
        <f>S489*'Optimal Choice'!$B$9*AF489</f>
        <v>89000</v>
      </c>
      <c r="AN489" s="14">
        <f>T489*'Optimal Choice'!$B$14*AG489</f>
        <v>241920</v>
      </c>
      <c r="AO489" s="14">
        <f>U489*'Optimal Choice'!$B$19*AH489</f>
        <v>92160</v>
      </c>
      <c r="AP489" s="14">
        <f>V489*'Optimal Choice'!$B$24*AI489</f>
        <v>395280</v>
      </c>
      <c r="AS489" s="12">
        <f t="shared" si="9"/>
        <v>60</v>
      </c>
      <c r="AT489" s="12">
        <f t="shared" si="10"/>
        <v>50</v>
      </c>
      <c r="AU489" s="12">
        <f t="shared" si="11"/>
        <v>32</v>
      </c>
      <c r="AV489" s="12">
        <f t="shared" si="12"/>
        <v>4</v>
      </c>
      <c r="AW489" s="12">
        <f t="shared" si="13"/>
        <v>3</v>
      </c>
      <c r="AY489" s="11">
        <f t="shared" si="14"/>
        <v>2.090667432</v>
      </c>
    </row>
    <row r="490" ht="15.75" customHeight="1">
      <c r="A490" s="15">
        <f t="shared" si="2"/>
        <v>51.2787345</v>
      </c>
      <c r="B490" s="7">
        <f>(sum(AL490:AP490))*'Optimal Choice'!$B$28</f>
        <v>837498.2</v>
      </c>
      <c r="C490" s="11"/>
      <c r="D490" s="12"/>
      <c r="E490" s="12"/>
      <c r="F490" s="11"/>
      <c r="G490" s="11"/>
      <c r="H490" s="11"/>
      <c r="I490" s="11"/>
      <c r="J490" s="11"/>
      <c r="K490" s="11">
        <f>(X490/$B490)+(X490/('Optimal Choice'!$B$4*AS490))</f>
        <v>17495.62825</v>
      </c>
      <c r="L490" s="11">
        <f>(Y490/$B490)+(Y490/('Optimal Choice'!$B$9*AT490))</f>
        <v>17437.13519</v>
      </c>
      <c r="M490" s="11">
        <f>(Z490/$B490)+(Z490/('Optimal Choice'!$B$14*AU490))</f>
        <v>17232.30084</v>
      </c>
      <c r="N490" s="11">
        <f>(AA490/$B490)+(AA490/('Optimal Choice'!$B$19*AV490))</f>
        <v>16943.22837</v>
      </c>
      <c r="O490" s="11">
        <f>(AB490/$B490)+(AB490/('Optimal Choice'!$B$24*AW490))</f>
        <v>18154.5185</v>
      </c>
      <c r="R490" s="12">
        <f t="shared" ref="R490:V490" si="500">if(min($K489:$O489)=K489,R489+1,R489)</f>
        <v>191</v>
      </c>
      <c r="S490" s="12">
        <f t="shared" si="500"/>
        <v>89</v>
      </c>
      <c r="T490" s="12">
        <f t="shared" si="500"/>
        <v>84</v>
      </c>
      <c r="U490" s="12">
        <f t="shared" si="500"/>
        <v>64</v>
      </c>
      <c r="V490" s="12">
        <f t="shared" si="500"/>
        <v>61</v>
      </c>
      <c r="X490" s="13">
        <f> 'Optimal Choice'!$B$5*'Optimal Choice'!$B$6^(R490+1)</f>
        <v>1752852.236</v>
      </c>
      <c r="Y490" s="13">
        <f> 'Optimal Choice'!$B$10*'Optimal Choice'!$B$11^(S490+1)</f>
        <v>17416339.51</v>
      </c>
      <c r="Z490" s="13">
        <f> 'Optimal Choice'!$B$15*'Optimal Choice'!$B$16^(T490+1)</f>
        <v>49458946.34</v>
      </c>
      <c r="AA490" s="13">
        <f> 'Optimal Choice'!$B$20*'Optimal Choice'!$B$21^(U490+1)</f>
        <v>24356370.34</v>
      </c>
      <c r="AB490" s="13">
        <f> 'Optimal Choice'!$B$25*'Optimal Choice'!$B$26^(V490+1)</f>
        <v>116738039.1</v>
      </c>
      <c r="AE490" s="12">
        <f t="shared" si="4"/>
        <v>60</v>
      </c>
      <c r="AF490" s="12">
        <f t="shared" si="5"/>
        <v>50</v>
      </c>
      <c r="AG490" s="12">
        <f t="shared" si="6"/>
        <v>32</v>
      </c>
      <c r="AH490" s="12">
        <f t="shared" si="7"/>
        <v>4</v>
      </c>
      <c r="AI490" s="12">
        <f t="shared" si="8"/>
        <v>3</v>
      </c>
      <c r="AL490" s="14">
        <f>R490*'Optimal Choice'!$B$4*AE490</f>
        <v>19138.2</v>
      </c>
      <c r="AM490" s="14">
        <f>S490*'Optimal Choice'!$B$9*AF490</f>
        <v>89000</v>
      </c>
      <c r="AN490" s="14">
        <f>T490*'Optimal Choice'!$B$14*AG490</f>
        <v>241920</v>
      </c>
      <c r="AO490" s="14">
        <f>U490*'Optimal Choice'!$B$19*AH490</f>
        <v>92160</v>
      </c>
      <c r="AP490" s="14">
        <f>V490*'Optimal Choice'!$B$24*AI490</f>
        <v>395280</v>
      </c>
      <c r="AS490" s="12">
        <f t="shared" si="9"/>
        <v>60</v>
      </c>
      <c r="AT490" s="12">
        <f t="shared" si="10"/>
        <v>50</v>
      </c>
      <c r="AU490" s="12">
        <f t="shared" si="11"/>
        <v>32</v>
      </c>
      <c r="AV490" s="12">
        <f t="shared" si="12"/>
        <v>4</v>
      </c>
      <c r="AW490" s="12">
        <f t="shared" si="13"/>
        <v>3</v>
      </c>
      <c r="AY490" s="11">
        <f t="shared" si="14"/>
        <v>0.03260456118</v>
      </c>
    </row>
    <row r="491" ht="15.75" customHeight="1">
      <c r="A491" s="15">
        <f t="shared" si="2"/>
        <v>51.76343943</v>
      </c>
      <c r="B491" s="7">
        <f>(sum(AL491:AP491))*'Optimal Choice'!$B$28</f>
        <v>838938.2</v>
      </c>
      <c r="C491" s="11"/>
      <c r="D491" s="12"/>
      <c r="E491" s="12"/>
      <c r="F491" s="11"/>
      <c r="G491" s="11"/>
      <c r="H491" s="11"/>
      <c r="I491" s="11"/>
      <c r="J491" s="11"/>
      <c r="K491" s="11">
        <f>(X491/$B491)+(X491/('Optimal Choice'!$B$4*AS491))</f>
        <v>17495.62466</v>
      </c>
      <c r="L491" s="11">
        <f>(Y491/$B491)+(Y491/('Optimal Choice'!$B$9*AT491))</f>
        <v>17437.09949</v>
      </c>
      <c r="M491" s="11">
        <f>(Z491/$B491)+(Z491/('Optimal Choice'!$B$14*AU491))</f>
        <v>17232.19948</v>
      </c>
      <c r="N491" s="11">
        <f>(AA491/$B491)+(AA491/('Optimal Choice'!$B$19*AV491))</f>
        <v>19145.79164</v>
      </c>
      <c r="O491" s="11">
        <f>(AB491/$B491)+(AB491/('Optimal Choice'!$B$24*AW491))</f>
        <v>18154.27924</v>
      </c>
      <c r="R491" s="12">
        <f t="shared" ref="R491:V491" si="501">if(min($K490:$O490)=K490,R490+1,R490)</f>
        <v>191</v>
      </c>
      <c r="S491" s="12">
        <f t="shared" si="501"/>
        <v>89</v>
      </c>
      <c r="T491" s="12">
        <f t="shared" si="501"/>
        <v>84</v>
      </c>
      <c r="U491" s="12">
        <f t="shared" si="501"/>
        <v>65</v>
      </c>
      <c r="V491" s="12">
        <f t="shared" si="501"/>
        <v>61</v>
      </c>
      <c r="X491" s="13">
        <f> 'Optimal Choice'!$B$5*'Optimal Choice'!$B$6^(R491+1)</f>
        <v>1752852.236</v>
      </c>
      <c r="Y491" s="13">
        <f> 'Optimal Choice'!$B$10*'Optimal Choice'!$B$11^(S491+1)</f>
        <v>17416339.51</v>
      </c>
      <c r="Z491" s="13">
        <f> 'Optimal Choice'!$B$15*'Optimal Choice'!$B$16^(T491+1)</f>
        <v>49458946.34</v>
      </c>
      <c r="AA491" s="13">
        <f> 'Optimal Choice'!$B$20*'Optimal Choice'!$B$21^(U491+1)</f>
        <v>27522698.48</v>
      </c>
      <c r="AB491" s="13">
        <f> 'Optimal Choice'!$B$25*'Optimal Choice'!$B$26^(V491+1)</f>
        <v>116738039.1</v>
      </c>
      <c r="AE491" s="12">
        <f t="shared" si="4"/>
        <v>60</v>
      </c>
      <c r="AF491" s="12">
        <f t="shared" si="5"/>
        <v>50</v>
      </c>
      <c r="AG491" s="12">
        <f t="shared" si="6"/>
        <v>32</v>
      </c>
      <c r="AH491" s="12">
        <f t="shared" si="7"/>
        <v>4</v>
      </c>
      <c r="AI491" s="12">
        <f t="shared" si="8"/>
        <v>3</v>
      </c>
      <c r="AL491" s="14">
        <f>R491*'Optimal Choice'!$B$4*AE491</f>
        <v>19138.2</v>
      </c>
      <c r="AM491" s="14">
        <f>S491*'Optimal Choice'!$B$9*AF491</f>
        <v>89000</v>
      </c>
      <c r="AN491" s="14">
        <f>T491*'Optimal Choice'!$B$14*AG491</f>
        <v>241920</v>
      </c>
      <c r="AO491" s="14">
        <f>U491*'Optimal Choice'!$B$19*AH491</f>
        <v>93600</v>
      </c>
      <c r="AP491" s="14">
        <f>V491*'Optimal Choice'!$B$24*AI491</f>
        <v>395280</v>
      </c>
      <c r="AS491" s="12">
        <f t="shared" si="9"/>
        <v>60</v>
      </c>
      <c r="AT491" s="12">
        <f t="shared" si="10"/>
        <v>50</v>
      </c>
      <c r="AU491" s="12">
        <f t="shared" si="11"/>
        <v>32</v>
      </c>
      <c r="AV491" s="12">
        <f t="shared" si="12"/>
        <v>4</v>
      </c>
      <c r="AW491" s="12">
        <f t="shared" si="13"/>
        <v>3</v>
      </c>
      <c r="AY491" s="11">
        <f t="shared" si="14"/>
        <v>0.4847049291</v>
      </c>
    </row>
    <row r="492" ht="15.75" customHeight="1">
      <c r="A492" s="15">
        <f t="shared" si="2"/>
        <v>52.74600975</v>
      </c>
      <c r="B492" s="7">
        <f>(sum(AL492:AP492))*'Optimal Choice'!$B$28</f>
        <v>841818.2</v>
      </c>
      <c r="C492" s="11"/>
      <c r="D492" s="12"/>
      <c r="E492" s="12"/>
      <c r="F492" s="11"/>
      <c r="G492" s="11"/>
      <c r="H492" s="11"/>
      <c r="I492" s="11"/>
      <c r="J492" s="11"/>
      <c r="K492" s="11">
        <f>(X492/$B492)+(X492/('Optimal Choice'!$B$4*AS492))</f>
        <v>17495.61751</v>
      </c>
      <c r="L492" s="11">
        <f>(Y492/$B492)+(Y492/('Optimal Choice'!$B$9*AT492))</f>
        <v>17437.02847</v>
      </c>
      <c r="M492" s="11">
        <f>(Z492/$B492)+(Z492/('Optimal Choice'!$B$14*AU492))</f>
        <v>19644.47747</v>
      </c>
      <c r="N492" s="11">
        <f>(AA492/$B492)+(AA492/('Optimal Choice'!$B$19*AV492))</f>
        <v>19145.67941</v>
      </c>
      <c r="O492" s="11">
        <f>(AB492/$B492)+(AB492/('Optimal Choice'!$B$24*AW492))</f>
        <v>18153.80319</v>
      </c>
      <c r="R492" s="12">
        <f t="shared" ref="R492:V492" si="502">if(min($K491:$O491)=K491,R491+1,R491)</f>
        <v>191</v>
      </c>
      <c r="S492" s="12">
        <f t="shared" si="502"/>
        <v>89</v>
      </c>
      <c r="T492" s="12">
        <f t="shared" si="502"/>
        <v>85</v>
      </c>
      <c r="U492" s="12">
        <f t="shared" si="502"/>
        <v>65</v>
      </c>
      <c r="V492" s="12">
        <f t="shared" si="502"/>
        <v>61</v>
      </c>
      <c r="X492" s="13">
        <f> 'Optimal Choice'!$B$5*'Optimal Choice'!$B$6^(R492+1)</f>
        <v>1752852.236</v>
      </c>
      <c r="Y492" s="13">
        <f> 'Optimal Choice'!$B$10*'Optimal Choice'!$B$11^(S492+1)</f>
        <v>17416339.51</v>
      </c>
      <c r="Z492" s="13">
        <f> 'Optimal Choice'!$B$15*'Optimal Choice'!$B$16^(T492+1)</f>
        <v>56383198.83</v>
      </c>
      <c r="AA492" s="13">
        <f> 'Optimal Choice'!$B$20*'Optimal Choice'!$B$21^(U492+1)</f>
        <v>27522698.48</v>
      </c>
      <c r="AB492" s="13">
        <f> 'Optimal Choice'!$B$25*'Optimal Choice'!$B$26^(V492+1)</f>
        <v>116738039.1</v>
      </c>
      <c r="AE492" s="12">
        <f t="shared" si="4"/>
        <v>60</v>
      </c>
      <c r="AF492" s="12">
        <f t="shared" si="5"/>
        <v>50</v>
      </c>
      <c r="AG492" s="12">
        <f t="shared" si="6"/>
        <v>32</v>
      </c>
      <c r="AH492" s="12">
        <f t="shared" si="7"/>
        <v>4</v>
      </c>
      <c r="AI492" s="12">
        <f t="shared" si="8"/>
        <v>3</v>
      </c>
      <c r="AL492" s="14">
        <f>R492*'Optimal Choice'!$B$4*AE492</f>
        <v>19138.2</v>
      </c>
      <c r="AM492" s="14">
        <f>S492*'Optimal Choice'!$B$9*AF492</f>
        <v>89000</v>
      </c>
      <c r="AN492" s="14">
        <f>T492*'Optimal Choice'!$B$14*AG492</f>
        <v>244800</v>
      </c>
      <c r="AO492" s="14">
        <f>U492*'Optimal Choice'!$B$19*AH492</f>
        <v>93600</v>
      </c>
      <c r="AP492" s="14">
        <f>V492*'Optimal Choice'!$B$24*AI492</f>
        <v>395280</v>
      </c>
      <c r="AS492" s="12">
        <f t="shared" si="9"/>
        <v>60</v>
      </c>
      <c r="AT492" s="12">
        <f t="shared" si="10"/>
        <v>50</v>
      </c>
      <c r="AU492" s="12">
        <f t="shared" si="11"/>
        <v>32</v>
      </c>
      <c r="AV492" s="12">
        <f t="shared" si="12"/>
        <v>4</v>
      </c>
      <c r="AW492" s="12">
        <f t="shared" si="13"/>
        <v>3</v>
      </c>
      <c r="AY492" s="11">
        <f t="shared" si="14"/>
        <v>0.9825703161</v>
      </c>
    </row>
    <row r="493" ht="15.75" customHeight="1">
      <c r="A493" s="15">
        <f t="shared" si="2"/>
        <v>53.09082568</v>
      </c>
      <c r="B493" s="7">
        <f>(sum(AL493:AP493))*'Optimal Choice'!$B$28</f>
        <v>842818.2</v>
      </c>
      <c r="C493" s="11"/>
      <c r="D493" s="12"/>
      <c r="E493" s="12"/>
      <c r="F493" s="11"/>
      <c r="G493" s="11"/>
      <c r="H493" s="11"/>
      <c r="I493" s="11"/>
      <c r="J493" s="11"/>
      <c r="K493" s="11">
        <f>(X493/$B493)+(X493/('Optimal Choice'!$B$4*AS493))</f>
        <v>17495.61504</v>
      </c>
      <c r="L493" s="11">
        <f>(Y493/$B493)+(Y493/('Optimal Choice'!$B$9*AT493))</f>
        <v>20052.55451</v>
      </c>
      <c r="M493" s="11">
        <f>(Z493/$B493)+(Z493/('Optimal Choice'!$B$14*AU493))</f>
        <v>19644.398</v>
      </c>
      <c r="N493" s="11">
        <f>(AA493/$B493)+(AA493/('Optimal Choice'!$B$19*AV493))</f>
        <v>19145.64062</v>
      </c>
      <c r="O493" s="11">
        <f>(AB493/$B493)+(AB493/('Optimal Choice'!$B$24*AW493))</f>
        <v>18153.63865</v>
      </c>
      <c r="R493" s="12">
        <f t="shared" ref="R493:V493" si="503">if(min($K492:$O492)=K492,R492+1,R492)</f>
        <v>191</v>
      </c>
      <c r="S493" s="12">
        <f t="shared" si="503"/>
        <v>90</v>
      </c>
      <c r="T493" s="12">
        <f t="shared" si="503"/>
        <v>85</v>
      </c>
      <c r="U493" s="12">
        <f t="shared" si="503"/>
        <v>65</v>
      </c>
      <c r="V493" s="12">
        <f t="shared" si="503"/>
        <v>61</v>
      </c>
      <c r="X493" s="13">
        <f> 'Optimal Choice'!$B$5*'Optimal Choice'!$B$6^(R493+1)</f>
        <v>1752852.236</v>
      </c>
      <c r="Y493" s="13">
        <f> 'Optimal Choice'!$B$10*'Optimal Choice'!$B$11^(S493+1)</f>
        <v>20028790.44</v>
      </c>
      <c r="Z493" s="13">
        <f> 'Optimal Choice'!$B$15*'Optimal Choice'!$B$16^(T493+1)</f>
        <v>56383198.83</v>
      </c>
      <c r="AA493" s="13">
        <f> 'Optimal Choice'!$B$20*'Optimal Choice'!$B$21^(U493+1)</f>
        <v>27522698.48</v>
      </c>
      <c r="AB493" s="13">
        <f> 'Optimal Choice'!$B$25*'Optimal Choice'!$B$26^(V493+1)</f>
        <v>116738039.1</v>
      </c>
      <c r="AE493" s="12">
        <f t="shared" si="4"/>
        <v>60</v>
      </c>
      <c r="AF493" s="12">
        <f t="shared" si="5"/>
        <v>50</v>
      </c>
      <c r="AG493" s="12">
        <f t="shared" si="6"/>
        <v>32</v>
      </c>
      <c r="AH493" s="12">
        <f t="shared" si="7"/>
        <v>4</v>
      </c>
      <c r="AI493" s="12">
        <f t="shared" si="8"/>
        <v>3</v>
      </c>
      <c r="AL493" s="14">
        <f>R493*'Optimal Choice'!$B$4*AE493</f>
        <v>19138.2</v>
      </c>
      <c r="AM493" s="14">
        <f>S493*'Optimal Choice'!$B$9*AF493</f>
        <v>90000</v>
      </c>
      <c r="AN493" s="14">
        <f>T493*'Optimal Choice'!$B$14*AG493</f>
        <v>244800</v>
      </c>
      <c r="AO493" s="14">
        <f>U493*'Optimal Choice'!$B$19*AH493</f>
        <v>93600</v>
      </c>
      <c r="AP493" s="14">
        <f>V493*'Optimal Choice'!$B$24*AI493</f>
        <v>395280</v>
      </c>
      <c r="AS493" s="12">
        <f t="shared" si="9"/>
        <v>60</v>
      </c>
      <c r="AT493" s="12">
        <f t="shared" si="10"/>
        <v>50</v>
      </c>
      <c r="AU493" s="12">
        <f t="shared" si="11"/>
        <v>32</v>
      </c>
      <c r="AV493" s="12">
        <f t="shared" si="12"/>
        <v>4</v>
      </c>
      <c r="AW493" s="12">
        <f t="shared" si="13"/>
        <v>3</v>
      </c>
      <c r="AY493" s="11">
        <f t="shared" si="14"/>
        <v>0.3448159296</v>
      </c>
    </row>
    <row r="494" ht="15.75" customHeight="1">
      <c r="A494" s="15">
        <f t="shared" si="2"/>
        <v>53.1254882</v>
      </c>
      <c r="B494" s="7">
        <f>(sum(AL494:AP494))*'Optimal Choice'!$B$28</f>
        <v>842918.4</v>
      </c>
      <c r="C494" s="11"/>
      <c r="D494" s="12"/>
      <c r="E494" s="12"/>
      <c r="F494" s="11"/>
      <c r="G494" s="11"/>
      <c r="H494" s="11"/>
      <c r="I494" s="11"/>
      <c r="J494" s="11"/>
      <c r="K494" s="11">
        <f>(X494/$B494)+(X494/('Optimal Choice'!$B$4*AS494))</f>
        <v>18720.30783</v>
      </c>
      <c r="L494" s="11">
        <f>(Y494/$B494)+(Y494/('Optimal Choice'!$B$9*AT494))</f>
        <v>20052.55168</v>
      </c>
      <c r="M494" s="11">
        <f>(Z494/$B494)+(Z494/('Optimal Choice'!$B$14*AU494))</f>
        <v>19644.39005</v>
      </c>
      <c r="N494" s="11">
        <f>(AA494/$B494)+(AA494/('Optimal Choice'!$B$19*AV494))</f>
        <v>19145.63673</v>
      </c>
      <c r="O494" s="11">
        <f>(AB494/$B494)+(AB494/('Optimal Choice'!$B$24*AW494))</f>
        <v>18153.62219</v>
      </c>
      <c r="R494" s="12">
        <f t="shared" ref="R494:V494" si="504">if(min($K493:$O493)=K493,R493+1,R493)</f>
        <v>192</v>
      </c>
      <c r="S494" s="12">
        <f t="shared" si="504"/>
        <v>90</v>
      </c>
      <c r="T494" s="12">
        <f t="shared" si="504"/>
        <v>85</v>
      </c>
      <c r="U494" s="12">
        <f t="shared" si="504"/>
        <v>65</v>
      </c>
      <c r="V494" s="12">
        <f t="shared" si="504"/>
        <v>61</v>
      </c>
      <c r="X494" s="13">
        <f> 'Optimal Choice'!$B$5*'Optimal Choice'!$B$6^(R494+1)</f>
        <v>1875551.892</v>
      </c>
      <c r="Y494" s="13">
        <f> 'Optimal Choice'!$B$10*'Optimal Choice'!$B$11^(S494+1)</f>
        <v>20028790.44</v>
      </c>
      <c r="Z494" s="13">
        <f> 'Optimal Choice'!$B$15*'Optimal Choice'!$B$16^(T494+1)</f>
        <v>56383198.83</v>
      </c>
      <c r="AA494" s="13">
        <f> 'Optimal Choice'!$B$20*'Optimal Choice'!$B$21^(U494+1)</f>
        <v>27522698.48</v>
      </c>
      <c r="AB494" s="13">
        <f> 'Optimal Choice'!$B$25*'Optimal Choice'!$B$26^(V494+1)</f>
        <v>116738039.1</v>
      </c>
      <c r="AE494" s="12">
        <f t="shared" si="4"/>
        <v>60</v>
      </c>
      <c r="AF494" s="12">
        <f t="shared" si="5"/>
        <v>50</v>
      </c>
      <c r="AG494" s="12">
        <f t="shared" si="6"/>
        <v>32</v>
      </c>
      <c r="AH494" s="12">
        <f t="shared" si="7"/>
        <v>4</v>
      </c>
      <c r="AI494" s="12">
        <f t="shared" si="8"/>
        <v>3</v>
      </c>
      <c r="AL494" s="14">
        <f>R494*'Optimal Choice'!$B$4*AE494</f>
        <v>19238.4</v>
      </c>
      <c r="AM494" s="14">
        <f>S494*'Optimal Choice'!$B$9*AF494</f>
        <v>90000</v>
      </c>
      <c r="AN494" s="14">
        <f>T494*'Optimal Choice'!$B$14*AG494</f>
        <v>244800</v>
      </c>
      <c r="AO494" s="14">
        <f>U494*'Optimal Choice'!$B$19*AH494</f>
        <v>93600</v>
      </c>
      <c r="AP494" s="14">
        <f>V494*'Optimal Choice'!$B$24*AI494</f>
        <v>395280</v>
      </c>
      <c r="AS494" s="12">
        <f t="shared" si="9"/>
        <v>60</v>
      </c>
      <c r="AT494" s="12">
        <f t="shared" si="10"/>
        <v>50</v>
      </c>
      <c r="AU494" s="12">
        <f t="shared" si="11"/>
        <v>32</v>
      </c>
      <c r="AV494" s="12">
        <f t="shared" si="12"/>
        <v>4</v>
      </c>
      <c r="AW494" s="12">
        <f t="shared" si="13"/>
        <v>3</v>
      </c>
      <c r="AY494" s="11">
        <f t="shared" si="14"/>
        <v>0.03466252144</v>
      </c>
    </row>
    <row r="495" ht="15.75" customHeight="1">
      <c r="A495" s="15">
        <f t="shared" si="2"/>
        <v>55.43369975</v>
      </c>
      <c r="B495" s="7">
        <f>(sum(AL495:AP495))*'Optimal Choice'!$B$28</f>
        <v>849398.4</v>
      </c>
      <c r="C495" s="11"/>
      <c r="D495" s="12"/>
      <c r="E495" s="12"/>
      <c r="F495" s="11"/>
      <c r="G495" s="11"/>
      <c r="H495" s="11"/>
      <c r="I495" s="11"/>
      <c r="J495" s="11"/>
      <c r="K495" s="11">
        <f>(X495/$B495)+(X495/('Optimal Choice'!$B$4*AS495))</f>
        <v>18720.29085</v>
      </c>
      <c r="L495" s="11">
        <f>(Y495/$B495)+(Y495/('Optimal Choice'!$B$9*AT495))</f>
        <v>20052.37041</v>
      </c>
      <c r="M495" s="11">
        <f>(Z495/$B495)+(Z495/('Optimal Choice'!$B$14*AU495))</f>
        <v>19643.87975</v>
      </c>
      <c r="N495" s="11">
        <f>(AA495/$B495)+(AA495/('Optimal Choice'!$B$19*AV495))</f>
        <v>19145.38764</v>
      </c>
      <c r="O495" s="11">
        <f>(AB495/$B495)+(AB495/('Optimal Choice'!$B$24*AW495))</f>
        <v>20330.87351</v>
      </c>
      <c r="R495" s="12">
        <f t="shared" ref="R495:V495" si="505">if(min($K494:$O494)=K494,R494+1,R494)</f>
        <v>192</v>
      </c>
      <c r="S495" s="12">
        <f t="shared" si="505"/>
        <v>90</v>
      </c>
      <c r="T495" s="12">
        <f t="shared" si="505"/>
        <v>85</v>
      </c>
      <c r="U495" s="12">
        <f t="shared" si="505"/>
        <v>65</v>
      </c>
      <c r="V495" s="12">
        <f t="shared" si="505"/>
        <v>62</v>
      </c>
      <c r="X495" s="13">
        <f> 'Optimal Choice'!$B$5*'Optimal Choice'!$B$6^(R495+1)</f>
        <v>1875551.892</v>
      </c>
      <c r="Y495" s="13">
        <f> 'Optimal Choice'!$B$10*'Optimal Choice'!$B$11^(S495+1)</f>
        <v>20028790.44</v>
      </c>
      <c r="Z495" s="13">
        <f> 'Optimal Choice'!$B$15*'Optimal Choice'!$B$16^(T495+1)</f>
        <v>56383198.83</v>
      </c>
      <c r="AA495" s="13">
        <f> 'Optimal Choice'!$B$20*'Optimal Choice'!$B$21^(U495+1)</f>
        <v>27522698.48</v>
      </c>
      <c r="AB495" s="13">
        <f> 'Optimal Choice'!$B$25*'Optimal Choice'!$B$26^(V495+1)</f>
        <v>130746603.8</v>
      </c>
      <c r="AE495" s="12">
        <f t="shared" si="4"/>
        <v>60</v>
      </c>
      <c r="AF495" s="12">
        <f t="shared" si="5"/>
        <v>50</v>
      </c>
      <c r="AG495" s="12">
        <f t="shared" si="6"/>
        <v>32</v>
      </c>
      <c r="AH495" s="12">
        <f t="shared" si="7"/>
        <v>4</v>
      </c>
      <c r="AI495" s="12">
        <f t="shared" si="8"/>
        <v>3</v>
      </c>
      <c r="AL495" s="14">
        <f>R495*'Optimal Choice'!$B$4*AE495</f>
        <v>19238.4</v>
      </c>
      <c r="AM495" s="14">
        <f>S495*'Optimal Choice'!$B$9*AF495</f>
        <v>90000</v>
      </c>
      <c r="AN495" s="14">
        <f>T495*'Optimal Choice'!$B$14*AG495</f>
        <v>244800</v>
      </c>
      <c r="AO495" s="14">
        <f>U495*'Optimal Choice'!$B$19*AH495</f>
        <v>93600</v>
      </c>
      <c r="AP495" s="14">
        <f>V495*'Optimal Choice'!$B$24*AI495</f>
        <v>401760</v>
      </c>
      <c r="AS495" s="12">
        <f t="shared" si="9"/>
        <v>60</v>
      </c>
      <c r="AT495" s="12">
        <f t="shared" si="10"/>
        <v>50</v>
      </c>
      <c r="AU495" s="12">
        <f t="shared" si="11"/>
        <v>32</v>
      </c>
      <c r="AV495" s="12">
        <f t="shared" si="12"/>
        <v>4</v>
      </c>
      <c r="AW495" s="12">
        <f t="shared" si="13"/>
        <v>3</v>
      </c>
      <c r="AY495" s="11">
        <f t="shared" si="14"/>
        <v>2.308211549</v>
      </c>
    </row>
    <row r="496" ht="15.75" customHeight="1">
      <c r="A496" s="15">
        <f t="shared" si="2"/>
        <v>55.47050132</v>
      </c>
      <c r="B496" s="7">
        <f>(sum(AL496:AP496))*'Optimal Choice'!$B$28</f>
        <v>849498.6</v>
      </c>
      <c r="C496" s="11"/>
      <c r="D496" s="12"/>
      <c r="E496" s="12"/>
      <c r="F496" s="11"/>
      <c r="G496" s="11"/>
      <c r="H496" s="11"/>
      <c r="I496" s="11"/>
      <c r="J496" s="11"/>
      <c r="K496" s="11">
        <f>(X496/$B496)+(X496/('Optimal Choice'!$B$4*AS496))</f>
        <v>20030.71093</v>
      </c>
      <c r="L496" s="11">
        <f>(Y496/$B496)+(Y496/('Optimal Choice'!$B$9*AT496))</f>
        <v>20052.36763</v>
      </c>
      <c r="M496" s="11">
        <f>(Z496/$B496)+(Z496/('Optimal Choice'!$B$14*AU496))</f>
        <v>19643.87192</v>
      </c>
      <c r="N496" s="11">
        <f>(AA496/$B496)+(AA496/('Optimal Choice'!$B$19*AV496))</f>
        <v>19145.38382</v>
      </c>
      <c r="O496" s="11">
        <f>(AB496/$B496)+(AB496/('Optimal Choice'!$B$24*AW496))</f>
        <v>20330.85536</v>
      </c>
      <c r="R496" s="12">
        <f t="shared" ref="R496:V496" si="506">if(min($K495:$O495)=K495,R495+1,R495)</f>
        <v>193</v>
      </c>
      <c r="S496" s="12">
        <f t="shared" si="506"/>
        <v>90</v>
      </c>
      <c r="T496" s="12">
        <f t="shared" si="506"/>
        <v>85</v>
      </c>
      <c r="U496" s="12">
        <f t="shared" si="506"/>
        <v>65</v>
      </c>
      <c r="V496" s="12">
        <f t="shared" si="506"/>
        <v>62</v>
      </c>
      <c r="X496" s="13">
        <f> 'Optimal Choice'!$B$5*'Optimal Choice'!$B$6^(R496+1)</f>
        <v>2006840.525</v>
      </c>
      <c r="Y496" s="13">
        <f> 'Optimal Choice'!$B$10*'Optimal Choice'!$B$11^(S496+1)</f>
        <v>20028790.44</v>
      </c>
      <c r="Z496" s="13">
        <f> 'Optimal Choice'!$B$15*'Optimal Choice'!$B$16^(T496+1)</f>
        <v>56383198.83</v>
      </c>
      <c r="AA496" s="13">
        <f> 'Optimal Choice'!$B$20*'Optimal Choice'!$B$21^(U496+1)</f>
        <v>27522698.48</v>
      </c>
      <c r="AB496" s="13">
        <f> 'Optimal Choice'!$B$25*'Optimal Choice'!$B$26^(V496+1)</f>
        <v>130746603.8</v>
      </c>
      <c r="AE496" s="12">
        <f t="shared" si="4"/>
        <v>60</v>
      </c>
      <c r="AF496" s="12">
        <f t="shared" si="5"/>
        <v>50</v>
      </c>
      <c r="AG496" s="12">
        <f t="shared" si="6"/>
        <v>32</v>
      </c>
      <c r="AH496" s="12">
        <f t="shared" si="7"/>
        <v>4</v>
      </c>
      <c r="AI496" s="12">
        <f t="shared" si="8"/>
        <v>3</v>
      </c>
      <c r="AL496" s="14">
        <f>R496*'Optimal Choice'!$B$4*AE496</f>
        <v>19338.6</v>
      </c>
      <c r="AM496" s="14">
        <f>S496*'Optimal Choice'!$B$9*AF496</f>
        <v>90000</v>
      </c>
      <c r="AN496" s="14">
        <f>T496*'Optimal Choice'!$B$14*AG496</f>
        <v>244800</v>
      </c>
      <c r="AO496" s="14">
        <f>U496*'Optimal Choice'!$B$19*AH496</f>
        <v>93600</v>
      </c>
      <c r="AP496" s="14">
        <f>V496*'Optimal Choice'!$B$24*AI496</f>
        <v>401760</v>
      </c>
      <c r="AS496" s="12">
        <f t="shared" si="9"/>
        <v>60</v>
      </c>
      <c r="AT496" s="12">
        <f t="shared" si="10"/>
        <v>50</v>
      </c>
      <c r="AU496" s="12">
        <f t="shared" si="11"/>
        <v>32</v>
      </c>
      <c r="AV496" s="12">
        <f t="shared" si="12"/>
        <v>4</v>
      </c>
      <c r="AW496" s="12">
        <f t="shared" si="13"/>
        <v>3</v>
      </c>
      <c r="AY496" s="11">
        <f t="shared" si="14"/>
        <v>0.03680157415</v>
      </c>
    </row>
    <row r="497" ht="15.75" customHeight="1">
      <c r="A497" s="15">
        <f t="shared" si="2"/>
        <v>56.0104806</v>
      </c>
      <c r="B497" s="7">
        <f>(sum(AL497:AP497))*'Optimal Choice'!$B$28</f>
        <v>850938.6</v>
      </c>
      <c r="C497" s="11"/>
      <c r="D497" s="12"/>
      <c r="E497" s="12"/>
      <c r="F497" s="11"/>
      <c r="G497" s="11"/>
      <c r="H497" s="11"/>
      <c r="I497" s="11"/>
      <c r="J497" s="11"/>
      <c r="K497" s="11">
        <f>(X497/$B497)+(X497/('Optimal Choice'!$B$4*AS497))</f>
        <v>20030.70693</v>
      </c>
      <c r="L497" s="11">
        <f>(Y497/$B497)+(Y497/('Optimal Choice'!$B$9*AT497))</f>
        <v>20052.32773</v>
      </c>
      <c r="M497" s="11">
        <f>(Z497/$B497)+(Z497/('Optimal Choice'!$B$14*AU497))</f>
        <v>19643.7596</v>
      </c>
      <c r="N497" s="11">
        <f>(AA497/$B497)+(AA497/('Optimal Choice'!$B$19*AV497))</f>
        <v>21634.22176</v>
      </c>
      <c r="O497" s="11">
        <f>(AB497/$B497)+(AB497/('Optimal Choice'!$B$24*AW497))</f>
        <v>20330.5949</v>
      </c>
      <c r="R497" s="12">
        <f t="shared" ref="R497:V497" si="507">if(min($K496:$O496)=K496,R496+1,R496)</f>
        <v>193</v>
      </c>
      <c r="S497" s="12">
        <f t="shared" si="507"/>
        <v>90</v>
      </c>
      <c r="T497" s="12">
        <f t="shared" si="507"/>
        <v>85</v>
      </c>
      <c r="U497" s="12">
        <f t="shared" si="507"/>
        <v>66</v>
      </c>
      <c r="V497" s="12">
        <f t="shared" si="507"/>
        <v>62</v>
      </c>
      <c r="X497" s="13">
        <f> 'Optimal Choice'!$B$5*'Optimal Choice'!$B$6^(R497+1)</f>
        <v>2006840.525</v>
      </c>
      <c r="Y497" s="13">
        <f> 'Optimal Choice'!$B$10*'Optimal Choice'!$B$11^(S497+1)</f>
        <v>20028790.44</v>
      </c>
      <c r="Z497" s="13">
        <f> 'Optimal Choice'!$B$15*'Optimal Choice'!$B$16^(T497+1)</f>
        <v>56383198.83</v>
      </c>
      <c r="AA497" s="13">
        <f> 'Optimal Choice'!$B$20*'Optimal Choice'!$B$21^(U497+1)</f>
        <v>31100649.29</v>
      </c>
      <c r="AB497" s="13">
        <f> 'Optimal Choice'!$B$25*'Optimal Choice'!$B$26^(V497+1)</f>
        <v>130746603.8</v>
      </c>
      <c r="AE497" s="12">
        <f t="shared" si="4"/>
        <v>60</v>
      </c>
      <c r="AF497" s="12">
        <f t="shared" si="5"/>
        <v>50</v>
      </c>
      <c r="AG497" s="12">
        <f t="shared" si="6"/>
        <v>32</v>
      </c>
      <c r="AH497" s="12">
        <f t="shared" si="7"/>
        <v>4</v>
      </c>
      <c r="AI497" s="12">
        <f t="shared" si="8"/>
        <v>3</v>
      </c>
      <c r="AL497" s="14">
        <f>R497*'Optimal Choice'!$B$4*AE497</f>
        <v>19338.6</v>
      </c>
      <c r="AM497" s="14">
        <f>S497*'Optimal Choice'!$B$9*AF497</f>
        <v>90000</v>
      </c>
      <c r="AN497" s="14">
        <f>T497*'Optimal Choice'!$B$14*AG497</f>
        <v>244800</v>
      </c>
      <c r="AO497" s="14">
        <f>U497*'Optimal Choice'!$B$19*AH497</f>
        <v>95040</v>
      </c>
      <c r="AP497" s="14">
        <f>V497*'Optimal Choice'!$B$24*AI497</f>
        <v>401760</v>
      </c>
      <c r="AS497" s="12">
        <f t="shared" si="9"/>
        <v>60</v>
      </c>
      <c r="AT497" s="12">
        <f t="shared" si="10"/>
        <v>50</v>
      </c>
      <c r="AU497" s="12">
        <f t="shared" si="11"/>
        <v>32</v>
      </c>
      <c r="AV497" s="12">
        <f t="shared" si="12"/>
        <v>4</v>
      </c>
      <c r="AW497" s="12">
        <f t="shared" si="13"/>
        <v>3</v>
      </c>
      <c r="AY497" s="11">
        <f t="shared" si="14"/>
        <v>0.5399792788</v>
      </c>
    </row>
    <row r="498" ht="15.75" customHeight="1">
      <c r="A498" s="15">
        <f t="shared" si="2"/>
        <v>57.11481407</v>
      </c>
      <c r="B498" s="7">
        <f>(sum(AL498:AP498))*'Optimal Choice'!$B$28</f>
        <v>853818.6</v>
      </c>
      <c r="C498" s="11"/>
      <c r="D498" s="12"/>
      <c r="E498" s="12"/>
      <c r="F498" s="11"/>
      <c r="G498" s="11"/>
      <c r="H498" s="11"/>
      <c r="I498" s="11"/>
      <c r="J498" s="11"/>
      <c r="K498" s="11">
        <f>(X498/$B498)+(X498/('Optimal Choice'!$B$4*AS498))</f>
        <v>20030.69898</v>
      </c>
      <c r="L498" s="11">
        <f>(Y498/$B498)+(Y498/('Optimal Choice'!$B$9*AT498))</f>
        <v>20052.24834</v>
      </c>
      <c r="M498" s="11">
        <f>(Z498/$B498)+(Z498/('Optimal Choice'!$B$14*AU498))</f>
        <v>22393.63116</v>
      </c>
      <c r="N498" s="11">
        <f>(AA498/$B498)+(AA498/('Optimal Choice'!$B$19*AV498))</f>
        <v>21634.09848</v>
      </c>
      <c r="O498" s="11">
        <f>(AB498/$B498)+(AB498/('Optimal Choice'!$B$24*AW498))</f>
        <v>20330.07663</v>
      </c>
      <c r="R498" s="12">
        <f t="shared" ref="R498:V498" si="508">if(min($K497:$O497)=K497,R497+1,R497)</f>
        <v>193</v>
      </c>
      <c r="S498" s="12">
        <f t="shared" si="508"/>
        <v>90</v>
      </c>
      <c r="T498" s="12">
        <f t="shared" si="508"/>
        <v>86</v>
      </c>
      <c r="U498" s="12">
        <f t="shared" si="508"/>
        <v>66</v>
      </c>
      <c r="V498" s="12">
        <f t="shared" si="508"/>
        <v>62</v>
      </c>
      <c r="X498" s="13">
        <f> 'Optimal Choice'!$B$5*'Optimal Choice'!$B$6^(R498+1)</f>
        <v>2006840.525</v>
      </c>
      <c r="Y498" s="13">
        <f> 'Optimal Choice'!$B$10*'Optimal Choice'!$B$11^(S498+1)</f>
        <v>20028790.44</v>
      </c>
      <c r="Z498" s="13">
        <f> 'Optimal Choice'!$B$15*'Optimal Choice'!$B$16^(T498+1)</f>
        <v>64276846.66</v>
      </c>
      <c r="AA498" s="13">
        <f> 'Optimal Choice'!$B$20*'Optimal Choice'!$B$21^(U498+1)</f>
        <v>31100649.29</v>
      </c>
      <c r="AB498" s="13">
        <f> 'Optimal Choice'!$B$25*'Optimal Choice'!$B$26^(V498+1)</f>
        <v>130746603.8</v>
      </c>
      <c r="AE498" s="12">
        <f t="shared" si="4"/>
        <v>60</v>
      </c>
      <c r="AF498" s="12">
        <f t="shared" si="5"/>
        <v>50</v>
      </c>
      <c r="AG498" s="12">
        <f t="shared" si="6"/>
        <v>32</v>
      </c>
      <c r="AH498" s="12">
        <f t="shared" si="7"/>
        <v>4</v>
      </c>
      <c r="AI498" s="12">
        <f t="shared" si="8"/>
        <v>3</v>
      </c>
      <c r="AL498" s="14">
        <f>R498*'Optimal Choice'!$B$4*AE498</f>
        <v>19338.6</v>
      </c>
      <c r="AM498" s="14">
        <f>S498*'Optimal Choice'!$B$9*AF498</f>
        <v>90000</v>
      </c>
      <c r="AN498" s="14">
        <f>T498*'Optimal Choice'!$B$14*AG498</f>
        <v>247680</v>
      </c>
      <c r="AO498" s="14">
        <f>U498*'Optimal Choice'!$B$19*AH498</f>
        <v>95040</v>
      </c>
      <c r="AP498" s="14">
        <f>V498*'Optimal Choice'!$B$24*AI498</f>
        <v>401760</v>
      </c>
      <c r="AS498" s="12">
        <f t="shared" si="9"/>
        <v>60</v>
      </c>
      <c r="AT498" s="12">
        <f t="shared" si="10"/>
        <v>50</v>
      </c>
      <c r="AU498" s="12">
        <f t="shared" si="11"/>
        <v>32</v>
      </c>
      <c r="AV498" s="12">
        <f t="shared" si="12"/>
        <v>4</v>
      </c>
      <c r="AW498" s="12">
        <f t="shared" si="13"/>
        <v>3</v>
      </c>
      <c r="AY498" s="11">
        <f t="shared" si="14"/>
        <v>1.104333474</v>
      </c>
    </row>
    <row r="499" ht="15.75" customHeight="1">
      <c r="A499" s="15">
        <f t="shared" si="2"/>
        <v>57.1539879</v>
      </c>
      <c r="B499" s="7">
        <f>(sum(AL499:AP499))*'Optimal Choice'!$B$28</f>
        <v>853918.8</v>
      </c>
      <c r="C499" s="11"/>
      <c r="D499" s="12"/>
      <c r="E499" s="12"/>
      <c r="F499" s="11"/>
      <c r="G499" s="11"/>
      <c r="H499" s="11"/>
      <c r="I499" s="11"/>
      <c r="J499" s="11"/>
      <c r="K499" s="11">
        <f>(X499/$B499)+(X499/('Optimal Choice'!$B$4*AS499))</f>
        <v>21432.84761</v>
      </c>
      <c r="L499" s="11">
        <f>(Y499/$B499)+(Y499/('Optimal Choice'!$B$9*AT499))</f>
        <v>20052.24559</v>
      </c>
      <c r="M499" s="11">
        <f>(Z499/$B499)+(Z499/('Optimal Choice'!$B$14*AU499))</f>
        <v>22393.62232</v>
      </c>
      <c r="N499" s="11">
        <f>(AA499/$B499)+(AA499/('Optimal Choice'!$B$19*AV499))</f>
        <v>21634.0942</v>
      </c>
      <c r="O499" s="11">
        <f>(AB499/$B499)+(AB499/('Optimal Choice'!$B$24*AW499))</f>
        <v>20330.05866</v>
      </c>
      <c r="R499" s="12">
        <f t="shared" ref="R499:V499" si="509">if(min($K498:$O498)=K498,R498+1,R498)</f>
        <v>194</v>
      </c>
      <c r="S499" s="12">
        <f t="shared" si="509"/>
        <v>90</v>
      </c>
      <c r="T499" s="12">
        <f t="shared" si="509"/>
        <v>86</v>
      </c>
      <c r="U499" s="12">
        <f t="shared" si="509"/>
        <v>66</v>
      </c>
      <c r="V499" s="12">
        <f t="shared" si="509"/>
        <v>62</v>
      </c>
      <c r="X499" s="13">
        <f> 'Optimal Choice'!$B$5*'Optimal Choice'!$B$6^(R499+1)</f>
        <v>2147319.361</v>
      </c>
      <c r="Y499" s="13">
        <f> 'Optimal Choice'!$B$10*'Optimal Choice'!$B$11^(S499+1)</f>
        <v>20028790.44</v>
      </c>
      <c r="Z499" s="13">
        <f> 'Optimal Choice'!$B$15*'Optimal Choice'!$B$16^(T499+1)</f>
        <v>64276846.66</v>
      </c>
      <c r="AA499" s="13">
        <f> 'Optimal Choice'!$B$20*'Optimal Choice'!$B$21^(U499+1)</f>
        <v>31100649.29</v>
      </c>
      <c r="AB499" s="13">
        <f> 'Optimal Choice'!$B$25*'Optimal Choice'!$B$26^(V499+1)</f>
        <v>130746603.8</v>
      </c>
      <c r="AE499" s="12">
        <f t="shared" si="4"/>
        <v>60</v>
      </c>
      <c r="AF499" s="12">
        <f t="shared" si="5"/>
        <v>50</v>
      </c>
      <c r="AG499" s="12">
        <f t="shared" si="6"/>
        <v>32</v>
      </c>
      <c r="AH499" s="12">
        <f t="shared" si="7"/>
        <v>4</v>
      </c>
      <c r="AI499" s="12">
        <f t="shared" si="8"/>
        <v>3</v>
      </c>
      <c r="AL499" s="14">
        <f>R499*'Optimal Choice'!$B$4*AE499</f>
        <v>19438.8</v>
      </c>
      <c r="AM499" s="14">
        <f>S499*'Optimal Choice'!$B$9*AF499</f>
        <v>90000</v>
      </c>
      <c r="AN499" s="14">
        <f>T499*'Optimal Choice'!$B$14*AG499</f>
        <v>247680</v>
      </c>
      <c r="AO499" s="14">
        <f>U499*'Optimal Choice'!$B$19*AH499</f>
        <v>95040</v>
      </c>
      <c r="AP499" s="14">
        <f>V499*'Optimal Choice'!$B$24*AI499</f>
        <v>401760</v>
      </c>
      <c r="AS499" s="12">
        <f t="shared" si="9"/>
        <v>60</v>
      </c>
      <c r="AT499" s="12">
        <f t="shared" si="10"/>
        <v>50</v>
      </c>
      <c r="AU499" s="12">
        <f t="shared" si="11"/>
        <v>32</v>
      </c>
      <c r="AV499" s="12">
        <f t="shared" si="12"/>
        <v>4</v>
      </c>
      <c r="AW499" s="12">
        <f t="shared" si="13"/>
        <v>3</v>
      </c>
      <c r="AY499" s="11">
        <f t="shared" si="14"/>
        <v>0.03917382694</v>
      </c>
    </row>
    <row r="500" ht="15.75" customHeight="1">
      <c r="A500" s="15">
        <f t="shared" si="2"/>
        <v>57.54490701</v>
      </c>
      <c r="B500" s="7">
        <f>(sum(AL500:AP500))*'Optimal Choice'!$B$28</f>
        <v>854918.8</v>
      </c>
      <c r="C500" s="11"/>
      <c r="D500" s="12"/>
      <c r="E500" s="12"/>
      <c r="F500" s="11"/>
      <c r="G500" s="11"/>
      <c r="H500" s="11"/>
      <c r="I500" s="11"/>
      <c r="J500" s="11"/>
      <c r="K500" s="11">
        <f>(X500/$B500)+(X500/('Optimal Choice'!$B$4*AS500))</f>
        <v>21432.84467</v>
      </c>
      <c r="L500" s="11">
        <f>(Y500/$B500)+(Y500/('Optimal Choice'!$B$9*AT500))</f>
        <v>23060.05087</v>
      </c>
      <c r="M500" s="11">
        <f>(Z500/$B500)+(Z500/('Optimal Choice'!$B$14*AU500))</f>
        <v>22393.53427</v>
      </c>
      <c r="N500" s="11">
        <f>(AA500/$B500)+(AA500/('Optimal Choice'!$B$19*AV500))</f>
        <v>21634.0516</v>
      </c>
      <c r="O500" s="11">
        <f>(AB500/$B500)+(AB500/('Optimal Choice'!$B$24*AW500))</f>
        <v>20329.87956</v>
      </c>
      <c r="R500" s="12">
        <f t="shared" ref="R500:V500" si="510">if(min($K499:$O499)=K499,R499+1,R499)</f>
        <v>194</v>
      </c>
      <c r="S500" s="12">
        <f t="shared" si="510"/>
        <v>91</v>
      </c>
      <c r="T500" s="12">
        <f t="shared" si="510"/>
        <v>86</v>
      </c>
      <c r="U500" s="12">
        <f t="shared" si="510"/>
        <v>66</v>
      </c>
      <c r="V500" s="12">
        <f t="shared" si="510"/>
        <v>62</v>
      </c>
      <c r="X500" s="13">
        <f> 'Optimal Choice'!$B$5*'Optimal Choice'!$B$6^(R500+1)</f>
        <v>2147319.361</v>
      </c>
      <c r="Y500" s="13">
        <f> 'Optimal Choice'!$B$10*'Optimal Choice'!$B$11^(S500+1)</f>
        <v>23033109.01</v>
      </c>
      <c r="Z500" s="13">
        <f> 'Optimal Choice'!$B$15*'Optimal Choice'!$B$16^(T500+1)</f>
        <v>64276846.66</v>
      </c>
      <c r="AA500" s="13">
        <f> 'Optimal Choice'!$B$20*'Optimal Choice'!$B$21^(U500+1)</f>
        <v>31100649.29</v>
      </c>
      <c r="AB500" s="13">
        <f> 'Optimal Choice'!$B$25*'Optimal Choice'!$B$26^(V500+1)</f>
        <v>130746603.8</v>
      </c>
      <c r="AE500" s="12">
        <f t="shared" si="4"/>
        <v>60</v>
      </c>
      <c r="AF500" s="12">
        <f t="shared" si="5"/>
        <v>50</v>
      </c>
      <c r="AG500" s="12">
        <f t="shared" si="6"/>
        <v>32</v>
      </c>
      <c r="AH500" s="12">
        <f t="shared" si="7"/>
        <v>4</v>
      </c>
      <c r="AI500" s="12">
        <f t="shared" si="8"/>
        <v>3</v>
      </c>
      <c r="AL500" s="14">
        <f>R500*'Optimal Choice'!$B$4*AE500</f>
        <v>19438.8</v>
      </c>
      <c r="AM500" s="14">
        <f>S500*'Optimal Choice'!$B$9*AF500</f>
        <v>91000</v>
      </c>
      <c r="AN500" s="14">
        <f>T500*'Optimal Choice'!$B$14*AG500</f>
        <v>247680</v>
      </c>
      <c r="AO500" s="14">
        <f>U500*'Optimal Choice'!$B$19*AH500</f>
        <v>95040</v>
      </c>
      <c r="AP500" s="14">
        <f>V500*'Optimal Choice'!$B$24*AI500</f>
        <v>401760</v>
      </c>
      <c r="AS500" s="12">
        <f t="shared" si="9"/>
        <v>60</v>
      </c>
      <c r="AT500" s="12">
        <f t="shared" si="10"/>
        <v>50</v>
      </c>
      <c r="AU500" s="12">
        <f t="shared" si="11"/>
        <v>32</v>
      </c>
      <c r="AV500" s="12">
        <f t="shared" si="12"/>
        <v>4</v>
      </c>
      <c r="AW500" s="12">
        <f t="shared" si="13"/>
        <v>3</v>
      </c>
      <c r="AY500" s="11">
        <f t="shared" si="14"/>
        <v>0.3909191061</v>
      </c>
    </row>
    <row r="501" ht="15.75" customHeight="1">
      <c r="A501" s="15">
        <f t="shared" si="2"/>
        <v>60.09381582</v>
      </c>
      <c r="B501" s="7">
        <f>(sum(AL501:AP501))*'Optimal Choice'!$B$28</f>
        <v>861398.8</v>
      </c>
      <c r="C501" s="11"/>
      <c r="D501" s="12"/>
      <c r="E501" s="12"/>
      <c r="F501" s="11"/>
      <c r="G501" s="11"/>
      <c r="H501" s="11"/>
      <c r="I501" s="11"/>
      <c r="J501" s="11"/>
      <c r="K501" s="11">
        <f>(X501/$B501)+(X501/('Optimal Choice'!$B$4*AS501))</f>
        <v>21432.82578</v>
      </c>
      <c r="L501" s="11">
        <f>(Y501/$B501)+(Y501/('Optimal Choice'!$B$9*AT501))</f>
        <v>23059.8482</v>
      </c>
      <c r="M501" s="11">
        <f>(Z501/$B501)+(Z501/('Optimal Choice'!$B$14*AU501))</f>
        <v>22392.96869</v>
      </c>
      <c r="N501" s="11">
        <f>(AA501/$B501)+(AA501/('Optimal Choice'!$B$19*AV501))</f>
        <v>21633.77794</v>
      </c>
      <c r="O501" s="11">
        <f>(AB501/$B501)+(AB501/('Optimal Choice'!$B$24*AW501))</f>
        <v>22768.17658</v>
      </c>
      <c r="R501" s="12">
        <f t="shared" ref="R501:V501" si="511">if(min($K500:$O500)=K500,R500+1,R500)</f>
        <v>194</v>
      </c>
      <c r="S501" s="12">
        <f t="shared" si="511"/>
        <v>91</v>
      </c>
      <c r="T501" s="12">
        <f t="shared" si="511"/>
        <v>86</v>
      </c>
      <c r="U501" s="12">
        <f t="shared" si="511"/>
        <v>66</v>
      </c>
      <c r="V501" s="12">
        <f t="shared" si="511"/>
        <v>63</v>
      </c>
      <c r="X501" s="13">
        <f> 'Optimal Choice'!$B$5*'Optimal Choice'!$B$6^(R501+1)</f>
        <v>2147319.361</v>
      </c>
      <c r="Y501" s="13">
        <f> 'Optimal Choice'!$B$10*'Optimal Choice'!$B$11^(S501+1)</f>
        <v>23033109.01</v>
      </c>
      <c r="Z501" s="13">
        <f> 'Optimal Choice'!$B$15*'Optimal Choice'!$B$16^(T501+1)</f>
        <v>64276846.66</v>
      </c>
      <c r="AA501" s="13">
        <f> 'Optimal Choice'!$B$20*'Optimal Choice'!$B$21^(U501+1)</f>
        <v>31100649.29</v>
      </c>
      <c r="AB501" s="13">
        <f> 'Optimal Choice'!$B$25*'Optimal Choice'!$B$26^(V501+1)</f>
        <v>146436196.3</v>
      </c>
      <c r="AE501" s="12">
        <f t="shared" si="4"/>
        <v>60</v>
      </c>
      <c r="AF501" s="12">
        <f t="shared" si="5"/>
        <v>50</v>
      </c>
      <c r="AG501" s="12">
        <f t="shared" si="6"/>
        <v>32</v>
      </c>
      <c r="AH501" s="12">
        <f t="shared" si="7"/>
        <v>4</v>
      </c>
      <c r="AI501" s="12">
        <f t="shared" si="8"/>
        <v>3</v>
      </c>
      <c r="AL501" s="14">
        <f>R501*'Optimal Choice'!$B$4*AE501</f>
        <v>19438.8</v>
      </c>
      <c r="AM501" s="14">
        <f>S501*'Optimal Choice'!$B$9*AF501</f>
        <v>91000</v>
      </c>
      <c r="AN501" s="14">
        <f>T501*'Optimal Choice'!$B$14*AG501</f>
        <v>247680</v>
      </c>
      <c r="AO501" s="14">
        <f>U501*'Optimal Choice'!$B$19*AH501</f>
        <v>95040</v>
      </c>
      <c r="AP501" s="14">
        <f>V501*'Optimal Choice'!$B$24*AI501</f>
        <v>408240</v>
      </c>
      <c r="AS501" s="12">
        <f t="shared" si="9"/>
        <v>60</v>
      </c>
      <c r="AT501" s="12">
        <f t="shared" si="10"/>
        <v>50</v>
      </c>
      <c r="AU501" s="12">
        <f t="shared" si="11"/>
        <v>32</v>
      </c>
      <c r="AV501" s="12">
        <f t="shared" si="12"/>
        <v>4</v>
      </c>
      <c r="AW501" s="12">
        <f t="shared" si="13"/>
        <v>3</v>
      </c>
      <c r="AY501" s="11">
        <f t="shared" si="14"/>
        <v>2.548908813</v>
      </c>
    </row>
    <row r="502" ht="15.75" customHeight="1">
      <c r="A502" s="15">
        <f t="shared" si="2"/>
        <v>60.13536296</v>
      </c>
      <c r="B502" s="7">
        <f>(sum(AL502:AP502))*'Optimal Choice'!$B$28</f>
        <v>861499</v>
      </c>
      <c r="C502" s="11"/>
      <c r="D502" s="12"/>
      <c r="E502" s="12"/>
      <c r="F502" s="11"/>
      <c r="G502" s="11"/>
      <c r="H502" s="11"/>
      <c r="I502" s="11"/>
      <c r="J502" s="11"/>
      <c r="K502" s="11">
        <f>(X502/$B502)+(X502/('Optimal Choice'!$B$4*AS502))</f>
        <v>22933.12327</v>
      </c>
      <c r="L502" s="11">
        <f>(Y502/$B502)+(Y502/('Optimal Choice'!$B$9*AT502))</f>
        <v>23059.84509</v>
      </c>
      <c r="M502" s="11">
        <f>(Z502/$B502)+(Z502/('Optimal Choice'!$B$14*AU502))</f>
        <v>22392.96001</v>
      </c>
      <c r="N502" s="11">
        <f>(AA502/$B502)+(AA502/('Optimal Choice'!$B$19*AV502))</f>
        <v>21633.77374</v>
      </c>
      <c r="O502" s="11">
        <f>(AB502/$B502)+(AB502/('Optimal Choice'!$B$24*AW502))</f>
        <v>22768.15681</v>
      </c>
      <c r="R502" s="12">
        <f t="shared" ref="R502:V502" si="512">if(min($K501:$O501)=K501,R501+1,R501)</f>
        <v>195</v>
      </c>
      <c r="S502" s="12">
        <f t="shared" si="512"/>
        <v>91</v>
      </c>
      <c r="T502" s="12">
        <f t="shared" si="512"/>
        <v>86</v>
      </c>
      <c r="U502" s="12">
        <f t="shared" si="512"/>
        <v>66</v>
      </c>
      <c r="V502" s="12">
        <f t="shared" si="512"/>
        <v>63</v>
      </c>
      <c r="X502" s="13">
        <f> 'Optimal Choice'!$B$5*'Optimal Choice'!$B$6^(R502+1)</f>
        <v>2297631.717</v>
      </c>
      <c r="Y502" s="13">
        <f> 'Optimal Choice'!$B$10*'Optimal Choice'!$B$11^(S502+1)</f>
        <v>23033109.01</v>
      </c>
      <c r="Z502" s="13">
        <f> 'Optimal Choice'!$B$15*'Optimal Choice'!$B$16^(T502+1)</f>
        <v>64276846.66</v>
      </c>
      <c r="AA502" s="13">
        <f> 'Optimal Choice'!$B$20*'Optimal Choice'!$B$21^(U502+1)</f>
        <v>31100649.29</v>
      </c>
      <c r="AB502" s="13">
        <f> 'Optimal Choice'!$B$25*'Optimal Choice'!$B$26^(V502+1)</f>
        <v>146436196.3</v>
      </c>
      <c r="AE502" s="12">
        <f t="shared" si="4"/>
        <v>60</v>
      </c>
      <c r="AF502" s="12">
        <f t="shared" si="5"/>
        <v>50</v>
      </c>
      <c r="AG502" s="12">
        <f t="shared" si="6"/>
        <v>32</v>
      </c>
      <c r="AH502" s="12">
        <f t="shared" si="7"/>
        <v>4</v>
      </c>
      <c r="AI502" s="12">
        <f t="shared" si="8"/>
        <v>3</v>
      </c>
      <c r="AL502" s="14">
        <f>R502*'Optimal Choice'!$B$4*AE502</f>
        <v>19539</v>
      </c>
      <c r="AM502" s="14">
        <f>S502*'Optimal Choice'!$B$9*AF502</f>
        <v>91000</v>
      </c>
      <c r="AN502" s="14">
        <f>T502*'Optimal Choice'!$B$14*AG502</f>
        <v>247680</v>
      </c>
      <c r="AO502" s="14">
        <f>U502*'Optimal Choice'!$B$19*AH502</f>
        <v>95040</v>
      </c>
      <c r="AP502" s="14">
        <f>V502*'Optimal Choice'!$B$24*AI502</f>
        <v>408240</v>
      </c>
      <c r="AS502" s="12">
        <f t="shared" si="9"/>
        <v>60</v>
      </c>
      <c r="AT502" s="12">
        <f t="shared" si="10"/>
        <v>50</v>
      </c>
      <c r="AU502" s="12">
        <f t="shared" si="11"/>
        <v>32</v>
      </c>
      <c r="AV502" s="12">
        <f t="shared" si="12"/>
        <v>4</v>
      </c>
      <c r="AW502" s="12">
        <f t="shared" si="13"/>
        <v>3</v>
      </c>
      <c r="AY502" s="11">
        <f t="shared" si="14"/>
        <v>0.0415471394</v>
      </c>
    </row>
    <row r="503" ht="15.75" customHeight="1">
      <c r="A503" s="15">
        <f t="shared" si="2"/>
        <v>60.73703998</v>
      </c>
      <c r="B503" s="7">
        <f>(sum(AL503:AP503))*'Optimal Choice'!$B$28</f>
        <v>862939</v>
      </c>
      <c r="C503" s="11"/>
      <c r="D503" s="12"/>
      <c r="E503" s="12"/>
      <c r="F503" s="11"/>
      <c r="G503" s="11"/>
      <c r="H503" s="11"/>
      <c r="I503" s="11"/>
      <c r="J503" s="11"/>
      <c r="K503" s="11">
        <f>(X503/$B503)+(X503/('Optimal Choice'!$B$4*AS503))</f>
        <v>22933.11882</v>
      </c>
      <c r="L503" s="11">
        <f>(Y503/$B503)+(Y503/('Optimal Choice'!$B$9*AT503))</f>
        <v>23059.80047</v>
      </c>
      <c r="M503" s="11">
        <f>(Z503/$B503)+(Z503/('Optimal Choice'!$B$14*AU503))</f>
        <v>22392.8355</v>
      </c>
      <c r="N503" s="11">
        <f>(AA503/$B503)+(AA503/('Optimal Choice'!$B$19*AV503))</f>
        <v>24446.09625</v>
      </c>
      <c r="O503" s="11">
        <f>(AB503/$B503)+(AB503/('Optimal Choice'!$B$24*AW503))</f>
        <v>22767.87316</v>
      </c>
      <c r="R503" s="12">
        <f t="shared" ref="R503:V503" si="513">if(min($K502:$O502)=K502,R502+1,R502)</f>
        <v>195</v>
      </c>
      <c r="S503" s="12">
        <f t="shared" si="513"/>
        <v>91</v>
      </c>
      <c r="T503" s="12">
        <f t="shared" si="513"/>
        <v>86</v>
      </c>
      <c r="U503" s="12">
        <f t="shared" si="513"/>
        <v>67</v>
      </c>
      <c r="V503" s="12">
        <f t="shared" si="513"/>
        <v>63</v>
      </c>
      <c r="X503" s="13">
        <f> 'Optimal Choice'!$B$5*'Optimal Choice'!$B$6^(R503+1)</f>
        <v>2297631.717</v>
      </c>
      <c r="Y503" s="13">
        <f> 'Optimal Choice'!$B$10*'Optimal Choice'!$B$11^(S503+1)</f>
        <v>23033109.01</v>
      </c>
      <c r="Z503" s="13">
        <f> 'Optimal Choice'!$B$15*'Optimal Choice'!$B$16^(T503+1)</f>
        <v>64276846.66</v>
      </c>
      <c r="AA503" s="13">
        <f> 'Optimal Choice'!$B$20*'Optimal Choice'!$B$21^(U503+1)</f>
        <v>35143733.69</v>
      </c>
      <c r="AB503" s="13">
        <f> 'Optimal Choice'!$B$25*'Optimal Choice'!$B$26^(V503+1)</f>
        <v>146436196.3</v>
      </c>
      <c r="AE503" s="12">
        <f t="shared" si="4"/>
        <v>60</v>
      </c>
      <c r="AF503" s="12">
        <f t="shared" si="5"/>
        <v>50</v>
      </c>
      <c r="AG503" s="12">
        <f t="shared" si="6"/>
        <v>32</v>
      </c>
      <c r="AH503" s="12">
        <f t="shared" si="7"/>
        <v>4</v>
      </c>
      <c r="AI503" s="12">
        <f t="shared" si="8"/>
        <v>3</v>
      </c>
      <c r="AL503" s="14">
        <f>R503*'Optimal Choice'!$B$4*AE503</f>
        <v>19539</v>
      </c>
      <c r="AM503" s="14">
        <f>S503*'Optimal Choice'!$B$9*AF503</f>
        <v>91000</v>
      </c>
      <c r="AN503" s="14">
        <f>T503*'Optimal Choice'!$B$14*AG503</f>
        <v>247680</v>
      </c>
      <c r="AO503" s="14">
        <f>U503*'Optimal Choice'!$B$19*AH503</f>
        <v>96480</v>
      </c>
      <c r="AP503" s="14">
        <f>V503*'Optimal Choice'!$B$24*AI503</f>
        <v>408240</v>
      </c>
      <c r="AS503" s="12">
        <f t="shared" si="9"/>
        <v>60</v>
      </c>
      <c r="AT503" s="12">
        <f t="shared" si="10"/>
        <v>50</v>
      </c>
      <c r="AU503" s="12">
        <f t="shared" si="11"/>
        <v>32</v>
      </c>
      <c r="AV503" s="12">
        <f t="shared" si="12"/>
        <v>4</v>
      </c>
      <c r="AW503" s="12">
        <f t="shared" si="13"/>
        <v>3</v>
      </c>
      <c r="AY503" s="11">
        <f t="shared" si="14"/>
        <v>0.6016770243</v>
      </c>
    </row>
    <row r="504" ht="15.75" customHeight="1">
      <c r="A504" s="15">
        <f t="shared" si="2"/>
        <v>61.97847278</v>
      </c>
      <c r="B504" s="7">
        <f>(sum(AL504:AP504))*'Optimal Choice'!$B$28</f>
        <v>865819</v>
      </c>
      <c r="C504" s="11"/>
      <c r="D504" s="12"/>
      <c r="E504" s="12"/>
      <c r="F504" s="11"/>
      <c r="G504" s="11"/>
      <c r="H504" s="11"/>
      <c r="I504" s="11"/>
      <c r="J504" s="11"/>
      <c r="K504" s="11">
        <f>(X504/$B504)+(X504/('Optimal Choice'!$B$4*AS504))</f>
        <v>22933.10996</v>
      </c>
      <c r="L504" s="11">
        <f>(Y504/$B504)+(Y504/('Optimal Choice'!$B$9*AT504))</f>
        <v>23059.71169</v>
      </c>
      <c r="M504" s="11">
        <f>(Z504/$B504)+(Z504/('Optimal Choice'!$B$14*AU504))</f>
        <v>25527.55002</v>
      </c>
      <c r="N504" s="11">
        <f>(AA504/$B504)+(AA504/('Optimal Choice'!$B$19*AV504))</f>
        <v>24445.96078</v>
      </c>
      <c r="O504" s="11">
        <f>(AB504/$B504)+(AB504/('Optimal Choice'!$B$24*AW504))</f>
        <v>22767.3087</v>
      </c>
      <c r="R504" s="12">
        <f t="shared" ref="R504:V504" si="514">if(min($K503:$O503)=K503,R503+1,R503)</f>
        <v>195</v>
      </c>
      <c r="S504" s="12">
        <f t="shared" si="514"/>
        <v>91</v>
      </c>
      <c r="T504" s="12">
        <f t="shared" si="514"/>
        <v>87</v>
      </c>
      <c r="U504" s="12">
        <f t="shared" si="514"/>
        <v>67</v>
      </c>
      <c r="V504" s="12">
        <f t="shared" si="514"/>
        <v>63</v>
      </c>
      <c r="X504" s="13">
        <f> 'Optimal Choice'!$B$5*'Optimal Choice'!$B$6^(R504+1)</f>
        <v>2297631.717</v>
      </c>
      <c r="Y504" s="13">
        <f> 'Optimal Choice'!$B$10*'Optimal Choice'!$B$11^(S504+1)</f>
        <v>23033109.01</v>
      </c>
      <c r="Z504" s="13">
        <f> 'Optimal Choice'!$B$15*'Optimal Choice'!$B$16^(T504+1)</f>
        <v>73275605.2</v>
      </c>
      <c r="AA504" s="13">
        <f> 'Optimal Choice'!$B$20*'Optimal Choice'!$B$21^(U504+1)</f>
        <v>35143733.69</v>
      </c>
      <c r="AB504" s="13">
        <f> 'Optimal Choice'!$B$25*'Optimal Choice'!$B$26^(V504+1)</f>
        <v>146436196.3</v>
      </c>
      <c r="AE504" s="12">
        <f t="shared" si="4"/>
        <v>60</v>
      </c>
      <c r="AF504" s="12">
        <f t="shared" si="5"/>
        <v>50</v>
      </c>
      <c r="AG504" s="12">
        <f t="shared" si="6"/>
        <v>32</v>
      </c>
      <c r="AH504" s="12">
        <f t="shared" si="7"/>
        <v>4</v>
      </c>
      <c r="AI504" s="12">
        <f t="shared" si="8"/>
        <v>3</v>
      </c>
      <c r="AL504" s="14">
        <f>R504*'Optimal Choice'!$B$4*AE504</f>
        <v>19539</v>
      </c>
      <c r="AM504" s="14">
        <f>S504*'Optimal Choice'!$B$9*AF504</f>
        <v>91000</v>
      </c>
      <c r="AN504" s="14">
        <f>T504*'Optimal Choice'!$B$14*AG504</f>
        <v>250560</v>
      </c>
      <c r="AO504" s="14">
        <f>U504*'Optimal Choice'!$B$19*AH504</f>
        <v>96480</v>
      </c>
      <c r="AP504" s="14">
        <f>V504*'Optimal Choice'!$B$24*AI504</f>
        <v>408240</v>
      </c>
      <c r="AS504" s="12">
        <f t="shared" si="9"/>
        <v>60</v>
      </c>
      <c r="AT504" s="12">
        <f t="shared" si="10"/>
        <v>50</v>
      </c>
      <c r="AU504" s="12">
        <f t="shared" si="11"/>
        <v>32</v>
      </c>
      <c r="AV504" s="12">
        <f t="shared" si="12"/>
        <v>4</v>
      </c>
      <c r="AW504" s="12">
        <f t="shared" si="13"/>
        <v>3</v>
      </c>
      <c r="AY504" s="11">
        <f t="shared" si="14"/>
        <v>1.241432799</v>
      </c>
    </row>
    <row r="505" ht="15.75" customHeight="1">
      <c r="A505" s="15">
        <f t="shared" si="2"/>
        <v>64.79731052</v>
      </c>
      <c r="B505" s="7">
        <f>(sum(AL505:AP505))*'Optimal Choice'!$B$28</f>
        <v>872299</v>
      </c>
      <c r="C505" s="11"/>
      <c r="D505" s="12"/>
      <c r="E505" s="12"/>
      <c r="F505" s="11"/>
      <c r="G505" s="11"/>
      <c r="H505" s="11"/>
      <c r="I505" s="11"/>
      <c r="J505" s="11"/>
      <c r="K505" s="11">
        <f>(X505/$B505)+(X505/('Optimal Choice'!$B$4*AS505))</f>
        <v>22933.09025</v>
      </c>
      <c r="L505" s="11">
        <f>(Y505/$B505)+(Y505/('Optimal Choice'!$B$9*AT505))</f>
        <v>23059.51407</v>
      </c>
      <c r="M505" s="11">
        <f>(Z505/$B505)+(Z505/('Optimal Choice'!$B$14*AU505))</f>
        <v>25526.92132</v>
      </c>
      <c r="N505" s="11">
        <f>(AA505/$B505)+(AA505/('Optimal Choice'!$B$19*AV505))</f>
        <v>24445.65925</v>
      </c>
      <c r="O505" s="11">
        <f>(AB505/$B505)+(AB505/('Optimal Choice'!$B$24*AW505))</f>
        <v>25497.97857</v>
      </c>
      <c r="R505" s="12">
        <f t="shared" ref="R505:V505" si="515">if(min($K504:$O504)=K504,R504+1,R504)</f>
        <v>195</v>
      </c>
      <c r="S505" s="12">
        <f t="shared" si="515"/>
        <v>91</v>
      </c>
      <c r="T505" s="12">
        <f t="shared" si="515"/>
        <v>87</v>
      </c>
      <c r="U505" s="12">
        <f t="shared" si="515"/>
        <v>67</v>
      </c>
      <c r="V505" s="12">
        <f t="shared" si="515"/>
        <v>64</v>
      </c>
      <c r="X505" s="13">
        <f> 'Optimal Choice'!$B$5*'Optimal Choice'!$B$6^(R505+1)</f>
        <v>2297631.717</v>
      </c>
      <c r="Y505" s="13">
        <f> 'Optimal Choice'!$B$10*'Optimal Choice'!$B$11^(S505+1)</f>
        <v>23033109.01</v>
      </c>
      <c r="Z505" s="13">
        <f> 'Optimal Choice'!$B$15*'Optimal Choice'!$B$16^(T505+1)</f>
        <v>73275605.2</v>
      </c>
      <c r="AA505" s="13">
        <f> 'Optimal Choice'!$B$20*'Optimal Choice'!$B$21^(U505+1)</f>
        <v>35143733.69</v>
      </c>
      <c r="AB505" s="13">
        <f> 'Optimal Choice'!$B$25*'Optimal Choice'!$B$26^(V505+1)</f>
        <v>164008539.8</v>
      </c>
      <c r="AE505" s="12">
        <f t="shared" si="4"/>
        <v>60</v>
      </c>
      <c r="AF505" s="12">
        <f t="shared" si="5"/>
        <v>50</v>
      </c>
      <c r="AG505" s="12">
        <f t="shared" si="6"/>
        <v>32</v>
      </c>
      <c r="AH505" s="12">
        <f t="shared" si="7"/>
        <v>4</v>
      </c>
      <c r="AI505" s="12">
        <f t="shared" si="8"/>
        <v>3</v>
      </c>
      <c r="AL505" s="14">
        <f>R505*'Optimal Choice'!$B$4*AE505</f>
        <v>19539</v>
      </c>
      <c r="AM505" s="14">
        <f>S505*'Optimal Choice'!$B$9*AF505</f>
        <v>91000</v>
      </c>
      <c r="AN505" s="14">
        <f>T505*'Optimal Choice'!$B$14*AG505</f>
        <v>250560</v>
      </c>
      <c r="AO505" s="14">
        <f>U505*'Optimal Choice'!$B$19*AH505</f>
        <v>96480</v>
      </c>
      <c r="AP505" s="14">
        <f>V505*'Optimal Choice'!$B$24*AI505</f>
        <v>414720</v>
      </c>
      <c r="AS505" s="12">
        <f t="shared" si="9"/>
        <v>60</v>
      </c>
      <c r="AT505" s="12">
        <f t="shared" si="10"/>
        <v>50</v>
      </c>
      <c r="AU505" s="12">
        <f t="shared" si="11"/>
        <v>32</v>
      </c>
      <c r="AV505" s="12">
        <f t="shared" si="12"/>
        <v>4</v>
      </c>
      <c r="AW505" s="12">
        <f t="shared" si="13"/>
        <v>3</v>
      </c>
      <c r="AY505" s="11">
        <f t="shared" si="14"/>
        <v>2.818837738</v>
      </c>
    </row>
    <row r="506" ht="15.75" customHeight="1">
      <c r="A506" s="15">
        <f t="shared" si="2"/>
        <v>64.84121044</v>
      </c>
      <c r="B506" s="7">
        <f>(sum(AL506:AP506))*'Optimal Choice'!$B$28</f>
        <v>872399.2</v>
      </c>
      <c r="C506" s="11"/>
      <c r="D506" s="12"/>
      <c r="E506" s="12"/>
      <c r="F506" s="11"/>
      <c r="G506" s="11"/>
      <c r="H506" s="11"/>
      <c r="I506" s="11"/>
      <c r="J506" s="11"/>
      <c r="K506" s="11">
        <f>(X506/$B506)+(X506/('Optimal Choice'!$B$4*AS506))</f>
        <v>24538.40624</v>
      </c>
      <c r="L506" s="11">
        <f>(Y506/$B506)+(Y506/('Optimal Choice'!$B$9*AT506))</f>
        <v>23059.51103</v>
      </c>
      <c r="M506" s="11">
        <f>(Z506/$B506)+(Z506/('Optimal Choice'!$B$14*AU506))</f>
        <v>25526.91168</v>
      </c>
      <c r="N506" s="11">
        <f>(AA506/$B506)+(AA506/('Optimal Choice'!$B$19*AV506))</f>
        <v>24445.65463</v>
      </c>
      <c r="O506" s="11">
        <f>(AB506/$B506)+(AB506/('Optimal Choice'!$B$24*AW506))</f>
        <v>25497.95697</v>
      </c>
      <c r="R506" s="12">
        <f t="shared" ref="R506:V506" si="516">if(min($K505:$O505)=K505,R505+1,R505)</f>
        <v>196</v>
      </c>
      <c r="S506" s="12">
        <f t="shared" si="516"/>
        <v>91</v>
      </c>
      <c r="T506" s="12">
        <f t="shared" si="516"/>
        <v>87</v>
      </c>
      <c r="U506" s="12">
        <f t="shared" si="516"/>
        <v>67</v>
      </c>
      <c r="V506" s="12">
        <f t="shared" si="516"/>
        <v>64</v>
      </c>
      <c r="X506" s="13">
        <f> 'Optimal Choice'!$B$5*'Optimal Choice'!$B$6^(R506+1)</f>
        <v>2458465.937</v>
      </c>
      <c r="Y506" s="13">
        <f> 'Optimal Choice'!$B$10*'Optimal Choice'!$B$11^(S506+1)</f>
        <v>23033109.01</v>
      </c>
      <c r="Z506" s="13">
        <f> 'Optimal Choice'!$B$15*'Optimal Choice'!$B$16^(T506+1)</f>
        <v>73275605.2</v>
      </c>
      <c r="AA506" s="13">
        <f> 'Optimal Choice'!$B$20*'Optimal Choice'!$B$21^(U506+1)</f>
        <v>35143733.69</v>
      </c>
      <c r="AB506" s="13">
        <f> 'Optimal Choice'!$B$25*'Optimal Choice'!$B$26^(V506+1)</f>
        <v>164008539.8</v>
      </c>
      <c r="AE506" s="12">
        <f t="shared" si="4"/>
        <v>60</v>
      </c>
      <c r="AF506" s="12">
        <f t="shared" si="5"/>
        <v>50</v>
      </c>
      <c r="AG506" s="12">
        <f t="shared" si="6"/>
        <v>32</v>
      </c>
      <c r="AH506" s="12">
        <f t="shared" si="7"/>
        <v>4</v>
      </c>
      <c r="AI506" s="12">
        <f t="shared" si="8"/>
        <v>3</v>
      </c>
      <c r="AL506" s="14">
        <f>R506*'Optimal Choice'!$B$4*AE506</f>
        <v>19639.2</v>
      </c>
      <c r="AM506" s="14">
        <f>S506*'Optimal Choice'!$B$9*AF506</f>
        <v>91000</v>
      </c>
      <c r="AN506" s="14">
        <f>T506*'Optimal Choice'!$B$14*AG506</f>
        <v>250560</v>
      </c>
      <c r="AO506" s="14">
        <f>U506*'Optimal Choice'!$B$19*AH506</f>
        <v>96480</v>
      </c>
      <c r="AP506" s="14">
        <f>V506*'Optimal Choice'!$B$24*AI506</f>
        <v>414720</v>
      </c>
      <c r="AS506" s="12">
        <f t="shared" si="9"/>
        <v>60</v>
      </c>
      <c r="AT506" s="12">
        <f t="shared" si="10"/>
        <v>50</v>
      </c>
      <c r="AU506" s="12">
        <f t="shared" si="11"/>
        <v>32</v>
      </c>
      <c r="AV506" s="12">
        <f t="shared" si="12"/>
        <v>4</v>
      </c>
      <c r="AW506" s="12">
        <f t="shared" si="13"/>
        <v>3</v>
      </c>
      <c r="AY506" s="11">
        <f t="shared" si="14"/>
        <v>0.04389992645</v>
      </c>
    </row>
    <row r="507" ht="15.75" customHeight="1">
      <c r="A507" s="15">
        <f t="shared" si="2"/>
        <v>65.28124426</v>
      </c>
      <c r="B507" s="7">
        <f>(sum(AL507:AP507))*'Optimal Choice'!$B$28</f>
        <v>873399.2</v>
      </c>
      <c r="C507" s="11"/>
      <c r="D507" s="12"/>
      <c r="E507" s="12"/>
      <c r="F507" s="11"/>
      <c r="G507" s="11"/>
      <c r="H507" s="11"/>
      <c r="I507" s="11"/>
      <c r="J507" s="11"/>
      <c r="K507" s="11">
        <f>(X507/$B507)+(X507/('Optimal Choice'!$B$4*AS507))</f>
        <v>24538.40302</v>
      </c>
      <c r="L507" s="11">
        <f>(Y507/$B507)+(Y507/('Optimal Choice'!$B$9*AT507))</f>
        <v>26518.40293</v>
      </c>
      <c r="M507" s="11">
        <f>(Z507/$B507)+(Z507/('Optimal Choice'!$B$14*AU507))</f>
        <v>25526.81551</v>
      </c>
      <c r="N507" s="11">
        <f>(AA507/$B507)+(AA507/('Optimal Choice'!$B$19*AV507))</f>
        <v>24445.6085</v>
      </c>
      <c r="O507" s="11">
        <f>(AB507/$B507)+(AB507/('Optimal Choice'!$B$24*AW507))</f>
        <v>25497.74173</v>
      </c>
      <c r="R507" s="12">
        <f t="shared" ref="R507:V507" si="517">if(min($K506:$O506)=K506,R506+1,R506)</f>
        <v>196</v>
      </c>
      <c r="S507" s="12">
        <f t="shared" si="517"/>
        <v>92</v>
      </c>
      <c r="T507" s="12">
        <f t="shared" si="517"/>
        <v>87</v>
      </c>
      <c r="U507" s="12">
        <f t="shared" si="517"/>
        <v>67</v>
      </c>
      <c r="V507" s="12">
        <f t="shared" si="517"/>
        <v>64</v>
      </c>
      <c r="X507" s="13">
        <f> 'Optimal Choice'!$B$5*'Optimal Choice'!$B$6^(R507+1)</f>
        <v>2458465.937</v>
      </c>
      <c r="Y507" s="13">
        <f> 'Optimal Choice'!$B$10*'Optimal Choice'!$B$11^(S507+1)</f>
        <v>26488075.36</v>
      </c>
      <c r="Z507" s="13">
        <f> 'Optimal Choice'!$B$15*'Optimal Choice'!$B$16^(T507+1)</f>
        <v>73275605.2</v>
      </c>
      <c r="AA507" s="13">
        <f> 'Optimal Choice'!$B$20*'Optimal Choice'!$B$21^(U507+1)</f>
        <v>35143733.69</v>
      </c>
      <c r="AB507" s="13">
        <f> 'Optimal Choice'!$B$25*'Optimal Choice'!$B$26^(V507+1)</f>
        <v>164008539.8</v>
      </c>
      <c r="AE507" s="12">
        <f t="shared" si="4"/>
        <v>60</v>
      </c>
      <c r="AF507" s="12">
        <f t="shared" si="5"/>
        <v>50</v>
      </c>
      <c r="AG507" s="12">
        <f t="shared" si="6"/>
        <v>32</v>
      </c>
      <c r="AH507" s="12">
        <f t="shared" si="7"/>
        <v>4</v>
      </c>
      <c r="AI507" s="12">
        <f t="shared" si="8"/>
        <v>3</v>
      </c>
      <c r="AL507" s="14">
        <f>R507*'Optimal Choice'!$B$4*AE507</f>
        <v>19639.2</v>
      </c>
      <c r="AM507" s="14">
        <f>S507*'Optimal Choice'!$B$9*AF507</f>
        <v>92000</v>
      </c>
      <c r="AN507" s="14">
        <f>T507*'Optimal Choice'!$B$14*AG507</f>
        <v>250560</v>
      </c>
      <c r="AO507" s="14">
        <f>U507*'Optimal Choice'!$B$19*AH507</f>
        <v>96480</v>
      </c>
      <c r="AP507" s="14">
        <f>V507*'Optimal Choice'!$B$24*AI507</f>
        <v>414720</v>
      </c>
      <c r="AS507" s="12">
        <f t="shared" si="9"/>
        <v>60</v>
      </c>
      <c r="AT507" s="12">
        <f t="shared" si="10"/>
        <v>50</v>
      </c>
      <c r="AU507" s="12">
        <f t="shared" si="11"/>
        <v>32</v>
      </c>
      <c r="AV507" s="12">
        <f t="shared" si="12"/>
        <v>4</v>
      </c>
      <c r="AW507" s="12">
        <f t="shared" si="13"/>
        <v>3</v>
      </c>
      <c r="AY507" s="11">
        <f t="shared" si="14"/>
        <v>0.4400338172</v>
      </c>
    </row>
    <row r="508" ht="15.75" customHeight="1">
      <c r="A508" s="15">
        <f t="shared" si="2"/>
        <v>65.95187562</v>
      </c>
      <c r="B508" s="7">
        <f>(sum(AL508:AP508))*'Optimal Choice'!$B$28</f>
        <v>874839.2</v>
      </c>
      <c r="C508" s="11"/>
      <c r="D508" s="12"/>
      <c r="E508" s="12"/>
      <c r="F508" s="11"/>
      <c r="G508" s="11"/>
      <c r="H508" s="11"/>
      <c r="I508" s="11"/>
      <c r="J508" s="11"/>
      <c r="K508" s="11">
        <f>(X508/$B508)+(X508/('Optimal Choice'!$B$4*AS508))</f>
        <v>24538.39838</v>
      </c>
      <c r="L508" s="11">
        <f>(Y508/$B508)+(Y508/('Optimal Choice'!$B$9*AT508))</f>
        <v>26518.35301</v>
      </c>
      <c r="M508" s="11">
        <f>(Z508/$B508)+(Z508/('Optimal Choice'!$B$14*AU508))</f>
        <v>25526.67741</v>
      </c>
      <c r="N508" s="11">
        <f>(AA508/$B508)+(AA508/('Optimal Choice'!$B$19*AV508))</f>
        <v>27623.46277</v>
      </c>
      <c r="O508" s="11">
        <f>(AB508/$B508)+(AB508/('Optimal Choice'!$B$24*AW508))</f>
        <v>25497.43263</v>
      </c>
      <c r="R508" s="12">
        <f t="shared" ref="R508:V508" si="518">if(min($K507:$O507)=K507,R507+1,R507)</f>
        <v>196</v>
      </c>
      <c r="S508" s="12">
        <f t="shared" si="518"/>
        <v>92</v>
      </c>
      <c r="T508" s="12">
        <f t="shared" si="518"/>
        <v>87</v>
      </c>
      <c r="U508" s="12">
        <f t="shared" si="518"/>
        <v>68</v>
      </c>
      <c r="V508" s="12">
        <f t="shared" si="518"/>
        <v>64</v>
      </c>
      <c r="X508" s="13">
        <f> 'Optimal Choice'!$B$5*'Optimal Choice'!$B$6^(R508+1)</f>
        <v>2458465.937</v>
      </c>
      <c r="Y508" s="13">
        <f> 'Optimal Choice'!$B$10*'Optimal Choice'!$B$11^(S508+1)</f>
        <v>26488075.36</v>
      </c>
      <c r="Z508" s="13">
        <f> 'Optimal Choice'!$B$15*'Optimal Choice'!$B$16^(T508+1)</f>
        <v>73275605.2</v>
      </c>
      <c r="AA508" s="13">
        <f> 'Optimal Choice'!$B$20*'Optimal Choice'!$B$21^(U508+1)</f>
        <v>39712419.07</v>
      </c>
      <c r="AB508" s="13">
        <f> 'Optimal Choice'!$B$25*'Optimal Choice'!$B$26^(V508+1)</f>
        <v>164008539.8</v>
      </c>
      <c r="AE508" s="12">
        <f t="shared" si="4"/>
        <v>60</v>
      </c>
      <c r="AF508" s="12">
        <f t="shared" si="5"/>
        <v>50</v>
      </c>
      <c r="AG508" s="12">
        <f t="shared" si="6"/>
        <v>32</v>
      </c>
      <c r="AH508" s="12">
        <f t="shared" si="7"/>
        <v>4</v>
      </c>
      <c r="AI508" s="12">
        <f t="shared" si="8"/>
        <v>3</v>
      </c>
      <c r="AL508" s="14">
        <f>R508*'Optimal Choice'!$B$4*AE508</f>
        <v>19639.2</v>
      </c>
      <c r="AM508" s="14">
        <f>S508*'Optimal Choice'!$B$9*AF508</f>
        <v>92000</v>
      </c>
      <c r="AN508" s="14">
        <f>T508*'Optimal Choice'!$B$14*AG508</f>
        <v>250560</v>
      </c>
      <c r="AO508" s="14">
        <f>U508*'Optimal Choice'!$B$19*AH508</f>
        <v>97920</v>
      </c>
      <c r="AP508" s="14">
        <f>V508*'Optimal Choice'!$B$24*AI508</f>
        <v>414720</v>
      </c>
      <c r="AS508" s="12">
        <f t="shared" si="9"/>
        <v>60</v>
      </c>
      <c r="AT508" s="12">
        <f t="shared" si="10"/>
        <v>50</v>
      </c>
      <c r="AU508" s="12">
        <f t="shared" si="11"/>
        <v>32</v>
      </c>
      <c r="AV508" s="12">
        <f t="shared" si="12"/>
        <v>4</v>
      </c>
      <c r="AW508" s="12">
        <f t="shared" si="13"/>
        <v>3</v>
      </c>
      <c r="AY508" s="11">
        <f t="shared" si="14"/>
        <v>0.6706313618</v>
      </c>
    </row>
    <row r="509" ht="15.75" customHeight="1">
      <c r="A509" s="15">
        <f t="shared" si="2"/>
        <v>65.99871215</v>
      </c>
      <c r="B509" s="7">
        <f>(sum(AL509:AP509))*'Optimal Choice'!$B$28</f>
        <v>874939.4</v>
      </c>
      <c r="C509" s="11"/>
      <c r="D509" s="12"/>
      <c r="E509" s="12"/>
      <c r="F509" s="11"/>
      <c r="G509" s="11"/>
      <c r="H509" s="11"/>
      <c r="I509" s="11"/>
      <c r="J509" s="11"/>
      <c r="K509" s="11">
        <f>(X509/$B509)+(X509/('Optimal Choice'!$B$4*AS509))</f>
        <v>26256.08593</v>
      </c>
      <c r="L509" s="11">
        <f>(Y509/$B509)+(Y509/('Optimal Choice'!$B$9*AT509))</f>
        <v>26518.34954</v>
      </c>
      <c r="M509" s="11">
        <f>(Z509/$B509)+(Z509/('Optimal Choice'!$B$14*AU509))</f>
        <v>25526.66782</v>
      </c>
      <c r="N509" s="11">
        <f>(AA509/$B509)+(AA509/('Optimal Choice'!$B$19*AV509))</f>
        <v>27623.45757</v>
      </c>
      <c r="O509" s="11">
        <f>(AB509/$B509)+(AB509/('Optimal Choice'!$B$24*AW509))</f>
        <v>25497.41116</v>
      </c>
      <c r="R509" s="12">
        <f t="shared" ref="R509:V509" si="519">if(min($K508:$O508)=K508,R508+1,R508)</f>
        <v>197</v>
      </c>
      <c r="S509" s="12">
        <f t="shared" si="519"/>
        <v>92</v>
      </c>
      <c r="T509" s="12">
        <f t="shared" si="519"/>
        <v>87</v>
      </c>
      <c r="U509" s="12">
        <f t="shared" si="519"/>
        <v>68</v>
      </c>
      <c r="V509" s="12">
        <f t="shared" si="519"/>
        <v>64</v>
      </c>
      <c r="X509" s="13">
        <f> 'Optimal Choice'!$B$5*'Optimal Choice'!$B$6^(R509+1)</f>
        <v>2630558.552</v>
      </c>
      <c r="Y509" s="13">
        <f> 'Optimal Choice'!$B$10*'Optimal Choice'!$B$11^(S509+1)</f>
        <v>26488075.36</v>
      </c>
      <c r="Z509" s="13">
        <f> 'Optimal Choice'!$B$15*'Optimal Choice'!$B$16^(T509+1)</f>
        <v>73275605.2</v>
      </c>
      <c r="AA509" s="13">
        <f> 'Optimal Choice'!$B$20*'Optimal Choice'!$B$21^(U509+1)</f>
        <v>39712419.07</v>
      </c>
      <c r="AB509" s="13">
        <f> 'Optimal Choice'!$B$25*'Optimal Choice'!$B$26^(V509+1)</f>
        <v>164008539.8</v>
      </c>
      <c r="AE509" s="12">
        <f t="shared" si="4"/>
        <v>60</v>
      </c>
      <c r="AF509" s="12">
        <f t="shared" si="5"/>
        <v>50</v>
      </c>
      <c r="AG509" s="12">
        <f t="shared" si="6"/>
        <v>32</v>
      </c>
      <c r="AH509" s="12">
        <f t="shared" si="7"/>
        <v>4</v>
      </c>
      <c r="AI509" s="12">
        <f t="shared" si="8"/>
        <v>3</v>
      </c>
      <c r="AL509" s="14">
        <f>R509*'Optimal Choice'!$B$4*AE509</f>
        <v>19739.4</v>
      </c>
      <c r="AM509" s="14">
        <f>S509*'Optimal Choice'!$B$9*AF509</f>
        <v>92000</v>
      </c>
      <c r="AN509" s="14">
        <f>T509*'Optimal Choice'!$B$14*AG509</f>
        <v>250560</v>
      </c>
      <c r="AO509" s="14">
        <f>U509*'Optimal Choice'!$B$19*AH509</f>
        <v>97920</v>
      </c>
      <c r="AP509" s="14">
        <f>V509*'Optimal Choice'!$B$24*AI509</f>
        <v>414720</v>
      </c>
      <c r="AS509" s="12">
        <f t="shared" si="9"/>
        <v>60</v>
      </c>
      <c r="AT509" s="12">
        <f t="shared" si="10"/>
        <v>50</v>
      </c>
      <c r="AU509" s="12">
        <f t="shared" si="11"/>
        <v>32</v>
      </c>
      <c r="AV509" s="12">
        <f t="shared" si="12"/>
        <v>4</v>
      </c>
      <c r="AW509" s="12">
        <f t="shared" si="13"/>
        <v>3</v>
      </c>
      <c r="AY509" s="11">
        <f t="shared" si="14"/>
        <v>0.04683652982</v>
      </c>
    </row>
    <row r="510" ht="15.75" customHeight="1">
      <c r="A510" s="15">
        <f t="shared" si="2"/>
        <v>69.12290071</v>
      </c>
      <c r="B510" s="7">
        <f>(sum(AL510:AP510))*'Optimal Choice'!$B$28</f>
        <v>881419.4</v>
      </c>
      <c r="C510" s="11"/>
      <c r="D510" s="12"/>
      <c r="E510" s="12"/>
      <c r="F510" s="11"/>
      <c r="G510" s="11"/>
      <c r="H510" s="11"/>
      <c r="I510" s="11"/>
      <c r="J510" s="11"/>
      <c r="K510" s="11">
        <f>(X510/$B510)+(X510/('Optimal Choice'!$B$4*AS510))</f>
        <v>26256.06382</v>
      </c>
      <c r="L510" s="11">
        <f>(Y510/$B510)+(Y510/('Optimal Choice'!$B$9*AT510))</f>
        <v>26518.12697</v>
      </c>
      <c r="M510" s="11">
        <f>(Z510/$B510)+(Z510/('Optimal Choice'!$B$14*AU510))</f>
        <v>25526.05211</v>
      </c>
      <c r="N510" s="11">
        <f>(AA510/$B510)+(AA510/('Optimal Choice'!$B$19*AV510))</f>
        <v>27623.12388</v>
      </c>
      <c r="O510" s="11">
        <f>(AB510/$B510)+(AB510/('Optimal Choice'!$B$24*AW510))</f>
        <v>28555.55703</v>
      </c>
      <c r="R510" s="12">
        <f t="shared" ref="R510:V510" si="520">if(min($K509:$O509)=K509,R509+1,R509)</f>
        <v>197</v>
      </c>
      <c r="S510" s="12">
        <f t="shared" si="520"/>
        <v>92</v>
      </c>
      <c r="T510" s="12">
        <f t="shared" si="520"/>
        <v>87</v>
      </c>
      <c r="U510" s="12">
        <f t="shared" si="520"/>
        <v>68</v>
      </c>
      <c r="V510" s="12">
        <f t="shared" si="520"/>
        <v>65</v>
      </c>
      <c r="X510" s="13">
        <f> 'Optimal Choice'!$B$5*'Optimal Choice'!$B$6^(R510+1)</f>
        <v>2630558.552</v>
      </c>
      <c r="Y510" s="13">
        <f> 'Optimal Choice'!$B$10*'Optimal Choice'!$B$11^(S510+1)</f>
        <v>26488075.36</v>
      </c>
      <c r="Z510" s="13">
        <f> 'Optimal Choice'!$B$15*'Optimal Choice'!$B$16^(T510+1)</f>
        <v>73275605.2</v>
      </c>
      <c r="AA510" s="13">
        <f> 'Optimal Choice'!$B$20*'Optimal Choice'!$B$21^(U510+1)</f>
        <v>39712419.07</v>
      </c>
      <c r="AB510" s="13">
        <f> 'Optimal Choice'!$B$25*'Optimal Choice'!$B$26^(V510+1)</f>
        <v>183689564.6</v>
      </c>
      <c r="AE510" s="12">
        <f t="shared" si="4"/>
        <v>60</v>
      </c>
      <c r="AF510" s="12">
        <f t="shared" si="5"/>
        <v>50</v>
      </c>
      <c r="AG510" s="12">
        <f t="shared" si="6"/>
        <v>32</v>
      </c>
      <c r="AH510" s="12">
        <f t="shared" si="7"/>
        <v>4</v>
      </c>
      <c r="AI510" s="12">
        <f t="shared" si="8"/>
        <v>3</v>
      </c>
      <c r="AL510" s="14">
        <f>R510*'Optimal Choice'!$B$4*AE510</f>
        <v>19739.4</v>
      </c>
      <c r="AM510" s="14">
        <f>S510*'Optimal Choice'!$B$9*AF510</f>
        <v>92000</v>
      </c>
      <c r="AN510" s="14">
        <f>T510*'Optimal Choice'!$B$14*AG510</f>
        <v>250560</v>
      </c>
      <c r="AO510" s="14">
        <f>U510*'Optimal Choice'!$B$19*AH510</f>
        <v>97920</v>
      </c>
      <c r="AP510" s="14">
        <f>V510*'Optimal Choice'!$B$24*AI510</f>
        <v>421200</v>
      </c>
      <c r="AS510" s="12">
        <f t="shared" si="9"/>
        <v>60</v>
      </c>
      <c r="AT510" s="12">
        <f t="shared" si="10"/>
        <v>50</v>
      </c>
      <c r="AU510" s="12">
        <f t="shared" si="11"/>
        <v>32</v>
      </c>
      <c r="AV510" s="12">
        <f t="shared" si="12"/>
        <v>4</v>
      </c>
      <c r="AW510" s="12">
        <f t="shared" si="13"/>
        <v>3</v>
      </c>
      <c r="AY510" s="11">
        <f t="shared" si="14"/>
        <v>3.12418856</v>
      </c>
    </row>
    <row r="511" ht="15.75" customHeight="1">
      <c r="A511" s="15">
        <f t="shared" si="2"/>
        <v>70.50846142</v>
      </c>
      <c r="B511" s="7">
        <f>(sum(AL511:AP511))*'Optimal Choice'!$B$28</f>
        <v>884299.4</v>
      </c>
      <c r="C511" s="11"/>
      <c r="D511" s="12"/>
      <c r="E511" s="12"/>
      <c r="F511" s="11"/>
      <c r="G511" s="11"/>
      <c r="H511" s="11"/>
      <c r="I511" s="11"/>
      <c r="J511" s="11"/>
      <c r="K511" s="11">
        <f>(X511/$B511)+(X511/('Optimal Choice'!$B$4*AS511))</f>
        <v>26256.0541</v>
      </c>
      <c r="L511" s="11">
        <f>(Y511/$B511)+(Y511/('Optimal Choice'!$B$9*AT511))</f>
        <v>26518.0291</v>
      </c>
      <c r="M511" s="11">
        <f>(Z511/$B511)+(Z511/('Optimal Choice'!$B$14*AU511))</f>
        <v>29099.39075</v>
      </c>
      <c r="N511" s="11">
        <f>(AA511/$B511)+(AA511/('Optimal Choice'!$B$19*AV511))</f>
        <v>27622.97714</v>
      </c>
      <c r="O511" s="11">
        <f>(AB511/$B511)+(AB511/('Optimal Choice'!$B$24*AW511))</f>
        <v>28554.8783</v>
      </c>
      <c r="R511" s="12">
        <f t="shared" ref="R511:V511" si="521">if(min($K510:$O510)=K510,R510+1,R510)</f>
        <v>197</v>
      </c>
      <c r="S511" s="12">
        <f t="shared" si="521"/>
        <v>92</v>
      </c>
      <c r="T511" s="12">
        <f t="shared" si="521"/>
        <v>88</v>
      </c>
      <c r="U511" s="12">
        <f t="shared" si="521"/>
        <v>68</v>
      </c>
      <c r="V511" s="12">
        <f t="shared" si="521"/>
        <v>65</v>
      </c>
      <c r="X511" s="13">
        <f> 'Optimal Choice'!$B$5*'Optimal Choice'!$B$6^(R511+1)</f>
        <v>2630558.552</v>
      </c>
      <c r="Y511" s="13">
        <f> 'Optimal Choice'!$B$10*'Optimal Choice'!$B$11^(S511+1)</f>
        <v>26488075.36</v>
      </c>
      <c r="Z511" s="13">
        <f> 'Optimal Choice'!$B$15*'Optimal Choice'!$B$16^(T511+1)</f>
        <v>83534189.92</v>
      </c>
      <c r="AA511" s="13">
        <f> 'Optimal Choice'!$B$20*'Optimal Choice'!$B$21^(U511+1)</f>
        <v>39712419.07</v>
      </c>
      <c r="AB511" s="13">
        <f> 'Optimal Choice'!$B$25*'Optimal Choice'!$B$26^(V511+1)</f>
        <v>183689564.6</v>
      </c>
      <c r="AE511" s="12">
        <f t="shared" si="4"/>
        <v>60</v>
      </c>
      <c r="AF511" s="12">
        <f t="shared" si="5"/>
        <v>50</v>
      </c>
      <c r="AG511" s="12">
        <f t="shared" si="6"/>
        <v>32</v>
      </c>
      <c r="AH511" s="12">
        <f t="shared" si="7"/>
        <v>4</v>
      </c>
      <c r="AI511" s="12">
        <f t="shared" si="8"/>
        <v>3</v>
      </c>
      <c r="AL511" s="14">
        <f>R511*'Optimal Choice'!$B$4*AE511</f>
        <v>19739.4</v>
      </c>
      <c r="AM511" s="14">
        <f>S511*'Optimal Choice'!$B$9*AF511</f>
        <v>92000</v>
      </c>
      <c r="AN511" s="14">
        <f>T511*'Optimal Choice'!$B$14*AG511</f>
        <v>253440</v>
      </c>
      <c r="AO511" s="14">
        <f>U511*'Optimal Choice'!$B$19*AH511</f>
        <v>97920</v>
      </c>
      <c r="AP511" s="14">
        <f>V511*'Optimal Choice'!$B$24*AI511</f>
        <v>421200</v>
      </c>
      <c r="AS511" s="12">
        <f t="shared" si="9"/>
        <v>60</v>
      </c>
      <c r="AT511" s="12">
        <f t="shared" si="10"/>
        <v>50</v>
      </c>
      <c r="AU511" s="12">
        <f t="shared" si="11"/>
        <v>32</v>
      </c>
      <c r="AV511" s="12">
        <f t="shared" si="12"/>
        <v>4</v>
      </c>
      <c r="AW511" s="12">
        <f t="shared" si="13"/>
        <v>3</v>
      </c>
      <c r="AY511" s="11">
        <f t="shared" si="14"/>
        <v>1.385560707</v>
      </c>
    </row>
    <row r="512" ht="15.75" customHeight="1">
      <c r="A512" s="15">
        <f t="shared" si="2"/>
        <v>70.55804038</v>
      </c>
      <c r="B512" s="7">
        <f>(sum(AL512:AP512))*'Optimal Choice'!$B$28</f>
        <v>884399.6</v>
      </c>
      <c r="C512" s="11"/>
      <c r="D512" s="12"/>
      <c r="E512" s="12"/>
      <c r="F512" s="11"/>
      <c r="G512" s="11"/>
      <c r="H512" s="11"/>
      <c r="I512" s="11"/>
      <c r="J512" s="11"/>
      <c r="K512" s="11">
        <f>(X512/$B512)+(X512/('Optimal Choice'!$B$4*AS512))</f>
        <v>28093.97753</v>
      </c>
      <c r="L512" s="11">
        <f>(Y512/$B512)+(Y512/('Optimal Choice'!$B$9*AT512))</f>
        <v>26518.0257</v>
      </c>
      <c r="M512" s="11">
        <f>(Z512/$B512)+(Z512/('Optimal Choice'!$B$14*AU512))</f>
        <v>29099.38005</v>
      </c>
      <c r="N512" s="11">
        <f>(AA512/$B512)+(AA512/('Optimal Choice'!$B$19*AV512))</f>
        <v>27622.97205</v>
      </c>
      <c r="O512" s="11">
        <f>(AB512/$B512)+(AB512/('Optimal Choice'!$B$24*AW512))</f>
        <v>28554.85477</v>
      </c>
      <c r="R512" s="12">
        <f t="shared" ref="R512:V512" si="522">if(min($K511:$O511)=K511,R511+1,R511)</f>
        <v>198</v>
      </c>
      <c r="S512" s="12">
        <f t="shared" si="522"/>
        <v>92</v>
      </c>
      <c r="T512" s="12">
        <f t="shared" si="522"/>
        <v>88</v>
      </c>
      <c r="U512" s="12">
        <f t="shared" si="522"/>
        <v>68</v>
      </c>
      <c r="V512" s="12">
        <f t="shared" si="522"/>
        <v>65</v>
      </c>
      <c r="X512" s="13">
        <f> 'Optimal Choice'!$B$5*'Optimal Choice'!$B$6^(R512+1)</f>
        <v>2814697.651</v>
      </c>
      <c r="Y512" s="13">
        <f> 'Optimal Choice'!$B$10*'Optimal Choice'!$B$11^(S512+1)</f>
        <v>26488075.36</v>
      </c>
      <c r="Z512" s="13">
        <f> 'Optimal Choice'!$B$15*'Optimal Choice'!$B$16^(T512+1)</f>
        <v>83534189.92</v>
      </c>
      <c r="AA512" s="13">
        <f> 'Optimal Choice'!$B$20*'Optimal Choice'!$B$21^(U512+1)</f>
        <v>39712419.07</v>
      </c>
      <c r="AB512" s="13">
        <f> 'Optimal Choice'!$B$25*'Optimal Choice'!$B$26^(V512+1)</f>
        <v>183689564.6</v>
      </c>
      <c r="AE512" s="12">
        <f t="shared" si="4"/>
        <v>60</v>
      </c>
      <c r="AF512" s="12">
        <f t="shared" si="5"/>
        <v>50</v>
      </c>
      <c r="AG512" s="12">
        <f t="shared" si="6"/>
        <v>32</v>
      </c>
      <c r="AH512" s="12">
        <f t="shared" si="7"/>
        <v>4</v>
      </c>
      <c r="AI512" s="12">
        <f t="shared" si="8"/>
        <v>3</v>
      </c>
      <c r="AL512" s="14">
        <f>R512*'Optimal Choice'!$B$4*AE512</f>
        <v>19839.6</v>
      </c>
      <c r="AM512" s="14">
        <f>S512*'Optimal Choice'!$B$9*AF512</f>
        <v>92000</v>
      </c>
      <c r="AN512" s="14">
        <f>T512*'Optimal Choice'!$B$14*AG512</f>
        <v>253440</v>
      </c>
      <c r="AO512" s="14">
        <f>U512*'Optimal Choice'!$B$19*AH512</f>
        <v>97920</v>
      </c>
      <c r="AP512" s="14">
        <f>V512*'Optimal Choice'!$B$24*AI512</f>
        <v>421200</v>
      </c>
      <c r="AS512" s="12">
        <f t="shared" si="9"/>
        <v>60</v>
      </c>
      <c r="AT512" s="12">
        <f t="shared" si="10"/>
        <v>50</v>
      </c>
      <c r="AU512" s="12">
        <f t="shared" si="11"/>
        <v>32</v>
      </c>
      <c r="AV512" s="12">
        <f t="shared" si="12"/>
        <v>4</v>
      </c>
      <c r="AW512" s="12">
        <f t="shared" si="13"/>
        <v>3</v>
      </c>
      <c r="AY512" s="11">
        <f t="shared" si="14"/>
        <v>0.04957895769</v>
      </c>
    </row>
    <row r="513" ht="15.75" customHeight="1">
      <c r="A513" s="15">
        <f t="shared" si="2"/>
        <v>71.05721284</v>
      </c>
      <c r="B513" s="7">
        <f>(sum(AL513:AP513))*'Optimal Choice'!$B$28</f>
        <v>885399.6</v>
      </c>
      <c r="C513" s="11"/>
      <c r="D513" s="12"/>
      <c r="E513" s="12"/>
      <c r="F513" s="11"/>
      <c r="G513" s="11"/>
      <c r="H513" s="11"/>
      <c r="I513" s="11"/>
      <c r="J513" s="11"/>
      <c r="K513" s="11">
        <f>(X513/$B513)+(X513/('Optimal Choice'!$B$4*AS513))</f>
        <v>28093.97393</v>
      </c>
      <c r="L513" s="11">
        <f>(Y513/$B513)+(Y513/('Optimal Choice'!$B$9*AT513))</f>
        <v>30495.69066</v>
      </c>
      <c r="M513" s="11">
        <f>(Z513/$B513)+(Z513/('Optimal Choice'!$B$14*AU513))</f>
        <v>29099.27337</v>
      </c>
      <c r="N513" s="11">
        <f>(AA513/$B513)+(AA513/('Optimal Choice'!$B$19*AV513))</f>
        <v>27622.92134</v>
      </c>
      <c r="O513" s="11">
        <f>(AB513/$B513)+(AB513/('Optimal Choice'!$B$24*AW513))</f>
        <v>28554.62019</v>
      </c>
      <c r="R513" s="12">
        <f t="shared" ref="R513:V513" si="523">if(min($K512:$O512)=K512,R512+1,R512)</f>
        <v>198</v>
      </c>
      <c r="S513" s="12">
        <f t="shared" si="523"/>
        <v>93</v>
      </c>
      <c r="T513" s="12">
        <f t="shared" si="523"/>
        <v>88</v>
      </c>
      <c r="U513" s="12">
        <f t="shared" si="523"/>
        <v>68</v>
      </c>
      <c r="V513" s="12">
        <f t="shared" si="523"/>
        <v>65</v>
      </c>
      <c r="X513" s="13">
        <f> 'Optimal Choice'!$B$5*'Optimal Choice'!$B$6^(R513+1)</f>
        <v>2814697.651</v>
      </c>
      <c r="Y513" s="13">
        <f> 'Optimal Choice'!$B$10*'Optimal Choice'!$B$11^(S513+1)</f>
        <v>30461286.66</v>
      </c>
      <c r="Z513" s="13">
        <f> 'Optimal Choice'!$B$15*'Optimal Choice'!$B$16^(T513+1)</f>
        <v>83534189.92</v>
      </c>
      <c r="AA513" s="13">
        <f> 'Optimal Choice'!$B$20*'Optimal Choice'!$B$21^(U513+1)</f>
        <v>39712419.07</v>
      </c>
      <c r="AB513" s="13">
        <f> 'Optimal Choice'!$B$25*'Optimal Choice'!$B$26^(V513+1)</f>
        <v>183689564.6</v>
      </c>
      <c r="AE513" s="12">
        <f t="shared" si="4"/>
        <v>60</v>
      </c>
      <c r="AF513" s="12">
        <f t="shared" si="5"/>
        <v>50</v>
      </c>
      <c r="AG513" s="12">
        <f t="shared" si="6"/>
        <v>32</v>
      </c>
      <c r="AH513" s="12">
        <f t="shared" si="7"/>
        <v>4</v>
      </c>
      <c r="AI513" s="12">
        <f t="shared" si="8"/>
        <v>3</v>
      </c>
      <c r="AL513" s="14">
        <f>R513*'Optimal Choice'!$B$4*AE513</f>
        <v>19839.6</v>
      </c>
      <c r="AM513" s="14">
        <f>S513*'Optimal Choice'!$B$9*AF513</f>
        <v>93000</v>
      </c>
      <c r="AN513" s="14">
        <f>T513*'Optimal Choice'!$B$14*AG513</f>
        <v>253440</v>
      </c>
      <c r="AO513" s="14">
        <f>U513*'Optimal Choice'!$B$19*AH513</f>
        <v>97920</v>
      </c>
      <c r="AP513" s="14">
        <f>V513*'Optimal Choice'!$B$24*AI513</f>
        <v>421200</v>
      </c>
      <c r="AS513" s="12">
        <f t="shared" si="9"/>
        <v>60</v>
      </c>
      <c r="AT513" s="12">
        <f t="shared" si="10"/>
        <v>50</v>
      </c>
      <c r="AU513" s="12">
        <f t="shared" si="11"/>
        <v>32</v>
      </c>
      <c r="AV513" s="12">
        <f t="shared" si="12"/>
        <v>4</v>
      </c>
      <c r="AW513" s="12">
        <f t="shared" si="13"/>
        <v>3</v>
      </c>
      <c r="AY513" s="11">
        <f t="shared" si="14"/>
        <v>0.4991724585</v>
      </c>
    </row>
    <row r="514" ht="15.75" customHeight="1">
      <c r="A514" s="15">
        <f t="shared" si="2"/>
        <v>71.80475513</v>
      </c>
      <c r="B514" s="7">
        <f>(sum(AL514:AP514))*'Optimal Choice'!$B$28</f>
        <v>886839.6</v>
      </c>
      <c r="C514" s="11"/>
      <c r="D514" s="12"/>
      <c r="E514" s="12"/>
      <c r="F514" s="11"/>
      <c r="G514" s="11"/>
      <c r="H514" s="11"/>
      <c r="I514" s="11"/>
      <c r="J514" s="11"/>
      <c r="K514" s="11">
        <f>(X514/$B514)+(X514/('Optimal Choice'!$B$4*AS514))</f>
        <v>28093.96877</v>
      </c>
      <c r="L514" s="11">
        <f>(Y514/$B514)+(Y514/('Optimal Choice'!$B$9*AT514))</f>
        <v>30495.63479</v>
      </c>
      <c r="M514" s="11">
        <f>(Z514/$B514)+(Z514/('Optimal Choice'!$B$14*AU514))</f>
        <v>29099.12018</v>
      </c>
      <c r="N514" s="11">
        <f>(AA514/$B514)+(AA514/('Optimal Choice'!$B$19*AV514))</f>
        <v>31213.81882</v>
      </c>
      <c r="O514" s="11">
        <f>(AB514/$B514)+(AB514/('Optimal Choice'!$B$24*AW514))</f>
        <v>28554.28332</v>
      </c>
      <c r="R514" s="12">
        <f t="shared" ref="R514:V514" si="524">if(min($K513:$O513)=K513,R513+1,R513)</f>
        <v>198</v>
      </c>
      <c r="S514" s="12">
        <f t="shared" si="524"/>
        <v>93</v>
      </c>
      <c r="T514" s="12">
        <f t="shared" si="524"/>
        <v>88</v>
      </c>
      <c r="U514" s="12">
        <f t="shared" si="524"/>
        <v>69</v>
      </c>
      <c r="V514" s="12">
        <f t="shared" si="524"/>
        <v>65</v>
      </c>
      <c r="X514" s="13">
        <f> 'Optimal Choice'!$B$5*'Optimal Choice'!$B$6^(R514+1)</f>
        <v>2814697.651</v>
      </c>
      <c r="Y514" s="13">
        <f> 'Optimal Choice'!$B$10*'Optimal Choice'!$B$11^(S514+1)</f>
        <v>30461286.66</v>
      </c>
      <c r="Z514" s="13">
        <f> 'Optimal Choice'!$B$15*'Optimal Choice'!$B$16^(T514+1)</f>
        <v>83534189.92</v>
      </c>
      <c r="AA514" s="13">
        <f> 'Optimal Choice'!$B$20*'Optimal Choice'!$B$21^(U514+1)</f>
        <v>44875033.55</v>
      </c>
      <c r="AB514" s="13">
        <f> 'Optimal Choice'!$B$25*'Optimal Choice'!$B$26^(V514+1)</f>
        <v>183689564.6</v>
      </c>
      <c r="AE514" s="12">
        <f t="shared" si="4"/>
        <v>60</v>
      </c>
      <c r="AF514" s="12">
        <f t="shared" si="5"/>
        <v>50</v>
      </c>
      <c r="AG514" s="12">
        <f t="shared" si="6"/>
        <v>32</v>
      </c>
      <c r="AH514" s="12">
        <f t="shared" si="7"/>
        <v>4</v>
      </c>
      <c r="AI514" s="12">
        <f t="shared" si="8"/>
        <v>3</v>
      </c>
      <c r="AL514" s="14">
        <f>R514*'Optimal Choice'!$B$4*AE514</f>
        <v>19839.6</v>
      </c>
      <c r="AM514" s="14">
        <f>S514*'Optimal Choice'!$B$9*AF514</f>
        <v>93000</v>
      </c>
      <c r="AN514" s="14">
        <f>T514*'Optimal Choice'!$B$14*AG514</f>
        <v>253440</v>
      </c>
      <c r="AO514" s="14">
        <f>U514*'Optimal Choice'!$B$19*AH514</f>
        <v>99360</v>
      </c>
      <c r="AP514" s="14">
        <f>V514*'Optimal Choice'!$B$24*AI514</f>
        <v>421200</v>
      </c>
      <c r="AS514" s="12">
        <f t="shared" si="9"/>
        <v>60</v>
      </c>
      <c r="AT514" s="12">
        <f t="shared" si="10"/>
        <v>50</v>
      </c>
      <c r="AU514" s="12">
        <f t="shared" si="11"/>
        <v>32</v>
      </c>
      <c r="AV514" s="12">
        <f t="shared" si="12"/>
        <v>4</v>
      </c>
      <c r="AW514" s="12">
        <f t="shared" si="13"/>
        <v>3</v>
      </c>
      <c r="AY514" s="11">
        <f t="shared" si="14"/>
        <v>0.7475422976</v>
      </c>
    </row>
    <row r="515" ht="15.75" customHeight="1">
      <c r="A515" s="15">
        <f t="shared" si="2"/>
        <v>71.85765267</v>
      </c>
      <c r="B515" s="7">
        <f>(sum(AL515:AP515))*'Optimal Choice'!$B$28</f>
        <v>886939.8</v>
      </c>
      <c r="C515" s="11"/>
      <c r="D515" s="12"/>
      <c r="E515" s="12"/>
      <c r="F515" s="11"/>
      <c r="G515" s="11"/>
      <c r="H515" s="11"/>
      <c r="I515" s="11"/>
      <c r="J515" s="11"/>
      <c r="K515" s="11">
        <f>(X515/$B515)+(X515/('Optimal Choice'!$B$4*AS515))</f>
        <v>10022.44583</v>
      </c>
      <c r="L515" s="11">
        <f>(Y515/$B515)+(Y515/('Optimal Choice'!$B$9*AT515))</f>
        <v>30495.63091</v>
      </c>
      <c r="M515" s="11">
        <f>(Z515/$B515)+(Z515/('Optimal Choice'!$B$14*AU515))</f>
        <v>29099.10954</v>
      </c>
      <c r="N515" s="11">
        <f>(AA515/$B515)+(AA515/('Optimal Choice'!$B$19*AV515))</f>
        <v>31213.8131</v>
      </c>
      <c r="O515" s="11">
        <f>(AB515/$B515)+(AB515/('Optimal Choice'!$B$24*AW515))</f>
        <v>28554.25992</v>
      </c>
      <c r="R515" s="12">
        <f t="shared" ref="R515:V515" si="525">if(min($K514:$O514)=K514,R514+1,R514)</f>
        <v>199</v>
      </c>
      <c r="S515" s="12">
        <f t="shared" si="525"/>
        <v>93</v>
      </c>
      <c r="T515" s="12">
        <f t="shared" si="525"/>
        <v>88</v>
      </c>
      <c r="U515" s="12">
        <f t="shared" si="525"/>
        <v>69</v>
      </c>
      <c r="V515" s="12">
        <f t="shared" si="525"/>
        <v>65</v>
      </c>
      <c r="X515" s="13">
        <f> 'Optimal Choice'!$B$5*'Optimal Choice'!$B$6^(R515+1)</f>
        <v>3011726.487</v>
      </c>
      <c r="Y515" s="13">
        <f> 'Optimal Choice'!$B$10*'Optimal Choice'!$B$11^(S515+1)</f>
        <v>30461286.66</v>
      </c>
      <c r="Z515" s="13">
        <f> 'Optimal Choice'!$B$15*'Optimal Choice'!$B$16^(T515+1)</f>
        <v>83534189.92</v>
      </c>
      <c r="AA515" s="13">
        <f> 'Optimal Choice'!$B$20*'Optimal Choice'!$B$21^(U515+1)</f>
        <v>44875033.55</v>
      </c>
      <c r="AB515" s="13">
        <f> 'Optimal Choice'!$B$25*'Optimal Choice'!$B$26^(V515+1)</f>
        <v>183689564.6</v>
      </c>
      <c r="AE515" s="12">
        <f t="shared" si="4"/>
        <v>60</v>
      </c>
      <c r="AF515" s="12">
        <f t="shared" si="5"/>
        <v>50</v>
      </c>
      <c r="AG515" s="12">
        <f t="shared" si="6"/>
        <v>32</v>
      </c>
      <c r="AH515" s="12">
        <f t="shared" si="7"/>
        <v>4</v>
      </c>
      <c r="AI515" s="12">
        <f t="shared" si="8"/>
        <v>3</v>
      </c>
      <c r="AL515" s="14">
        <f>R515*'Optimal Choice'!$B$4*AE515</f>
        <v>19939.8</v>
      </c>
      <c r="AM515" s="14">
        <f>S515*'Optimal Choice'!$B$9*AF515</f>
        <v>93000</v>
      </c>
      <c r="AN515" s="14">
        <f>T515*'Optimal Choice'!$B$14*AG515</f>
        <v>253440</v>
      </c>
      <c r="AO515" s="14">
        <f>U515*'Optimal Choice'!$B$19*AH515</f>
        <v>99360</v>
      </c>
      <c r="AP515" s="14">
        <f>V515*'Optimal Choice'!$B$24*AI515</f>
        <v>421200</v>
      </c>
      <c r="AS515" s="12">
        <f t="shared" si="9"/>
        <v>180</v>
      </c>
      <c r="AT515" s="12">
        <f t="shared" si="10"/>
        <v>50</v>
      </c>
      <c r="AU515" s="12">
        <f t="shared" si="11"/>
        <v>32</v>
      </c>
      <c r="AV515" s="12">
        <f t="shared" si="12"/>
        <v>4</v>
      </c>
      <c r="AW515" s="12">
        <f t="shared" si="13"/>
        <v>3</v>
      </c>
      <c r="AY515" s="11">
        <f t="shared" si="14"/>
        <v>0.05289753358</v>
      </c>
    </row>
    <row r="516" ht="15.75" customHeight="1">
      <c r="A516" s="15">
        <f t="shared" si="2"/>
        <v>71.91424663</v>
      </c>
      <c r="B516" s="7">
        <f>(sum(AL516:AP516))*'Optimal Choice'!$B$28</f>
        <v>927120</v>
      </c>
      <c r="C516" s="11"/>
      <c r="D516" s="12"/>
      <c r="E516" s="12"/>
      <c r="F516" s="11"/>
      <c r="G516" s="11"/>
      <c r="H516" s="11"/>
      <c r="I516" s="11"/>
      <c r="J516" s="11"/>
      <c r="K516" s="11">
        <f>(X516/$B516)+(X516/('Optimal Choice'!$B$4*AS516))</f>
        <v>10723.85957</v>
      </c>
      <c r="L516" s="11">
        <f>(Y516/$B516)+(Y516/('Optimal Choice'!$B$9*AT516))</f>
        <v>30494.14248</v>
      </c>
      <c r="M516" s="11">
        <f>(Z516/$B516)+(Z516/('Optimal Choice'!$B$14*AU516))</f>
        <v>29095.02779</v>
      </c>
      <c r="N516" s="11">
        <f>(AA516/$B516)+(AA516/('Optimal Choice'!$B$19*AV516))</f>
        <v>31211.62036</v>
      </c>
      <c r="O516" s="11">
        <f>(AB516/$B516)+(AB516/('Optimal Choice'!$B$24*AW516))</f>
        <v>28545.28425</v>
      </c>
      <c r="R516" s="12">
        <f t="shared" ref="R516:V516" si="526">if(min($K515:$O515)=K515,R515+1,R515)</f>
        <v>200</v>
      </c>
      <c r="S516" s="12">
        <f t="shared" si="526"/>
        <v>93</v>
      </c>
      <c r="T516" s="12">
        <f t="shared" si="526"/>
        <v>88</v>
      </c>
      <c r="U516" s="12">
        <f t="shared" si="526"/>
        <v>69</v>
      </c>
      <c r="V516" s="12">
        <f t="shared" si="526"/>
        <v>65</v>
      </c>
      <c r="X516" s="13">
        <f> 'Optimal Choice'!$B$5*'Optimal Choice'!$B$6^(R516+1)</f>
        <v>3222547.341</v>
      </c>
      <c r="Y516" s="13">
        <f> 'Optimal Choice'!$B$10*'Optimal Choice'!$B$11^(S516+1)</f>
        <v>30461286.66</v>
      </c>
      <c r="Z516" s="13">
        <f> 'Optimal Choice'!$B$15*'Optimal Choice'!$B$16^(T516+1)</f>
        <v>83534189.92</v>
      </c>
      <c r="AA516" s="13">
        <f> 'Optimal Choice'!$B$20*'Optimal Choice'!$B$21^(U516+1)</f>
        <v>44875033.55</v>
      </c>
      <c r="AB516" s="13">
        <f> 'Optimal Choice'!$B$25*'Optimal Choice'!$B$26^(V516+1)</f>
        <v>183689564.6</v>
      </c>
      <c r="AE516" s="12">
        <f t="shared" si="4"/>
        <v>180</v>
      </c>
      <c r="AF516" s="12">
        <f t="shared" si="5"/>
        <v>50</v>
      </c>
      <c r="AG516" s="12">
        <f t="shared" si="6"/>
        <v>32</v>
      </c>
      <c r="AH516" s="12">
        <f t="shared" si="7"/>
        <v>4</v>
      </c>
      <c r="AI516" s="12">
        <f t="shared" si="8"/>
        <v>3</v>
      </c>
      <c r="AL516" s="14">
        <f>R516*'Optimal Choice'!$B$4*AE516</f>
        <v>60120</v>
      </c>
      <c r="AM516" s="14">
        <f>S516*'Optimal Choice'!$B$9*AF516</f>
        <v>93000</v>
      </c>
      <c r="AN516" s="14">
        <f>T516*'Optimal Choice'!$B$14*AG516</f>
        <v>253440</v>
      </c>
      <c r="AO516" s="14">
        <f>U516*'Optimal Choice'!$B$19*AH516</f>
        <v>99360</v>
      </c>
      <c r="AP516" s="14">
        <f>V516*'Optimal Choice'!$B$24*AI516</f>
        <v>421200</v>
      </c>
      <c r="AS516" s="12">
        <f t="shared" si="9"/>
        <v>180</v>
      </c>
      <c r="AT516" s="12">
        <f t="shared" si="10"/>
        <v>50</v>
      </c>
      <c r="AU516" s="12">
        <f t="shared" si="11"/>
        <v>32</v>
      </c>
      <c r="AV516" s="12">
        <f t="shared" si="12"/>
        <v>4</v>
      </c>
      <c r="AW516" s="12">
        <f t="shared" si="13"/>
        <v>3</v>
      </c>
      <c r="AY516" s="11">
        <f t="shared" si="14"/>
        <v>0.05659396663</v>
      </c>
    </row>
    <row r="517" ht="15.75" customHeight="1">
      <c r="A517" s="15">
        <f t="shared" si="2"/>
        <v>71.97217778</v>
      </c>
      <c r="B517" s="7">
        <f>(sum(AL517:AP517))*'Optimal Choice'!$B$28</f>
        <v>927420.6</v>
      </c>
      <c r="C517" s="11"/>
      <c r="D517" s="12"/>
      <c r="E517" s="12"/>
      <c r="F517" s="11"/>
      <c r="G517" s="11"/>
      <c r="H517" s="11"/>
      <c r="I517" s="11"/>
      <c r="J517" s="11"/>
      <c r="K517" s="11">
        <f>(X517/$B517)+(X517/('Optimal Choice'!$B$4*AS517))</f>
        <v>11474.52853</v>
      </c>
      <c r="L517" s="11">
        <f>(Y517/$B517)+(Y517/('Optimal Choice'!$B$9*AT517))</f>
        <v>30494.13183</v>
      </c>
      <c r="M517" s="11">
        <f>(Z517/$B517)+(Z517/('Optimal Choice'!$B$14*AU517))</f>
        <v>29094.99858</v>
      </c>
      <c r="N517" s="11">
        <f>(AA517/$B517)+(AA517/('Optimal Choice'!$B$19*AV517))</f>
        <v>31211.60467</v>
      </c>
      <c r="O517" s="11">
        <f>(AB517/$B517)+(AB517/('Optimal Choice'!$B$24*AW517))</f>
        <v>28545.22004</v>
      </c>
      <c r="R517" s="12">
        <f t="shared" ref="R517:V517" si="527">if(min($K516:$O516)=K516,R516+1,R516)</f>
        <v>201</v>
      </c>
      <c r="S517" s="12">
        <f t="shared" si="527"/>
        <v>93</v>
      </c>
      <c r="T517" s="12">
        <f t="shared" si="527"/>
        <v>88</v>
      </c>
      <c r="U517" s="12">
        <f t="shared" si="527"/>
        <v>69</v>
      </c>
      <c r="V517" s="12">
        <f t="shared" si="527"/>
        <v>65</v>
      </c>
      <c r="X517" s="13">
        <f> 'Optimal Choice'!$B$5*'Optimal Choice'!$B$6^(R517+1)</f>
        <v>3448125.655</v>
      </c>
      <c r="Y517" s="13">
        <f> 'Optimal Choice'!$B$10*'Optimal Choice'!$B$11^(S517+1)</f>
        <v>30461286.66</v>
      </c>
      <c r="Z517" s="13">
        <f> 'Optimal Choice'!$B$15*'Optimal Choice'!$B$16^(T517+1)</f>
        <v>83534189.92</v>
      </c>
      <c r="AA517" s="13">
        <f> 'Optimal Choice'!$B$20*'Optimal Choice'!$B$21^(U517+1)</f>
        <v>44875033.55</v>
      </c>
      <c r="AB517" s="13">
        <f> 'Optimal Choice'!$B$25*'Optimal Choice'!$B$26^(V517+1)</f>
        <v>183689564.6</v>
      </c>
      <c r="AE517" s="12">
        <f t="shared" si="4"/>
        <v>180</v>
      </c>
      <c r="AF517" s="12">
        <f t="shared" si="5"/>
        <v>50</v>
      </c>
      <c r="AG517" s="12">
        <f t="shared" si="6"/>
        <v>32</v>
      </c>
      <c r="AH517" s="12">
        <f t="shared" si="7"/>
        <v>4</v>
      </c>
      <c r="AI517" s="12">
        <f t="shared" si="8"/>
        <v>3</v>
      </c>
      <c r="AL517" s="14">
        <f>R517*'Optimal Choice'!$B$4*AE517</f>
        <v>60420.6</v>
      </c>
      <c r="AM517" s="14">
        <f>S517*'Optimal Choice'!$B$9*AF517</f>
        <v>93000</v>
      </c>
      <c r="AN517" s="14">
        <f>T517*'Optimal Choice'!$B$14*AG517</f>
        <v>253440</v>
      </c>
      <c r="AO517" s="14">
        <f>U517*'Optimal Choice'!$B$19*AH517</f>
        <v>99360</v>
      </c>
      <c r="AP517" s="14">
        <f>V517*'Optimal Choice'!$B$24*AI517</f>
        <v>421200</v>
      </c>
      <c r="AS517" s="12">
        <f t="shared" si="9"/>
        <v>180</v>
      </c>
      <c r="AT517" s="12">
        <f t="shared" si="10"/>
        <v>50</v>
      </c>
      <c r="AU517" s="12">
        <f t="shared" si="11"/>
        <v>32</v>
      </c>
      <c r="AV517" s="12">
        <f t="shared" si="12"/>
        <v>4</v>
      </c>
      <c r="AW517" s="12">
        <f t="shared" si="13"/>
        <v>3</v>
      </c>
      <c r="AY517" s="11">
        <f t="shared" si="14"/>
        <v>0.05793114413</v>
      </c>
    </row>
    <row r="518" ht="15.75" customHeight="1">
      <c r="A518" s="15">
        <f t="shared" si="2"/>
        <v>72.03414401</v>
      </c>
      <c r="B518" s="7">
        <f>(sum(AL518:AP518))*'Optimal Choice'!$B$28</f>
        <v>927721.2</v>
      </c>
      <c r="C518" s="11"/>
      <c r="D518" s="12"/>
      <c r="E518" s="12"/>
      <c r="F518" s="11"/>
      <c r="G518" s="11"/>
      <c r="H518" s="11"/>
      <c r="I518" s="11"/>
      <c r="J518" s="11"/>
      <c r="K518" s="11">
        <f>(X518/$B518)+(X518/('Optimal Choice'!$B$4*AS518))</f>
        <v>12277.74424</v>
      </c>
      <c r="L518" s="11">
        <f>(Y518/$B518)+(Y518/('Optimal Choice'!$B$9*AT518))</f>
        <v>30494.12119</v>
      </c>
      <c r="M518" s="11">
        <f>(Z518/$B518)+(Z518/('Optimal Choice'!$B$14*AU518))</f>
        <v>29094.9694</v>
      </c>
      <c r="N518" s="11">
        <f>(AA518/$B518)+(AA518/('Optimal Choice'!$B$19*AV518))</f>
        <v>31211.589</v>
      </c>
      <c r="O518" s="11">
        <f>(AB518/$B518)+(AB518/('Optimal Choice'!$B$24*AW518))</f>
        <v>28545.15586</v>
      </c>
      <c r="R518" s="12">
        <f t="shared" ref="R518:V518" si="528">if(min($K517:$O517)=K517,R517+1,R517)</f>
        <v>202</v>
      </c>
      <c r="S518" s="12">
        <f t="shared" si="528"/>
        <v>93</v>
      </c>
      <c r="T518" s="12">
        <f t="shared" si="528"/>
        <v>88</v>
      </c>
      <c r="U518" s="12">
        <f t="shared" si="528"/>
        <v>69</v>
      </c>
      <c r="V518" s="12">
        <f t="shared" si="528"/>
        <v>65</v>
      </c>
      <c r="X518" s="13">
        <f> 'Optimal Choice'!$B$5*'Optimal Choice'!$B$6^(R518+1)</f>
        <v>3689494.45</v>
      </c>
      <c r="Y518" s="13">
        <f> 'Optimal Choice'!$B$10*'Optimal Choice'!$B$11^(S518+1)</f>
        <v>30461286.66</v>
      </c>
      <c r="Z518" s="13">
        <f> 'Optimal Choice'!$B$15*'Optimal Choice'!$B$16^(T518+1)</f>
        <v>83534189.92</v>
      </c>
      <c r="AA518" s="13">
        <f> 'Optimal Choice'!$B$20*'Optimal Choice'!$B$21^(U518+1)</f>
        <v>44875033.55</v>
      </c>
      <c r="AB518" s="13">
        <f> 'Optimal Choice'!$B$25*'Optimal Choice'!$B$26^(V518+1)</f>
        <v>183689564.6</v>
      </c>
      <c r="AE518" s="12">
        <f t="shared" si="4"/>
        <v>180</v>
      </c>
      <c r="AF518" s="12">
        <f t="shared" si="5"/>
        <v>50</v>
      </c>
      <c r="AG518" s="12">
        <f t="shared" si="6"/>
        <v>32</v>
      </c>
      <c r="AH518" s="12">
        <f t="shared" si="7"/>
        <v>4</v>
      </c>
      <c r="AI518" s="12">
        <f t="shared" si="8"/>
        <v>3</v>
      </c>
      <c r="AL518" s="14">
        <f>R518*'Optimal Choice'!$B$4*AE518</f>
        <v>60721.2</v>
      </c>
      <c r="AM518" s="14">
        <f>S518*'Optimal Choice'!$B$9*AF518</f>
        <v>93000</v>
      </c>
      <c r="AN518" s="14">
        <f>T518*'Optimal Choice'!$B$14*AG518</f>
        <v>253440</v>
      </c>
      <c r="AO518" s="14">
        <f>U518*'Optimal Choice'!$B$19*AH518</f>
        <v>99360</v>
      </c>
      <c r="AP518" s="14">
        <f>V518*'Optimal Choice'!$B$24*AI518</f>
        <v>421200</v>
      </c>
      <c r="AS518" s="12">
        <f t="shared" si="9"/>
        <v>180</v>
      </c>
      <c r="AT518" s="12">
        <f t="shared" si="10"/>
        <v>50</v>
      </c>
      <c r="AU518" s="12">
        <f t="shared" si="11"/>
        <v>32</v>
      </c>
      <c r="AV518" s="12">
        <f t="shared" si="12"/>
        <v>4</v>
      </c>
      <c r="AW518" s="12">
        <f t="shared" si="13"/>
        <v>3</v>
      </c>
      <c r="AY518" s="11">
        <f t="shared" si="14"/>
        <v>0.06196623291</v>
      </c>
    </row>
    <row r="519" ht="15.75" customHeight="1">
      <c r="A519" s="15">
        <f t="shared" si="2"/>
        <v>72.1004264</v>
      </c>
      <c r="B519" s="7">
        <f>(sum(AL519:AP519))*'Optimal Choice'!$B$28</f>
        <v>928021.8</v>
      </c>
      <c r="C519" s="11"/>
      <c r="D519" s="12"/>
      <c r="E519" s="12"/>
      <c r="F519" s="11"/>
      <c r="G519" s="11"/>
      <c r="H519" s="11"/>
      <c r="I519" s="11"/>
      <c r="J519" s="11"/>
      <c r="K519" s="11">
        <f>(X519/$B519)+(X519/('Optimal Choice'!$B$4*AS519))</f>
        <v>13137.18496</v>
      </c>
      <c r="L519" s="11">
        <f>(Y519/$B519)+(Y519/('Optimal Choice'!$B$9*AT519))</f>
        <v>30494.11055</v>
      </c>
      <c r="M519" s="11">
        <f>(Z519/$B519)+(Z519/('Optimal Choice'!$B$14*AU519))</f>
        <v>29094.94023</v>
      </c>
      <c r="N519" s="11">
        <f>(AA519/$B519)+(AA519/('Optimal Choice'!$B$19*AV519))</f>
        <v>31211.57333</v>
      </c>
      <c r="O519" s="11">
        <f>(AB519/$B519)+(AB519/('Optimal Choice'!$B$24*AW519))</f>
        <v>28545.09172</v>
      </c>
      <c r="R519" s="12">
        <f t="shared" ref="R519:V519" si="529">if(min($K518:$O518)=K518,R518+1,R518)</f>
        <v>203</v>
      </c>
      <c r="S519" s="12">
        <f t="shared" si="529"/>
        <v>93</v>
      </c>
      <c r="T519" s="12">
        <f t="shared" si="529"/>
        <v>88</v>
      </c>
      <c r="U519" s="12">
        <f t="shared" si="529"/>
        <v>69</v>
      </c>
      <c r="V519" s="12">
        <f t="shared" si="529"/>
        <v>65</v>
      </c>
      <c r="X519" s="13">
        <f> 'Optimal Choice'!$B$5*'Optimal Choice'!$B$6^(R519+1)</f>
        <v>3947759.062</v>
      </c>
      <c r="Y519" s="13">
        <f> 'Optimal Choice'!$B$10*'Optimal Choice'!$B$11^(S519+1)</f>
        <v>30461286.66</v>
      </c>
      <c r="Z519" s="13">
        <f> 'Optimal Choice'!$B$15*'Optimal Choice'!$B$16^(T519+1)</f>
        <v>83534189.92</v>
      </c>
      <c r="AA519" s="13">
        <f> 'Optimal Choice'!$B$20*'Optimal Choice'!$B$21^(U519+1)</f>
        <v>44875033.55</v>
      </c>
      <c r="AB519" s="13">
        <f> 'Optimal Choice'!$B$25*'Optimal Choice'!$B$26^(V519+1)</f>
        <v>183689564.6</v>
      </c>
      <c r="AE519" s="12">
        <f t="shared" si="4"/>
        <v>180</v>
      </c>
      <c r="AF519" s="12">
        <f t="shared" si="5"/>
        <v>50</v>
      </c>
      <c r="AG519" s="12">
        <f t="shared" si="6"/>
        <v>32</v>
      </c>
      <c r="AH519" s="12">
        <f t="shared" si="7"/>
        <v>4</v>
      </c>
      <c r="AI519" s="12">
        <f t="shared" si="8"/>
        <v>3</v>
      </c>
      <c r="AL519" s="14">
        <f>R519*'Optimal Choice'!$B$4*AE519</f>
        <v>61021.8</v>
      </c>
      <c r="AM519" s="14">
        <f>S519*'Optimal Choice'!$B$9*AF519</f>
        <v>93000</v>
      </c>
      <c r="AN519" s="14">
        <f>T519*'Optimal Choice'!$B$14*AG519</f>
        <v>253440</v>
      </c>
      <c r="AO519" s="14">
        <f>U519*'Optimal Choice'!$B$19*AH519</f>
        <v>99360</v>
      </c>
      <c r="AP519" s="14">
        <f>V519*'Optimal Choice'!$B$24*AI519</f>
        <v>421200</v>
      </c>
      <c r="AS519" s="12">
        <f t="shared" si="9"/>
        <v>180</v>
      </c>
      <c r="AT519" s="12">
        <f t="shared" si="10"/>
        <v>50</v>
      </c>
      <c r="AU519" s="12">
        <f t="shared" si="11"/>
        <v>32</v>
      </c>
      <c r="AV519" s="12">
        <f t="shared" si="12"/>
        <v>4</v>
      </c>
      <c r="AW519" s="12">
        <f t="shared" si="13"/>
        <v>3</v>
      </c>
      <c r="AY519" s="11">
        <f t="shared" si="14"/>
        <v>0.06628238545</v>
      </c>
    </row>
    <row r="520" ht="15.75" customHeight="1">
      <c r="A520" s="15">
        <f t="shared" si="2"/>
        <v>72.17132558</v>
      </c>
      <c r="B520" s="7">
        <f>(sum(AL520:AP520))*'Optimal Choice'!$B$28</f>
        <v>928322.4</v>
      </c>
      <c r="C520" s="11"/>
      <c r="D520" s="12"/>
      <c r="E520" s="12"/>
      <c r="F520" s="11"/>
      <c r="G520" s="11"/>
      <c r="H520" s="11"/>
      <c r="I520" s="11"/>
      <c r="J520" s="11"/>
      <c r="K520" s="11">
        <f>(X520/$B520)+(X520/('Optimal Choice'!$B$4*AS520))</f>
        <v>14056.78644</v>
      </c>
      <c r="L520" s="11">
        <f>(Y520/$B520)+(Y520/('Optimal Choice'!$B$9*AT520))</f>
        <v>30494.09992</v>
      </c>
      <c r="M520" s="11">
        <f>(Z520/$B520)+(Z520/('Optimal Choice'!$B$14*AU520))</f>
        <v>29094.91109</v>
      </c>
      <c r="N520" s="11">
        <f>(AA520/$B520)+(AA520/('Optimal Choice'!$B$19*AV520))</f>
        <v>31211.55767</v>
      </c>
      <c r="O520" s="11">
        <f>(AB520/$B520)+(AB520/('Optimal Choice'!$B$24*AW520))</f>
        <v>28545.02763</v>
      </c>
      <c r="R520" s="12">
        <f t="shared" ref="R520:V520" si="530">if(min($K519:$O519)=K519,R519+1,R519)</f>
        <v>204</v>
      </c>
      <c r="S520" s="12">
        <f t="shared" si="530"/>
        <v>93</v>
      </c>
      <c r="T520" s="12">
        <f t="shared" si="530"/>
        <v>88</v>
      </c>
      <c r="U520" s="12">
        <f t="shared" si="530"/>
        <v>69</v>
      </c>
      <c r="V520" s="12">
        <f t="shared" si="530"/>
        <v>65</v>
      </c>
      <c r="X520" s="13">
        <f> 'Optimal Choice'!$B$5*'Optimal Choice'!$B$6^(R520+1)</f>
        <v>4224102.196</v>
      </c>
      <c r="Y520" s="13">
        <f> 'Optimal Choice'!$B$10*'Optimal Choice'!$B$11^(S520+1)</f>
        <v>30461286.66</v>
      </c>
      <c r="Z520" s="13">
        <f> 'Optimal Choice'!$B$15*'Optimal Choice'!$B$16^(T520+1)</f>
        <v>83534189.92</v>
      </c>
      <c r="AA520" s="13">
        <f> 'Optimal Choice'!$B$20*'Optimal Choice'!$B$21^(U520+1)</f>
        <v>44875033.55</v>
      </c>
      <c r="AB520" s="13">
        <f> 'Optimal Choice'!$B$25*'Optimal Choice'!$B$26^(V520+1)</f>
        <v>183689564.6</v>
      </c>
      <c r="AE520" s="12">
        <f t="shared" si="4"/>
        <v>180</v>
      </c>
      <c r="AF520" s="12">
        <f t="shared" si="5"/>
        <v>50</v>
      </c>
      <c r="AG520" s="12">
        <f t="shared" si="6"/>
        <v>32</v>
      </c>
      <c r="AH520" s="12">
        <f t="shared" si="7"/>
        <v>4</v>
      </c>
      <c r="AI520" s="12">
        <f t="shared" si="8"/>
        <v>3</v>
      </c>
      <c r="AL520" s="14">
        <f>R520*'Optimal Choice'!$B$4*AE520</f>
        <v>61322.4</v>
      </c>
      <c r="AM520" s="14">
        <f>S520*'Optimal Choice'!$B$9*AF520</f>
        <v>93000</v>
      </c>
      <c r="AN520" s="14">
        <f>T520*'Optimal Choice'!$B$14*AG520</f>
        <v>253440</v>
      </c>
      <c r="AO520" s="14">
        <f>U520*'Optimal Choice'!$B$19*AH520</f>
        <v>99360</v>
      </c>
      <c r="AP520" s="14">
        <f>V520*'Optimal Choice'!$B$24*AI520</f>
        <v>421200</v>
      </c>
      <c r="AS520" s="12">
        <f t="shared" si="9"/>
        <v>180</v>
      </c>
      <c r="AT520" s="12">
        <f t="shared" si="10"/>
        <v>50</v>
      </c>
      <c r="AU520" s="12">
        <f t="shared" si="11"/>
        <v>32</v>
      </c>
      <c r="AV520" s="12">
        <f t="shared" si="12"/>
        <v>4</v>
      </c>
      <c r="AW520" s="12">
        <f t="shared" si="13"/>
        <v>3</v>
      </c>
      <c r="AY520" s="11">
        <f t="shared" si="14"/>
        <v>0.0708991797</v>
      </c>
    </row>
    <row r="521" ht="15.75" customHeight="1">
      <c r="A521" s="15">
        <f t="shared" si="2"/>
        <v>72.24716313</v>
      </c>
      <c r="B521" s="7">
        <f>(sum(AL521:AP521))*'Optimal Choice'!$B$28</f>
        <v>928623</v>
      </c>
      <c r="C521" s="11"/>
      <c r="D521" s="12"/>
      <c r="E521" s="12"/>
      <c r="F521" s="11"/>
      <c r="G521" s="11"/>
      <c r="H521" s="11"/>
      <c r="I521" s="11"/>
      <c r="J521" s="11"/>
      <c r="K521" s="11">
        <f>(X521/$B521)+(X521/('Optimal Choice'!$B$4*AS521))</f>
        <v>15040.75991</v>
      </c>
      <c r="L521" s="11">
        <f>(Y521/$B521)+(Y521/('Optimal Choice'!$B$9*AT521))</f>
        <v>30494.0893</v>
      </c>
      <c r="M521" s="11">
        <f>(Z521/$B521)+(Z521/('Optimal Choice'!$B$14*AU521))</f>
        <v>29094.88196</v>
      </c>
      <c r="N521" s="11">
        <f>(AA521/$B521)+(AA521/('Optimal Choice'!$B$19*AV521))</f>
        <v>31211.54202</v>
      </c>
      <c r="O521" s="11">
        <f>(AB521/$B521)+(AB521/('Optimal Choice'!$B$24*AW521))</f>
        <v>28544.96358</v>
      </c>
      <c r="R521" s="12">
        <f t="shared" ref="R521:V521" si="531">if(min($K520:$O520)=K520,R520+1,R520)</f>
        <v>205</v>
      </c>
      <c r="S521" s="12">
        <f t="shared" si="531"/>
        <v>93</v>
      </c>
      <c r="T521" s="12">
        <f t="shared" si="531"/>
        <v>88</v>
      </c>
      <c r="U521" s="12">
        <f t="shared" si="531"/>
        <v>69</v>
      </c>
      <c r="V521" s="12">
        <f t="shared" si="531"/>
        <v>65</v>
      </c>
      <c r="X521" s="13">
        <f> 'Optimal Choice'!$B$5*'Optimal Choice'!$B$6^(R521+1)</f>
        <v>4519789.35</v>
      </c>
      <c r="Y521" s="13">
        <f> 'Optimal Choice'!$B$10*'Optimal Choice'!$B$11^(S521+1)</f>
        <v>30461286.66</v>
      </c>
      <c r="Z521" s="13">
        <f> 'Optimal Choice'!$B$15*'Optimal Choice'!$B$16^(T521+1)</f>
        <v>83534189.92</v>
      </c>
      <c r="AA521" s="13">
        <f> 'Optimal Choice'!$B$20*'Optimal Choice'!$B$21^(U521+1)</f>
        <v>44875033.55</v>
      </c>
      <c r="AB521" s="13">
        <f> 'Optimal Choice'!$B$25*'Optimal Choice'!$B$26^(V521+1)</f>
        <v>183689564.6</v>
      </c>
      <c r="AE521" s="12">
        <f t="shared" si="4"/>
        <v>180</v>
      </c>
      <c r="AF521" s="12">
        <f t="shared" si="5"/>
        <v>50</v>
      </c>
      <c r="AG521" s="12">
        <f t="shared" si="6"/>
        <v>32</v>
      </c>
      <c r="AH521" s="12">
        <f t="shared" si="7"/>
        <v>4</v>
      </c>
      <c r="AI521" s="12">
        <f t="shared" si="8"/>
        <v>3</v>
      </c>
      <c r="AL521" s="14">
        <f>R521*'Optimal Choice'!$B$4*AE521</f>
        <v>61623</v>
      </c>
      <c r="AM521" s="14">
        <f>S521*'Optimal Choice'!$B$9*AF521</f>
        <v>93000</v>
      </c>
      <c r="AN521" s="14">
        <f>T521*'Optimal Choice'!$B$14*AG521</f>
        <v>253440</v>
      </c>
      <c r="AO521" s="14">
        <f>U521*'Optimal Choice'!$B$19*AH521</f>
        <v>99360</v>
      </c>
      <c r="AP521" s="14">
        <f>V521*'Optimal Choice'!$B$24*AI521</f>
        <v>421200</v>
      </c>
      <c r="AS521" s="12">
        <f t="shared" si="9"/>
        <v>180</v>
      </c>
      <c r="AT521" s="12">
        <f t="shared" si="10"/>
        <v>50</v>
      </c>
      <c r="AU521" s="12">
        <f t="shared" si="11"/>
        <v>32</v>
      </c>
      <c r="AV521" s="12">
        <f t="shared" si="12"/>
        <v>4</v>
      </c>
      <c r="AW521" s="12">
        <f t="shared" si="13"/>
        <v>3</v>
      </c>
      <c r="AY521" s="11">
        <f t="shared" si="14"/>
        <v>0.07583755737</v>
      </c>
    </row>
    <row r="522" ht="15.75" customHeight="1">
      <c r="A522" s="15">
        <f t="shared" si="2"/>
        <v>72.32828305</v>
      </c>
      <c r="B522" s="7">
        <f>(sum(AL522:AP522))*'Optimal Choice'!$B$28</f>
        <v>928923.6</v>
      </c>
      <c r="C522" s="11"/>
      <c r="D522" s="12"/>
      <c r="E522" s="12"/>
      <c r="F522" s="11"/>
      <c r="G522" s="11"/>
      <c r="H522" s="11"/>
      <c r="I522" s="11"/>
      <c r="J522" s="11"/>
      <c r="K522" s="11">
        <f>(X522/$B522)+(X522/('Optimal Choice'!$B$4*AS522))</f>
        <v>16093.61142</v>
      </c>
      <c r="L522" s="11">
        <f>(Y522/$B522)+(Y522/('Optimal Choice'!$B$9*AT522))</f>
        <v>30494.07869</v>
      </c>
      <c r="M522" s="11">
        <f>(Z522/$B522)+(Z522/('Optimal Choice'!$B$14*AU522))</f>
        <v>29094.85285</v>
      </c>
      <c r="N522" s="11">
        <f>(AA522/$B522)+(AA522/('Optimal Choice'!$B$19*AV522))</f>
        <v>31211.52638</v>
      </c>
      <c r="O522" s="11">
        <f>(AB522/$B522)+(AB522/('Optimal Choice'!$B$24*AW522))</f>
        <v>28544.89957</v>
      </c>
      <c r="R522" s="12">
        <f t="shared" ref="R522:V522" si="532">if(min($K521:$O521)=K521,R521+1,R521)</f>
        <v>206</v>
      </c>
      <c r="S522" s="12">
        <f t="shared" si="532"/>
        <v>93</v>
      </c>
      <c r="T522" s="12">
        <f t="shared" si="532"/>
        <v>88</v>
      </c>
      <c r="U522" s="12">
        <f t="shared" si="532"/>
        <v>69</v>
      </c>
      <c r="V522" s="12">
        <f t="shared" si="532"/>
        <v>65</v>
      </c>
      <c r="X522" s="13">
        <f> 'Optimal Choice'!$B$5*'Optimal Choice'!$B$6^(R522+1)</f>
        <v>4836174.604</v>
      </c>
      <c r="Y522" s="13">
        <f> 'Optimal Choice'!$B$10*'Optimal Choice'!$B$11^(S522+1)</f>
        <v>30461286.66</v>
      </c>
      <c r="Z522" s="13">
        <f> 'Optimal Choice'!$B$15*'Optimal Choice'!$B$16^(T522+1)</f>
        <v>83534189.92</v>
      </c>
      <c r="AA522" s="13">
        <f> 'Optimal Choice'!$B$20*'Optimal Choice'!$B$21^(U522+1)</f>
        <v>44875033.55</v>
      </c>
      <c r="AB522" s="13">
        <f> 'Optimal Choice'!$B$25*'Optimal Choice'!$B$26^(V522+1)</f>
        <v>183689564.6</v>
      </c>
      <c r="AE522" s="12">
        <f t="shared" si="4"/>
        <v>180</v>
      </c>
      <c r="AF522" s="12">
        <f t="shared" si="5"/>
        <v>50</v>
      </c>
      <c r="AG522" s="12">
        <f t="shared" si="6"/>
        <v>32</v>
      </c>
      <c r="AH522" s="12">
        <f t="shared" si="7"/>
        <v>4</v>
      </c>
      <c r="AI522" s="12">
        <f t="shared" si="8"/>
        <v>3</v>
      </c>
      <c r="AL522" s="14">
        <f>R522*'Optimal Choice'!$B$4*AE522</f>
        <v>61923.6</v>
      </c>
      <c r="AM522" s="14">
        <f>S522*'Optimal Choice'!$B$9*AF522</f>
        <v>93000</v>
      </c>
      <c r="AN522" s="14">
        <f>T522*'Optimal Choice'!$B$14*AG522</f>
        <v>253440</v>
      </c>
      <c r="AO522" s="14">
        <f>U522*'Optimal Choice'!$B$19*AH522</f>
        <v>99360</v>
      </c>
      <c r="AP522" s="14">
        <f>V522*'Optimal Choice'!$B$24*AI522</f>
        <v>421200</v>
      </c>
      <c r="AS522" s="12">
        <f t="shared" si="9"/>
        <v>180</v>
      </c>
      <c r="AT522" s="12">
        <f t="shared" si="10"/>
        <v>50</v>
      </c>
      <c r="AU522" s="12">
        <f t="shared" si="11"/>
        <v>32</v>
      </c>
      <c r="AV522" s="12">
        <f t="shared" si="12"/>
        <v>4</v>
      </c>
      <c r="AW522" s="12">
        <f t="shared" si="13"/>
        <v>3</v>
      </c>
      <c r="AY522" s="11">
        <f t="shared" si="14"/>
        <v>0.08111991895</v>
      </c>
    </row>
    <row r="523" ht="15.75" customHeight="1">
      <c r="A523" s="15">
        <f t="shared" si="2"/>
        <v>72.41505328</v>
      </c>
      <c r="B523" s="7">
        <f>(sum(AL523:AP523))*'Optimal Choice'!$B$28</f>
        <v>929224.2</v>
      </c>
      <c r="C523" s="11"/>
      <c r="D523" s="12"/>
      <c r="E523" s="12"/>
      <c r="F523" s="11"/>
      <c r="G523" s="11"/>
      <c r="H523" s="11"/>
      <c r="I523" s="11"/>
      <c r="J523" s="11"/>
      <c r="K523" s="11">
        <f>(X523/$B523)+(X523/('Optimal Choice'!$B$4*AS523))</f>
        <v>17220.16242</v>
      </c>
      <c r="L523" s="11">
        <f>(Y523/$B523)+(Y523/('Optimal Choice'!$B$9*AT523))</f>
        <v>30494.06808</v>
      </c>
      <c r="M523" s="11">
        <f>(Z523/$B523)+(Z523/('Optimal Choice'!$B$14*AU523))</f>
        <v>29094.82376</v>
      </c>
      <c r="N523" s="11">
        <f>(AA523/$B523)+(AA523/('Optimal Choice'!$B$19*AV523))</f>
        <v>31211.51076</v>
      </c>
      <c r="O523" s="11">
        <f>(AB523/$B523)+(AB523/('Optimal Choice'!$B$24*AW523))</f>
        <v>28544.8356</v>
      </c>
      <c r="R523" s="12">
        <f t="shared" ref="R523:V523" si="533">if(min($K522:$O522)=K522,R522+1,R522)</f>
        <v>207</v>
      </c>
      <c r="S523" s="12">
        <f t="shared" si="533"/>
        <v>93</v>
      </c>
      <c r="T523" s="12">
        <f t="shared" si="533"/>
        <v>88</v>
      </c>
      <c r="U523" s="12">
        <f t="shared" si="533"/>
        <v>69</v>
      </c>
      <c r="V523" s="12">
        <f t="shared" si="533"/>
        <v>65</v>
      </c>
      <c r="X523" s="13">
        <f> 'Optimal Choice'!$B$5*'Optimal Choice'!$B$6^(R523+1)</f>
        <v>5174706.827</v>
      </c>
      <c r="Y523" s="13">
        <f> 'Optimal Choice'!$B$10*'Optimal Choice'!$B$11^(S523+1)</f>
        <v>30461286.66</v>
      </c>
      <c r="Z523" s="13">
        <f> 'Optimal Choice'!$B$15*'Optimal Choice'!$B$16^(T523+1)</f>
        <v>83534189.92</v>
      </c>
      <c r="AA523" s="13">
        <f> 'Optimal Choice'!$B$20*'Optimal Choice'!$B$21^(U523+1)</f>
        <v>44875033.55</v>
      </c>
      <c r="AB523" s="13">
        <f> 'Optimal Choice'!$B$25*'Optimal Choice'!$B$26^(V523+1)</f>
        <v>183689564.6</v>
      </c>
      <c r="AE523" s="12">
        <f t="shared" si="4"/>
        <v>180</v>
      </c>
      <c r="AF523" s="12">
        <f t="shared" si="5"/>
        <v>50</v>
      </c>
      <c r="AG523" s="12">
        <f t="shared" si="6"/>
        <v>32</v>
      </c>
      <c r="AH523" s="12">
        <f t="shared" si="7"/>
        <v>4</v>
      </c>
      <c r="AI523" s="12">
        <f t="shared" si="8"/>
        <v>3</v>
      </c>
      <c r="AL523" s="14">
        <f>R523*'Optimal Choice'!$B$4*AE523</f>
        <v>62224.2</v>
      </c>
      <c r="AM523" s="14">
        <f>S523*'Optimal Choice'!$B$9*AF523</f>
        <v>93000</v>
      </c>
      <c r="AN523" s="14">
        <f>T523*'Optimal Choice'!$B$14*AG523</f>
        <v>253440</v>
      </c>
      <c r="AO523" s="14">
        <f>U523*'Optimal Choice'!$B$19*AH523</f>
        <v>99360</v>
      </c>
      <c r="AP523" s="14">
        <f>V523*'Optimal Choice'!$B$24*AI523</f>
        <v>421200</v>
      </c>
      <c r="AS523" s="12">
        <f t="shared" si="9"/>
        <v>180</v>
      </c>
      <c r="AT523" s="12">
        <f t="shared" si="10"/>
        <v>50</v>
      </c>
      <c r="AU523" s="12">
        <f t="shared" si="11"/>
        <v>32</v>
      </c>
      <c r="AV523" s="12">
        <f t="shared" si="12"/>
        <v>4</v>
      </c>
      <c r="AW523" s="12">
        <f t="shared" si="13"/>
        <v>3</v>
      </c>
      <c r="AY523" s="11">
        <f t="shared" si="14"/>
        <v>0.08677022532</v>
      </c>
    </row>
    <row r="524" ht="15.75" customHeight="1">
      <c r="A524" s="15">
        <f t="shared" si="2"/>
        <v>72.50786738</v>
      </c>
      <c r="B524" s="7">
        <f>(sum(AL524:AP524))*'Optimal Choice'!$B$28</f>
        <v>929524.8</v>
      </c>
      <c r="C524" s="11"/>
      <c r="D524" s="12"/>
      <c r="E524" s="12"/>
      <c r="F524" s="11"/>
      <c r="G524" s="11"/>
      <c r="H524" s="11"/>
      <c r="I524" s="11"/>
      <c r="J524" s="11"/>
      <c r="K524" s="11">
        <f>(X524/$B524)+(X524/('Optimal Choice'!$B$4*AS524))</f>
        <v>18425.57186</v>
      </c>
      <c r="L524" s="11">
        <f>(Y524/$B524)+(Y524/('Optimal Choice'!$B$9*AT524))</f>
        <v>30494.05748</v>
      </c>
      <c r="M524" s="11">
        <f>(Z524/$B524)+(Z524/('Optimal Choice'!$B$14*AU524))</f>
        <v>29094.79469</v>
      </c>
      <c r="N524" s="11">
        <f>(AA524/$B524)+(AA524/('Optimal Choice'!$B$19*AV524))</f>
        <v>31211.49514</v>
      </c>
      <c r="O524" s="11">
        <f>(AB524/$B524)+(AB524/('Optimal Choice'!$B$24*AW524))</f>
        <v>28544.77167</v>
      </c>
      <c r="R524" s="12">
        <f t="shared" ref="R524:V524" si="534">if(min($K523:$O523)=K523,R523+1,R523)</f>
        <v>208</v>
      </c>
      <c r="S524" s="12">
        <f t="shared" si="534"/>
        <v>93</v>
      </c>
      <c r="T524" s="12">
        <f t="shared" si="534"/>
        <v>88</v>
      </c>
      <c r="U524" s="12">
        <f t="shared" si="534"/>
        <v>69</v>
      </c>
      <c r="V524" s="12">
        <f t="shared" si="534"/>
        <v>65</v>
      </c>
      <c r="X524" s="13">
        <f> 'Optimal Choice'!$B$5*'Optimal Choice'!$B$6^(R524+1)</f>
        <v>5536936.305</v>
      </c>
      <c r="Y524" s="13">
        <f> 'Optimal Choice'!$B$10*'Optimal Choice'!$B$11^(S524+1)</f>
        <v>30461286.66</v>
      </c>
      <c r="Z524" s="13">
        <f> 'Optimal Choice'!$B$15*'Optimal Choice'!$B$16^(T524+1)</f>
        <v>83534189.92</v>
      </c>
      <c r="AA524" s="13">
        <f> 'Optimal Choice'!$B$20*'Optimal Choice'!$B$21^(U524+1)</f>
        <v>44875033.55</v>
      </c>
      <c r="AB524" s="13">
        <f> 'Optimal Choice'!$B$25*'Optimal Choice'!$B$26^(V524+1)</f>
        <v>183689564.6</v>
      </c>
      <c r="AE524" s="12">
        <f t="shared" si="4"/>
        <v>180</v>
      </c>
      <c r="AF524" s="12">
        <f t="shared" si="5"/>
        <v>50</v>
      </c>
      <c r="AG524" s="12">
        <f t="shared" si="6"/>
        <v>32</v>
      </c>
      <c r="AH524" s="12">
        <f t="shared" si="7"/>
        <v>4</v>
      </c>
      <c r="AI524" s="12">
        <f t="shared" si="8"/>
        <v>3</v>
      </c>
      <c r="AL524" s="14">
        <f>R524*'Optimal Choice'!$B$4*AE524</f>
        <v>62524.8</v>
      </c>
      <c r="AM524" s="14">
        <f>S524*'Optimal Choice'!$B$9*AF524</f>
        <v>93000</v>
      </c>
      <c r="AN524" s="14">
        <f>T524*'Optimal Choice'!$B$14*AG524</f>
        <v>253440</v>
      </c>
      <c r="AO524" s="14">
        <f>U524*'Optimal Choice'!$B$19*AH524</f>
        <v>99360</v>
      </c>
      <c r="AP524" s="14">
        <f>V524*'Optimal Choice'!$B$24*AI524</f>
        <v>421200</v>
      </c>
      <c r="AS524" s="12">
        <f t="shared" si="9"/>
        <v>180</v>
      </c>
      <c r="AT524" s="12">
        <f t="shared" si="10"/>
        <v>50</v>
      </c>
      <c r="AU524" s="12">
        <f t="shared" si="11"/>
        <v>32</v>
      </c>
      <c r="AV524" s="12">
        <f t="shared" si="12"/>
        <v>4</v>
      </c>
      <c r="AW524" s="12">
        <f t="shared" si="13"/>
        <v>3</v>
      </c>
      <c r="AY524" s="11">
        <f t="shared" si="14"/>
        <v>0.09281410641</v>
      </c>
    </row>
    <row r="525" ht="15.75" customHeight="1">
      <c r="A525" s="15">
        <f t="shared" si="2"/>
        <v>72.60714636</v>
      </c>
      <c r="B525" s="7">
        <f>(sum(AL525:AP525))*'Optimal Choice'!$B$28</f>
        <v>929825.4</v>
      </c>
      <c r="C525" s="11"/>
      <c r="D525" s="12"/>
      <c r="E525" s="12"/>
      <c r="F525" s="11"/>
      <c r="G525" s="11"/>
      <c r="H525" s="11"/>
      <c r="I525" s="11"/>
      <c r="J525" s="11"/>
      <c r="K525" s="11">
        <f>(X525/$B525)+(X525/('Optimal Choice'!$B$4*AS525))</f>
        <v>19715.35983</v>
      </c>
      <c r="L525" s="11">
        <f>(Y525/$B525)+(Y525/('Optimal Choice'!$B$9*AT525))</f>
        <v>30494.04688</v>
      </c>
      <c r="M525" s="11">
        <f>(Z525/$B525)+(Z525/('Optimal Choice'!$B$14*AU525))</f>
        <v>29094.76563</v>
      </c>
      <c r="N525" s="11">
        <f>(AA525/$B525)+(AA525/('Optimal Choice'!$B$19*AV525))</f>
        <v>31211.47953</v>
      </c>
      <c r="O525" s="11">
        <f>(AB525/$B525)+(AB525/('Optimal Choice'!$B$24*AW525))</f>
        <v>28544.70778</v>
      </c>
      <c r="R525" s="12">
        <f t="shared" ref="R525:V525" si="535">if(min($K524:$O524)=K524,R524+1,R524)</f>
        <v>209</v>
      </c>
      <c r="S525" s="12">
        <f t="shared" si="535"/>
        <v>93</v>
      </c>
      <c r="T525" s="12">
        <f t="shared" si="535"/>
        <v>88</v>
      </c>
      <c r="U525" s="12">
        <f t="shared" si="535"/>
        <v>69</v>
      </c>
      <c r="V525" s="12">
        <f t="shared" si="535"/>
        <v>65</v>
      </c>
      <c r="X525" s="13">
        <f> 'Optimal Choice'!$B$5*'Optimal Choice'!$B$6^(R525+1)</f>
        <v>5924521.846</v>
      </c>
      <c r="Y525" s="13">
        <f> 'Optimal Choice'!$B$10*'Optimal Choice'!$B$11^(S525+1)</f>
        <v>30461286.66</v>
      </c>
      <c r="Z525" s="13">
        <f> 'Optimal Choice'!$B$15*'Optimal Choice'!$B$16^(T525+1)</f>
        <v>83534189.92</v>
      </c>
      <c r="AA525" s="13">
        <f> 'Optimal Choice'!$B$20*'Optimal Choice'!$B$21^(U525+1)</f>
        <v>44875033.55</v>
      </c>
      <c r="AB525" s="13">
        <f> 'Optimal Choice'!$B$25*'Optimal Choice'!$B$26^(V525+1)</f>
        <v>183689564.6</v>
      </c>
      <c r="AE525" s="12">
        <f t="shared" si="4"/>
        <v>180</v>
      </c>
      <c r="AF525" s="12">
        <f t="shared" si="5"/>
        <v>50</v>
      </c>
      <c r="AG525" s="12">
        <f t="shared" si="6"/>
        <v>32</v>
      </c>
      <c r="AH525" s="12">
        <f t="shared" si="7"/>
        <v>4</v>
      </c>
      <c r="AI525" s="12">
        <f t="shared" si="8"/>
        <v>3</v>
      </c>
      <c r="AL525" s="14">
        <f>R525*'Optimal Choice'!$B$4*AE525</f>
        <v>62825.4</v>
      </c>
      <c r="AM525" s="14">
        <f>S525*'Optimal Choice'!$B$9*AF525</f>
        <v>93000</v>
      </c>
      <c r="AN525" s="14">
        <f>T525*'Optimal Choice'!$B$14*AG525</f>
        <v>253440</v>
      </c>
      <c r="AO525" s="14">
        <f>U525*'Optimal Choice'!$B$19*AH525</f>
        <v>99360</v>
      </c>
      <c r="AP525" s="14">
        <f>V525*'Optimal Choice'!$B$24*AI525</f>
        <v>421200</v>
      </c>
      <c r="AS525" s="12">
        <f t="shared" si="9"/>
        <v>180</v>
      </c>
      <c r="AT525" s="12">
        <f t="shared" si="10"/>
        <v>50</v>
      </c>
      <c r="AU525" s="12">
        <f t="shared" si="11"/>
        <v>32</v>
      </c>
      <c r="AV525" s="12">
        <f t="shared" si="12"/>
        <v>4</v>
      </c>
      <c r="AW525" s="12">
        <f t="shared" si="13"/>
        <v>3</v>
      </c>
      <c r="AY525" s="11">
        <f t="shared" si="14"/>
        <v>0.09927897754</v>
      </c>
    </row>
    <row r="526" ht="15.75" customHeight="1">
      <c r="A526" s="15">
        <f t="shared" si="2"/>
        <v>72.71334052</v>
      </c>
      <c r="B526" s="7">
        <f>(sum(AL526:AP526))*'Optimal Choice'!$B$28</f>
        <v>930126</v>
      </c>
      <c r="C526" s="11"/>
      <c r="D526" s="12"/>
      <c r="E526" s="12"/>
      <c r="F526" s="11"/>
      <c r="G526" s="11"/>
      <c r="H526" s="11"/>
      <c r="I526" s="11"/>
      <c r="J526" s="11"/>
      <c r="K526" s="11">
        <f>(X526/$B526)+(X526/('Optimal Choice'!$B$4*AS526))</f>
        <v>21095.43281</v>
      </c>
      <c r="L526" s="11">
        <f>(Y526/$B526)+(Y526/('Optimal Choice'!$B$9*AT526))</f>
        <v>30494.03629</v>
      </c>
      <c r="M526" s="11">
        <f>(Z526/$B526)+(Z526/('Optimal Choice'!$B$14*AU526))</f>
        <v>29094.7366</v>
      </c>
      <c r="N526" s="11">
        <f>(AA526/$B526)+(AA526/('Optimal Choice'!$B$19*AV526))</f>
        <v>31211.46393</v>
      </c>
      <c r="O526" s="11">
        <f>(AB526/$B526)+(AB526/('Optimal Choice'!$B$24*AW526))</f>
        <v>28544.64394</v>
      </c>
      <c r="R526" s="12">
        <f t="shared" ref="R526:V526" si="536">if(min($K525:$O525)=K525,R525+1,R525)</f>
        <v>210</v>
      </c>
      <c r="S526" s="12">
        <f t="shared" si="536"/>
        <v>93</v>
      </c>
      <c r="T526" s="12">
        <f t="shared" si="536"/>
        <v>88</v>
      </c>
      <c r="U526" s="12">
        <f t="shared" si="536"/>
        <v>69</v>
      </c>
      <c r="V526" s="12">
        <f t="shared" si="536"/>
        <v>65</v>
      </c>
      <c r="X526" s="13">
        <f> 'Optimal Choice'!$B$5*'Optimal Choice'!$B$6^(R526+1)</f>
        <v>6339238.375</v>
      </c>
      <c r="Y526" s="13">
        <f> 'Optimal Choice'!$B$10*'Optimal Choice'!$B$11^(S526+1)</f>
        <v>30461286.66</v>
      </c>
      <c r="Z526" s="13">
        <f> 'Optimal Choice'!$B$15*'Optimal Choice'!$B$16^(T526+1)</f>
        <v>83534189.92</v>
      </c>
      <c r="AA526" s="13">
        <f> 'Optimal Choice'!$B$20*'Optimal Choice'!$B$21^(U526+1)</f>
        <v>44875033.55</v>
      </c>
      <c r="AB526" s="13">
        <f> 'Optimal Choice'!$B$25*'Optimal Choice'!$B$26^(V526+1)</f>
        <v>183689564.6</v>
      </c>
      <c r="AE526" s="12">
        <f t="shared" si="4"/>
        <v>180</v>
      </c>
      <c r="AF526" s="12">
        <f t="shared" si="5"/>
        <v>50</v>
      </c>
      <c r="AG526" s="12">
        <f t="shared" si="6"/>
        <v>32</v>
      </c>
      <c r="AH526" s="12">
        <f t="shared" si="7"/>
        <v>4</v>
      </c>
      <c r="AI526" s="12">
        <f t="shared" si="8"/>
        <v>3</v>
      </c>
      <c r="AL526" s="14">
        <f>R526*'Optimal Choice'!$B$4*AE526</f>
        <v>63126</v>
      </c>
      <c r="AM526" s="14">
        <f>S526*'Optimal Choice'!$B$9*AF526</f>
        <v>93000</v>
      </c>
      <c r="AN526" s="14">
        <f>T526*'Optimal Choice'!$B$14*AG526</f>
        <v>253440</v>
      </c>
      <c r="AO526" s="14">
        <f>U526*'Optimal Choice'!$B$19*AH526</f>
        <v>99360</v>
      </c>
      <c r="AP526" s="14">
        <f>V526*'Optimal Choice'!$B$24*AI526</f>
        <v>421200</v>
      </c>
      <c r="AS526" s="12">
        <f t="shared" si="9"/>
        <v>180</v>
      </c>
      <c r="AT526" s="12">
        <f t="shared" si="10"/>
        <v>50</v>
      </c>
      <c r="AU526" s="12">
        <f t="shared" si="11"/>
        <v>32</v>
      </c>
      <c r="AV526" s="12">
        <f t="shared" si="12"/>
        <v>4</v>
      </c>
      <c r="AW526" s="12">
        <f t="shared" si="13"/>
        <v>3</v>
      </c>
      <c r="AY526" s="11">
        <f t="shared" si="14"/>
        <v>0.1061941637</v>
      </c>
    </row>
    <row r="527" ht="15.75" customHeight="1">
      <c r="A527" s="15">
        <f t="shared" si="2"/>
        <v>72.82693156</v>
      </c>
      <c r="B527" s="7">
        <f>(sum(AL527:AP527))*'Optimal Choice'!$B$28</f>
        <v>930426.6</v>
      </c>
      <c r="C527" s="11"/>
      <c r="D527" s="12"/>
      <c r="E527" s="12"/>
      <c r="F527" s="11"/>
      <c r="G527" s="11"/>
      <c r="H527" s="11"/>
      <c r="I527" s="11"/>
      <c r="J527" s="11"/>
      <c r="K527" s="11">
        <f>(X527/$B527)+(X527/('Optimal Choice'!$B$4*AS527))</f>
        <v>22572.11075</v>
      </c>
      <c r="L527" s="11">
        <f>(Y527/$B527)+(Y527/('Optimal Choice'!$B$9*AT527))</f>
        <v>30494.02571</v>
      </c>
      <c r="M527" s="11">
        <f>(Z527/$B527)+(Z527/('Optimal Choice'!$B$14*AU527))</f>
        <v>29094.70758</v>
      </c>
      <c r="N527" s="11">
        <f>(AA527/$B527)+(AA527/('Optimal Choice'!$B$19*AV527))</f>
        <v>31211.44835</v>
      </c>
      <c r="O527" s="11">
        <f>(AB527/$B527)+(AB527/('Optimal Choice'!$B$24*AW527))</f>
        <v>28544.58013</v>
      </c>
      <c r="R527" s="12">
        <f t="shared" ref="R527:V527" si="537">if(min($K526:$O526)=K526,R526+1,R526)</f>
        <v>211</v>
      </c>
      <c r="S527" s="12">
        <f t="shared" si="537"/>
        <v>93</v>
      </c>
      <c r="T527" s="12">
        <f t="shared" si="537"/>
        <v>88</v>
      </c>
      <c r="U527" s="12">
        <f t="shared" si="537"/>
        <v>69</v>
      </c>
      <c r="V527" s="12">
        <f t="shared" si="537"/>
        <v>65</v>
      </c>
      <c r="X527" s="13">
        <f> 'Optimal Choice'!$B$5*'Optimal Choice'!$B$6^(R527+1)</f>
        <v>6782985.061</v>
      </c>
      <c r="Y527" s="13">
        <f> 'Optimal Choice'!$B$10*'Optimal Choice'!$B$11^(S527+1)</f>
        <v>30461286.66</v>
      </c>
      <c r="Z527" s="13">
        <f> 'Optimal Choice'!$B$15*'Optimal Choice'!$B$16^(T527+1)</f>
        <v>83534189.92</v>
      </c>
      <c r="AA527" s="13">
        <f> 'Optimal Choice'!$B$20*'Optimal Choice'!$B$21^(U527+1)</f>
        <v>44875033.55</v>
      </c>
      <c r="AB527" s="13">
        <f> 'Optimal Choice'!$B$25*'Optimal Choice'!$B$26^(V527+1)</f>
        <v>183689564.6</v>
      </c>
      <c r="AE527" s="12">
        <f t="shared" si="4"/>
        <v>180</v>
      </c>
      <c r="AF527" s="12">
        <f t="shared" si="5"/>
        <v>50</v>
      </c>
      <c r="AG527" s="12">
        <f t="shared" si="6"/>
        <v>32</v>
      </c>
      <c r="AH527" s="12">
        <f t="shared" si="7"/>
        <v>4</v>
      </c>
      <c r="AI527" s="12">
        <f t="shared" si="8"/>
        <v>3</v>
      </c>
      <c r="AL527" s="14">
        <f>R527*'Optimal Choice'!$B$4*AE527</f>
        <v>63426.6</v>
      </c>
      <c r="AM527" s="14">
        <f>S527*'Optimal Choice'!$B$9*AF527</f>
        <v>93000</v>
      </c>
      <c r="AN527" s="14">
        <f>T527*'Optimal Choice'!$B$14*AG527</f>
        <v>253440</v>
      </c>
      <c r="AO527" s="14">
        <f>U527*'Optimal Choice'!$B$19*AH527</f>
        <v>99360</v>
      </c>
      <c r="AP527" s="14">
        <f>V527*'Optimal Choice'!$B$24*AI527</f>
        <v>421200</v>
      </c>
      <c r="AS527" s="12">
        <f t="shared" si="9"/>
        <v>180</v>
      </c>
      <c r="AT527" s="12">
        <f t="shared" si="10"/>
        <v>50</v>
      </c>
      <c r="AU527" s="12">
        <f t="shared" si="11"/>
        <v>32</v>
      </c>
      <c r="AV527" s="12">
        <f t="shared" si="12"/>
        <v>4</v>
      </c>
      <c r="AW527" s="12">
        <f t="shared" si="13"/>
        <v>3</v>
      </c>
      <c r="AY527" s="11">
        <f t="shared" si="14"/>
        <v>0.1135910327</v>
      </c>
    </row>
    <row r="528" ht="15.75" customHeight="1">
      <c r="A528" s="15">
        <f t="shared" si="2"/>
        <v>72.9484347</v>
      </c>
      <c r="B528" s="7">
        <f>(sum(AL528:AP528))*'Optimal Choice'!$B$28</f>
        <v>930727.2</v>
      </c>
      <c r="C528" s="11"/>
      <c r="D528" s="12"/>
      <c r="E528" s="12"/>
      <c r="F528" s="11"/>
      <c r="G528" s="11"/>
      <c r="H528" s="11"/>
      <c r="I528" s="11"/>
      <c r="J528" s="11"/>
      <c r="K528" s="11">
        <f>(X528/$B528)+(X528/('Optimal Choice'!$B$4*AS528))</f>
        <v>24152.15599</v>
      </c>
      <c r="L528" s="11">
        <f>(Y528/$B528)+(Y528/('Optimal Choice'!$B$9*AT528))</f>
        <v>30494.01514</v>
      </c>
      <c r="M528" s="11">
        <f>(Z528/$B528)+(Z528/('Optimal Choice'!$B$14*AU528))</f>
        <v>29094.67859</v>
      </c>
      <c r="N528" s="11">
        <f>(AA528/$B528)+(AA528/('Optimal Choice'!$B$19*AV528))</f>
        <v>31211.43277</v>
      </c>
      <c r="O528" s="11">
        <f>(AB528/$B528)+(AB528/('Optimal Choice'!$B$24*AW528))</f>
        <v>28544.51637</v>
      </c>
      <c r="R528" s="12">
        <f t="shared" ref="R528:V528" si="538">if(min($K527:$O527)=K527,R527+1,R527)</f>
        <v>212</v>
      </c>
      <c r="S528" s="12">
        <f t="shared" si="538"/>
        <v>93</v>
      </c>
      <c r="T528" s="12">
        <f t="shared" si="538"/>
        <v>88</v>
      </c>
      <c r="U528" s="12">
        <f t="shared" si="538"/>
        <v>69</v>
      </c>
      <c r="V528" s="12">
        <f t="shared" si="538"/>
        <v>65</v>
      </c>
      <c r="X528" s="13">
        <f> 'Optimal Choice'!$B$5*'Optimal Choice'!$B$6^(R528+1)</f>
        <v>7257794.016</v>
      </c>
      <c r="Y528" s="13">
        <f> 'Optimal Choice'!$B$10*'Optimal Choice'!$B$11^(S528+1)</f>
        <v>30461286.66</v>
      </c>
      <c r="Z528" s="13">
        <f> 'Optimal Choice'!$B$15*'Optimal Choice'!$B$16^(T528+1)</f>
        <v>83534189.92</v>
      </c>
      <c r="AA528" s="13">
        <f> 'Optimal Choice'!$B$20*'Optimal Choice'!$B$21^(U528+1)</f>
        <v>44875033.55</v>
      </c>
      <c r="AB528" s="13">
        <f> 'Optimal Choice'!$B$25*'Optimal Choice'!$B$26^(V528+1)</f>
        <v>183689564.6</v>
      </c>
      <c r="AE528" s="12">
        <f t="shared" si="4"/>
        <v>180</v>
      </c>
      <c r="AF528" s="12">
        <f t="shared" si="5"/>
        <v>50</v>
      </c>
      <c r="AG528" s="12">
        <f t="shared" si="6"/>
        <v>32</v>
      </c>
      <c r="AH528" s="12">
        <f t="shared" si="7"/>
        <v>4</v>
      </c>
      <c r="AI528" s="12">
        <f t="shared" si="8"/>
        <v>3</v>
      </c>
      <c r="AL528" s="14">
        <f>R528*'Optimal Choice'!$B$4*AE528</f>
        <v>63727.2</v>
      </c>
      <c r="AM528" s="14">
        <f>S528*'Optimal Choice'!$B$9*AF528</f>
        <v>93000</v>
      </c>
      <c r="AN528" s="14">
        <f>T528*'Optimal Choice'!$B$14*AG528</f>
        <v>253440</v>
      </c>
      <c r="AO528" s="14">
        <f>U528*'Optimal Choice'!$B$19*AH528</f>
        <v>99360</v>
      </c>
      <c r="AP528" s="14">
        <f>V528*'Optimal Choice'!$B$24*AI528</f>
        <v>421200</v>
      </c>
      <c r="AS528" s="12">
        <f t="shared" si="9"/>
        <v>180</v>
      </c>
      <c r="AT528" s="12">
        <f t="shared" si="10"/>
        <v>50</v>
      </c>
      <c r="AU528" s="12">
        <f t="shared" si="11"/>
        <v>32</v>
      </c>
      <c r="AV528" s="12">
        <f t="shared" si="12"/>
        <v>4</v>
      </c>
      <c r="AW528" s="12">
        <f t="shared" si="13"/>
        <v>3</v>
      </c>
      <c r="AY528" s="11">
        <f t="shared" si="14"/>
        <v>0.1215031374</v>
      </c>
    </row>
    <row r="529" ht="15.75" customHeight="1">
      <c r="A529" s="15">
        <f t="shared" si="2"/>
        <v>73.07840106</v>
      </c>
      <c r="B529" s="7">
        <f>(sum(AL529:AP529))*'Optimal Choice'!$B$28</f>
        <v>931027.8</v>
      </c>
      <c r="C529" s="11"/>
      <c r="D529" s="12"/>
      <c r="E529" s="12"/>
      <c r="F529" s="11"/>
      <c r="G529" s="11"/>
      <c r="H529" s="11"/>
      <c r="I529" s="11"/>
      <c r="J529" s="11"/>
      <c r="K529" s="11">
        <f>(X529/$B529)+(X529/('Optimal Choice'!$B$4*AS529))</f>
        <v>25842.80421</v>
      </c>
      <c r="L529" s="11">
        <f>(Y529/$B529)+(Y529/('Optimal Choice'!$B$9*AT529))</f>
        <v>30494.00457</v>
      </c>
      <c r="M529" s="11">
        <f>(Z529/$B529)+(Z529/('Optimal Choice'!$B$14*AU529))</f>
        <v>29094.64961</v>
      </c>
      <c r="N529" s="11">
        <f>(AA529/$B529)+(AA529/('Optimal Choice'!$B$19*AV529))</f>
        <v>31211.4172</v>
      </c>
      <c r="O529" s="11">
        <f>(AB529/$B529)+(AB529/('Optimal Choice'!$B$24*AW529))</f>
        <v>28544.45265</v>
      </c>
      <c r="R529" s="12">
        <f t="shared" ref="R529:V529" si="539">if(min($K528:$O528)=K528,R528+1,R528)</f>
        <v>213</v>
      </c>
      <c r="S529" s="12">
        <f t="shared" si="539"/>
        <v>93</v>
      </c>
      <c r="T529" s="12">
        <f t="shared" si="539"/>
        <v>88</v>
      </c>
      <c r="U529" s="12">
        <f t="shared" si="539"/>
        <v>69</v>
      </c>
      <c r="V529" s="12">
        <f t="shared" si="539"/>
        <v>65</v>
      </c>
      <c r="X529" s="13">
        <f> 'Optimal Choice'!$B$5*'Optimal Choice'!$B$6^(R529+1)</f>
        <v>7765839.597</v>
      </c>
      <c r="Y529" s="13">
        <f> 'Optimal Choice'!$B$10*'Optimal Choice'!$B$11^(S529+1)</f>
        <v>30461286.66</v>
      </c>
      <c r="Z529" s="13">
        <f> 'Optimal Choice'!$B$15*'Optimal Choice'!$B$16^(T529+1)</f>
        <v>83534189.92</v>
      </c>
      <c r="AA529" s="13">
        <f> 'Optimal Choice'!$B$20*'Optimal Choice'!$B$21^(U529+1)</f>
        <v>44875033.55</v>
      </c>
      <c r="AB529" s="13">
        <f> 'Optimal Choice'!$B$25*'Optimal Choice'!$B$26^(V529+1)</f>
        <v>183689564.6</v>
      </c>
      <c r="AE529" s="12">
        <f t="shared" si="4"/>
        <v>180</v>
      </c>
      <c r="AF529" s="12">
        <f t="shared" si="5"/>
        <v>50</v>
      </c>
      <c r="AG529" s="12">
        <f t="shared" si="6"/>
        <v>32</v>
      </c>
      <c r="AH529" s="12">
        <f t="shared" si="7"/>
        <v>4</v>
      </c>
      <c r="AI529" s="12">
        <f t="shared" si="8"/>
        <v>3</v>
      </c>
      <c r="AL529" s="14">
        <f>R529*'Optimal Choice'!$B$4*AE529</f>
        <v>64027.8</v>
      </c>
      <c r="AM529" s="14">
        <f>S529*'Optimal Choice'!$B$9*AF529</f>
        <v>93000</v>
      </c>
      <c r="AN529" s="14">
        <f>T529*'Optimal Choice'!$B$14*AG529</f>
        <v>253440</v>
      </c>
      <c r="AO529" s="14">
        <f>U529*'Optimal Choice'!$B$19*AH529</f>
        <v>99360</v>
      </c>
      <c r="AP529" s="14">
        <f>V529*'Optimal Choice'!$B$24*AI529</f>
        <v>421200</v>
      </c>
      <c r="AS529" s="12">
        <f t="shared" si="9"/>
        <v>180</v>
      </c>
      <c r="AT529" s="12">
        <f t="shared" si="10"/>
        <v>50</v>
      </c>
      <c r="AU529" s="12">
        <f t="shared" si="11"/>
        <v>32</v>
      </c>
      <c r="AV529" s="12">
        <f t="shared" si="12"/>
        <v>4</v>
      </c>
      <c r="AW529" s="12">
        <f t="shared" si="13"/>
        <v>3</v>
      </c>
      <c r="AY529" s="11">
        <f t="shared" si="14"/>
        <v>0.1299663678</v>
      </c>
    </row>
    <row r="530" ht="15.75" customHeight="1">
      <c r="A530" s="15">
        <f t="shared" si="2"/>
        <v>73.21742018</v>
      </c>
      <c r="B530" s="7">
        <f>(sum(AL530:AP530))*'Optimal Choice'!$B$28</f>
        <v>931328.4</v>
      </c>
      <c r="C530" s="11"/>
      <c r="D530" s="12"/>
      <c r="E530" s="12"/>
      <c r="F530" s="11"/>
      <c r="G530" s="11"/>
      <c r="H530" s="11"/>
      <c r="I530" s="11"/>
      <c r="J530" s="11"/>
      <c r="K530" s="11">
        <f>(X530/$B530)+(X530/('Optimal Choice'!$B$4*AS530))</f>
        <v>27651.79762</v>
      </c>
      <c r="L530" s="11">
        <f>(Y530/$B530)+(Y530/('Optimal Choice'!$B$9*AT530))</f>
        <v>30493.99401</v>
      </c>
      <c r="M530" s="11">
        <f>(Z530/$B530)+(Z530/('Optimal Choice'!$B$14*AU530))</f>
        <v>29094.62065</v>
      </c>
      <c r="N530" s="11">
        <f>(AA530/$B530)+(AA530/('Optimal Choice'!$B$19*AV530))</f>
        <v>31211.40164</v>
      </c>
      <c r="O530" s="11">
        <f>(AB530/$B530)+(AB530/('Optimal Choice'!$B$24*AW530))</f>
        <v>28544.38897</v>
      </c>
      <c r="R530" s="12">
        <f t="shared" ref="R530:V530" si="540">if(min($K529:$O529)=K529,R529+1,R529)</f>
        <v>214</v>
      </c>
      <c r="S530" s="12">
        <f t="shared" si="540"/>
        <v>93</v>
      </c>
      <c r="T530" s="12">
        <f t="shared" si="540"/>
        <v>88</v>
      </c>
      <c r="U530" s="12">
        <f t="shared" si="540"/>
        <v>69</v>
      </c>
      <c r="V530" s="12">
        <f t="shared" si="540"/>
        <v>65</v>
      </c>
      <c r="X530" s="13">
        <f> 'Optimal Choice'!$B$5*'Optimal Choice'!$B$6^(R530+1)</f>
        <v>8309448.369</v>
      </c>
      <c r="Y530" s="13">
        <f> 'Optimal Choice'!$B$10*'Optimal Choice'!$B$11^(S530+1)</f>
        <v>30461286.66</v>
      </c>
      <c r="Z530" s="13">
        <f> 'Optimal Choice'!$B$15*'Optimal Choice'!$B$16^(T530+1)</f>
        <v>83534189.92</v>
      </c>
      <c r="AA530" s="13">
        <f> 'Optimal Choice'!$B$20*'Optimal Choice'!$B$21^(U530+1)</f>
        <v>44875033.55</v>
      </c>
      <c r="AB530" s="13">
        <f> 'Optimal Choice'!$B$25*'Optimal Choice'!$B$26^(V530+1)</f>
        <v>183689564.6</v>
      </c>
      <c r="AE530" s="12">
        <f t="shared" si="4"/>
        <v>180</v>
      </c>
      <c r="AF530" s="12">
        <f t="shared" si="5"/>
        <v>50</v>
      </c>
      <c r="AG530" s="12">
        <f t="shared" si="6"/>
        <v>32</v>
      </c>
      <c r="AH530" s="12">
        <f t="shared" si="7"/>
        <v>4</v>
      </c>
      <c r="AI530" s="12">
        <f t="shared" si="8"/>
        <v>3</v>
      </c>
      <c r="AL530" s="14">
        <f>R530*'Optimal Choice'!$B$4*AE530</f>
        <v>64328.4</v>
      </c>
      <c r="AM530" s="14">
        <f>S530*'Optimal Choice'!$B$9*AF530</f>
        <v>93000</v>
      </c>
      <c r="AN530" s="14">
        <f>T530*'Optimal Choice'!$B$14*AG530</f>
        <v>253440</v>
      </c>
      <c r="AO530" s="14">
        <f>U530*'Optimal Choice'!$B$19*AH530</f>
        <v>99360</v>
      </c>
      <c r="AP530" s="14">
        <f>V530*'Optimal Choice'!$B$24*AI530</f>
        <v>421200</v>
      </c>
      <c r="AS530" s="12">
        <f t="shared" si="9"/>
        <v>180</v>
      </c>
      <c r="AT530" s="12">
        <f t="shared" si="10"/>
        <v>50</v>
      </c>
      <c r="AU530" s="12">
        <f t="shared" si="11"/>
        <v>32</v>
      </c>
      <c r="AV530" s="12">
        <f t="shared" si="12"/>
        <v>4</v>
      </c>
      <c r="AW530" s="12">
        <f t="shared" si="13"/>
        <v>3</v>
      </c>
      <c r="AY530" s="11">
        <f t="shared" si="14"/>
        <v>0.1390191141</v>
      </c>
    </row>
    <row r="531" ht="15.75" customHeight="1">
      <c r="A531" s="15">
        <f t="shared" si="2"/>
        <v>73.36612262</v>
      </c>
      <c r="B531" s="7">
        <f>(sum(AL531:AP531))*'Optimal Choice'!$B$28</f>
        <v>931629</v>
      </c>
      <c r="C531" s="11"/>
      <c r="D531" s="12"/>
      <c r="E531" s="12"/>
      <c r="F531" s="11"/>
      <c r="G531" s="11"/>
      <c r="H531" s="11"/>
      <c r="I531" s="11"/>
      <c r="J531" s="11"/>
      <c r="K531" s="11">
        <f>(X531/$B531)+(X531/('Optimal Choice'!$B$4*AS531))</f>
        <v>29587.42038</v>
      </c>
      <c r="L531" s="11">
        <f>(Y531/$B531)+(Y531/('Optimal Choice'!$B$9*AT531))</f>
        <v>30493.98346</v>
      </c>
      <c r="M531" s="11">
        <f>(Z531/$B531)+(Z531/('Optimal Choice'!$B$14*AU531))</f>
        <v>29094.59171</v>
      </c>
      <c r="N531" s="11">
        <f>(AA531/$B531)+(AA531/('Optimal Choice'!$B$19*AV531))</f>
        <v>31211.3861</v>
      </c>
      <c r="O531" s="11">
        <f>(AB531/$B531)+(AB531/('Optimal Choice'!$B$24*AW531))</f>
        <v>28544.32533</v>
      </c>
      <c r="R531" s="12">
        <f t="shared" ref="R531:V531" si="541">if(min($K530:$O530)=K530,R530+1,R530)</f>
        <v>215</v>
      </c>
      <c r="S531" s="12">
        <f t="shared" si="541"/>
        <v>93</v>
      </c>
      <c r="T531" s="12">
        <f t="shared" si="541"/>
        <v>88</v>
      </c>
      <c r="U531" s="12">
        <f t="shared" si="541"/>
        <v>69</v>
      </c>
      <c r="V531" s="12">
        <f t="shared" si="541"/>
        <v>65</v>
      </c>
      <c r="X531" s="13">
        <f> 'Optimal Choice'!$B$5*'Optimal Choice'!$B$6^(R531+1)</f>
        <v>8891109.754</v>
      </c>
      <c r="Y531" s="13">
        <f> 'Optimal Choice'!$B$10*'Optimal Choice'!$B$11^(S531+1)</f>
        <v>30461286.66</v>
      </c>
      <c r="Z531" s="13">
        <f> 'Optimal Choice'!$B$15*'Optimal Choice'!$B$16^(T531+1)</f>
        <v>83534189.92</v>
      </c>
      <c r="AA531" s="13">
        <f> 'Optimal Choice'!$B$20*'Optimal Choice'!$B$21^(U531+1)</f>
        <v>44875033.55</v>
      </c>
      <c r="AB531" s="13">
        <f> 'Optimal Choice'!$B$25*'Optimal Choice'!$B$26^(V531+1)</f>
        <v>183689564.6</v>
      </c>
      <c r="AE531" s="12">
        <f t="shared" si="4"/>
        <v>180</v>
      </c>
      <c r="AF531" s="12">
        <f t="shared" si="5"/>
        <v>50</v>
      </c>
      <c r="AG531" s="12">
        <f t="shared" si="6"/>
        <v>32</v>
      </c>
      <c r="AH531" s="12">
        <f t="shared" si="7"/>
        <v>4</v>
      </c>
      <c r="AI531" s="12">
        <f t="shared" si="8"/>
        <v>3</v>
      </c>
      <c r="AL531" s="14">
        <f>R531*'Optimal Choice'!$B$4*AE531</f>
        <v>64629</v>
      </c>
      <c r="AM531" s="14">
        <f>S531*'Optimal Choice'!$B$9*AF531</f>
        <v>93000</v>
      </c>
      <c r="AN531" s="14">
        <f>T531*'Optimal Choice'!$B$14*AG531</f>
        <v>253440</v>
      </c>
      <c r="AO531" s="14">
        <f>U531*'Optimal Choice'!$B$19*AH531</f>
        <v>99360</v>
      </c>
      <c r="AP531" s="14">
        <f>V531*'Optimal Choice'!$B$24*AI531</f>
        <v>421200</v>
      </c>
      <c r="AS531" s="12">
        <f t="shared" si="9"/>
        <v>180</v>
      </c>
      <c r="AT531" s="12">
        <f t="shared" si="10"/>
        <v>50</v>
      </c>
      <c r="AU531" s="12">
        <f t="shared" si="11"/>
        <v>32</v>
      </c>
      <c r="AV531" s="12">
        <f t="shared" si="12"/>
        <v>4</v>
      </c>
      <c r="AW531" s="12">
        <f t="shared" si="13"/>
        <v>3</v>
      </c>
      <c r="AY531" s="11">
        <f t="shared" si="14"/>
        <v>0.1487024407</v>
      </c>
    </row>
    <row r="532" ht="15.75" customHeight="1">
      <c r="A532" s="15">
        <f t="shared" si="2"/>
        <v>76.6522942</v>
      </c>
      <c r="B532" s="7">
        <f>(sum(AL532:AP532))*'Optimal Choice'!$B$28</f>
        <v>938109</v>
      </c>
      <c r="C532" s="11"/>
      <c r="D532" s="12"/>
      <c r="E532" s="12"/>
      <c r="F532" s="11"/>
      <c r="G532" s="11"/>
      <c r="H532" s="11"/>
      <c r="I532" s="11"/>
      <c r="J532" s="11"/>
      <c r="K532" s="11">
        <f>(X532/$B532)+(X532/('Optimal Choice'!$B$4*AS532))</f>
        <v>29587.35445</v>
      </c>
      <c r="L532" s="11">
        <f>(Y532/$B532)+(Y532/('Optimal Choice'!$B$9*AT532))</f>
        <v>30493.75761</v>
      </c>
      <c r="M532" s="11">
        <f>(Z532/$B532)+(Z532/('Optimal Choice'!$B$14*AU532))</f>
        <v>29093.97235</v>
      </c>
      <c r="N532" s="11">
        <f>(AA532/$B532)+(AA532/('Optimal Choice'!$B$19*AV532))</f>
        <v>31211.05337</v>
      </c>
      <c r="O532" s="11">
        <f>(AB532/$B532)+(AB532/('Optimal Choice'!$B$24*AW532))</f>
        <v>31968.11897</v>
      </c>
      <c r="R532" s="12">
        <f t="shared" ref="R532:V532" si="542">if(min($K531:$O531)=K531,R531+1,R531)</f>
        <v>215</v>
      </c>
      <c r="S532" s="12">
        <f t="shared" si="542"/>
        <v>93</v>
      </c>
      <c r="T532" s="12">
        <f t="shared" si="542"/>
        <v>88</v>
      </c>
      <c r="U532" s="12">
        <f t="shared" si="542"/>
        <v>69</v>
      </c>
      <c r="V532" s="12">
        <f t="shared" si="542"/>
        <v>66</v>
      </c>
      <c r="X532" s="13">
        <f> 'Optimal Choice'!$B$5*'Optimal Choice'!$B$6^(R532+1)</f>
        <v>8891109.754</v>
      </c>
      <c r="Y532" s="13">
        <f> 'Optimal Choice'!$B$10*'Optimal Choice'!$B$11^(S532+1)</f>
        <v>30461286.66</v>
      </c>
      <c r="Z532" s="13">
        <f> 'Optimal Choice'!$B$15*'Optimal Choice'!$B$16^(T532+1)</f>
        <v>83534189.92</v>
      </c>
      <c r="AA532" s="13">
        <f> 'Optimal Choice'!$B$20*'Optimal Choice'!$B$21^(U532+1)</f>
        <v>44875033.55</v>
      </c>
      <c r="AB532" s="13">
        <f> 'Optimal Choice'!$B$25*'Optimal Choice'!$B$26^(V532+1)</f>
        <v>205732312.4</v>
      </c>
      <c r="AE532" s="12">
        <f t="shared" si="4"/>
        <v>180</v>
      </c>
      <c r="AF532" s="12">
        <f t="shared" si="5"/>
        <v>50</v>
      </c>
      <c r="AG532" s="12">
        <f t="shared" si="6"/>
        <v>32</v>
      </c>
      <c r="AH532" s="12">
        <f t="shared" si="7"/>
        <v>4</v>
      </c>
      <c r="AI532" s="12">
        <f t="shared" si="8"/>
        <v>3</v>
      </c>
      <c r="AL532" s="14">
        <f>R532*'Optimal Choice'!$B$4*AE532</f>
        <v>64629</v>
      </c>
      <c r="AM532" s="14">
        <f>S532*'Optimal Choice'!$B$9*AF532</f>
        <v>93000</v>
      </c>
      <c r="AN532" s="14">
        <f>T532*'Optimal Choice'!$B$14*AG532</f>
        <v>253440</v>
      </c>
      <c r="AO532" s="14">
        <f>U532*'Optimal Choice'!$B$19*AH532</f>
        <v>99360</v>
      </c>
      <c r="AP532" s="14">
        <f>V532*'Optimal Choice'!$B$24*AI532</f>
        <v>427680</v>
      </c>
      <c r="AS532" s="12">
        <f t="shared" si="9"/>
        <v>180</v>
      </c>
      <c r="AT532" s="12">
        <f t="shared" si="10"/>
        <v>50</v>
      </c>
      <c r="AU532" s="12">
        <f t="shared" si="11"/>
        <v>32</v>
      </c>
      <c r="AV532" s="12">
        <f t="shared" si="12"/>
        <v>4</v>
      </c>
      <c r="AW532" s="12">
        <f t="shared" si="13"/>
        <v>3</v>
      </c>
      <c r="AY532" s="11">
        <f t="shared" si="14"/>
        <v>3.286171581</v>
      </c>
    </row>
    <row r="533" ht="15.75" customHeight="1">
      <c r="A533" s="15">
        <f t="shared" si="2"/>
        <v>78.1363824</v>
      </c>
      <c r="B533" s="7">
        <f>(sum(AL533:AP533))*'Optimal Choice'!$B$28</f>
        <v>940989</v>
      </c>
      <c r="C533" s="11"/>
      <c r="D533" s="12"/>
      <c r="E533" s="12"/>
      <c r="F533" s="11"/>
      <c r="G533" s="11"/>
      <c r="H533" s="11"/>
      <c r="I533" s="11"/>
      <c r="J533" s="11"/>
      <c r="K533" s="11">
        <f>(X533/$B533)+(X533/('Optimal Choice'!$B$4*AS533))</f>
        <v>29587.32545</v>
      </c>
      <c r="L533" s="11">
        <f>(Y533/$B533)+(Y533/('Optimal Choice'!$B$9*AT533))</f>
        <v>30493.65822</v>
      </c>
      <c r="M533" s="11">
        <f>(Z533/$B533)+(Z533/('Optimal Choice'!$B$14*AU533))</f>
        <v>33166.81779</v>
      </c>
      <c r="N533" s="11">
        <f>(AA533/$B533)+(AA533/('Optimal Choice'!$B$19*AV533))</f>
        <v>31210.90697</v>
      </c>
      <c r="O533" s="11">
        <f>(AB533/$B533)+(AB533/('Optimal Choice'!$B$24*AW533))</f>
        <v>31967.44777</v>
      </c>
      <c r="R533" s="12">
        <f t="shared" ref="R533:V533" si="543">if(min($K532:$O532)=K532,R532+1,R532)</f>
        <v>215</v>
      </c>
      <c r="S533" s="12">
        <f t="shared" si="543"/>
        <v>93</v>
      </c>
      <c r="T533" s="12">
        <f t="shared" si="543"/>
        <v>89</v>
      </c>
      <c r="U533" s="12">
        <f t="shared" si="543"/>
        <v>69</v>
      </c>
      <c r="V533" s="12">
        <f t="shared" si="543"/>
        <v>66</v>
      </c>
      <c r="X533" s="13">
        <f> 'Optimal Choice'!$B$5*'Optimal Choice'!$B$6^(R533+1)</f>
        <v>8891109.754</v>
      </c>
      <c r="Y533" s="13">
        <f> 'Optimal Choice'!$B$10*'Optimal Choice'!$B$11^(S533+1)</f>
        <v>30461286.66</v>
      </c>
      <c r="Z533" s="13">
        <f> 'Optimal Choice'!$B$15*'Optimal Choice'!$B$16^(T533+1)</f>
        <v>95228976.51</v>
      </c>
      <c r="AA533" s="13">
        <f> 'Optimal Choice'!$B$20*'Optimal Choice'!$B$21^(U533+1)</f>
        <v>44875033.55</v>
      </c>
      <c r="AB533" s="13">
        <f> 'Optimal Choice'!$B$25*'Optimal Choice'!$B$26^(V533+1)</f>
        <v>205732312.4</v>
      </c>
      <c r="AE533" s="12">
        <f t="shared" si="4"/>
        <v>180</v>
      </c>
      <c r="AF533" s="12">
        <f t="shared" si="5"/>
        <v>50</v>
      </c>
      <c r="AG533" s="12">
        <f t="shared" si="6"/>
        <v>32</v>
      </c>
      <c r="AH533" s="12">
        <f t="shared" si="7"/>
        <v>4</v>
      </c>
      <c r="AI533" s="12">
        <f t="shared" si="8"/>
        <v>3</v>
      </c>
      <c r="AL533" s="14">
        <f>R533*'Optimal Choice'!$B$4*AE533</f>
        <v>64629</v>
      </c>
      <c r="AM533" s="14">
        <f>S533*'Optimal Choice'!$B$9*AF533</f>
        <v>93000</v>
      </c>
      <c r="AN533" s="14">
        <f>T533*'Optimal Choice'!$B$14*AG533</f>
        <v>256320</v>
      </c>
      <c r="AO533" s="14">
        <f>U533*'Optimal Choice'!$B$19*AH533</f>
        <v>99360</v>
      </c>
      <c r="AP533" s="14">
        <f>V533*'Optimal Choice'!$B$24*AI533</f>
        <v>427680</v>
      </c>
      <c r="AS533" s="12">
        <f t="shared" si="9"/>
        <v>180</v>
      </c>
      <c r="AT533" s="12">
        <f t="shared" si="10"/>
        <v>50</v>
      </c>
      <c r="AU533" s="12">
        <f t="shared" si="11"/>
        <v>32</v>
      </c>
      <c r="AV533" s="12">
        <f t="shared" si="12"/>
        <v>4</v>
      </c>
      <c r="AW533" s="12">
        <f t="shared" si="13"/>
        <v>3</v>
      </c>
      <c r="AY533" s="11">
        <f t="shared" si="14"/>
        <v>1.484088202</v>
      </c>
    </row>
    <row r="534" ht="15.75" customHeight="1">
      <c r="A534" s="15">
        <f t="shared" si="2"/>
        <v>78.2938605</v>
      </c>
      <c r="B534" s="7">
        <f>(sum(AL534:AP534))*'Optimal Choice'!$B$28</f>
        <v>941289.6</v>
      </c>
      <c r="C534" s="11"/>
      <c r="D534" s="12"/>
      <c r="E534" s="12"/>
      <c r="F534" s="11"/>
      <c r="G534" s="11"/>
      <c r="H534" s="11"/>
      <c r="I534" s="11"/>
      <c r="J534" s="11"/>
      <c r="K534" s="11">
        <f>(X534/$B534)+(X534/('Optimal Choice'!$B$4*AS534))</f>
        <v>31658.435</v>
      </c>
      <c r="L534" s="11">
        <f>(Y534/$B534)+(Y534/('Optimal Choice'!$B$9*AT534))</f>
        <v>30493.64789</v>
      </c>
      <c r="M534" s="11">
        <f>(Z534/$B534)+(Z534/('Optimal Choice'!$B$14*AU534))</f>
        <v>33166.78547</v>
      </c>
      <c r="N534" s="11">
        <f>(AA534/$B534)+(AA534/('Optimal Choice'!$B$19*AV534))</f>
        <v>31210.89174</v>
      </c>
      <c r="O534" s="11">
        <f>(AB534/$B534)+(AB534/('Optimal Choice'!$B$24*AW534))</f>
        <v>31967.37795</v>
      </c>
      <c r="R534" s="12">
        <f t="shared" ref="R534:V534" si="544">if(min($K533:$O533)=K533,R533+1,R533)</f>
        <v>216</v>
      </c>
      <c r="S534" s="12">
        <f t="shared" si="544"/>
        <v>93</v>
      </c>
      <c r="T534" s="12">
        <f t="shared" si="544"/>
        <v>89</v>
      </c>
      <c r="U534" s="12">
        <f t="shared" si="544"/>
        <v>69</v>
      </c>
      <c r="V534" s="12">
        <f t="shared" si="544"/>
        <v>66</v>
      </c>
      <c r="X534" s="13">
        <f> 'Optimal Choice'!$B$5*'Optimal Choice'!$B$6^(R534+1)</f>
        <v>9513487.437</v>
      </c>
      <c r="Y534" s="13">
        <f> 'Optimal Choice'!$B$10*'Optimal Choice'!$B$11^(S534+1)</f>
        <v>30461286.66</v>
      </c>
      <c r="Z534" s="13">
        <f> 'Optimal Choice'!$B$15*'Optimal Choice'!$B$16^(T534+1)</f>
        <v>95228976.51</v>
      </c>
      <c r="AA534" s="13">
        <f> 'Optimal Choice'!$B$20*'Optimal Choice'!$B$21^(U534+1)</f>
        <v>44875033.55</v>
      </c>
      <c r="AB534" s="13">
        <f> 'Optimal Choice'!$B$25*'Optimal Choice'!$B$26^(V534+1)</f>
        <v>205732312.4</v>
      </c>
      <c r="AE534" s="12">
        <f t="shared" si="4"/>
        <v>180</v>
      </c>
      <c r="AF534" s="12">
        <f t="shared" si="5"/>
        <v>50</v>
      </c>
      <c r="AG534" s="12">
        <f t="shared" si="6"/>
        <v>32</v>
      </c>
      <c r="AH534" s="12">
        <f t="shared" si="7"/>
        <v>4</v>
      </c>
      <c r="AI534" s="12">
        <f t="shared" si="8"/>
        <v>3</v>
      </c>
      <c r="AL534" s="14">
        <f>R534*'Optimal Choice'!$B$4*AE534</f>
        <v>64929.6</v>
      </c>
      <c r="AM534" s="14">
        <f>S534*'Optimal Choice'!$B$9*AF534</f>
        <v>93000</v>
      </c>
      <c r="AN534" s="14">
        <f>T534*'Optimal Choice'!$B$14*AG534</f>
        <v>256320</v>
      </c>
      <c r="AO534" s="14">
        <f>U534*'Optimal Choice'!$B$19*AH534</f>
        <v>99360</v>
      </c>
      <c r="AP534" s="14">
        <f>V534*'Optimal Choice'!$B$24*AI534</f>
        <v>427680</v>
      </c>
      <c r="AS534" s="12">
        <f t="shared" si="9"/>
        <v>180</v>
      </c>
      <c r="AT534" s="12">
        <f t="shared" si="10"/>
        <v>50</v>
      </c>
      <c r="AU534" s="12">
        <f t="shared" si="11"/>
        <v>32</v>
      </c>
      <c r="AV534" s="12">
        <f t="shared" si="12"/>
        <v>4</v>
      </c>
      <c r="AW534" s="12">
        <f t="shared" si="13"/>
        <v>3</v>
      </c>
      <c r="AY534" s="11">
        <f t="shared" si="14"/>
        <v>0.1574781029</v>
      </c>
    </row>
    <row r="535" ht="15.75" customHeight="1">
      <c r="A535" s="15">
        <f t="shared" si="2"/>
        <v>78.83321429</v>
      </c>
      <c r="B535" s="7">
        <f>(sum(AL535:AP535))*'Optimal Choice'!$B$28</f>
        <v>942289.6</v>
      </c>
      <c r="C535" s="11"/>
      <c r="D535" s="12"/>
      <c r="E535" s="12"/>
      <c r="F535" s="11"/>
      <c r="G535" s="11"/>
      <c r="H535" s="11"/>
      <c r="I535" s="11"/>
      <c r="J535" s="11"/>
      <c r="K535" s="11">
        <f>(X535/$B535)+(X535/('Optimal Choice'!$B$4*AS535))</f>
        <v>31658.42427</v>
      </c>
      <c r="L535" s="11">
        <f>(Y535/$B535)+(Y535/('Optimal Choice'!$B$9*AT535))</f>
        <v>35067.65557</v>
      </c>
      <c r="M535" s="11">
        <f>(Z535/$B535)+(Z535/('Optimal Choice'!$B$14*AU535))</f>
        <v>33166.67811</v>
      </c>
      <c r="N535" s="11">
        <f>(AA535/$B535)+(AA535/('Optimal Choice'!$B$19*AV535))</f>
        <v>31210.84114</v>
      </c>
      <c r="O535" s="11">
        <f>(AB535/$B535)+(AB535/('Optimal Choice'!$B$24*AW535))</f>
        <v>31967.146</v>
      </c>
      <c r="R535" s="12">
        <f t="shared" ref="R535:V535" si="545">if(min($K534:$O534)=K534,R534+1,R534)</f>
        <v>216</v>
      </c>
      <c r="S535" s="12">
        <f t="shared" si="545"/>
        <v>94</v>
      </c>
      <c r="T535" s="12">
        <f t="shared" si="545"/>
        <v>89</v>
      </c>
      <c r="U535" s="12">
        <f t="shared" si="545"/>
        <v>69</v>
      </c>
      <c r="V535" s="12">
        <f t="shared" si="545"/>
        <v>66</v>
      </c>
      <c r="X535" s="13">
        <f> 'Optimal Choice'!$B$5*'Optimal Choice'!$B$6^(R535+1)</f>
        <v>9513487.437</v>
      </c>
      <c r="Y535" s="13">
        <f> 'Optimal Choice'!$B$10*'Optimal Choice'!$B$11^(S535+1)</f>
        <v>35030479.66</v>
      </c>
      <c r="Z535" s="13">
        <f> 'Optimal Choice'!$B$15*'Optimal Choice'!$B$16^(T535+1)</f>
        <v>95228976.51</v>
      </c>
      <c r="AA535" s="13">
        <f> 'Optimal Choice'!$B$20*'Optimal Choice'!$B$21^(U535+1)</f>
        <v>44875033.55</v>
      </c>
      <c r="AB535" s="13">
        <f> 'Optimal Choice'!$B$25*'Optimal Choice'!$B$26^(V535+1)</f>
        <v>205732312.4</v>
      </c>
      <c r="AE535" s="12">
        <f t="shared" si="4"/>
        <v>180</v>
      </c>
      <c r="AF535" s="12">
        <f t="shared" si="5"/>
        <v>50</v>
      </c>
      <c r="AG535" s="12">
        <f t="shared" si="6"/>
        <v>32</v>
      </c>
      <c r="AH535" s="12">
        <f t="shared" si="7"/>
        <v>4</v>
      </c>
      <c r="AI535" s="12">
        <f t="shared" si="8"/>
        <v>3</v>
      </c>
      <c r="AL535" s="14">
        <f>R535*'Optimal Choice'!$B$4*AE535</f>
        <v>64929.6</v>
      </c>
      <c r="AM535" s="14">
        <f>S535*'Optimal Choice'!$B$9*AF535</f>
        <v>94000</v>
      </c>
      <c r="AN535" s="14">
        <f>T535*'Optimal Choice'!$B$14*AG535</f>
        <v>256320</v>
      </c>
      <c r="AO535" s="14">
        <f>U535*'Optimal Choice'!$B$19*AH535</f>
        <v>99360</v>
      </c>
      <c r="AP535" s="14">
        <f>V535*'Optimal Choice'!$B$24*AI535</f>
        <v>427680</v>
      </c>
      <c r="AS535" s="12">
        <f t="shared" si="9"/>
        <v>180</v>
      </c>
      <c r="AT535" s="12">
        <f t="shared" si="10"/>
        <v>50</v>
      </c>
      <c r="AU535" s="12">
        <f t="shared" si="11"/>
        <v>32</v>
      </c>
      <c r="AV535" s="12">
        <f t="shared" si="12"/>
        <v>4</v>
      </c>
      <c r="AW535" s="12">
        <f t="shared" si="13"/>
        <v>3</v>
      </c>
      <c r="AY535" s="11">
        <f t="shared" si="14"/>
        <v>0.5393537876</v>
      </c>
    </row>
    <row r="536" ht="15.75" customHeight="1">
      <c r="A536" s="15">
        <f t="shared" si="2"/>
        <v>79.62693761</v>
      </c>
      <c r="B536" s="7">
        <f>(sum(AL536:AP536))*'Optimal Choice'!$B$28</f>
        <v>943729.6</v>
      </c>
      <c r="C536" s="11"/>
      <c r="D536" s="12"/>
      <c r="E536" s="12"/>
      <c r="F536" s="11"/>
      <c r="G536" s="11"/>
      <c r="H536" s="11"/>
      <c r="I536" s="11"/>
      <c r="J536" s="11"/>
      <c r="K536" s="11">
        <f>(X536/$B536)+(X536/('Optimal Choice'!$B$4*AS536))</f>
        <v>31658.40887</v>
      </c>
      <c r="L536" s="11">
        <f>(Y536/$B536)+(Y536/('Optimal Choice'!$B$9*AT536))</f>
        <v>35067.59885</v>
      </c>
      <c r="M536" s="11">
        <f>(Z536/$B536)+(Z536/('Optimal Choice'!$B$14*AU536))</f>
        <v>33166.5239</v>
      </c>
      <c r="N536" s="11">
        <f>(AA536/$B536)+(AA536/('Optimal Choice'!$B$19*AV536))</f>
        <v>35268.16838</v>
      </c>
      <c r="O536" s="11">
        <f>(AB536/$B536)+(AB536/('Optimal Choice'!$B$24*AW536))</f>
        <v>31966.81285</v>
      </c>
      <c r="R536" s="12">
        <f t="shared" ref="R536:V536" si="546">if(min($K535:$O535)=K535,R535+1,R535)</f>
        <v>216</v>
      </c>
      <c r="S536" s="12">
        <f t="shared" si="546"/>
        <v>94</v>
      </c>
      <c r="T536" s="12">
        <f t="shared" si="546"/>
        <v>89</v>
      </c>
      <c r="U536" s="12">
        <f t="shared" si="546"/>
        <v>70</v>
      </c>
      <c r="V536" s="12">
        <f t="shared" si="546"/>
        <v>66</v>
      </c>
      <c r="X536" s="13">
        <f> 'Optimal Choice'!$B$5*'Optimal Choice'!$B$6^(R536+1)</f>
        <v>9513487.437</v>
      </c>
      <c r="Y536" s="13">
        <f> 'Optimal Choice'!$B$10*'Optimal Choice'!$B$11^(S536+1)</f>
        <v>35030479.66</v>
      </c>
      <c r="Z536" s="13">
        <f> 'Optimal Choice'!$B$15*'Optimal Choice'!$B$16^(T536+1)</f>
        <v>95228976.51</v>
      </c>
      <c r="AA536" s="13">
        <f> 'Optimal Choice'!$B$20*'Optimal Choice'!$B$21^(U536+1)</f>
        <v>50708787.92</v>
      </c>
      <c r="AB536" s="13">
        <f> 'Optimal Choice'!$B$25*'Optimal Choice'!$B$26^(V536+1)</f>
        <v>205732312.4</v>
      </c>
      <c r="AE536" s="12">
        <f t="shared" si="4"/>
        <v>180</v>
      </c>
      <c r="AF536" s="12">
        <f t="shared" si="5"/>
        <v>50</v>
      </c>
      <c r="AG536" s="12">
        <f t="shared" si="6"/>
        <v>32</v>
      </c>
      <c r="AH536" s="12">
        <f t="shared" si="7"/>
        <v>4</v>
      </c>
      <c r="AI536" s="12">
        <f t="shared" si="8"/>
        <v>3</v>
      </c>
      <c r="AL536" s="14">
        <f>R536*'Optimal Choice'!$B$4*AE536</f>
        <v>64929.6</v>
      </c>
      <c r="AM536" s="14">
        <f>S536*'Optimal Choice'!$B$9*AF536</f>
        <v>94000</v>
      </c>
      <c r="AN536" s="14">
        <f>T536*'Optimal Choice'!$B$14*AG536</f>
        <v>256320</v>
      </c>
      <c r="AO536" s="14">
        <f>U536*'Optimal Choice'!$B$19*AH536</f>
        <v>100800</v>
      </c>
      <c r="AP536" s="14">
        <f>V536*'Optimal Choice'!$B$24*AI536</f>
        <v>427680</v>
      </c>
      <c r="AS536" s="12">
        <f t="shared" si="9"/>
        <v>180</v>
      </c>
      <c r="AT536" s="12">
        <f t="shared" si="10"/>
        <v>50</v>
      </c>
      <c r="AU536" s="12">
        <f t="shared" si="11"/>
        <v>32</v>
      </c>
      <c r="AV536" s="12">
        <f t="shared" si="12"/>
        <v>4</v>
      </c>
      <c r="AW536" s="12">
        <f t="shared" si="13"/>
        <v>3</v>
      </c>
      <c r="AY536" s="11">
        <f t="shared" si="14"/>
        <v>0.793723316</v>
      </c>
    </row>
    <row r="537" ht="15.75" customHeight="1">
      <c r="A537" s="15">
        <f t="shared" si="2"/>
        <v>79.79494985</v>
      </c>
      <c r="B537" s="7">
        <f>(sum(AL537:AP537))*'Optimal Choice'!$B$28</f>
        <v>944030.2</v>
      </c>
      <c r="C537" s="11"/>
      <c r="D537" s="12"/>
      <c r="E537" s="12"/>
      <c r="F537" s="11"/>
      <c r="G537" s="11"/>
      <c r="H537" s="11"/>
      <c r="I537" s="11"/>
      <c r="J537" s="11"/>
      <c r="K537" s="11">
        <f>(X537/$B537)+(X537/('Optimal Choice'!$B$4*AS537))</f>
        <v>33874.49405</v>
      </c>
      <c r="L537" s="11">
        <f>(Y537/$B537)+(Y537/('Optimal Choice'!$B$9*AT537))</f>
        <v>35067.58703</v>
      </c>
      <c r="M537" s="11">
        <f>(Z537/$B537)+(Z537/('Optimal Choice'!$B$14*AU537))</f>
        <v>33166.49177</v>
      </c>
      <c r="N537" s="11">
        <f>(AA537/$B537)+(AA537/('Optimal Choice'!$B$19*AV537))</f>
        <v>35268.15127</v>
      </c>
      <c r="O537" s="11">
        <f>(AB537/$B537)+(AB537/('Optimal Choice'!$B$24*AW537))</f>
        <v>31966.74344</v>
      </c>
      <c r="R537" s="12">
        <f t="shared" ref="R537:V537" si="547">if(min($K536:$O536)=K536,R536+1,R536)</f>
        <v>217</v>
      </c>
      <c r="S537" s="12">
        <f t="shared" si="547"/>
        <v>94</v>
      </c>
      <c r="T537" s="12">
        <f t="shared" si="547"/>
        <v>89</v>
      </c>
      <c r="U537" s="12">
        <f t="shared" si="547"/>
        <v>70</v>
      </c>
      <c r="V537" s="12">
        <f t="shared" si="547"/>
        <v>66</v>
      </c>
      <c r="X537" s="13">
        <f> 'Optimal Choice'!$B$5*'Optimal Choice'!$B$6^(R537+1)</f>
        <v>10179431.56</v>
      </c>
      <c r="Y537" s="13">
        <f> 'Optimal Choice'!$B$10*'Optimal Choice'!$B$11^(S537+1)</f>
        <v>35030479.66</v>
      </c>
      <c r="Z537" s="13">
        <f> 'Optimal Choice'!$B$15*'Optimal Choice'!$B$16^(T537+1)</f>
        <v>95228976.51</v>
      </c>
      <c r="AA537" s="13">
        <f> 'Optimal Choice'!$B$20*'Optimal Choice'!$B$21^(U537+1)</f>
        <v>50708787.92</v>
      </c>
      <c r="AB537" s="13">
        <f> 'Optimal Choice'!$B$25*'Optimal Choice'!$B$26^(V537+1)</f>
        <v>205732312.4</v>
      </c>
      <c r="AE537" s="12">
        <f t="shared" si="4"/>
        <v>180</v>
      </c>
      <c r="AF537" s="12">
        <f t="shared" si="5"/>
        <v>50</v>
      </c>
      <c r="AG537" s="12">
        <f t="shared" si="6"/>
        <v>32</v>
      </c>
      <c r="AH537" s="12">
        <f t="shared" si="7"/>
        <v>4</v>
      </c>
      <c r="AI537" s="12">
        <f t="shared" si="8"/>
        <v>3</v>
      </c>
      <c r="AL537" s="14">
        <f>R537*'Optimal Choice'!$B$4*AE537</f>
        <v>65230.2</v>
      </c>
      <c r="AM537" s="14">
        <f>S537*'Optimal Choice'!$B$9*AF537</f>
        <v>94000</v>
      </c>
      <c r="AN537" s="14">
        <f>T537*'Optimal Choice'!$B$14*AG537</f>
        <v>256320</v>
      </c>
      <c r="AO537" s="14">
        <f>U537*'Optimal Choice'!$B$19*AH537</f>
        <v>100800</v>
      </c>
      <c r="AP537" s="14">
        <f>V537*'Optimal Choice'!$B$24*AI537</f>
        <v>427680</v>
      </c>
      <c r="AS537" s="12">
        <f t="shared" si="9"/>
        <v>180</v>
      </c>
      <c r="AT537" s="12">
        <f t="shared" si="10"/>
        <v>50</v>
      </c>
      <c r="AU537" s="12">
        <f t="shared" si="11"/>
        <v>32</v>
      </c>
      <c r="AV537" s="12">
        <f t="shared" si="12"/>
        <v>4</v>
      </c>
      <c r="AW537" s="12">
        <f t="shared" si="13"/>
        <v>3</v>
      </c>
      <c r="AY537" s="11">
        <f t="shared" si="14"/>
        <v>0.1680122399</v>
      </c>
    </row>
    <row r="538" ht="15.75" customHeight="1">
      <c r="A538" s="15">
        <f t="shared" si="2"/>
        <v>83.42711317</v>
      </c>
      <c r="B538" s="7">
        <f>(sum(AL538:AP538))*'Optimal Choice'!$B$28</f>
        <v>950510.2</v>
      </c>
      <c r="C538" s="11"/>
      <c r="D538" s="12"/>
      <c r="E538" s="12"/>
      <c r="F538" s="11"/>
      <c r="G538" s="11"/>
      <c r="H538" s="11"/>
      <c r="I538" s="11"/>
      <c r="J538" s="11"/>
      <c r="K538" s="11">
        <f>(X538/$B538)+(X538/('Optimal Choice'!$B$4*AS538))</f>
        <v>33874.42054</v>
      </c>
      <c r="L538" s="11">
        <f>(Y538/$B538)+(Y538/('Optimal Choice'!$B$9*AT538))</f>
        <v>35067.33405</v>
      </c>
      <c r="M538" s="11">
        <f>(Z538/$B538)+(Z538/('Optimal Choice'!$B$14*AU538))</f>
        <v>33165.80407</v>
      </c>
      <c r="N538" s="11">
        <f>(AA538/$B538)+(AA538/('Optimal Choice'!$B$19*AV538))</f>
        <v>35267.78507</v>
      </c>
      <c r="O538" s="11">
        <f>(AB538/$B538)+(AB538/('Optimal Choice'!$B$24*AW538))</f>
        <v>35801.08865</v>
      </c>
      <c r="R538" s="12">
        <f t="shared" ref="R538:V538" si="548">if(min($K537:$O537)=K537,R537+1,R537)</f>
        <v>217</v>
      </c>
      <c r="S538" s="12">
        <f t="shared" si="548"/>
        <v>94</v>
      </c>
      <c r="T538" s="12">
        <f t="shared" si="548"/>
        <v>89</v>
      </c>
      <c r="U538" s="12">
        <f t="shared" si="548"/>
        <v>70</v>
      </c>
      <c r="V538" s="12">
        <f t="shared" si="548"/>
        <v>67</v>
      </c>
      <c r="X538" s="13">
        <f> 'Optimal Choice'!$B$5*'Optimal Choice'!$B$6^(R538+1)</f>
        <v>10179431.56</v>
      </c>
      <c r="Y538" s="13">
        <f> 'Optimal Choice'!$B$10*'Optimal Choice'!$B$11^(S538+1)</f>
        <v>35030479.66</v>
      </c>
      <c r="Z538" s="13">
        <f> 'Optimal Choice'!$B$15*'Optimal Choice'!$B$16^(T538+1)</f>
        <v>95228976.51</v>
      </c>
      <c r="AA538" s="13">
        <f> 'Optimal Choice'!$B$20*'Optimal Choice'!$B$21^(U538+1)</f>
        <v>50708787.92</v>
      </c>
      <c r="AB538" s="13">
        <f> 'Optimal Choice'!$B$25*'Optimal Choice'!$B$26^(V538+1)</f>
        <v>230420189.8</v>
      </c>
      <c r="AE538" s="12">
        <f t="shared" si="4"/>
        <v>180</v>
      </c>
      <c r="AF538" s="12">
        <f t="shared" si="5"/>
        <v>50</v>
      </c>
      <c r="AG538" s="12">
        <f t="shared" si="6"/>
        <v>32</v>
      </c>
      <c r="AH538" s="12">
        <f t="shared" si="7"/>
        <v>4</v>
      </c>
      <c r="AI538" s="12">
        <f t="shared" si="8"/>
        <v>3</v>
      </c>
      <c r="AL538" s="14">
        <f>R538*'Optimal Choice'!$B$4*AE538</f>
        <v>65230.2</v>
      </c>
      <c r="AM538" s="14">
        <f>S538*'Optimal Choice'!$B$9*AF538</f>
        <v>94000</v>
      </c>
      <c r="AN538" s="14">
        <f>T538*'Optimal Choice'!$B$14*AG538</f>
        <v>256320</v>
      </c>
      <c r="AO538" s="14">
        <f>U538*'Optimal Choice'!$B$19*AH538</f>
        <v>100800</v>
      </c>
      <c r="AP538" s="14">
        <f>V538*'Optimal Choice'!$B$24*AI538</f>
        <v>434160</v>
      </c>
      <c r="AS538" s="12">
        <f t="shared" si="9"/>
        <v>180</v>
      </c>
      <c r="AT538" s="12">
        <f t="shared" si="10"/>
        <v>50</v>
      </c>
      <c r="AU538" s="12">
        <f t="shared" si="11"/>
        <v>32</v>
      </c>
      <c r="AV538" s="12">
        <f t="shared" si="12"/>
        <v>4</v>
      </c>
      <c r="AW538" s="12">
        <f t="shared" si="13"/>
        <v>3</v>
      </c>
      <c r="AY538" s="11">
        <f t="shared" si="14"/>
        <v>3.632163328</v>
      </c>
    </row>
    <row r="539" ht="15.75" customHeight="1">
      <c r="A539" s="15">
        <f t="shared" si="2"/>
        <v>85.09690021</v>
      </c>
      <c r="B539" s="7">
        <f>(sum(AL539:AP539))*'Optimal Choice'!$B$28</f>
        <v>953390.2</v>
      </c>
      <c r="C539" s="11"/>
      <c r="D539" s="12"/>
      <c r="E539" s="12"/>
      <c r="F539" s="11"/>
      <c r="G539" s="11"/>
      <c r="H539" s="11"/>
      <c r="I539" s="11"/>
      <c r="J539" s="11"/>
      <c r="K539" s="11">
        <f>(X539/$B539)+(X539/('Optimal Choice'!$B$4*AS539))</f>
        <v>33874.38819</v>
      </c>
      <c r="L539" s="11">
        <f>(Y539/$B539)+(Y539/('Optimal Choice'!$B$9*AT539))</f>
        <v>35067.22272</v>
      </c>
      <c r="M539" s="11">
        <f>(Z539/$B539)+(Z539/('Optimal Choice'!$B$14*AU539))</f>
        <v>37808.67162</v>
      </c>
      <c r="N539" s="11">
        <f>(AA539/$B539)+(AA539/('Optimal Choice'!$B$19*AV539))</f>
        <v>35267.62392</v>
      </c>
      <c r="O539" s="11">
        <f>(AB539/$B539)+(AB539/('Optimal Choice'!$B$24*AW539))</f>
        <v>35800.35635</v>
      </c>
      <c r="R539" s="12">
        <f t="shared" ref="R539:V539" si="549">if(min($K538:$O538)=K538,R538+1,R538)</f>
        <v>217</v>
      </c>
      <c r="S539" s="12">
        <f t="shared" si="549"/>
        <v>94</v>
      </c>
      <c r="T539" s="12">
        <f t="shared" si="549"/>
        <v>90</v>
      </c>
      <c r="U539" s="12">
        <f t="shared" si="549"/>
        <v>70</v>
      </c>
      <c r="V539" s="12">
        <f t="shared" si="549"/>
        <v>67</v>
      </c>
      <c r="X539" s="13">
        <f> 'Optimal Choice'!$B$5*'Optimal Choice'!$B$6^(R539+1)</f>
        <v>10179431.56</v>
      </c>
      <c r="Y539" s="13">
        <f> 'Optimal Choice'!$B$10*'Optimal Choice'!$B$11^(S539+1)</f>
        <v>35030479.66</v>
      </c>
      <c r="Z539" s="13">
        <f> 'Optimal Choice'!$B$15*'Optimal Choice'!$B$16^(T539+1)</f>
        <v>108561033.2</v>
      </c>
      <c r="AA539" s="13">
        <f> 'Optimal Choice'!$B$20*'Optimal Choice'!$B$21^(U539+1)</f>
        <v>50708787.92</v>
      </c>
      <c r="AB539" s="13">
        <f> 'Optimal Choice'!$B$25*'Optimal Choice'!$B$26^(V539+1)</f>
        <v>230420189.8</v>
      </c>
      <c r="AE539" s="12">
        <f t="shared" si="4"/>
        <v>180</v>
      </c>
      <c r="AF539" s="12">
        <f t="shared" si="5"/>
        <v>50</v>
      </c>
      <c r="AG539" s="12">
        <f t="shared" si="6"/>
        <v>32</v>
      </c>
      <c r="AH539" s="12">
        <f t="shared" si="7"/>
        <v>4</v>
      </c>
      <c r="AI539" s="12">
        <f t="shared" si="8"/>
        <v>3</v>
      </c>
      <c r="AL539" s="14">
        <f>R539*'Optimal Choice'!$B$4*AE539</f>
        <v>65230.2</v>
      </c>
      <c r="AM539" s="14">
        <f>S539*'Optimal Choice'!$B$9*AF539</f>
        <v>94000</v>
      </c>
      <c r="AN539" s="14">
        <f>T539*'Optimal Choice'!$B$14*AG539</f>
        <v>259200</v>
      </c>
      <c r="AO539" s="14">
        <f>U539*'Optimal Choice'!$B$19*AH539</f>
        <v>100800</v>
      </c>
      <c r="AP539" s="14">
        <f>V539*'Optimal Choice'!$B$24*AI539</f>
        <v>434160</v>
      </c>
      <c r="AS539" s="12">
        <f t="shared" si="9"/>
        <v>180</v>
      </c>
      <c r="AT539" s="12">
        <f t="shared" si="10"/>
        <v>50</v>
      </c>
      <c r="AU539" s="12">
        <f t="shared" si="11"/>
        <v>32</v>
      </c>
      <c r="AV539" s="12">
        <f t="shared" si="12"/>
        <v>4</v>
      </c>
      <c r="AW539" s="12">
        <f t="shared" si="13"/>
        <v>3</v>
      </c>
      <c r="AY539" s="11">
        <f t="shared" si="14"/>
        <v>1.669787035</v>
      </c>
    </row>
    <row r="540" ht="15.75" customHeight="1">
      <c r="A540" s="15">
        <f t="shared" si="2"/>
        <v>85.27485168</v>
      </c>
      <c r="B540" s="7">
        <f>(sum(AL540:AP540))*'Optimal Choice'!$B$28</f>
        <v>953690.8</v>
      </c>
      <c r="C540" s="11"/>
      <c r="D540" s="12"/>
      <c r="E540" s="12"/>
      <c r="F540" s="11"/>
      <c r="G540" s="11"/>
      <c r="H540" s="11"/>
      <c r="I540" s="11"/>
      <c r="J540" s="11"/>
      <c r="K540" s="11">
        <f>(X540/$B540)+(X540/('Optimal Choice'!$B$4*AS540))</f>
        <v>36245.59176</v>
      </c>
      <c r="L540" s="11">
        <f>(Y540/$B540)+(Y540/('Optimal Choice'!$B$9*AT540))</f>
        <v>35067.21114</v>
      </c>
      <c r="M540" s="11">
        <f>(Z540/$B540)+(Z540/('Optimal Choice'!$B$14*AU540))</f>
        <v>37808.63573</v>
      </c>
      <c r="N540" s="11">
        <f>(AA540/$B540)+(AA540/('Optimal Choice'!$B$19*AV540))</f>
        <v>35267.60715</v>
      </c>
      <c r="O540" s="11">
        <f>(AB540/$B540)+(AB540/('Optimal Choice'!$B$24*AW540))</f>
        <v>35800.28018</v>
      </c>
      <c r="R540" s="12">
        <f t="shared" ref="R540:V540" si="550">if(min($K539:$O539)=K539,R539+1,R539)</f>
        <v>218</v>
      </c>
      <c r="S540" s="12">
        <f t="shared" si="550"/>
        <v>94</v>
      </c>
      <c r="T540" s="12">
        <f t="shared" si="550"/>
        <v>90</v>
      </c>
      <c r="U540" s="12">
        <f t="shared" si="550"/>
        <v>70</v>
      </c>
      <c r="V540" s="12">
        <f t="shared" si="550"/>
        <v>67</v>
      </c>
      <c r="X540" s="13">
        <f> 'Optimal Choice'!$B$5*'Optimal Choice'!$B$6^(R540+1)</f>
        <v>10891991.77</v>
      </c>
      <c r="Y540" s="13">
        <f> 'Optimal Choice'!$B$10*'Optimal Choice'!$B$11^(S540+1)</f>
        <v>35030479.66</v>
      </c>
      <c r="Z540" s="13">
        <f> 'Optimal Choice'!$B$15*'Optimal Choice'!$B$16^(T540+1)</f>
        <v>108561033.2</v>
      </c>
      <c r="AA540" s="13">
        <f> 'Optimal Choice'!$B$20*'Optimal Choice'!$B$21^(U540+1)</f>
        <v>50708787.92</v>
      </c>
      <c r="AB540" s="13">
        <f> 'Optimal Choice'!$B$25*'Optimal Choice'!$B$26^(V540+1)</f>
        <v>230420189.8</v>
      </c>
      <c r="AE540" s="12">
        <f t="shared" si="4"/>
        <v>180</v>
      </c>
      <c r="AF540" s="12">
        <f t="shared" si="5"/>
        <v>50</v>
      </c>
      <c r="AG540" s="12">
        <f t="shared" si="6"/>
        <v>32</v>
      </c>
      <c r="AH540" s="12">
        <f t="shared" si="7"/>
        <v>4</v>
      </c>
      <c r="AI540" s="12">
        <f t="shared" si="8"/>
        <v>3</v>
      </c>
      <c r="AL540" s="14">
        <f>R540*'Optimal Choice'!$B$4*AE540</f>
        <v>65530.8</v>
      </c>
      <c r="AM540" s="14">
        <f>S540*'Optimal Choice'!$B$9*AF540</f>
        <v>94000</v>
      </c>
      <c r="AN540" s="14">
        <f>T540*'Optimal Choice'!$B$14*AG540</f>
        <v>259200</v>
      </c>
      <c r="AO540" s="14">
        <f>U540*'Optimal Choice'!$B$19*AH540</f>
        <v>100800</v>
      </c>
      <c r="AP540" s="14">
        <f>V540*'Optimal Choice'!$B$24*AI540</f>
        <v>434160</v>
      </c>
      <c r="AS540" s="12">
        <f t="shared" si="9"/>
        <v>180</v>
      </c>
      <c r="AT540" s="12">
        <f t="shared" si="10"/>
        <v>50</v>
      </c>
      <c r="AU540" s="12">
        <f t="shared" si="11"/>
        <v>32</v>
      </c>
      <c r="AV540" s="12">
        <f t="shared" si="12"/>
        <v>4</v>
      </c>
      <c r="AW540" s="12">
        <f t="shared" si="13"/>
        <v>3</v>
      </c>
      <c r="AY540" s="11">
        <f t="shared" si="14"/>
        <v>0.1779514753</v>
      </c>
    </row>
    <row r="541" ht="15.75" customHeight="1">
      <c r="A541" s="15">
        <f t="shared" si="2"/>
        <v>85.88704311</v>
      </c>
      <c r="B541" s="7">
        <f>(sum(AL541:AP541))*'Optimal Choice'!$B$28</f>
        <v>954690.8</v>
      </c>
      <c r="C541" s="11"/>
      <c r="D541" s="12"/>
      <c r="E541" s="12"/>
      <c r="F541" s="11"/>
      <c r="G541" s="11"/>
      <c r="H541" s="11"/>
      <c r="I541" s="11"/>
      <c r="J541" s="11"/>
      <c r="K541" s="11">
        <f>(X541/$B541)+(X541/('Optimal Choice'!$B$4*AS541))</f>
        <v>36245.5798</v>
      </c>
      <c r="L541" s="11">
        <f>(Y541/$B541)+(Y541/('Optimal Choice'!$B$9*AT541))</f>
        <v>40327.24857</v>
      </c>
      <c r="M541" s="11">
        <f>(Z541/$B541)+(Z541/('Optimal Choice'!$B$14*AU541))</f>
        <v>37808.51649</v>
      </c>
      <c r="N541" s="11">
        <f>(AA541/$B541)+(AA541/('Optimal Choice'!$B$19*AV541))</f>
        <v>35267.55146</v>
      </c>
      <c r="O541" s="11">
        <f>(AB541/$B541)+(AB541/('Optimal Choice'!$B$24*AW541))</f>
        <v>35800.0271</v>
      </c>
      <c r="R541" s="12">
        <f t="shared" ref="R541:V541" si="551">if(min($K540:$O540)=K540,R540+1,R540)</f>
        <v>218</v>
      </c>
      <c r="S541" s="12">
        <f t="shared" si="551"/>
        <v>95</v>
      </c>
      <c r="T541" s="12">
        <f t="shared" si="551"/>
        <v>90</v>
      </c>
      <c r="U541" s="12">
        <f t="shared" si="551"/>
        <v>70</v>
      </c>
      <c r="V541" s="12">
        <f t="shared" si="551"/>
        <v>67</v>
      </c>
      <c r="X541" s="13">
        <f> 'Optimal Choice'!$B$5*'Optimal Choice'!$B$6^(R541+1)</f>
        <v>10891991.77</v>
      </c>
      <c r="Y541" s="13">
        <f> 'Optimal Choice'!$B$10*'Optimal Choice'!$B$11^(S541+1)</f>
        <v>40285051.61</v>
      </c>
      <c r="Z541" s="13">
        <f> 'Optimal Choice'!$B$15*'Optimal Choice'!$B$16^(T541+1)</f>
        <v>108561033.2</v>
      </c>
      <c r="AA541" s="13">
        <f> 'Optimal Choice'!$B$20*'Optimal Choice'!$B$21^(U541+1)</f>
        <v>50708787.92</v>
      </c>
      <c r="AB541" s="13">
        <f> 'Optimal Choice'!$B$25*'Optimal Choice'!$B$26^(V541+1)</f>
        <v>230420189.8</v>
      </c>
      <c r="AE541" s="12">
        <f t="shared" si="4"/>
        <v>180</v>
      </c>
      <c r="AF541" s="12">
        <f t="shared" si="5"/>
        <v>50</v>
      </c>
      <c r="AG541" s="12">
        <f t="shared" si="6"/>
        <v>32</v>
      </c>
      <c r="AH541" s="12">
        <f t="shared" si="7"/>
        <v>4</v>
      </c>
      <c r="AI541" s="12">
        <f t="shared" si="8"/>
        <v>3</v>
      </c>
      <c r="AL541" s="14">
        <f>R541*'Optimal Choice'!$B$4*AE541</f>
        <v>65530.8</v>
      </c>
      <c r="AM541" s="14">
        <f>S541*'Optimal Choice'!$B$9*AF541</f>
        <v>95000</v>
      </c>
      <c r="AN541" s="14">
        <f>T541*'Optimal Choice'!$B$14*AG541</f>
        <v>259200</v>
      </c>
      <c r="AO541" s="14">
        <f>U541*'Optimal Choice'!$B$19*AH541</f>
        <v>100800</v>
      </c>
      <c r="AP541" s="14">
        <f>V541*'Optimal Choice'!$B$24*AI541</f>
        <v>434160</v>
      </c>
      <c r="AS541" s="12">
        <f t="shared" si="9"/>
        <v>180</v>
      </c>
      <c r="AT541" s="12">
        <f t="shared" si="10"/>
        <v>50</v>
      </c>
      <c r="AU541" s="12">
        <f t="shared" si="11"/>
        <v>32</v>
      </c>
      <c r="AV541" s="12">
        <f t="shared" si="12"/>
        <v>4</v>
      </c>
      <c r="AW541" s="12">
        <f t="shared" si="13"/>
        <v>3</v>
      </c>
      <c r="AY541" s="11">
        <f t="shared" si="14"/>
        <v>0.6121914227</v>
      </c>
    </row>
    <row r="542" ht="15.75" customHeight="1">
      <c r="A542" s="15">
        <f t="shared" si="2"/>
        <v>86.77229985</v>
      </c>
      <c r="B542" s="7">
        <f>(sum(AL542:AP542))*'Optimal Choice'!$B$28</f>
        <v>956130.8</v>
      </c>
      <c r="C542" s="11"/>
      <c r="D542" s="12"/>
      <c r="E542" s="12"/>
      <c r="F542" s="11"/>
      <c r="G542" s="11"/>
      <c r="H542" s="11"/>
      <c r="I542" s="11"/>
      <c r="J542" s="11"/>
      <c r="K542" s="11">
        <f>(X542/$B542)+(X542/('Optimal Choice'!$B$4*AS542))</f>
        <v>36245.56262</v>
      </c>
      <c r="L542" s="11">
        <f>(Y542/$B542)+(Y542/('Optimal Choice'!$B$9*AT542))</f>
        <v>40327.18502</v>
      </c>
      <c r="M542" s="11">
        <f>(Z542/$B542)+(Z542/('Optimal Choice'!$B$14*AU542))</f>
        <v>37808.34523</v>
      </c>
      <c r="N542" s="11">
        <f>(AA542/$B542)+(AA542/('Optimal Choice'!$B$19*AV542))</f>
        <v>39852.24275</v>
      </c>
      <c r="O542" s="11">
        <f>(AB542/$B542)+(AB542/('Optimal Choice'!$B$24*AW542))</f>
        <v>35799.6636</v>
      </c>
      <c r="R542" s="12">
        <f t="shared" ref="R542:V542" si="552">if(min($K541:$O541)=K541,R541+1,R541)</f>
        <v>218</v>
      </c>
      <c r="S542" s="12">
        <f t="shared" si="552"/>
        <v>95</v>
      </c>
      <c r="T542" s="12">
        <f t="shared" si="552"/>
        <v>90</v>
      </c>
      <c r="U542" s="12">
        <f t="shared" si="552"/>
        <v>71</v>
      </c>
      <c r="V542" s="12">
        <f t="shared" si="552"/>
        <v>67</v>
      </c>
      <c r="X542" s="13">
        <f> 'Optimal Choice'!$B$5*'Optimal Choice'!$B$6^(R542+1)</f>
        <v>10891991.77</v>
      </c>
      <c r="Y542" s="13">
        <f> 'Optimal Choice'!$B$10*'Optimal Choice'!$B$11^(S542+1)</f>
        <v>40285051.61</v>
      </c>
      <c r="Z542" s="13">
        <f> 'Optimal Choice'!$B$15*'Optimal Choice'!$B$16^(T542+1)</f>
        <v>108561033.2</v>
      </c>
      <c r="AA542" s="13">
        <f> 'Optimal Choice'!$B$20*'Optimal Choice'!$B$21^(U542+1)</f>
        <v>57300930.35</v>
      </c>
      <c r="AB542" s="13">
        <f> 'Optimal Choice'!$B$25*'Optimal Choice'!$B$26^(V542+1)</f>
        <v>230420189.8</v>
      </c>
      <c r="AE542" s="12">
        <f t="shared" si="4"/>
        <v>180</v>
      </c>
      <c r="AF542" s="12">
        <f t="shared" si="5"/>
        <v>50</v>
      </c>
      <c r="AG542" s="12">
        <f t="shared" si="6"/>
        <v>32</v>
      </c>
      <c r="AH542" s="12">
        <f t="shared" si="7"/>
        <v>4</v>
      </c>
      <c r="AI542" s="12">
        <f t="shared" si="8"/>
        <v>3</v>
      </c>
      <c r="AL542" s="14">
        <f>R542*'Optimal Choice'!$B$4*AE542</f>
        <v>65530.8</v>
      </c>
      <c r="AM542" s="14">
        <f>S542*'Optimal Choice'!$B$9*AF542</f>
        <v>95000</v>
      </c>
      <c r="AN542" s="14">
        <f>T542*'Optimal Choice'!$B$14*AG542</f>
        <v>259200</v>
      </c>
      <c r="AO542" s="14">
        <f>U542*'Optimal Choice'!$B$19*AH542</f>
        <v>102240</v>
      </c>
      <c r="AP542" s="14">
        <f>V542*'Optimal Choice'!$B$24*AI542</f>
        <v>434160</v>
      </c>
      <c r="AS542" s="12">
        <f t="shared" si="9"/>
        <v>180</v>
      </c>
      <c r="AT542" s="12">
        <f t="shared" si="10"/>
        <v>50</v>
      </c>
      <c r="AU542" s="12">
        <f t="shared" si="11"/>
        <v>32</v>
      </c>
      <c r="AV542" s="12">
        <f t="shared" si="12"/>
        <v>4</v>
      </c>
      <c r="AW542" s="12">
        <f t="shared" si="13"/>
        <v>3</v>
      </c>
      <c r="AY542" s="11">
        <f t="shared" si="14"/>
        <v>0.88525674</v>
      </c>
    </row>
    <row r="543" ht="15.75" customHeight="1">
      <c r="A543" s="15">
        <f t="shared" si="2"/>
        <v>90.78883869</v>
      </c>
      <c r="B543" s="7">
        <f>(sum(AL543:AP543))*'Optimal Choice'!$B$28</f>
        <v>962610.8</v>
      </c>
      <c r="C543" s="11"/>
      <c r="D543" s="12"/>
      <c r="E543" s="12"/>
      <c r="F543" s="11"/>
      <c r="G543" s="11"/>
      <c r="H543" s="11"/>
      <c r="I543" s="11"/>
      <c r="J543" s="11"/>
      <c r="K543" s="11">
        <f>(X543/$B543)+(X543/('Optimal Choice'!$B$4*AS543))</f>
        <v>36245.48593</v>
      </c>
      <c r="L543" s="11">
        <f>(Y543/$B543)+(Y543/('Optimal Choice'!$B$9*AT543))</f>
        <v>40326.90139</v>
      </c>
      <c r="M543" s="11">
        <f>(Z543/$B543)+(Z543/('Optimal Choice'!$B$14*AU543))</f>
        <v>37807.5809</v>
      </c>
      <c r="N543" s="11">
        <f>(AA543/$B543)+(AA543/('Optimal Choice'!$B$19*AV543))</f>
        <v>39851.83932</v>
      </c>
      <c r="O543" s="11">
        <f>(AB543/$B543)+(AB543/('Optimal Choice'!$B$24*AW543))</f>
        <v>40093.80627</v>
      </c>
      <c r="R543" s="12">
        <f t="shared" ref="R543:V543" si="553">if(min($K542:$O542)=K542,R542+1,R542)</f>
        <v>218</v>
      </c>
      <c r="S543" s="12">
        <f t="shared" si="553"/>
        <v>95</v>
      </c>
      <c r="T543" s="12">
        <f t="shared" si="553"/>
        <v>90</v>
      </c>
      <c r="U543" s="12">
        <f t="shared" si="553"/>
        <v>71</v>
      </c>
      <c r="V543" s="12">
        <f t="shared" si="553"/>
        <v>68</v>
      </c>
      <c r="X543" s="13">
        <f> 'Optimal Choice'!$B$5*'Optimal Choice'!$B$6^(R543+1)</f>
        <v>10891991.77</v>
      </c>
      <c r="Y543" s="13">
        <f> 'Optimal Choice'!$B$10*'Optimal Choice'!$B$11^(S543+1)</f>
        <v>40285051.61</v>
      </c>
      <c r="Z543" s="13">
        <f> 'Optimal Choice'!$B$15*'Optimal Choice'!$B$16^(T543+1)</f>
        <v>108561033.2</v>
      </c>
      <c r="AA543" s="13">
        <f> 'Optimal Choice'!$B$20*'Optimal Choice'!$B$21^(U543+1)</f>
        <v>57300930.35</v>
      </c>
      <c r="AB543" s="13">
        <f> 'Optimal Choice'!$B$25*'Optimal Choice'!$B$26^(V543+1)</f>
        <v>258070612.6</v>
      </c>
      <c r="AE543" s="12">
        <f t="shared" si="4"/>
        <v>180</v>
      </c>
      <c r="AF543" s="12">
        <f t="shared" si="5"/>
        <v>50</v>
      </c>
      <c r="AG543" s="12">
        <f t="shared" si="6"/>
        <v>32</v>
      </c>
      <c r="AH543" s="12">
        <f t="shared" si="7"/>
        <v>4</v>
      </c>
      <c r="AI543" s="12">
        <f t="shared" si="8"/>
        <v>3</v>
      </c>
      <c r="AL543" s="14">
        <f>R543*'Optimal Choice'!$B$4*AE543</f>
        <v>65530.8</v>
      </c>
      <c r="AM543" s="14">
        <f>S543*'Optimal Choice'!$B$9*AF543</f>
        <v>95000</v>
      </c>
      <c r="AN543" s="14">
        <f>T543*'Optimal Choice'!$B$14*AG543</f>
        <v>259200</v>
      </c>
      <c r="AO543" s="14">
        <f>U543*'Optimal Choice'!$B$19*AH543</f>
        <v>102240</v>
      </c>
      <c r="AP543" s="14">
        <f>V543*'Optimal Choice'!$B$24*AI543</f>
        <v>440640</v>
      </c>
      <c r="AS543" s="12">
        <f t="shared" si="9"/>
        <v>180</v>
      </c>
      <c r="AT543" s="12">
        <f t="shared" si="10"/>
        <v>50</v>
      </c>
      <c r="AU543" s="12">
        <f t="shared" si="11"/>
        <v>32</v>
      </c>
      <c r="AV543" s="12">
        <f t="shared" si="12"/>
        <v>4</v>
      </c>
      <c r="AW543" s="12">
        <f t="shared" si="13"/>
        <v>3</v>
      </c>
      <c r="AY543" s="11">
        <f t="shared" si="14"/>
        <v>4.016538843</v>
      </c>
    </row>
    <row r="544" ht="15.75" customHeight="1">
      <c r="A544" s="15">
        <f t="shared" si="2"/>
        <v>90.9774229</v>
      </c>
      <c r="B544" s="7">
        <f>(sum(AL544:AP544))*'Optimal Choice'!$B$28</f>
        <v>962911.4</v>
      </c>
      <c r="C544" s="11"/>
      <c r="D544" s="12"/>
      <c r="E544" s="12"/>
      <c r="F544" s="11"/>
      <c r="G544" s="11"/>
      <c r="H544" s="11"/>
      <c r="I544" s="11"/>
      <c r="J544" s="11"/>
      <c r="K544" s="11">
        <f>(X544/$B544)+(X544/('Optimal Choice'!$B$4*AS544))</f>
        <v>38782.66617</v>
      </c>
      <c r="L544" s="11">
        <f>(Y544/$B544)+(Y544/('Optimal Choice'!$B$9*AT544))</f>
        <v>40326.88832</v>
      </c>
      <c r="M544" s="11">
        <f>(Z544/$B544)+(Z544/('Optimal Choice'!$B$14*AU544))</f>
        <v>37807.5457</v>
      </c>
      <c r="N544" s="11">
        <f>(AA544/$B544)+(AA544/('Optimal Choice'!$B$19*AV544))</f>
        <v>39851.82074</v>
      </c>
      <c r="O544" s="11">
        <f>(AB544/$B544)+(AB544/('Optimal Choice'!$B$24*AW544))</f>
        <v>40093.72258</v>
      </c>
      <c r="R544" s="12">
        <f t="shared" ref="R544:V544" si="554">if(min($K543:$O543)=K543,R543+1,R543)</f>
        <v>219</v>
      </c>
      <c r="S544" s="12">
        <f t="shared" si="554"/>
        <v>95</v>
      </c>
      <c r="T544" s="12">
        <f t="shared" si="554"/>
        <v>90</v>
      </c>
      <c r="U544" s="12">
        <f t="shared" si="554"/>
        <v>71</v>
      </c>
      <c r="V544" s="12">
        <f t="shared" si="554"/>
        <v>68</v>
      </c>
      <c r="X544" s="13">
        <f> 'Optimal Choice'!$B$5*'Optimal Choice'!$B$6^(R544+1)</f>
        <v>11654431.19</v>
      </c>
      <c r="Y544" s="13">
        <f> 'Optimal Choice'!$B$10*'Optimal Choice'!$B$11^(S544+1)</f>
        <v>40285051.61</v>
      </c>
      <c r="Z544" s="13">
        <f> 'Optimal Choice'!$B$15*'Optimal Choice'!$B$16^(T544+1)</f>
        <v>108561033.2</v>
      </c>
      <c r="AA544" s="13">
        <f> 'Optimal Choice'!$B$20*'Optimal Choice'!$B$21^(U544+1)</f>
        <v>57300930.35</v>
      </c>
      <c r="AB544" s="13">
        <f> 'Optimal Choice'!$B$25*'Optimal Choice'!$B$26^(V544+1)</f>
        <v>258070612.6</v>
      </c>
      <c r="AE544" s="12">
        <f t="shared" si="4"/>
        <v>180</v>
      </c>
      <c r="AF544" s="12">
        <f t="shared" si="5"/>
        <v>50</v>
      </c>
      <c r="AG544" s="12">
        <f t="shared" si="6"/>
        <v>32</v>
      </c>
      <c r="AH544" s="12">
        <f t="shared" si="7"/>
        <v>4</v>
      </c>
      <c r="AI544" s="12">
        <f t="shared" si="8"/>
        <v>3</v>
      </c>
      <c r="AL544" s="14">
        <f>R544*'Optimal Choice'!$B$4*AE544</f>
        <v>65831.4</v>
      </c>
      <c r="AM544" s="14">
        <f>S544*'Optimal Choice'!$B$9*AF544</f>
        <v>95000</v>
      </c>
      <c r="AN544" s="14">
        <f>T544*'Optimal Choice'!$B$14*AG544</f>
        <v>259200</v>
      </c>
      <c r="AO544" s="14">
        <f>U544*'Optimal Choice'!$B$19*AH544</f>
        <v>102240</v>
      </c>
      <c r="AP544" s="14">
        <f>V544*'Optimal Choice'!$B$24*AI544</f>
        <v>440640</v>
      </c>
      <c r="AS544" s="12">
        <f t="shared" si="9"/>
        <v>180</v>
      </c>
      <c r="AT544" s="12">
        <f t="shared" si="10"/>
        <v>50</v>
      </c>
      <c r="AU544" s="12">
        <f t="shared" si="11"/>
        <v>32</v>
      </c>
      <c r="AV544" s="12">
        <f t="shared" si="12"/>
        <v>4</v>
      </c>
      <c r="AW544" s="12">
        <f t="shared" si="13"/>
        <v>3</v>
      </c>
      <c r="AY544" s="11">
        <f t="shared" si="14"/>
        <v>0.1885842088</v>
      </c>
    </row>
    <row r="545" ht="15.75" customHeight="1">
      <c r="A545" s="15">
        <f t="shared" si="2"/>
        <v>92.85646447</v>
      </c>
      <c r="B545" s="7">
        <f>(sum(AL545:AP545))*'Optimal Choice'!$B$28</f>
        <v>965791.4</v>
      </c>
      <c r="C545" s="11"/>
      <c r="D545" s="12"/>
      <c r="E545" s="12"/>
      <c r="F545" s="11"/>
      <c r="G545" s="11"/>
      <c r="H545" s="11"/>
      <c r="I545" s="11"/>
      <c r="J545" s="11"/>
      <c r="K545" s="11">
        <f>(X545/$B545)+(X545/('Optimal Choice'!$B$4*AS545))</f>
        <v>38782.63008</v>
      </c>
      <c r="L545" s="11">
        <f>(Y545/$B545)+(Y545/('Optimal Choice'!$B$9*AT545))</f>
        <v>40326.76357</v>
      </c>
      <c r="M545" s="11">
        <f>(Z545/$B545)+(Z545/('Optimal Choice'!$B$14*AU545))</f>
        <v>43100.21883</v>
      </c>
      <c r="N545" s="11">
        <f>(AA545/$B545)+(AA545/('Optimal Choice'!$B$19*AV545))</f>
        <v>39851.64328</v>
      </c>
      <c r="O545" s="11">
        <f>(AB545/$B545)+(AB545/('Optimal Choice'!$B$24*AW545))</f>
        <v>40092.92337</v>
      </c>
      <c r="R545" s="12">
        <f t="shared" ref="R545:V545" si="555">if(min($K544:$O544)=K544,R544+1,R544)</f>
        <v>219</v>
      </c>
      <c r="S545" s="12">
        <f t="shared" si="555"/>
        <v>95</v>
      </c>
      <c r="T545" s="12">
        <f t="shared" si="555"/>
        <v>91</v>
      </c>
      <c r="U545" s="12">
        <f t="shared" si="555"/>
        <v>71</v>
      </c>
      <c r="V545" s="12">
        <f t="shared" si="555"/>
        <v>68</v>
      </c>
      <c r="X545" s="13">
        <f> 'Optimal Choice'!$B$5*'Optimal Choice'!$B$6^(R545+1)</f>
        <v>11654431.19</v>
      </c>
      <c r="Y545" s="13">
        <f> 'Optimal Choice'!$B$10*'Optimal Choice'!$B$11^(S545+1)</f>
        <v>40285051.61</v>
      </c>
      <c r="Z545" s="13">
        <f> 'Optimal Choice'!$B$15*'Optimal Choice'!$B$16^(T545+1)</f>
        <v>123759577.9</v>
      </c>
      <c r="AA545" s="13">
        <f> 'Optimal Choice'!$B$20*'Optimal Choice'!$B$21^(U545+1)</f>
        <v>57300930.35</v>
      </c>
      <c r="AB545" s="13">
        <f> 'Optimal Choice'!$B$25*'Optimal Choice'!$B$26^(V545+1)</f>
        <v>258070612.6</v>
      </c>
      <c r="AE545" s="12">
        <f t="shared" si="4"/>
        <v>180</v>
      </c>
      <c r="AF545" s="12">
        <f t="shared" si="5"/>
        <v>50</v>
      </c>
      <c r="AG545" s="12">
        <f t="shared" si="6"/>
        <v>32</v>
      </c>
      <c r="AH545" s="12">
        <f t="shared" si="7"/>
        <v>4</v>
      </c>
      <c r="AI545" s="12">
        <f t="shared" si="8"/>
        <v>3</v>
      </c>
      <c r="AL545" s="14">
        <f>R545*'Optimal Choice'!$B$4*AE545</f>
        <v>65831.4</v>
      </c>
      <c r="AM545" s="14">
        <f>S545*'Optimal Choice'!$B$9*AF545</f>
        <v>95000</v>
      </c>
      <c r="AN545" s="14">
        <f>T545*'Optimal Choice'!$B$14*AG545</f>
        <v>262080</v>
      </c>
      <c r="AO545" s="14">
        <f>U545*'Optimal Choice'!$B$19*AH545</f>
        <v>102240</v>
      </c>
      <c r="AP545" s="14">
        <f>V545*'Optimal Choice'!$B$24*AI545</f>
        <v>440640</v>
      </c>
      <c r="AS545" s="12">
        <f t="shared" si="9"/>
        <v>180</v>
      </c>
      <c r="AT545" s="12">
        <f t="shared" si="10"/>
        <v>50</v>
      </c>
      <c r="AU545" s="12">
        <f t="shared" si="11"/>
        <v>32</v>
      </c>
      <c r="AV545" s="12">
        <f t="shared" si="12"/>
        <v>4</v>
      </c>
      <c r="AW545" s="12">
        <f t="shared" si="13"/>
        <v>3</v>
      </c>
      <c r="AY545" s="11">
        <f t="shared" si="14"/>
        <v>1.879041575</v>
      </c>
    </row>
    <row r="546" ht="15.75" customHeight="1">
      <c r="A546" s="15">
        <f t="shared" si="2"/>
        <v>93.05758505</v>
      </c>
      <c r="B546" s="7">
        <f>(sum(AL546:AP546))*'Optimal Choice'!$B$28</f>
        <v>966092</v>
      </c>
      <c r="C546" s="11"/>
      <c r="D546" s="12"/>
      <c r="E546" s="12"/>
      <c r="F546" s="11"/>
      <c r="G546" s="11"/>
      <c r="H546" s="11"/>
      <c r="I546" s="11"/>
      <c r="J546" s="11"/>
      <c r="K546" s="11">
        <f>(X546/$B546)+(X546/('Optimal Choice'!$B$4*AS546))</f>
        <v>41497.41016</v>
      </c>
      <c r="L546" s="11">
        <f>(Y546/$B546)+(Y546/('Optimal Choice'!$B$9*AT546))</f>
        <v>40326.75059</v>
      </c>
      <c r="M546" s="11">
        <f>(Z546/$B546)+(Z546/('Optimal Choice'!$B$14*AU546))</f>
        <v>43100.17896</v>
      </c>
      <c r="N546" s="11">
        <f>(AA546/$B546)+(AA546/('Optimal Choice'!$B$19*AV546))</f>
        <v>39851.62482</v>
      </c>
      <c r="O546" s="11">
        <f>(AB546/$B546)+(AB546/('Optimal Choice'!$B$24*AW546))</f>
        <v>40092.84023</v>
      </c>
      <c r="R546" s="12">
        <f t="shared" ref="R546:V546" si="556">if(min($K545:$O545)=K545,R545+1,R545)</f>
        <v>220</v>
      </c>
      <c r="S546" s="12">
        <f t="shared" si="556"/>
        <v>95</v>
      </c>
      <c r="T546" s="12">
        <f t="shared" si="556"/>
        <v>91</v>
      </c>
      <c r="U546" s="12">
        <f t="shared" si="556"/>
        <v>71</v>
      </c>
      <c r="V546" s="12">
        <f t="shared" si="556"/>
        <v>68</v>
      </c>
      <c r="X546" s="13">
        <f> 'Optimal Choice'!$B$5*'Optimal Choice'!$B$6^(R546+1)</f>
        <v>12470241.37</v>
      </c>
      <c r="Y546" s="13">
        <f> 'Optimal Choice'!$B$10*'Optimal Choice'!$B$11^(S546+1)</f>
        <v>40285051.61</v>
      </c>
      <c r="Z546" s="13">
        <f> 'Optimal Choice'!$B$15*'Optimal Choice'!$B$16^(T546+1)</f>
        <v>123759577.9</v>
      </c>
      <c r="AA546" s="13">
        <f> 'Optimal Choice'!$B$20*'Optimal Choice'!$B$21^(U546+1)</f>
        <v>57300930.35</v>
      </c>
      <c r="AB546" s="13">
        <f> 'Optimal Choice'!$B$25*'Optimal Choice'!$B$26^(V546+1)</f>
        <v>258070612.6</v>
      </c>
      <c r="AE546" s="12">
        <f t="shared" si="4"/>
        <v>180</v>
      </c>
      <c r="AF546" s="12">
        <f t="shared" si="5"/>
        <v>50</v>
      </c>
      <c r="AG546" s="12">
        <f t="shared" si="6"/>
        <v>32</v>
      </c>
      <c r="AH546" s="12">
        <f t="shared" si="7"/>
        <v>4</v>
      </c>
      <c r="AI546" s="12">
        <f t="shared" si="8"/>
        <v>3</v>
      </c>
      <c r="AL546" s="14">
        <f>R546*'Optimal Choice'!$B$4*AE546</f>
        <v>66132</v>
      </c>
      <c r="AM546" s="14">
        <f>S546*'Optimal Choice'!$B$9*AF546</f>
        <v>95000</v>
      </c>
      <c r="AN546" s="14">
        <f>T546*'Optimal Choice'!$B$14*AG546</f>
        <v>262080</v>
      </c>
      <c r="AO546" s="14">
        <f>U546*'Optimal Choice'!$B$19*AH546</f>
        <v>102240</v>
      </c>
      <c r="AP546" s="14">
        <f>V546*'Optimal Choice'!$B$24*AI546</f>
        <v>440640</v>
      </c>
      <c r="AS546" s="12">
        <f t="shared" si="9"/>
        <v>180</v>
      </c>
      <c r="AT546" s="12">
        <f t="shared" si="10"/>
        <v>50</v>
      </c>
      <c r="AU546" s="12">
        <f t="shared" si="11"/>
        <v>32</v>
      </c>
      <c r="AV546" s="12">
        <f t="shared" si="12"/>
        <v>4</v>
      </c>
      <c r="AW546" s="12">
        <f t="shared" si="13"/>
        <v>3</v>
      </c>
      <c r="AY546" s="11">
        <f t="shared" si="14"/>
        <v>0.2011205731</v>
      </c>
    </row>
    <row r="547" ht="15.75" customHeight="1">
      <c r="A547" s="15">
        <f t="shared" si="2"/>
        <v>94.04611979</v>
      </c>
      <c r="B547" s="7">
        <f>(sum(AL547:AP547))*'Optimal Choice'!$B$28</f>
        <v>967532</v>
      </c>
      <c r="C547" s="11"/>
      <c r="D547" s="12"/>
      <c r="E547" s="12"/>
      <c r="F547" s="11"/>
      <c r="G547" s="11"/>
      <c r="H547" s="11"/>
      <c r="I547" s="11"/>
      <c r="J547" s="11"/>
      <c r="K547" s="11">
        <f>(X547/$B547)+(X547/('Optimal Choice'!$B$4*AS547))</f>
        <v>41497.39095</v>
      </c>
      <c r="L547" s="11">
        <f>(Y547/$B547)+(Y547/('Optimal Choice'!$B$9*AT547))</f>
        <v>40326.68853</v>
      </c>
      <c r="M547" s="11">
        <f>(Z547/$B547)+(Z547/('Optimal Choice'!$B$14*AU547))</f>
        <v>43099.9883</v>
      </c>
      <c r="N547" s="11">
        <f>(AA547/$B547)+(AA547/('Optimal Choice'!$B$19*AV547))</f>
        <v>45032.2363</v>
      </c>
      <c r="O547" s="11">
        <f>(AB547/$B547)+(AB547/('Optimal Choice'!$B$24*AW547))</f>
        <v>40092.44265</v>
      </c>
      <c r="R547" s="12">
        <f t="shared" ref="R547:V547" si="557">if(min($K546:$O546)=K546,R546+1,R546)</f>
        <v>220</v>
      </c>
      <c r="S547" s="12">
        <f t="shared" si="557"/>
        <v>95</v>
      </c>
      <c r="T547" s="12">
        <f t="shared" si="557"/>
        <v>91</v>
      </c>
      <c r="U547" s="12">
        <f t="shared" si="557"/>
        <v>72</v>
      </c>
      <c r="V547" s="12">
        <f t="shared" si="557"/>
        <v>68</v>
      </c>
      <c r="X547" s="13">
        <f> 'Optimal Choice'!$B$5*'Optimal Choice'!$B$6^(R547+1)</f>
        <v>12470241.37</v>
      </c>
      <c r="Y547" s="13">
        <f> 'Optimal Choice'!$B$10*'Optimal Choice'!$B$11^(S547+1)</f>
        <v>40285051.61</v>
      </c>
      <c r="Z547" s="13">
        <f> 'Optimal Choice'!$B$15*'Optimal Choice'!$B$16^(T547+1)</f>
        <v>123759577.9</v>
      </c>
      <c r="AA547" s="13">
        <f> 'Optimal Choice'!$B$20*'Optimal Choice'!$B$21^(U547+1)</f>
        <v>64750051.29</v>
      </c>
      <c r="AB547" s="13">
        <f> 'Optimal Choice'!$B$25*'Optimal Choice'!$B$26^(V547+1)</f>
        <v>258070612.6</v>
      </c>
      <c r="AE547" s="12">
        <f t="shared" si="4"/>
        <v>180</v>
      </c>
      <c r="AF547" s="12">
        <f t="shared" si="5"/>
        <v>50</v>
      </c>
      <c r="AG547" s="12">
        <f t="shared" si="6"/>
        <v>32</v>
      </c>
      <c r="AH547" s="12">
        <f t="shared" si="7"/>
        <v>4</v>
      </c>
      <c r="AI547" s="12">
        <f t="shared" si="8"/>
        <v>3</v>
      </c>
      <c r="AL547" s="14">
        <f>R547*'Optimal Choice'!$B$4*AE547</f>
        <v>66132</v>
      </c>
      <c r="AM547" s="14">
        <f>S547*'Optimal Choice'!$B$9*AF547</f>
        <v>95000</v>
      </c>
      <c r="AN547" s="14">
        <f>T547*'Optimal Choice'!$B$14*AG547</f>
        <v>262080</v>
      </c>
      <c r="AO547" s="14">
        <f>U547*'Optimal Choice'!$B$19*AH547</f>
        <v>103680</v>
      </c>
      <c r="AP547" s="14">
        <f>V547*'Optimal Choice'!$B$24*AI547</f>
        <v>440640</v>
      </c>
      <c r="AS547" s="12">
        <f t="shared" si="9"/>
        <v>180</v>
      </c>
      <c r="AT547" s="12">
        <f t="shared" si="10"/>
        <v>50</v>
      </c>
      <c r="AU547" s="12">
        <f t="shared" si="11"/>
        <v>32</v>
      </c>
      <c r="AV547" s="12">
        <f t="shared" si="12"/>
        <v>4</v>
      </c>
      <c r="AW547" s="12">
        <f t="shared" si="13"/>
        <v>3</v>
      </c>
      <c r="AY547" s="11">
        <f t="shared" si="14"/>
        <v>0.9885347418</v>
      </c>
    </row>
    <row r="548" ht="15.75" customHeight="1">
      <c r="A548" s="15">
        <f t="shared" si="2"/>
        <v>98.49163361</v>
      </c>
      <c r="B548" s="7">
        <f>(sum(AL548:AP548))*'Optimal Choice'!$B$28</f>
        <v>974012</v>
      </c>
      <c r="C548" s="11"/>
      <c r="D548" s="12"/>
      <c r="E548" s="12"/>
      <c r="F548" s="11"/>
      <c r="G548" s="11"/>
      <c r="H548" s="11"/>
      <c r="I548" s="11"/>
      <c r="J548" s="11"/>
      <c r="K548" s="11">
        <f>(X548/$B548)+(X548/('Optimal Choice'!$B$4*AS548))</f>
        <v>41497.30521</v>
      </c>
      <c r="L548" s="11">
        <f>(Y548/$B548)+(Y548/('Optimal Choice'!$B$9*AT548))</f>
        <v>40326.41152</v>
      </c>
      <c r="M548" s="11">
        <f>(Z548/$B548)+(Z548/('Optimal Choice'!$B$14*AU548))</f>
        <v>43099.13731</v>
      </c>
      <c r="N548" s="11">
        <f>(AA548/$B548)+(AA548/('Optimal Choice'!$B$19*AV548))</f>
        <v>45031.79107</v>
      </c>
      <c r="O548" s="11">
        <f>(AB548/$B548)+(AB548/('Optimal Choice'!$B$24*AW548))</f>
        <v>44901.5483</v>
      </c>
      <c r="R548" s="12">
        <f t="shared" ref="R548:V548" si="558">if(min($K547:$O547)=K547,R547+1,R547)</f>
        <v>220</v>
      </c>
      <c r="S548" s="12">
        <f t="shared" si="558"/>
        <v>95</v>
      </c>
      <c r="T548" s="12">
        <f t="shared" si="558"/>
        <v>91</v>
      </c>
      <c r="U548" s="12">
        <f t="shared" si="558"/>
        <v>72</v>
      </c>
      <c r="V548" s="12">
        <f t="shared" si="558"/>
        <v>69</v>
      </c>
      <c r="X548" s="13">
        <f> 'Optimal Choice'!$B$5*'Optimal Choice'!$B$6^(R548+1)</f>
        <v>12470241.37</v>
      </c>
      <c r="Y548" s="13">
        <f> 'Optimal Choice'!$B$10*'Optimal Choice'!$B$11^(S548+1)</f>
        <v>40285051.61</v>
      </c>
      <c r="Z548" s="13">
        <f> 'Optimal Choice'!$B$15*'Optimal Choice'!$B$16^(T548+1)</f>
        <v>123759577.9</v>
      </c>
      <c r="AA548" s="13">
        <f> 'Optimal Choice'!$B$20*'Optimal Choice'!$B$21^(U548+1)</f>
        <v>64750051.29</v>
      </c>
      <c r="AB548" s="13">
        <f> 'Optimal Choice'!$B$25*'Optimal Choice'!$B$26^(V548+1)</f>
        <v>289039086.1</v>
      </c>
      <c r="AE548" s="12">
        <f t="shared" si="4"/>
        <v>180</v>
      </c>
      <c r="AF548" s="12">
        <f t="shared" si="5"/>
        <v>50</v>
      </c>
      <c r="AG548" s="12">
        <f t="shared" si="6"/>
        <v>32</v>
      </c>
      <c r="AH548" s="12">
        <f t="shared" si="7"/>
        <v>4</v>
      </c>
      <c r="AI548" s="12">
        <f t="shared" si="8"/>
        <v>3</v>
      </c>
      <c r="AL548" s="14">
        <f>R548*'Optimal Choice'!$B$4*AE548</f>
        <v>66132</v>
      </c>
      <c r="AM548" s="14">
        <f>S548*'Optimal Choice'!$B$9*AF548</f>
        <v>95000</v>
      </c>
      <c r="AN548" s="14">
        <f>T548*'Optimal Choice'!$B$14*AG548</f>
        <v>262080</v>
      </c>
      <c r="AO548" s="14">
        <f>U548*'Optimal Choice'!$B$19*AH548</f>
        <v>103680</v>
      </c>
      <c r="AP548" s="14">
        <f>V548*'Optimal Choice'!$B$24*AI548</f>
        <v>447120</v>
      </c>
      <c r="AS548" s="12">
        <f t="shared" si="9"/>
        <v>180</v>
      </c>
      <c r="AT548" s="12">
        <f t="shared" si="10"/>
        <v>50</v>
      </c>
      <c r="AU548" s="12">
        <f t="shared" si="11"/>
        <v>32</v>
      </c>
      <c r="AV548" s="12">
        <f t="shared" si="12"/>
        <v>4</v>
      </c>
      <c r="AW548" s="12">
        <f t="shared" si="13"/>
        <v>3</v>
      </c>
      <c r="AY548" s="11">
        <f t="shared" si="14"/>
        <v>4.44551382</v>
      </c>
    </row>
    <row r="549" ht="15.75" customHeight="1">
      <c r="A549" s="15">
        <f t="shared" si="2"/>
        <v>99.18096549</v>
      </c>
      <c r="B549" s="7">
        <f>(sum(AL549:AP549))*'Optimal Choice'!$B$28</f>
        <v>975012</v>
      </c>
      <c r="C549" s="11"/>
      <c r="D549" s="12"/>
      <c r="E549" s="12"/>
      <c r="F549" s="11"/>
      <c r="G549" s="11"/>
      <c r="H549" s="11"/>
      <c r="I549" s="11"/>
      <c r="J549" s="11"/>
      <c r="K549" s="11">
        <f>(X549/$B549)+(X549/('Optimal Choice'!$B$4*AS549))</f>
        <v>41497.29208</v>
      </c>
      <c r="L549" s="11">
        <f>(Y549/$B549)+(Y549/('Optimal Choice'!$B$9*AT549))</f>
        <v>46375.32447</v>
      </c>
      <c r="M549" s="11">
        <f>(Z549/$B549)+(Z549/('Optimal Choice'!$B$14*AU549))</f>
        <v>43099.00699</v>
      </c>
      <c r="N549" s="11">
        <f>(AA549/$B549)+(AA549/('Optimal Choice'!$B$19*AV549))</f>
        <v>45031.72289</v>
      </c>
      <c r="O549" s="11">
        <f>(AB549/$B549)+(AB549/('Optimal Choice'!$B$24*AW549))</f>
        <v>44901.24394</v>
      </c>
      <c r="R549" s="12">
        <f t="shared" ref="R549:V549" si="559">if(min($K548:$O548)=K548,R548+1,R548)</f>
        <v>220</v>
      </c>
      <c r="S549" s="12">
        <f t="shared" si="559"/>
        <v>96</v>
      </c>
      <c r="T549" s="12">
        <f t="shared" si="559"/>
        <v>91</v>
      </c>
      <c r="U549" s="12">
        <f t="shared" si="559"/>
        <v>72</v>
      </c>
      <c r="V549" s="12">
        <f t="shared" si="559"/>
        <v>69</v>
      </c>
      <c r="X549" s="13">
        <f> 'Optimal Choice'!$B$5*'Optimal Choice'!$B$6^(R549+1)</f>
        <v>12470241.37</v>
      </c>
      <c r="Y549" s="13">
        <f> 'Optimal Choice'!$B$10*'Optimal Choice'!$B$11^(S549+1)</f>
        <v>46327809.35</v>
      </c>
      <c r="Z549" s="13">
        <f> 'Optimal Choice'!$B$15*'Optimal Choice'!$B$16^(T549+1)</f>
        <v>123759577.9</v>
      </c>
      <c r="AA549" s="13">
        <f> 'Optimal Choice'!$B$20*'Optimal Choice'!$B$21^(U549+1)</f>
        <v>64750051.29</v>
      </c>
      <c r="AB549" s="13">
        <f> 'Optimal Choice'!$B$25*'Optimal Choice'!$B$26^(V549+1)</f>
        <v>289039086.1</v>
      </c>
      <c r="AE549" s="12">
        <f t="shared" si="4"/>
        <v>180</v>
      </c>
      <c r="AF549" s="12">
        <f t="shared" si="5"/>
        <v>50</v>
      </c>
      <c r="AG549" s="12">
        <f t="shared" si="6"/>
        <v>32</v>
      </c>
      <c r="AH549" s="12">
        <f t="shared" si="7"/>
        <v>4</v>
      </c>
      <c r="AI549" s="12">
        <f t="shared" si="8"/>
        <v>3</v>
      </c>
      <c r="AL549" s="14">
        <f>R549*'Optimal Choice'!$B$4*AE549</f>
        <v>66132</v>
      </c>
      <c r="AM549" s="14">
        <f>S549*'Optimal Choice'!$B$9*AF549</f>
        <v>96000</v>
      </c>
      <c r="AN549" s="14">
        <f>T549*'Optimal Choice'!$B$14*AG549</f>
        <v>262080</v>
      </c>
      <c r="AO549" s="14">
        <f>U549*'Optimal Choice'!$B$19*AH549</f>
        <v>103680</v>
      </c>
      <c r="AP549" s="14">
        <f>V549*'Optimal Choice'!$B$24*AI549</f>
        <v>447120</v>
      </c>
      <c r="AS549" s="12">
        <f t="shared" si="9"/>
        <v>180</v>
      </c>
      <c r="AT549" s="12">
        <f t="shared" si="10"/>
        <v>50</v>
      </c>
      <c r="AU549" s="12">
        <f t="shared" si="11"/>
        <v>32</v>
      </c>
      <c r="AV549" s="12">
        <f t="shared" si="12"/>
        <v>4</v>
      </c>
      <c r="AW549" s="12">
        <f t="shared" si="13"/>
        <v>3</v>
      </c>
      <c r="AY549" s="11">
        <f t="shared" si="14"/>
        <v>0.6893318838</v>
      </c>
    </row>
    <row r="550" ht="15.75" customHeight="1">
      <c r="A550" s="15">
        <f t="shared" si="2"/>
        <v>99.39412939</v>
      </c>
      <c r="B550" s="7">
        <f>(sum(AL550:AP550))*'Optimal Choice'!$B$28</f>
        <v>975312.6</v>
      </c>
      <c r="C550" s="11"/>
      <c r="D550" s="12"/>
      <c r="E550" s="12"/>
      <c r="F550" s="11"/>
      <c r="G550" s="11"/>
      <c r="H550" s="11"/>
      <c r="I550" s="11"/>
      <c r="J550" s="11"/>
      <c r="K550" s="11">
        <f>(X550/$B550)+(X550/('Optimal Choice'!$B$4*AS550))</f>
        <v>44402.0983</v>
      </c>
      <c r="L550" s="11">
        <f>(Y550/$B550)+(Y550/('Optimal Choice'!$B$9*AT550))</f>
        <v>46375.30982</v>
      </c>
      <c r="M550" s="11">
        <f>(Z550/$B550)+(Z550/('Optimal Choice'!$B$14*AU550))</f>
        <v>43098.96787</v>
      </c>
      <c r="N550" s="11">
        <f>(AA550/$B550)+(AA550/('Optimal Choice'!$B$19*AV550))</f>
        <v>45031.70242</v>
      </c>
      <c r="O550" s="11">
        <f>(AB550/$B550)+(AB550/('Optimal Choice'!$B$24*AW550))</f>
        <v>44901.15257</v>
      </c>
      <c r="R550" s="12">
        <f t="shared" ref="R550:V550" si="560">if(min($K549:$O549)=K549,R549+1,R549)</f>
        <v>221</v>
      </c>
      <c r="S550" s="12">
        <f t="shared" si="560"/>
        <v>96</v>
      </c>
      <c r="T550" s="12">
        <f t="shared" si="560"/>
        <v>91</v>
      </c>
      <c r="U550" s="12">
        <f t="shared" si="560"/>
        <v>72</v>
      </c>
      <c r="V550" s="12">
        <f t="shared" si="560"/>
        <v>69</v>
      </c>
      <c r="X550" s="13">
        <f> 'Optimal Choice'!$B$5*'Optimal Choice'!$B$6^(R550+1)</f>
        <v>13343158.27</v>
      </c>
      <c r="Y550" s="13">
        <f> 'Optimal Choice'!$B$10*'Optimal Choice'!$B$11^(S550+1)</f>
        <v>46327809.35</v>
      </c>
      <c r="Z550" s="13">
        <f> 'Optimal Choice'!$B$15*'Optimal Choice'!$B$16^(T550+1)</f>
        <v>123759577.9</v>
      </c>
      <c r="AA550" s="13">
        <f> 'Optimal Choice'!$B$20*'Optimal Choice'!$B$21^(U550+1)</f>
        <v>64750051.29</v>
      </c>
      <c r="AB550" s="13">
        <f> 'Optimal Choice'!$B$25*'Optimal Choice'!$B$26^(V550+1)</f>
        <v>289039086.1</v>
      </c>
      <c r="AE550" s="12">
        <f t="shared" si="4"/>
        <v>180</v>
      </c>
      <c r="AF550" s="12">
        <f t="shared" si="5"/>
        <v>50</v>
      </c>
      <c r="AG550" s="12">
        <f t="shared" si="6"/>
        <v>32</v>
      </c>
      <c r="AH550" s="12">
        <f t="shared" si="7"/>
        <v>4</v>
      </c>
      <c r="AI550" s="12">
        <f t="shared" si="8"/>
        <v>3</v>
      </c>
      <c r="AL550" s="14">
        <f>R550*'Optimal Choice'!$B$4*AE550</f>
        <v>66432.6</v>
      </c>
      <c r="AM550" s="14">
        <f>S550*'Optimal Choice'!$B$9*AF550</f>
        <v>96000</v>
      </c>
      <c r="AN550" s="14">
        <f>T550*'Optimal Choice'!$B$14*AG550</f>
        <v>262080</v>
      </c>
      <c r="AO550" s="14">
        <f>U550*'Optimal Choice'!$B$19*AH550</f>
        <v>103680</v>
      </c>
      <c r="AP550" s="14">
        <f>V550*'Optimal Choice'!$B$24*AI550</f>
        <v>447120</v>
      </c>
      <c r="AS550" s="12">
        <f t="shared" si="9"/>
        <v>180</v>
      </c>
      <c r="AT550" s="12">
        <f t="shared" si="10"/>
        <v>50</v>
      </c>
      <c r="AU550" s="12">
        <f t="shared" si="11"/>
        <v>32</v>
      </c>
      <c r="AV550" s="12">
        <f t="shared" si="12"/>
        <v>4</v>
      </c>
      <c r="AW550" s="12">
        <f t="shared" si="13"/>
        <v>3</v>
      </c>
      <c r="AY550" s="11">
        <f t="shared" si="14"/>
        <v>0.2131638957</v>
      </c>
    </row>
    <row r="551" ht="15.75" customHeight="1">
      <c r="A551" s="15">
        <f t="shared" si="2"/>
        <v>101.5089997</v>
      </c>
      <c r="B551" s="7">
        <f>(sum(AL551:AP551))*'Optimal Choice'!$B$28</f>
        <v>978192.6</v>
      </c>
      <c r="C551" s="11"/>
      <c r="D551" s="12"/>
      <c r="E551" s="12"/>
      <c r="F551" s="11"/>
      <c r="G551" s="11"/>
      <c r="H551" s="11"/>
      <c r="I551" s="11"/>
      <c r="J551" s="11"/>
      <c r="K551" s="11">
        <f>(X551/$B551)+(X551/('Optimal Choice'!$B$4*AS551))</f>
        <v>44402.05802</v>
      </c>
      <c r="L551" s="11">
        <f>(Y551/$B551)+(Y551/('Optimal Choice'!$B$9*AT551))</f>
        <v>46375.16997</v>
      </c>
      <c r="M551" s="11">
        <f>(Z551/$B551)+(Z551/('Optimal Choice'!$B$14*AU551))</f>
        <v>49132.39747</v>
      </c>
      <c r="N551" s="11">
        <f>(AA551/$B551)+(AA551/('Optimal Choice'!$B$19*AV551))</f>
        <v>45031.50696</v>
      </c>
      <c r="O551" s="11">
        <f>(AB551/$B551)+(AB551/('Optimal Choice'!$B$24*AW551))</f>
        <v>44900.28004</v>
      </c>
      <c r="R551" s="12">
        <f t="shared" ref="R551:V551" si="561">if(min($K550:$O550)=K550,R550+1,R550)</f>
        <v>221</v>
      </c>
      <c r="S551" s="12">
        <f t="shared" si="561"/>
        <v>96</v>
      </c>
      <c r="T551" s="12">
        <f t="shared" si="561"/>
        <v>92</v>
      </c>
      <c r="U551" s="12">
        <f t="shared" si="561"/>
        <v>72</v>
      </c>
      <c r="V551" s="12">
        <f t="shared" si="561"/>
        <v>69</v>
      </c>
      <c r="X551" s="13">
        <f> 'Optimal Choice'!$B$5*'Optimal Choice'!$B$6^(R551+1)</f>
        <v>13343158.27</v>
      </c>
      <c r="Y551" s="13">
        <f> 'Optimal Choice'!$B$10*'Optimal Choice'!$B$11^(S551+1)</f>
        <v>46327809.35</v>
      </c>
      <c r="Z551" s="13">
        <f> 'Optimal Choice'!$B$15*'Optimal Choice'!$B$16^(T551+1)</f>
        <v>141085918.8</v>
      </c>
      <c r="AA551" s="13">
        <f> 'Optimal Choice'!$B$20*'Optimal Choice'!$B$21^(U551+1)</f>
        <v>64750051.29</v>
      </c>
      <c r="AB551" s="13">
        <f> 'Optimal Choice'!$B$25*'Optimal Choice'!$B$26^(V551+1)</f>
        <v>289039086.1</v>
      </c>
      <c r="AE551" s="12">
        <f t="shared" si="4"/>
        <v>180</v>
      </c>
      <c r="AF551" s="12">
        <f t="shared" si="5"/>
        <v>50</v>
      </c>
      <c r="AG551" s="12">
        <f t="shared" si="6"/>
        <v>32</v>
      </c>
      <c r="AH551" s="12">
        <f t="shared" si="7"/>
        <v>4</v>
      </c>
      <c r="AI551" s="12">
        <f t="shared" si="8"/>
        <v>3</v>
      </c>
      <c r="AL551" s="14">
        <f>R551*'Optimal Choice'!$B$4*AE551</f>
        <v>66432.6</v>
      </c>
      <c r="AM551" s="14">
        <f>S551*'Optimal Choice'!$B$9*AF551</f>
        <v>96000</v>
      </c>
      <c r="AN551" s="14">
        <f>T551*'Optimal Choice'!$B$14*AG551</f>
        <v>264960</v>
      </c>
      <c r="AO551" s="14">
        <f>U551*'Optimal Choice'!$B$19*AH551</f>
        <v>103680</v>
      </c>
      <c r="AP551" s="14">
        <f>V551*'Optimal Choice'!$B$24*AI551</f>
        <v>447120</v>
      </c>
      <c r="AS551" s="12">
        <f t="shared" si="9"/>
        <v>180</v>
      </c>
      <c r="AT551" s="12">
        <f t="shared" si="10"/>
        <v>50</v>
      </c>
      <c r="AU551" s="12">
        <f t="shared" si="11"/>
        <v>32</v>
      </c>
      <c r="AV551" s="12">
        <f t="shared" si="12"/>
        <v>4</v>
      </c>
      <c r="AW551" s="12">
        <f t="shared" si="13"/>
        <v>3</v>
      </c>
      <c r="AY551" s="11">
        <f t="shared" si="14"/>
        <v>2.11487028</v>
      </c>
    </row>
    <row r="552" ht="15.75" customHeight="1">
      <c r="A552" s="15">
        <f t="shared" si="2"/>
        <v>101.7363434</v>
      </c>
      <c r="B552" s="7">
        <f>(sum(AL552:AP552))*'Optimal Choice'!$B$28</f>
        <v>978493.2</v>
      </c>
      <c r="C552" s="11"/>
      <c r="D552" s="12"/>
      <c r="E552" s="12"/>
      <c r="F552" s="11"/>
      <c r="G552" s="11"/>
      <c r="H552" s="11"/>
      <c r="I552" s="11"/>
      <c r="J552" s="11"/>
      <c r="K552" s="11">
        <f>(X552/$B552)+(X552/('Optimal Choice'!$B$4*AS552))</f>
        <v>47510.1976</v>
      </c>
      <c r="L552" s="11">
        <f>(Y552/$B552)+(Y552/('Optimal Choice'!$B$9*AT552))</f>
        <v>46375.15542</v>
      </c>
      <c r="M552" s="11">
        <f>(Z552/$B552)+(Z552/('Optimal Choice'!$B$14*AU552))</f>
        <v>49132.35316</v>
      </c>
      <c r="N552" s="11">
        <f>(AA552/$B552)+(AA552/('Optimal Choice'!$B$19*AV552))</f>
        <v>45031.48662</v>
      </c>
      <c r="O552" s="11">
        <f>(AB552/$B552)+(AB552/('Optimal Choice'!$B$24*AW552))</f>
        <v>44900.18927</v>
      </c>
      <c r="R552" s="12">
        <f t="shared" ref="R552:V552" si="562">if(min($K551:$O551)=K551,R551+1,R551)</f>
        <v>222</v>
      </c>
      <c r="S552" s="12">
        <f t="shared" si="562"/>
        <v>96</v>
      </c>
      <c r="T552" s="12">
        <f t="shared" si="562"/>
        <v>92</v>
      </c>
      <c r="U552" s="12">
        <f t="shared" si="562"/>
        <v>72</v>
      </c>
      <c r="V552" s="12">
        <f t="shared" si="562"/>
        <v>69</v>
      </c>
      <c r="X552" s="13">
        <f> 'Optimal Choice'!$B$5*'Optimal Choice'!$B$6^(R552+1)</f>
        <v>14277179.35</v>
      </c>
      <c r="Y552" s="13">
        <f> 'Optimal Choice'!$B$10*'Optimal Choice'!$B$11^(S552+1)</f>
        <v>46327809.35</v>
      </c>
      <c r="Z552" s="13">
        <f> 'Optimal Choice'!$B$15*'Optimal Choice'!$B$16^(T552+1)</f>
        <v>141085918.8</v>
      </c>
      <c r="AA552" s="13">
        <f> 'Optimal Choice'!$B$20*'Optimal Choice'!$B$21^(U552+1)</f>
        <v>64750051.29</v>
      </c>
      <c r="AB552" s="13">
        <f> 'Optimal Choice'!$B$25*'Optimal Choice'!$B$26^(V552+1)</f>
        <v>289039086.1</v>
      </c>
      <c r="AE552" s="12">
        <f t="shared" si="4"/>
        <v>180</v>
      </c>
      <c r="AF552" s="12">
        <f t="shared" si="5"/>
        <v>50</v>
      </c>
      <c r="AG552" s="12">
        <f t="shared" si="6"/>
        <v>32</v>
      </c>
      <c r="AH552" s="12">
        <f t="shared" si="7"/>
        <v>4</v>
      </c>
      <c r="AI552" s="12">
        <f t="shared" si="8"/>
        <v>3</v>
      </c>
      <c r="AL552" s="14">
        <f>R552*'Optimal Choice'!$B$4*AE552</f>
        <v>66733.2</v>
      </c>
      <c r="AM552" s="14">
        <f>S552*'Optimal Choice'!$B$9*AF552</f>
        <v>96000</v>
      </c>
      <c r="AN552" s="14">
        <f>T552*'Optimal Choice'!$B$14*AG552</f>
        <v>264960</v>
      </c>
      <c r="AO552" s="14">
        <f>U552*'Optimal Choice'!$B$19*AH552</f>
        <v>103680</v>
      </c>
      <c r="AP552" s="14">
        <f>V552*'Optimal Choice'!$B$24*AI552</f>
        <v>447120</v>
      </c>
      <c r="AS552" s="12">
        <f t="shared" si="9"/>
        <v>180</v>
      </c>
      <c r="AT552" s="12">
        <f t="shared" si="10"/>
        <v>50</v>
      </c>
      <c r="AU552" s="12">
        <f t="shared" si="11"/>
        <v>32</v>
      </c>
      <c r="AV552" s="12">
        <f t="shared" si="12"/>
        <v>4</v>
      </c>
      <c r="AW552" s="12">
        <f t="shared" si="13"/>
        <v>3</v>
      </c>
      <c r="AY552" s="11">
        <f t="shared" si="14"/>
        <v>0.2273437472</v>
      </c>
    </row>
    <row r="553" ht="15.75" customHeight="1">
      <c r="A553" s="15">
        <f t="shared" si="2"/>
        <v>106.6595438</v>
      </c>
      <c r="B553" s="7">
        <f>(sum(AL553:AP553))*'Optimal Choice'!$B$28</f>
        <v>984973.2</v>
      </c>
      <c r="C553" s="11"/>
      <c r="D553" s="12"/>
      <c r="E553" s="12"/>
      <c r="F553" s="11"/>
      <c r="G553" s="11"/>
      <c r="H553" s="11"/>
      <c r="I553" s="11"/>
      <c r="J553" s="11"/>
      <c r="K553" s="11">
        <f>(X553/$B553)+(X553/('Optimal Choice'!$B$4*AS553))</f>
        <v>47510.10161</v>
      </c>
      <c r="L553" s="11">
        <f>(Y553/$B553)+(Y553/('Optimal Choice'!$B$9*AT553))</f>
        <v>46374.84394</v>
      </c>
      <c r="M553" s="11">
        <f>(Z553/$B553)+(Z553/('Optimal Choice'!$B$14*AU553))</f>
        <v>49131.40458</v>
      </c>
      <c r="N553" s="11">
        <f>(AA553/$B553)+(AA553/('Optimal Choice'!$B$19*AV553))</f>
        <v>45031.05128</v>
      </c>
      <c r="O553" s="11">
        <f>(AB553/$B553)+(AB553/('Optimal Choice'!$B$24*AW553))</f>
        <v>50286.03543</v>
      </c>
      <c r="R553" s="12">
        <f t="shared" ref="R553:V553" si="563">if(min($K552:$O552)=K552,R552+1,R552)</f>
        <v>222</v>
      </c>
      <c r="S553" s="12">
        <f t="shared" si="563"/>
        <v>96</v>
      </c>
      <c r="T553" s="12">
        <f t="shared" si="563"/>
        <v>92</v>
      </c>
      <c r="U553" s="12">
        <f t="shared" si="563"/>
        <v>72</v>
      </c>
      <c r="V553" s="12">
        <f t="shared" si="563"/>
        <v>70</v>
      </c>
      <c r="X553" s="13">
        <f> 'Optimal Choice'!$B$5*'Optimal Choice'!$B$6^(R553+1)</f>
        <v>14277179.35</v>
      </c>
      <c r="Y553" s="13">
        <f> 'Optimal Choice'!$B$10*'Optimal Choice'!$B$11^(S553+1)</f>
        <v>46327809.35</v>
      </c>
      <c r="Z553" s="13">
        <f> 'Optimal Choice'!$B$15*'Optimal Choice'!$B$16^(T553+1)</f>
        <v>141085918.8</v>
      </c>
      <c r="AA553" s="13">
        <f> 'Optimal Choice'!$B$20*'Optimal Choice'!$B$21^(U553+1)</f>
        <v>64750051.29</v>
      </c>
      <c r="AB553" s="13">
        <f> 'Optimal Choice'!$B$25*'Optimal Choice'!$B$26^(V553+1)</f>
        <v>323723776.5</v>
      </c>
      <c r="AE553" s="12">
        <f t="shared" si="4"/>
        <v>180</v>
      </c>
      <c r="AF553" s="12">
        <f t="shared" si="5"/>
        <v>50</v>
      </c>
      <c r="AG553" s="12">
        <f t="shared" si="6"/>
        <v>32</v>
      </c>
      <c r="AH553" s="12">
        <f t="shared" si="7"/>
        <v>4</v>
      </c>
      <c r="AI553" s="12">
        <f t="shared" si="8"/>
        <v>3</v>
      </c>
      <c r="AL553" s="14">
        <f>R553*'Optimal Choice'!$B$4*AE553</f>
        <v>66733.2</v>
      </c>
      <c r="AM553" s="14">
        <f>S553*'Optimal Choice'!$B$9*AF553</f>
        <v>96000</v>
      </c>
      <c r="AN553" s="14">
        <f>T553*'Optimal Choice'!$B$14*AG553</f>
        <v>264960</v>
      </c>
      <c r="AO553" s="14">
        <f>U553*'Optimal Choice'!$B$19*AH553</f>
        <v>103680</v>
      </c>
      <c r="AP553" s="14">
        <f>V553*'Optimal Choice'!$B$24*AI553</f>
        <v>453600</v>
      </c>
      <c r="AS553" s="12">
        <f t="shared" si="9"/>
        <v>180</v>
      </c>
      <c r="AT553" s="12">
        <f t="shared" si="10"/>
        <v>50</v>
      </c>
      <c r="AU553" s="12">
        <f t="shared" si="11"/>
        <v>32</v>
      </c>
      <c r="AV553" s="12">
        <f t="shared" si="12"/>
        <v>4</v>
      </c>
      <c r="AW553" s="12">
        <f t="shared" si="13"/>
        <v>3</v>
      </c>
      <c r="AY553" s="11">
        <f t="shared" si="14"/>
        <v>4.923200388</v>
      </c>
    </row>
    <row r="554" ht="15.75" customHeight="1">
      <c r="A554" s="15">
        <f t="shared" si="2"/>
        <v>107.7551752</v>
      </c>
      <c r="B554" s="7">
        <f>(sum(AL554:AP554))*'Optimal Choice'!$B$28</f>
        <v>986413.2</v>
      </c>
      <c r="C554" s="11"/>
      <c r="D554" s="12"/>
      <c r="E554" s="12"/>
      <c r="F554" s="11"/>
      <c r="G554" s="11"/>
      <c r="H554" s="11"/>
      <c r="I554" s="11"/>
      <c r="J554" s="11"/>
      <c r="K554" s="11">
        <f>(X554/$B554)+(X554/('Optimal Choice'!$B$4*AS554))</f>
        <v>47510.08045</v>
      </c>
      <c r="L554" s="11">
        <f>(Y554/$B554)+(Y554/('Optimal Choice'!$B$9*AT554))</f>
        <v>46374.77527</v>
      </c>
      <c r="M554" s="11">
        <f>(Z554/$B554)+(Z554/('Optimal Choice'!$B$14*AU554))</f>
        <v>49131.19547</v>
      </c>
      <c r="N554" s="11">
        <f>(AA554/$B554)+(AA554/('Optimal Choice'!$B$19*AV554))</f>
        <v>50884.9795</v>
      </c>
      <c r="O554" s="11">
        <f>(AB554/$B554)+(AB554/('Optimal Choice'!$B$24*AW554))</f>
        <v>50285.55564</v>
      </c>
      <c r="R554" s="12">
        <f t="shared" ref="R554:V554" si="564">if(min($K553:$O553)=K553,R553+1,R553)</f>
        <v>222</v>
      </c>
      <c r="S554" s="12">
        <f t="shared" si="564"/>
        <v>96</v>
      </c>
      <c r="T554" s="12">
        <f t="shared" si="564"/>
        <v>92</v>
      </c>
      <c r="U554" s="12">
        <f t="shared" si="564"/>
        <v>73</v>
      </c>
      <c r="V554" s="12">
        <f t="shared" si="564"/>
        <v>70</v>
      </c>
      <c r="X554" s="13">
        <f> 'Optimal Choice'!$B$5*'Optimal Choice'!$B$6^(R554+1)</f>
        <v>14277179.35</v>
      </c>
      <c r="Y554" s="13">
        <f> 'Optimal Choice'!$B$10*'Optimal Choice'!$B$11^(S554+1)</f>
        <v>46327809.35</v>
      </c>
      <c r="Z554" s="13">
        <f> 'Optimal Choice'!$B$15*'Optimal Choice'!$B$16^(T554+1)</f>
        <v>141085918.8</v>
      </c>
      <c r="AA554" s="13">
        <f> 'Optimal Choice'!$B$20*'Optimal Choice'!$B$21^(U554+1)</f>
        <v>73167557.96</v>
      </c>
      <c r="AB554" s="13">
        <f> 'Optimal Choice'!$B$25*'Optimal Choice'!$B$26^(V554+1)</f>
        <v>323723776.5</v>
      </c>
      <c r="AE554" s="12">
        <f t="shared" si="4"/>
        <v>180</v>
      </c>
      <c r="AF554" s="12">
        <f t="shared" si="5"/>
        <v>50</v>
      </c>
      <c r="AG554" s="12">
        <f t="shared" si="6"/>
        <v>32</v>
      </c>
      <c r="AH554" s="12">
        <f t="shared" si="7"/>
        <v>4</v>
      </c>
      <c r="AI554" s="12">
        <f t="shared" si="8"/>
        <v>3</v>
      </c>
      <c r="AL554" s="14">
        <f>R554*'Optimal Choice'!$B$4*AE554</f>
        <v>66733.2</v>
      </c>
      <c r="AM554" s="14">
        <f>S554*'Optimal Choice'!$B$9*AF554</f>
        <v>96000</v>
      </c>
      <c r="AN554" s="14">
        <f>T554*'Optimal Choice'!$B$14*AG554</f>
        <v>264960</v>
      </c>
      <c r="AO554" s="14">
        <f>U554*'Optimal Choice'!$B$19*AH554</f>
        <v>105120</v>
      </c>
      <c r="AP554" s="14">
        <f>V554*'Optimal Choice'!$B$24*AI554</f>
        <v>453600</v>
      </c>
      <c r="AS554" s="12">
        <f t="shared" si="9"/>
        <v>180</v>
      </c>
      <c r="AT554" s="12">
        <f t="shared" si="10"/>
        <v>50</v>
      </c>
      <c r="AU554" s="12">
        <f t="shared" si="11"/>
        <v>32</v>
      </c>
      <c r="AV554" s="12">
        <f t="shared" si="12"/>
        <v>4</v>
      </c>
      <c r="AW554" s="12">
        <f t="shared" si="13"/>
        <v>3</v>
      </c>
      <c r="AY554" s="11">
        <f t="shared" si="14"/>
        <v>1.095631355</v>
      </c>
    </row>
    <row r="555" ht="15.75" customHeight="1">
      <c r="A555" s="15">
        <f t="shared" si="2"/>
        <v>108.5379406</v>
      </c>
      <c r="B555" s="7">
        <f>(sum(AL555:AP555))*'Optimal Choice'!$B$28</f>
        <v>987413.2</v>
      </c>
      <c r="C555" s="11"/>
      <c r="D555" s="12"/>
      <c r="E555" s="12"/>
      <c r="F555" s="11"/>
      <c r="G555" s="11"/>
      <c r="H555" s="11"/>
      <c r="I555" s="11"/>
      <c r="J555" s="11"/>
      <c r="K555" s="11">
        <f>(X555/$B555)+(X555/('Optimal Choice'!$B$4*AS555))</f>
        <v>47510.06579</v>
      </c>
      <c r="L555" s="11">
        <f>(Y555/$B555)+(Y555/('Optimal Choice'!$B$9*AT555))</f>
        <v>53330.93687</v>
      </c>
      <c r="M555" s="11">
        <f>(Z555/$B555)+(Z555/('Optimal Choice'!$B$14*AU555))</f>
        <v>49131.05062</v>
      </c>
      <c r="N555" s="11">
        <f>(AA555/$B555)+(AA555/('Optimal Choice'!$B$19*AV555))</f>
        <v>50884.90438</v>
      </c>
      <c r="O555" s="11">
        <f>(AB555/$B555)+(AB555/('Optimal Choice'!$B$24*AW555))</f>
        <v>50285.22328</v>
      </c>
      <c r="R555" s="12">
        <f t="shared" ref="R555:V555" si="565">if(min($K554:$O554)=K554,R554+1,R554)</f>
        <v>222</v>
      </c>
      <c r="S555" s="12">
        <f t="shared" si="565"/>
        <v>97</v>
      </c>
      <c r="T555" s="12">
        <f t="shared" si="565"/>
        <v>92</v>
      </c>
      <c r="U555" s="12">
        <f t="shared" si="565"/>
        <v>73</v>
      </c>
      <c r="V555" s="12">
        <f t="shared" si="565"/>
        <v>70</v>
      </c>
      <c r="X555" s="13">
        <f> 'Optimal Choice'!$B$5*'Optimal Choice'!$B$6^(R555+1)</f>
        <v>14277179.35</v>
      </c>
      <c r="Y555" s="13">
        <f> 'Optimal Choice'!$B$10*'Optimal Choice'!$B$11^(S555+1)</f>
        <v>53276980.75</v>
      </c>
      <c r="Z555" s="13">
        <f> 'Optimal Choice'!$B$15*'Optimal Choice'!$B$16^(T555+1)</f>
        <v>141085918.8</v>
      </c>
      <c r="AA555" s="13">
        <f> 'Optimal Choice'!$B$20*'Optimal Choice'!$B$21^(U555+1)</f>
        <v>73167557.96</v>
      </c>
      <c r="AB555" s="13">
        <f> 'Optimal Choice'!$B$25*'Optimal Choice'!$B$26^(V555+1)</f>
        <v>323723776.5</v>
      </c>
      <c r="AE555" s="12">
        <f t="shared" si="4"/>
        <v>180</v>
      </c>
      <c r="AF555" s="12">
        <f t="shared" si="5"/>
        <v>50</v>
      </c>
      <c r="AG555" s="12">
        <f t="shared" si="6"/>
        <v>32</v>
      </c>
      <c r="AH555" s="12">
        <f t="shared" si="7"/>
        <v>4</v>
      </c>
      <c r="AI555" s="12">
        <f t="shared" si="8"/>
        <v>3</v>
      </c>
      <c r="AL555" s="14">
        <f>R555*'Optimal Choice'!$B$4*AE555</f>
        <v>66733.2</v>
      </c>
      <c r="AM555" s="14">
        <f>S555*'Optimal Choice'!$B$9*AF555</f>
        <v>97000</v>
      </c>
      <c r="AN555" s="14">
        <f>T555*'Optimal Choice'!$B$14*AG555</f>
        <v>264960</v>
      </c>
      <c r="AO555" s="14">
        <f>U555*'Optimal Choice'!$B$19*AH555</f>
        <v>105120</v>
      </c>
      <c r="AP555" s="14">
        <f>V555*'Optimal Choice'!$B$24*AI555</f>
        <v>453600</v>
      </c>
      <c r="AS555" s="12">
        <f t="shared" si="9"/>
        <v>180</v>
      </c>
      <c r="AT555" s="12">
        <f t="shared" si="10"/>
        <v>50</v>
      </c>
      <c r="AU555" s="12">
        <f t="shared" si="11"/>
        <v>32</v>
      </c>
      <c r="AV555" s="12">
        <f t="shared" si="12"/>
        <v>4</v>
      </c>
      <c r="AW555" s="12">
        <f t="shared" si="13"/>
        <v>3</v>
      </c>
      <c r="AY555" s="11">
        <f t="shared" si="14"/>
        <v>0.7827654332</v>
      </c>
    </row>
    <row r="556" ht="15.75" customHeight="1">
      <c r="A556" s="15">
        <f t="shared" si="2"/>
        <v>108.7789268</v>
      </c>
      <c r="B556" s="7">
        <f>(sum(AL556:AP556))*'Optimal Choice'!$B$28</f>
        <v>987713.8</v>
      </c>
      <c r="C556" s="11"/>
      <c r="D556" s="12"/>
      <c r="E556" s="12"/>
      <c r="F556" s="11"/>
      <c r="G556" s="11"/>
      <c r="H556" s="11"/>
      <c r="I556" s="11"/>
      <c r="J556" s="11"/>
      <c r="K556" s="11">
        <f>(X556/$B556)+(X556/('Optimal Choice'!$B$4*AS556))</f>
        <v>50835.76569</v>
      </c>
      <c r="L556" s="11">
        <f>(Y556/$B556)+(Y556/('Optimal Choice'!$B$9*AT556))</f>
        <v>53330.92044</v>
      </c>
      <c r="M556" s="11">
        <f>(Z556/$B556)+(Z556/('Optimal Choice'!$B$14*AU556))</f>
        <v>49131.00713</v>
      </c>
      <c r="N556" s="11">
        <f>(AA556/$B556)+(AA556/('Optimal Choice'!$B$19*AV556))</f>
        <v>50884.88183</v>
      </c>
      <c r="O556" s="11">
        <f>(AB556/$B556)+(AB556/('Optimal Choice'!$B$24*AW556))</f>
        <v>50285.1235</v>
      </c>
      <c r="R556" s="12">
        <f t="shared" ref="R556:V556" si="566">if(min($K555:$O555)=K555,R555+1,R555)</f>
        <v>223</v>
      </c>
      <c r="S556" s="12">
        <f t="shared" si="566"/>
        <v>97</v>
      </c>
      <c r="T556" s="12">
        <f t="shared" si="566"/>
        <v>92</v>
      </c>
      <c r="U556" s="12">
        <f t="shared" si="566"/>
        <v>73</v>
      </c>
      <c r="V556" s="12">
        <f t="shared" si="566"/>
        <v>70</v>
      </c>
      <c r="X556" s="13">
        <f> 'Optimal Choice'!$B$5*'Optimal Choice'!$B$6^(R556+1)</f>
        <v>15276581.9</v>
      </c>
      <c r="Y556" s="13">
        <f> 'Optimal Choice'!$B$10*'Optimal Choice'!$B$11^(S556+1)</f>
        <v>53276980.75</v>
      </c>
      <c r="Z556" s="13">
        <f> 'Optimal Choice'!$B$15*'Optimal Choice'!$B$16^(T556+1)</f>
        <v>141085918.8</v>
      </c>
      <c r="AA556" s="13">
        <f> 'Optimal Choice'!$B$20*'Optimal Choice'!$B$21^(U556+1)</f>
        <v>73167557.96</v>
      </c>
      <c r="AB556" s="13">
        <f> 'Optimal Choice'!$B$25*'Optimal Choice'!$B$26^(V556+1)</f>
        <v>323723776.5</v>
      </c>
      <c r="AE556" s="12">
        <f t="shared" si="4"/>
        <v>180</v>
      </c>
      <c r="AF556" s="12">
        <f t="shared" si="5"/>
        <v>50</v>
      </c>
      <c r="AG556" s="12">
        <f t="shared" si="6"/>
        <v>32</v>
      </c>
      <c r="AH556" s="12">
        <f t="shared" si="7"/>
        <v>4</v>
      </c>
      <c r="AI556" s="12">
        <f t="shared" si="8"/>
        <v>3</v>
      </c>
      <c r="AL556" s="14">
        <f>R556*'Optimal Choice'!$B$4*AE556</f>
        <v>67033.8</v>
      </c>
      <c r="AM556" s="14">
        <f>S556*'Optimal Choice'!$B$9*AF556</f>
        <v>97000</v>
      </c>
      <c r="AN556" s="14">
        <f>T556*'Optimal Choice'!$B$14*AG556</f>
        <v>264960</v>
      </c>
      <c r="AO556" s="14">
        <f>U556*'Optimal Choice'!$B$19*AH556</f>
        <v>105120</v>
      </c>
      <c r="AP556" s="14">
        <f>V556*'Optimal Choice'!$B$24*AI556</f>
        <v>453600</v>
      </c>
      <c r="AS556" s="12">
        <f t="shared" si="9"/>
        <v>180</v>
      </c>
      <c r="AT556" s="12">
        <f t="shared" si="10"/>
        <v>50</v>
      </c>
      <c r="AU556" s="12">
        <f t="shared" si="11"/>
        <v>32</v>
      </c>
      <c r="AV556" s="12">
        <f t="shared" si="12"/>
        <v>4</v>
      </c>
      <c r="AW556" s="12">
        <f t="shared" si="13"/>
        <v>3</v>
      </c>
      <c r="AY556" s="11">
        <f t="shared" si="14"/>
        <v>0.2409862347</v>
      </c>
    </row>
    <row r="557" ht="15.75" customHeight="1">
      <c r="A557" s="15">
        <f t="shared" si="2"/>
        <v>111.1596083</v>
      </c>
      <c r="B557" s="7">
        <f>(sum(AL557:AP557))*'Optimal Choice'!$B$28</f>
        <v>990593.8</v>
      </c>
      <c r="C557" s="11"/>
      <c r="D557" s="12"/>
      <c r="E557" s="12"/>
      <c r="F557" s="11"/>
      <c r="G557" s="11"/>
      <c r="H557" s="11"/>
      <c r="I557" s="11"/>
      <c r="J557" s="11"/>
      <c r="K557" s="11">
        <f>(X557/$B557)+(X557/('Optimal Choice'!$B$4*AS557))</f>
        <v>50835.72072</v>
      </c>
      <c r="L557" s="11">
        <f>(Y557/$B557)+(Y557/('Optimal Choice'!$B$9*AT557))</f>
        <v>53330.76362</v>
      </c>
      <c r="M557" s="11">
        <f>(Z557/$B557)+(Z557/('Optimal Choice'!$B$14*AU557))</f>
        <v>56008.8747</v>
      </c>
      <c r="N557" s="11">
        <f>(AA557/$B557)+(AA557/('Optimal Choice'!$B$19*AV557))</f>
        <v>50884.66646</v>
      </c>
      <c r="O557" s="11">
        <f>(AB557/$B557)+(AB557/('Optimal Choice'!$B$24*AW557))</f>
        <v>50284.17061</v>
      </c>
      <c r="R557" s="12">
        <f t="shared" ref="R557:V557" si="567">if(min($K556:$O556)=K556,R556+1,R556)</f>
        <v>223</v>
      </c>
      <c r="S557" s="12">
        <f t="shared" si="567"/>
        <v>97</v>
      </c>
      <c r="T557" s="12">
        <f t="shared" si="567"/>
        <v>93</v>
      </c>
      <c r="U557" s="12">
        <f t="shared" si="567"/>
        <v>73</v>
      </c>
      <c r="V557" s="12">
        <f t="shared" si="567"/>
        <v>70</v>
      </c>
      <c r="X557" s="13">
        <f> 'Optimal Choice'!$B$5*'Optimal Choice'!$B$6^(R557+1)</f>
        <v>15276581.9</v>
      </c>
      <c r="Y557" s="13">
        <f> 'Optimal Choice'!$B$10*'Optimal Choice'!$B$11^(S557+1)</f>
        <v>53276980.75</v>
      </c>
      <c r="Z557" s="13">
        <f> 'Optimal Choice'!$B$15*'Optimal Choice'!$B$16^(T557+1)</f>
        <v>160837947.4</v>
      </c>
      <c r="AA557" s="13">
        <f> 'Optimal Choice'!$B$20*'Optimal Choice'!$B$21^(U557+1)</f>
        <v>73167557.96</v>
      </c>
      <c r="AB557" s="13">
        <f> 'Optimal Choice'!$B$25*'Optimal Choice'!$B$26^(V557+1)</f>
        <v>323723776.5</v>
      </c>
      <c r="AE557" s="12">
        <f t="shared" si="4"/>
        <v>180</v>
      </c>
      <c r="AF557" s="12">
        <f t="shared" si="5"/>
        <v>50</v>
      </c>
      <c r="AG557" s="12">
        <f t="shared" si="6"/>
        <v>32</v>
      </c>
      <c r="AH557" s="12">
        <f t="shared" si="7"/>
        <v>4</v>
      </c>
      <c r="AI557" s="12">
        <f t="shared" si="8"/>
        <v>3</v>
      </c>
      <c r="AL557" s="14">
        <f>R557*'Optimal Choice'!$B$4*AE557</f>
        <v>67033.8</v>
      </c>
      <c r="AM557" s="14">
        <f>S557*'Optimal Choice'!$B$9*AF557</f>
        <v>97000</v>
      </c>
      <c r="AN557" s="14">
        <f>T557*'Optimal Choice'!$B$14*AG557</f>
        <v>267840</v>
      </c>
      <c r="AO557" s="14">
        <f>U557*'Optimal Choice'!$B$19*AH557</f>
        <v>105120</v>
      </c>
      <c r="AP557" s="14">
        <f>V557*'Optimal Choice'!$B$24*AI557</f>
        <v>453600</v>
      </c>
      <c r="AS557" s="12">
        <f t="shared" si="9"/>
        <v>180</v>
      </c>
      <c r="AT557" s="12">
        <f t="shared" si="10"/>
        <v>50</v>
      </c>
      <c r="AU557" s="12">
        <f t="shared" si="11"/>
        <v>32</v>
      </c>
      <c r="AV557" s="12">
        <f t="shared" si="12"/>
        <v>4</v>
      </c>
      <c r="AW557" s="12">
        <f t="shared" si="13"/>
        <v>3</v>
      </c>
      <c r="AY557" s="11">
        <f t="shared" si="14"/>
        <v>2.380681509</v>
      </c>
    </row>
    <row r="558" ht="15.75" customHeight="1">
      <c r="A558" s="15">
        <f t="shared" si="2"/>
        <v>116.6062367</v>
      </c>
      <c r="B558" s="7">
        <f>(sum(AL558:AP558))*'Optimal Choice'!$B$28</f>
        <v>997073.8</v>
      </c>
      <c r="C558" s="11"/>
      <c r="D558" s="12"/>
      <c r="E558" s="12"/>
      <c r="F558" s="11"/>
      <c r="G558" s="11"/>
      <c r="H558" s="11"/>
      <c r="I558" s="11"/>
      <c r="J558" s="11"/>
      <c r="K558" s="11">
        <f>(X558/$B558)+(X558/('Optimal Choice'!$B$4*AS558))</f>
        <v>50835.6205</v>
      </c>
      <c r="L558" s="11">
        <f>(Y558/$B558)+(Y558/('Optimal Choice'!$B$9*AT558))</f>
        <v>53330.41409</v>
      </c>
      <c r="M558" s="11">
        <f>(Z558/$B558)+(Z558/('Optimal Choice'!$B$14*AU558))</f>
        <v>56007.81949</v>
      </c>
      <c r="N558" s="11">
        <f>(AA558/$B558)+(AA558/('Optimal Choice'!$B$19*AV558))</f>
        <v>50884.18643</v>
      </c>
      <c r="O558" s="11">
        <f>(AB558/$B558)+(AB558/('Optimal Choice'!$B$24*AW558))</f>
        <v>56315.89236</v>
      </c>
      <c r="R558" s="12">
        <f t="shared" ref="R558:V558" si="568">if(min($K557:$O557)=K557,R557+1,R557)</f>
        <v>223</v>
      </c>
      <c r="S558" s="12">
        <f t="shared" si="568"/>
        <v>97</v>
      </c>
      <c r="T558" s="12">
        <f t="shared" si="568"/>
        <v>93</v>
      </c>
      <c r="U558" s="12">
        <f t="shared" si="568"/>
        <v>73</v>
      </c>
      <c r="V558" s="12">
        <f t="shared" si="568"/>
        <v>71</v>
      </c>
      <c r="X558" s="13">
        <f> 'Optimal Choice'!$B$5*'Optimal Choice'!$B$6^(R558+1)</f>
        <v>15276581.9</v>
      </c>
      <c r="Y558" s="13">
        <f> 'Optimal Choice'!$B$10*'Optimal Choice'!$B$11^(S558+1)</f>
        <v>53276980.75</v>
      </c>
      <c r="Z558" s="13">
        <f> 'Optimal Choice'!$B$15*'Optimal Choice'!$B$16^(T558+1)</f>
        <v>160837947.4</v>
      </c>
      <c r="AA558" s="13">
        <f> 'Optimal Choice'!$B$20*'Optimal Choice'!$B$21^(U558+1)</f>
        <v>73167557.96</v>
      </c>
      <c r="AB558" s="13">
        <f> 'Optimal Choice'!$B$25*'Optimal Choice'!$B$26^(V558+1)</f>
        <v>362570629.6</v>
      </c>
      <c r="AE558" s="12">
        <f t="shared" si="4"/>
        <v>180</v>
      </c>
      <c r="AF558" s="12">
        <f t="shared" si="5"/>
        <v>50</v>
      </c>
      <c r="AG558" s="12">
        <f t="shared" si="6"/>
        <v>32</v>
      </c>
      <c r="AH558" s="12">
        <f t="shared" si="7"/>
        <v>4</v>
      </c>
      <c r="AI558" s="12">
        <f t="shared" si="8"/>
        <v>3</v>
      </c>
      <c r="AL558" s="14">
        <f>R558*'Optimal Choice'!$B$4*AE558</f>
        <v>67033.8</v>
      </c>
      <c r="AM558" s="14">
        <f>S558*'Optimal Choice'!$B$9*AF558</f>
        <v>97000</v>
      </c>
      <c r="AN558" s="14">
        <f>T558*'Optimal Choice'!$B$14*AG558</f>
        <v>267840</v>
      </c>
      <c r="AO558" s="14">
        <f>U558*'Optimal Choice'!$B$19*AH558</f>
        <v>105120</v>
      </c>
      <c r="AP558" s="14">
        <f>V558*'Optimal Choice'!$B$24*AI558</f>
        <v>460080</v>
      </c>
      <c r="AS558" s="12">
        <f t="shared" si="9"/>
        <v>180</v>
      </c>
      <c r="AT558" s="12">
        <f t="shared" si="10"/>
        <v>50</v>
      </c>
      <c r="AU558" s="12">
        <f t="shared" si="11"/>
        <v>32</v>
      </c>
      <c r="AV558" s="12">
        <f t="shared" si="12"/>
        <v>4</v>
      </c>
      <c r="AW558" s="12">
        <f t="shared" si="13"/>
        <v>3</v>
      </c>
      <c r="AY558" s="11">
        <f t="shared" si="14"/>
        <v>5.44662835</v>
      </c>
    </row>
    <row r="559" ht="15.75" customHeight="1">
      <c r="A559" s="15">
        <f t="shared" si="2"/>
        <v>116.8615936</v>
      </c>
      <c r="B559" s="7">
        <f>(sum(AL559:AP559))*'Optimal Choice'!$B$28</f>
        <v>997374.4</v>
      </c>
      <c r="C559" s="11"/>
      <c r="D559" s="12"/>
      <c r="E559" s="12"/>
      <c r="F559" s="11"/>
      <c r="G559" s="11"/>
      <c r="H559" s="11"/>
      <c r="I559" s="11"/>
      <c r="J559" s="11"/>
      <c r="K559" s="11">
        <f>(X559/$B559)+(X559/('Optimal Choice'!$B$4*AS559))</f>
        <v>54394.10899</v>
      </c>
      <c r="L559" s="11">
        <f>(Y559/$B559)+(Y559/('Optimal Choice'!$B$9*AT559))</f>
        <v>53330.39798</v>
      </c>
      <c r="M559" s="11">
        <f>(Z559/$B559)+(Z559/('Optimal Choice'!$B$14*AU559))</f>
        <v>56007.77087</v>
      </c>
      <c r="N559" s="11">
        <f>(AA559/$B559)+(AA559/('Optimal Choice'!$B$19*AV559))</f>
        <v>50884.16431</v>
      </c>
      <c r="O559" s="11">
        <f>(AB559/$B559)+(AB559/('Optimal Choice'!$B$24*AW559))</f>
        <v>56315.78276</v>
      </c>
      <c r="R559" s="12">
        <f t="shared" ref="R559:V559" si="569">if(min($K558:$O558)=K558,R558+1,R558)</f>
        <v>224</v>
      </c>
      <c r="S559" s="12">
        <f t="shared" si="569"/>
        <v>97</v>
      </c>
      <c r="T559" s="12">
        <f t="shared" si="569"/>
        <v>93</v>
      </c>
      <c r="U559" s="12">
        <f t="shared" si="569"/>
        <v>73</v>
      </c>
      <c r="V559" s="12">
        <f t="shared" si="569"/>
        <v>71</v>
      </c>
      <c r="X559" s="13">
        <f> 'Optimal Choice'!$B$5*'Optimal Choice'!$B$6^(R559+1)</f>
        <v>16345942.64</v>
      </c>
      <c r="Y559" s="13">
        <f> 'Optimal Choice'!$B$10*'Optimal Choice'!$B$11^(S559+1)</f>
        <v>53276980.75</v>
      </c>
      <c r="Z559" s="13">
        <f> 'Optimal Choice'!$B$15*'Optimal Choice'!$B$16^(T559+1)</f>
        <v>160837947.4</v>
      </c>
      <c r="AA559" s="13">
        <f> 'Optimal Choice'!$B$20*'Optimal Choice'!$B$21^(U559+1)</f>
        <v>73167557.96</v>
      </c>
      <c r="AB559" s="13">
        <f> 'Optimal Choice'!$B$25*'Optimal Choice'!$B$26^(V559+1)</f>
        <v>362570629.6</v>
      </c>
      <c r="AE559" s="12">
        <f t="shared" si="4"/>
        <v>180</v>
      </c>
      <c r="AF559" s="12">
        <f t="shared" si="5"/>
        <v>50</v>
      </c>
      <c r="AG559" s="12">
        <f t="shared" si="6"/>
        <v>32</v>
      </c>
      <c r="AH559" s="12">
        <f t="shared" si="7"/>
        <v>4</v>
      </c>
      <c r="AI559" s="12">
        <f t="shared" si="8"/>
        <v>3</v>
      </c>
      <c r="AL559" s="14">
        <f>R559*'Optimal Choice'!$B$4*AE559</f>
        <v>67334.4</v>
      </c>
      <c r="AM559" s="14">
        <f>S559*'Optimal Choice'!$B$9*AF559</f>
        <v>97000</v>
      </c>
      <c r="AN559" s="14">
        <f>T559*'Optimal Choice'!$B$14*AG559</f>
        <v>267840</v>
      </c>
      <c r="AO559" s="14">
        <f>U559*'Optimal Choice'!$B$19*AH559</f>
        <v>105120</v>
      </c>
      <c r="AP559" s="14">
        <f>V559*'Optimal Choice'!$B$24*AI559</f>
        <v>460080</v>
      </c>
      <c r="AS559" s="12">
        <f t="shared" si="9"/>
        <v>180</v>
      </c>
      <c r="AT559" s="12">
        <f t="shared" si="10"/>
        <v>50</v>
      </c>
      <c r="AU559" s="12">
        <f t="shared" si="11"/>
        <v>32</v>
      </c>
      <c r="AV559" s="12">
        <f t="shared" si="12"/>
        <v>4</v>
      </c>
      <c r="AW559" s="12">
        <f t="shared" si="13"/>
        <v>3</v>
      </c>
      <c r="AY559" s="11">
        <f t="shared" si="14"/>
        <v>0.2553569238</v>
      </c>
    </row>
    <row r="560" ht="15.75" customHeight="1">
      <c r="A560" s="15">
        <f t="shared" si="2"/>
        <v>118.0842631</v>
      </c>
      <c r="B560" s="7">
        <f>(sum(AL560:AP560))*'Optimal Choice'!$B$28</f>
        <v>998814.4</v>
      </c>
      <c r="C560" s="11"/>
      <c r="D560" s="12"/>
      <c r="E560" s="12"/>
      <c r="F560" s="11"/>
      <c r="G560" s="11"/>
      <c r="H560" s="11"/>
      <c r="I560" s="11"/>
      <c r="J560" s="11"/>
      <c r="K560" s="11">
        <f>(X560/$B560)+(X560/('Optimal Choice'!$B$4*AS560))</f>
        <v>54394.08536</v>
      </c>
      <c r="L560" s="11">
        <f>(Y560/$B560)+(Y560/('Optimal Choice'!$B$9*AT560))</f>
        <v>53330.32097</v>
      </c>
      <c r="M560" s="11">
        <f>(Z560/$B560)+(Z560/('Optimal Choice'!$B$14*AU560))</f>
        <v>56007.53838</v>
      </c>
      <c r="N560" s="11">
        <f>(AA560/$B560)+(AA560/('Optimal Choice'!$B$19*AV560))</f>
        <v>57498.98616</v>
      </c>
      <c r="O560" s="11">
        <f>(AB560/$B560)+(AB560/('Optimal Choice'!$B$24*AW560))</f>
        <v>56315.25867</v>
      </c>
      <c r="R560" s="12">
        <f t="shared" ref="R560:V560" si="570">if(min($K559:$O559)=K559,R559+1,R559)</f>
        <v>224</v>
      </c>
      <c r="S560" s="12">
        <f t="shared" si="570"/>
        <v>97</v>
      </c>
      <c r="T560" s="12">
        <f t="shared" si="570"/>
        <v>93</v>
      </c>
      <c r="U560" s="12">
        <f t="shared" si="570"/>
        <v>74</v>
      </c>
      <c r="V560" s="12">
        <f t="shared" si="570"/>
        <v>71</v>
      </c>
      <c r="X560" s="13">
        <f> 'Optimal Choice'!$B$5*'Optimal Choice'!$B$6^(R560+1)</f>
        <v>16345942.64</v>
      </c>
      <c r="Y560" s="13">
        <f> 'Optimal Choice'!$B$10*'Optimal Choice'!$B$11^(S560+1)</f>
        <v>53276980.75</v>
      </c>
      <c r="Z560" s="13">
        <f> 'Optimal Choice'!$B$15*'Optimal Choice'!$B$16^(T560+1)</f>
        <v>160837947.4</v>
      </c>
      <c r="AA560" s="13">
        <f> 'Optimal Choice'!$B$20*'Optimal Choice'!$B$21^(U560+1)</f>
        <v>82679340.49</v>
      </c>
      <c r="AB560" s="13">
        <f> 'Optimal Choice'!$B$25*'Optimal Choice'!$B$26^(V560+1)</f>
        <v>362570629.6</v>
      </c>
      <c r="AE560" s="12">
        <f t="shared" si="4"/>
        <v>180</v>
      </c>
      <c r="AF560" s="12">
        <f t="shared" si="5"/>
        <v>50</v>
      </c>
      <c r="AG560" s="12">
        <f t="shared" si="6"/>
        <v>32</v>
      </c>
      <c r="AH560" s="12">
        <f t="shared" si="7"/>
        <v>4</v>
      </c>
      <c r="AI560" s="12">
        <f t="shared" si="8"/>
        <v>3</v>
      </c>
      <c r="AL560" s="14">
        <f>R560*'Optimal Choice'!$B$4*AE560</f>
        <v>67334.4</v>
      </c>
      <c r="AM560" s="14">
        <f>S560*'Optimal Choice'!$B$9*AF560</f>
        <v>97000</v>
      </c>
      <c r="AN560" s="14">
        <f>T560*'Optimal Choice'!$B$14*AG560</f>
        <v>267840</v>
      </c>
      <c r="AO560" s="14">
        <f>U560*'Optimal Choice'!$B$19*AH560</f>
        <v>106560</v>
      </c>
      <c r="AP560" s="14">
        <f>V560*'Optimal Choice'!$B$24*AI560</f>
        <v>460080</v>
      </c>
      <c r="AS560" s="12">
        <f t="shared" si="9"/>
        <v>180</v>
      </c>
      <c r="AT560" s="12">
        <f t="shared" si="10"/>
        <v>50</v>
      </c>
      <c r="AU560" s="12">
        <f t="shared" si="11"/>
        <v>32</v>
      </c>
      <c r="AV560" s="12">
        <f t="shared" si="12"/>
        <v>4</v>
      </c>
      <c r="AW560" s="12">
        <f t="shared" si="13"/>
        <v>3</v>
      </c>
      <c r="AY560" s="11">
        <f t="shared" si="14"/>
        <v>1.22266954</v>
      </c>
    </row>
    <row r="561" ht="15.75" customHeight="1">
      <c r="A561" s="15">
        <f t="shared" si="2"/>
        <v>118.9732668</v>
      </c>
      <c r="B561" s="7">
        <f>(sum(AL561:AP561))*'Optimal Choice'!$B$28</f>
        <v>999814.4</v>
      </c>
      <c r="C561" s="11"/>
      <c r="D561" s="12"/>
      <c r="E561" s="12"/>
      <c r="F561" s="11"/>
      <c r="G561" s="11"/>
      <c r="H561" s="11"/>
      <c r="I561" s="11"/>
      <c r="J561" s="11"/>
      <c r="K561" s="11">
        <f>(X561/$B561)+(X561/('Optimal Choice'!$B$4*AS561))</f>
        <v>54394.06899</v>
      </c>
      <c r="L561" s="11">
        <f>(Y561/$B561)+(Y561/('Optimal Choice'!$B$9*AT561))</f>
        <v>61329.80776</v>
      </c>
      <c r="M561" s="11">
        <f>(Z561/$B561)+(Z561/('Optimal Choice'!$B$14*AU561))</f>
        <v>56007.37732</v>
      </c>
      <c r="N561" s="11">
        <f>(AA561/$B561)+(AA561/('Optimal Choice'!$B$19*AV561))</f>
        <v>57498.90336</v>
      </c>
      <c r="O561" s="11">
        <f>(AB561/$B561)+(AB561/('Optimal Choice'!$B$24*AW561))</f>
        <v>56314.8956</v>
      </c>
      <c r="R561" s="12">
        <f t="shared" ref="R561:V561" si="571">if(min($K560:$O560)=K560,R560+1,R560)</f>
        <v>224</v>
      </c>
      <c r="S561" s="12">
        <f t="shared" si="571"/>
        <v>98</v>
      </c>
      <c r="T561" s="12">
        <f t="shared" si="571"/>
        <v>93</v>
      </c>
      <c r="U561" s="12">
        <f t="shared" si="571"/>
        <v>74</v>
      </c>
      <c r="V561" s="12">
        <f t="shared" si="571"/>
        <v>71</v>
      </c>
      <c r="X561" s="13">
        <f> 'Optimal Choice'!$B$5*'Optimal Choice'!$B$6^(R561+1)</f>
        <v>16345942.64</v>
      </c>
      <c r="Y561" s="13">
        <f> 'Optimal Choice'!$B$10*'Optimal Choice'!$B$11^(S561+1)</f>
        <v>61268527.86</v>
      </c>
      <c r="Z561" s="13">
        <f> 'Optimal Choice'!$B$15*'Optimal Choice'!$B$16^(T561+1)</f>
        <v>160837947.4</v>
      </c>
      <c r="AA561" s="13">
        <f> 'Optimal Choice'!$B$20*'Optimal Choice'!$B$21^(U561+1)</f>
        <v>82679340.49</v>
      </c>
      <c r="AB561" s="13">
        <f> 'Optimal Choice'!$B$25*'Optimal Choice'!$B$26^(V561+1)</f>
        <v>362570629.6</v>
      </c>
      <c r="AE561" s="12">
        <f t="shared" si="4"/>
        <v>180</v>
      </c>
      <c r="AF561" s="12">
        <f t="shared" si="5"/>
        <v>50</v>
      </c>
      <c r="AG561" s="12">
        <f t="shared" si="6"/>
        <v>32</v>
      </c>
      <c r="AH561" s="12">
        <f t="shared" si="7"/>
        <v>4</v>
      </c>
      <c r="AI561" s="12">
        <f t="shared" si="8"/>
        <v>3</v>
      </c>
      <c r="AL561" s="14">
        <f>R561*'Optimal Choice'!$B$4*AE561</f>
        <v>67334.4</v>
      </c>
      <c r="AM561" s="14">
        <f>S561*'Optimal Choice'!$B$9*AF561</f>
        <v>98000</v>
      </c>
      <c r="AN561" s="14">
        <f>T561*'Optimal Choice'!$B$14*AG561</f>
        <v>267840</v>
      </c>
      <c r="AO561" s="14">
        <f>U561*'Optimal Choice'!$B$19*AH561</f>
        <v>106560</v>
      </c>
      <c r="AP561" s="14">
        <f>V561*'Optimal Choice'!$B$24*AI561</f>
        <v>460080</v>
      </c>
      <c r="AS561" s="12">
        <f t="shared" si="9"/>
        <v>180</v>
      </c>
      <c r="AT561" s="12">
        <f t="shared" si="10"/>
        <v>50</v>
      </c>
      <c r="AU561" s="12">
        <f t="shared" si="11"/>
        <v>32</v>
      </c>
      <c r="AV561" s="12">
        <f t="shared" si="12"/>
        <v>4</v>
      </c>
      <c r="AW561" s="12">
        <f t="shared" si="13"/>
        <v>3</v>
      </c>
      <c r="AY561" s="11">
        <f t="shared" si="14"/>
        <v>0.8890036819</v>
      </c>
    </row>
    <row r="562" ht="15.75" customHeight="1">
      <c r="A562" s="15">
        <f t="shared" si="2"/>
        <v>119.2457498</v>
      </c>
      <c r="B562" s="7">
        <f>(sum(AL562:AP562))*'Optimal Choice'!$B$28</f>
        <v>1000115</v>
      </c>
      <c r="C562" s="11"/>
      <c r="D562" s="12"/>
      <c r="E562" s="12"/>
      <c r="F562" s="11"/>
      <c r="G562" s="11"/>
      <c r="H562" s="11"/>
      <c r="I562" s="11"/>
      <c r="J562" s="11"/>
      <c r="K562" s="11">
        <f>(X562/$B562)+(X562/('Optimal Choice'!$B$4*AS562))</f>
        <v>58201.64856</v>
      </c>
      <c r="L562" s="11">
        <f>(Y562/$B562)+(Y562/('Optimal Choice'!$B$9*AT562))</f>
        <v>61329.78935</v>
      </c>
      <c r="M562" s="11">
        <f>(Z562/$B562)+(Z562/('Optimal Choice'!$B$14*AU562))</f>
        <v>56007.32897</v>
      </c>
      <c r="N562" s="11">
        <f>(AA562/$B562)+(AA562/('Optimal Choice'!$B$19*AV562))</f>
        <v>57498.87851</v>
      </c>
      <c r="O562" s="11">
        <f>(AB562/$B562)+(AB562/('Optimal Choice'!$B$24*AW562))</f>
        <v>56314.7866</v>
      </c>
      <c r="R562" s="12">
        <f t="shared" ref="R562:V562" si="572">if(min($K561:$O561)=K561,R561+1,R561)</f>
        <v>225</v>
      </c>
      <c r="S562" s="12">
        <f t="shared" si="572"/>
        <v>98</v>
      </c>
      <c r="T562" s="12">
        <f t="shared" si="572"/>
        <v>93</v>
      </c>
      <c r="U562" s="12">
        <f t="shared" si="572"/>
        <v>74</v>
      </c>
      <c r="V562" s="12">
        <f t="shared" si="572"/>
        <v>71</v>
      </c>
      <c r="X562" s="13">
        <f> 'Optimal Choice'!$B$5*'Optimal Choice'!$B$6^(R562+1)</f>
        <v>17490158.62</v>
      </c>
      <c r="Y562" s="13">
        <f> 'Optimal Choice'!$B$10*'Optimal Choice'!$B$11^(S562+1)</f>
        <v>61268527.86</v>
      </c>
      <c r="Z562" s="13">
        <f> 'Optimal Choice'!$B$15*'Optimal Choice'!$B$16^(T562+1)</f>
        <v>160837947.4</v>
      </c>
      <c r="AA562" s="13">
        <f> 'Optimal Choice'!$B$20*'Optimal Choice'!$B$21^(U562+1)</f>
        <v>82679340.49</v>
      </c>
      <c r="AB562" s="13">
        <f> 'Optimal Choice'!$B$25*'Optimal Choice'!$B$26^(V562+1)</f>
        <v>362570629.6</v>
      </c>
      <c r="AE562" s="12">
        <f t="shared" si="4"/>
        <v>180</v>
      </c>
      <c r="AF562" s="12">
        <f t="shared" si="5"/>
        <v>50</v>
      </c>
      <c r="AG562" s="12">
        <f t="shared" si="6"/>
        <v>32</v>
      </c>
      <c r="AH562" s="12">
        <f t="shared" si="7"/>
        <v>4</v>
      </c>
      <c r="AI562" s="12">
        <f t="shared" si="8"/>
        <v>3</v>
      </c>
      <c r="AL562" s="14">
        <f>R562*'Optimal Choice'!$B$4*AE562</f>
        <v>67635</v>
      </c>
      <c r="AM562" s="14">
        <f>S562*'Optimal Choice'!$B$9*AF562</f>
        <v>98000</v>
      </c>
      <c r="AN562" s="14">
        <f>T562*'Optimal Choice'!$B$14*AG562</f>
        <v>267840</v>
      </c>
      <c r="AO562" s="14">
        <f>U562*'Optimal Choice'!$B$19*AH562</f>
        <v>106560</v>
      </c>
      <c r="AP562" s="14">
        <f>V562*'Optimal Choice'!$B$24*AI562</f>
        <v>460080</v>
      </c>
      <c r="AS562" s="12">
        <f t="shared" si="9"/>
        <v>180</v>
      </c>
      <c r="AT562" s="12">
        <f t="shared" si="10"/>
        <v>50</v>
      </c>
      <c r="AU562" s="12">
        <f t="shared" si="11"/>
        <v>32</v>
      </c>
      <c r="AV562" s="12">
        <f t="shared" si="12"/>
        <v>4</v>
      </c>
      <c r="AW562" s="12">
        <f t="shared" si="13"/>
        <v>3</v>
      </c>
      <c r="AY562" s="11">
        <f t="shared" si="14"/>
        <v>0.2724829501</v>
      </c>
    </row>
    <row r="563" ht="15.75" customHeight="1">
      <c r="A563" s="15">
        <f t="shared" si="2"/>
        <v>121.926074</v>
      </c>
      <c r="B563" s="7">
        <f>(sum(AL563:AP563))*'Optimal Choice'!$B$28</f>
        <v>1002995</v>
      </c>
      <c r="C563" s="11"/>
      <c r="D563" s="12"/>
      <c r="E563" s="12"/>
      <c r="F563" s="11"/>
      <c r="G563" s="11"/>
      <c r="H563" s="11"/>
      <c r="I563" s="11"/>
      <c r="J563" s="11"/>
      <c r="K563" s="11">
        <f>(X563/$B563)+(X563/('Optimal Choice'!$B$4*AS563))</f>
        <v>58201.59835</v>
      </c>
      <c r="L563" s="11">
        <f>(Y563/$B563)+(Y563/('Optimal Choice'!$B$9*AT563))</f>
        <v>61329.61344</v>
      </c>
      <c r="M563" s="11">
        <f>(Z563/$B563)+(Z563/('Optimal Choice'!$B$14*AU563))</f>
        <v>63847.8286</v>
      </c>
      <c r="N563" s="11">
        <f>(AA563/$B563)+(AA563/('Optimal Choice'!$B$19*AV563))</f>
        <v>57498.64113</v>
      </c>
      <c r="O563" s="11">
        <f>(AB563/$B563)+(AB563/('Optimal Choice'!$B$24*AW563))</f>
        <v>56313.74564</v>
      </c>
      <c r="R563" s="12">
        <f t="shared" ref="R563:V563" si="573">if(min($K562:$O562)=K562,R562+1,R562)</f>
        <v>225</v>
      </c>
      <c r="S563" s="12">
        <f t="shared" si="573"/>
        <v>98</v>
      </c>
      <c r="T563" s="12">
        <f t="shared" si="573"/>
        <v>94</v>
      </c>
      <c r="U563" s="12">
        <f t="shared" si="573"/>
        <v>74</v>
      </c>
      <c r="V563" s="12">
        <f t="shared" si="573"/>
        <v>71</v>
      </c>
      <c r="X563" s="13">
        <f> 'Optimal Choice'!$B$5*'Optimal Choice'!$B$6^(R563+1)</f>
        <v>17490158.62</v>
      </c>
      <c r="Y563" s="13">
        <f> 'Optimal Choice'!$B$10*'Optimal Choice'!$B$11^(S563+1)</f>
        <v>61268527.86</v>
      </c>
      <c r="Z563" s="13">
        <f> 'Optimal Choice'!$B$15*'Optimal Choice'!$B$16^(T563+1)</f>
        <v>183355260</v>
      </c>
      <c r="AA563" s="13">
        <f> 'Optimal Choice'!$B$20*'Optimal Choice'!$B$21^(U563+1)</f>
        <v>82679340.49</v>
      </c>
      <c r="AB563" s="13">
        <f> 'Optimal Choice'!$B$25*'Optimal Choice'!$B$26^(V563+1)</f>
        <v>362570629.6</v>
      </c>
      <c r="AE563" s="12">
        <f t="shared" si="4"/>
        <v>180</v>
      </c>
      <c r="AF563" s="12">
        <f t="shared" si="5"/>
        <v>50</v>
      </c>
      <c r="AG563" s="12">
        <f t="shared" si="6"/>
        <v>32</v>
      </c>
      <c r="AH563" s="12">
        <f t="shared" si="7"/>
        <v>4</v>
      </c>
      <c r="AI563" s="12">
        <f t="shared" si="8"/>
        <v>3</v>
      </c>
      <c r="AL563" s="14">
        <f>R563*'Optimal Choice'!$B$4*AE563</f>
        <v>67635</v>
      </c>
      <c r="AM563" s="14">
        <f>S563*'Optimal Choice'!$B$9*AF563</f>
        <v>98000</v>
      </c>
      <c r="AN563" s="14">
        <f>T563*'Optimal Choice'!$B$14*AG563</f>
        <v>270720</v>
      </c>
      <c r="AO563" s="14">
        <f>U563*'Optimal Choice'!$B$19*AH563</f>
        <v>106560</v>
      </c>
      <c r="AP563" s="14">
        <f>V563*'Optimal Choice'!$B$24*AI563</f>
        <v>460080</v>
      </c>
      <c r="AS563" s="12">
        <f t="shared" si="9"/>
        <v>180</v>
      </c>
      <c r="AT563" s="12">
        <f t="shared" si="10"/>
        <v>50</v>
      </c>
      <c r="AU563" s="12">
        <f t="shared" si="11"/>
        <v>32</v>
      </c>
      <c r="AV563" s="12">
        <f t="shared" si="12"/>
        <v>4</v>
      </c>
      <c r="AW563" s="12">
        <f t="shared" si="13"/>
        <v>3</v>
      </c>
      <c r="AY563" s="11">
        <f t="shared" si="14"/>
        <v>2.68032422</v>
      </c>
    </row>
    <row r="564" ht="15.75" customHeight="1">
      <c r="A564" s="15">
        <f t="shared" si="2"/>
        <v>127.9508736</v>
      </c>
      <c r="B564" s="7">
        <f>(sum(AL564:AP564))*'Optimal Choice'!$B$28</f>
        <v>1009475</v>
      </c>
      <c r="C564" s="11"/>
      <c r="D564" s="12"/>
      <c r="E564" s="12"/>
      <c r="F564" s="11"/>
      <c r="G564" s="11"/>
      <c r="H564" s="11"/>
      <c r="I564" s="11"/>
      <c r="J564" s="11"/>
      <c r="K564" s="11">
        <f>(X564/$B564)+(X564/('Optimal Choice'!$B$4*AS564))</f>
        <v>58201.48641</v>
      </c>
      <c r="L564" s="11">
        <f>(Y564/$B564)+(Y564/('Optimal Choice'!$B$9*AT564))</f>
        <v>61329.22132</v>
      </c>
      <c r="M564" s="11">
        <f>(Z564/$B564)+(Z564/('Optimal Choice'!$B$14*AU564))</f>
        <v>63846.65512</v>
      </c>
      <c r="N564" s="11">
        <f>(AA564/$B564)+(AA564/('Optimal Choice'!$B$19*AV564))</f>
        <v>57498.11198</v>
      </c>
      <c r="O564" s="11">
        <f>(AB564/$B564)+(AB564/('Optimal Choice'!$B$24*AW564))</f>
        <v>63068.7962</v>
      </c>
      <c r="R564" s="12">
        <f t="shared" ref="R564:V564" si="574">if(min($K563:$O563)=K563,R563+1,R563)</f>
        <v>225</v>
      </c>
      <c r="S564" s="12">
        <f t="shared" si="574"/>
        <v>98</v>
      </c>
      <c r="T564" s="12">
        <f t="shared" si="574"/>
        <v>94</v>
      </c>
      <c r="U564" s="12">
        <f t="shared" si="574"/>
        <v>74</v>
      </c>
      <c r="V564" s="12">
        <f t="shared" si="574"/>
        <v>72</v>
      </c>
      <c r="X564" s="13">
        <f> 'Optimal Choice'!$B$5*'Optimal Choice'!$B$6^(R564+1)</f>
        <v>17490158.62</v>
      </c>
      <c r="Y564" s="13">
        <f> 'Optimal Choice'!$B$10*'Optimal Choice'!$B$11^(S564+1)</f>
        <v>61268527.86</v>
      </c>
      <c r="Z564" s="13">
        <f> 'Optimal Choice'!$B$15*'Optimal Choice'!$B$16^(T564+1)</f>
        <v>183355260</v>
      </c>
      <c r="AA564" s="13">
        <f> 'Optimal Choice'!$B$20*'Optimal Choice'!$B$21^(U564+1)</f>
        <v>82679340.49</v>
      </c>
      <c r="AB564" s="13">
        <f> 'Optimal Choice'!$B$25*'Optimal Choice'!$B$26^(V564+1)</f>
        <v>406079105.2</v>
      </c>
      <c r="AE564" s="12">
        <f t="shared" si="4"/>
        <v>180</v>
      </c>
      <c r="AF564" s="12">
        <f t="shared" si="5"/>
        <v>50</v>
      </c>
      <c r="AG564" s="12">
        <f t="shared" si="6"/>
        <v>32</v>
      </c>
      <c r="AH564" s="12">
        <f t="shared" si="7"/>
        <v>4</v>
      </c>
      <c r="AI564" s="12">
        <f t="shared" si="8"/>
        <v>3</v>
      </c>
      <c r="AL564" s="14">
        <f>R564*'Optimal Choice'!$B$4*AE564</f>
        <v>67635</v>
      </c>
      <c r="AM564" s="14">
        <f>S564*'Optimal Choice'!$B$9*AF564</f>
        <v>98000</v>
      </c>
      <c r="AN564" s="14">
        <f>T564*'Optimal Choice'!$B$14*AG564</f>
        <v>270720</v>
      </c>
      <c r="AO564" s="14">
        <f>U564*'Optimal Choice'!$B$19*AH564</f>
        <v>106560</v>
      </c>
      <c r="AP564" s="14">
        <f>V564*'Optimal Choice'!$B$24*AI564</f>
        <v>466560</v>
      </c>
      <c r="AS564" s="12">
        <f t="shared" si="9"/>
        <v>180</v>
      </c>
      <c r="AT564" s="12">
        <f t="shared" si="10"/>
        <v>50</v>
      </c>
      <c r="AU564" s="12">
        <f t="shared" si="11"/>
        <v>32</v>
      </c>
      <c r="AV564" s="12">
        <f t="shared" si="12"/>
        <v>4</v>
      </c>
      <c r="AW564" s="12">
        <f t="shared" si="13"/>
        <v>3</v>
      </c>
      <c r="AY564" s="11">
        <f t="shared" si="14"/>
        <v>6.024799553</v>
      </c>
    </row>
    <row r="565" ht="15.75" customHeight="1">
      <c r="A565" s="15">
        <f t="shared" si="2"/>
        <v>129.3159287</v>
      </c>
      <c r="B565" s="7">
        <f>(sum(AL565:AP565))*'Optimal Choice'!$B$28</f>
        <v>1010915</v>
      </c>
      <c r="C565" s="11"/>
      <c r="D565" s="12"/>
      <c r="E565" s="12"/>
      <c r="F565" s="11"/>
      <c r="G565" s="11"/>
      <c r="H565" s="11"/>
      <c r="I565" s="11"/>
      <c r="J565" s="11"/>
      <c r="K565" s="11">
        <f>(X565/$B565)+(X565/('Optimal Choice'!$B$4*AS565))</f>
        <v>58201.46173</v>
      </c>
      <c r="L565" s="11">
        <f>(Y565/$B565)+(Y565/('Optimal Choice'!$B$9*AT565))</f>
        <v>61329.13487</v>
      </c>
      <c r="M565" s="11">
        <f>(Z565/$B565)+(Z565/('Optimal Choice'!$B$14*AU565))</f>
        <v>63846.3964</v>
      </c>
      <c r="N565" s="11">
        <f>(AA565/$B565)+(AA565/('Optimal Choice'!$B$19*AV565))</f>
        <v>64972.73471</v>
      </c>
      <c r="O565" s="11">
        <f>(AB565/$B565)+(AB565/('Optimal Choice'!$B$24*AW565))</f>
        <v>63068.22319</v>
      </c>
      <c r="R565" s="12">
        <f t="shared" ref="R565:V565" si="575">if(min($K564:$O564)=K564,R564+1,R564)</f>
        <v>225</v>
      </c>
      <c r="S565" s="12">
        <f t="shared" si="575"/>
        <v>98</v>
      </c>
      <c r="T565" s="12">
        <f t="shared" si="575"/>
        <v>94</v>
      </c>
      <c r="U565" s="12">
        <f t="shared" si="575"/>
        <v>75</v>
      </c>
      <c r="V565" s="12">
        <f t="shared" si="575"/>
        <v>72</v>
      </c>
      <c r="X565" s="13">
        <f> 'Optimal Choice'!$B$5*'Optimal Choice'!$B$6^(R565+1)</f>
        <v>17490158.62</v>
      </c>
      <c r="Y565" s="13">
        <f> 'Optimal Choice'!$B$10*'Optimal Choice'!$B$11^(S565+1)</f>
        <v>61268527.86</v>
      </c>
      <c r="Z565" s="13">
        <f> 'Optimal Choice'!$B$15*'Optimal Choice'!$B$16^(T565+1)</f>
        <v>183355260</v>
      </c>
      <c r="AA565" s="13">
        <f> 'Optimal Choice'!$B$20*'Optimal Choice'!$B$21^(U565+1)</f>
        <v>93427654.76</v>
      </c>
      <c r="AB565" s="13">
        <f> 'Optimal Choice'!$B$25*'Optimal Choice'!$B$26^(V565+1)</f>
        <v>406079105.2</v>
      </c>
      <c r="AE565" s="12">
        <f t="shared" si="4"/>
        <v>180</v>
      </c>
      <c r="AF565" s="12">
        <f t="shared" si="5"/>
        <v>50</v>
      </c>
      <c r="AG565" s="12">
        <f t="shared" si="6"/>
        <v>32</v>
      </c>
      <c r="AH565" s="12">
        <f t="shared" si="7"/>
        <v>4</v>
      </c>
      <c r="AI565" s="12">
        <f t="shared" si="8"/>
        <v>3</v>
      </c>
      <c r="AL565" s="14">
        <f>R565*'Optimal Choice'!$B$4*AE565</f>
        <v>67635</v>
      </c>
      <c r="AM565" s="14">
        <f>S565*'Optimal Choice'!$B$9*AF565</f>
        <v>98000</v>
      </c>
      <c r="AN565" s="14">
        <f>T565*'Optimal Choice'!$B$14*AG565</f>
        <v>270720</v>
      </c>
      <c r="AO565" s="14">
        <f>U565*'Optimal Choice'!$B$19*AH565</f>
        <v>108000</v>
      </c>
      <c r="AP565" s="14">
        <f>V565*'Optimal Choice'!$B$24*AI565</f>
        <v>466560</v>
      </c>
      <c r="AS565" s="12">
        <f t="shared" si="9"/>
        <v>180</v>
      </c>
      <c r="AT565" s="12">
        <f t="shared" si="10"/>
        <v>50</v>
      </c>
      <c r="AU565" s="12">
        <f t="shared" si="11"/>
        <v>32</v>
      </c>
      <c r="AV565" s="12">
        <f t="shared" si="12"/>
        <v>4</v>
      </c>
      <c r="AW565" s="12">
        <f t="shared" si="13"/>
        <v>3</v>
      </c>
      <c r="AY565" s="11">
        <f t="shared" si="14"/>
        <v>1.365055111</v>
      </c>
    </row>
    <row r="566" ht="15.75" customHeight="1">
      <c r="A566" s="15">
        <f t="shared" si="2"/>
        <v>129.6042839</v>
      </c>
      <c r="B566" s="7">
        <f>(sum(AL566:AP566))*'Optimal Choice'!$B$28</f>
        <v>1011215.6</v>
      </c>
      <c r="C566" s="11"/>
      <c r="D566" s="12"/>
      <c r="E566" s="12"/>
      <c r="F566" s="11"/>
      <c r="G566" s="11"/>
      <c r="H566" s="11"/>
      <c r="I566" s="11"/>
      <c r="J566" s="11"/>
      <c r="K566" s="11">
        <f>(X566/$B566)+(X566/('Optimal Choice'!$B$4*AS566))</f>
        <v>62275.55855</v>
      </c>
      <c r="L566" s="11">
        <f>(Y566/$B566)+(Y566/('Optimal Choice'!$B$9*AT566))</f>
        <v>61329.11685</v>
      </c>
      <c r="M566" s="11">
        <f>(Z566/$B566)+(Z566/('Optimal Choice'!$B$14*AU566))</f>
        <v>63846.34248</v>
      </c>
      <c r="N566" s="11">
        <f>(AA566/$B566)+(AA566/('Optimal Choice'!$B$19*AV566))</f>
        <v>64972.70723</v>
      </c>
      <c r="O566" s="11">
        <f>(AB566/$B566)+(AB566/('Optimal Choice'!$B$24*AW566))</f>
        <v>63068.10378</v>
      </c>
      <c r="R566" s="12">
        <f t="shared" ref="R566:V566" si="576">if(min($K565:$O565)=K565,R565+1,R565)</f>
        <v>226</v>
      </c>
      <c r="S566" s="12">
        <f t="shared" si="576"/>
        <v>98</v>
      </c>
      <c r="T566" s="12">
        <f t="shared" si="576"/>
        <v>94</v>
      </c>
      <c r="U566" s="12">
        <f t="shared" si="576"/>
        <v>75</v>
      </c>
      <c r="V566" s="12">
        <f t="shared" si="576"/>
        <v>72</v>
      </c>
      <c r="X566" s="13">
        <f> 'Optimal Choice'!$B$5*'Optimal Choice'!$B$6^(R566+1)</f>
        <v>18714469.72</v>
      </c>
      <c r="Y566" s="13">
        <f> 'Optimal Choice'!$B$10*'Optimal Choice'!$B$11^(S566+1)</f>
        <v>61268527.86</v>
      </c>
      <c r="Z566" s="13">
        <f> 'Optimal Choice'!$B$15*'Optimal Choice'!$B$16^(T566+1)</f>
        <v>183355260</v>
      </c>
      <c r="AA566" s="13">
        <f> 'Optimal Choice'!$B$20*'Optimal Choice'!$B$21^(U566+1)</f>
        <v>93427654.76</v>
      </c>
      <c r="AB566" s="13">
        <f> 'Optimal Choice'!$B$25*'Optimal Choice'!$B$26^(V566+1)</f>
        <v>406079105.2</v>
      </c>
      <c r="AE566" s="12">
        <f t="shared" si="4"/>
        <v>180</v>
      </c>
      <c r="AF566" s="12">
        <f t="shared" si="5"/>
        <v>50</v>
      </c>
      <c r="AG566" s="12">
        <f t="shared" si="6"/>
        <v>32</v>
      </c>
      <c r="AH566" s="12">
        <f t="shared" si="7"/>
        <v>4</v>
      </c>
      <c r="AI566" s="12">
        <f t="shared" si="8"/>
        <v>3</v>
      </c>
      <c r="AL566" s="14">
        <f>R566*'Optimal Choice'!$B$4*AE566</f>
        <v>67935.6</v>
      </c>
      <c r="AM566" s="14">
        <f>S566*'Optimal Choice'!$B$9*AF566</f>
        <v>98000</v>
      </c>
      <c r="AN566" s="14">
        <f>T566*'Optimal Choice'!$B$14*AG566</f>
        <v>270720</v>
      </c>
      <c r="AO566" s="14">
        <f>U566*'Optimal Choice'!$B$19*AH566</f>
        <v>108000</v>
      </c>
      <c r="AP566" s="14">
        <f>V566*'Optimal Choice'!$B$24*AI566</f>
        <v>466560</v>
      </c>
      <c r="AS566" s="12">
        <f t="shared" si="9"/>
        <v>180</v>
      </c>
      <c r="AT566" s="12">
        <f t="shared" si="10"/>
        <v>50</v>
      </c>
      <c r="AU566" s="12">
        <f t="shared" si="11"/>
        <v>32</v>
      </c>
      <c r="AV566" s="12">
        <f t="shared" si="12"/>
        <v>4</v>
      </c>
      <c r="AW566" s="12">
        <f t="shared" si="13"/>
        <v>3</v>
      </c>
      <c r="AY566" s="11">
        <f t="shared" si="14"/>
        <v>0.2883552462</v>
      </c>
    </row>
    <row r="567" ht="15.75" customHeight="1">
      <c r="A567" s="15">
        <f t="shared" si="2"/>
        <v>130.6141003</v>
      </c>
      <c r="B567" s="7">
        <f>(sum(AL567:AP567))*'Optimal Choice'!$B$28</f>
        <v>1012215.6</v>
      </c>
      <c r="C567" s="11"/>
      <c r="D567" s="12"/>
      <c r="E567" s="12"/>
      <c r="F567" s="11"/>
      <c r="G567" s="11"/>
      <c r="H567" s="11"/>
      <c r="I567" s="11"/>
      <c r="J567" s="11"/>
      <c r="K567" s="11">
        <f>(X567/$B567)+(X567/('Optimal Choice'!$B$4*AS567))</f>
        <v>62275.54027</v>
      </c>
      <c r="L567" s="11">
        <f>(Y567/$B567)+(Y567/('Optimal Choice'!$B$9*AT567))</f>
        <v>23555.87751</v>
      </c>
      <c r="M567" s="11">
        <f>(Z567/$B567)+(Z567/('Optimal Choice'!$B$14*AU567))</f>
        <v>63846.16334</v>
      </c>
      <c r="N567" s="11">
        <f>(AA567/$B567)+(AA567/('Optimal Choice'!$B$19*AV567))</f>
        <v>64972.61596</v>
      </c>
      <c r="O567" s="11">
        <f>(AB567/$B567)+(AB567/('Optimal Choice'!$B$24*AW567))</f>
        <v>63067.70705</v>
      </c>
      <c r="R567" s="12">
        <f t="shared" ref="R567:V567" si="577">if(min($K566:$O566)=K566,R566+1,R566)</f>
        <v>226</v>
      </c>
      <c r="S567" s="12">
        <f t="shared" si="577"/>
        <v>99</v>
      </c>
      <c r="T567" s="12">
        <f t="shared" si="577"/>
        <v>94</v>
      </c>
      <c r="U567" s="12">
        <f t="shared" si="577"/>
        <v>75</v>
      </c>
      <c r="V567" s="12">
        <f t="shared" si="577"/>
        <v>72</v>
      </c>
      <c r="X567" s="13">
        <f> 'Optimal Choice'!$B$5*'Optimal Choice'!$B$6^(R567+1)</f>
        <v>18714469.72</v>
      </c>
      <c r="Y567" s="13">
        <f> 'Optimal Choice'!$B$10*'Optimal Choice'!$B$11^(S567+1)</f>
        <v>70458807.04</v>
      </c>
      <c r="Z567" s="13">
        <f> 'Optimal Choice'!$B$15*'Optimal Choice'!$B$16^(T567+1)</f>
        <v>183355260</v>
      </c>
      <c r="AA567" s="13">
        <f> 'Optimal Choice'!$B$20*'Optimal Choice'!$B$21^(U567+1)</f>
        <v>93427654.76</v>
      </c>
      <c r="AB567" s="13">
        <f> 'Optimal Choice'!$B$25*'Optimal Choice'!$B$26^(V567+1)</f>
        <v>406079105.2</v>
      </c>
      <c r="AE567" s="12">
        <f t="shared" si="4"/>
        <v>180</v>
      </c>
      <c r="AF567" s="12">
        <f t="shared" si="5"/>
        <v>50</v>
      </c>
      <c r="AG567" s="12">
        <f t="shared" si="6"/>
        <v>32</v>
      </c>
      <c r="AH567" s="12">
        <f t="shared" si="7"/>
        <v>4</v>
      </c>
      <c r="AI567" s="12">
        <f t="shared" si="8"/>
        <v>3</v>
      </c>
      <c r="AL567" s="14">
        <f>R567*'Optimal Choice'!$B$4*AE567</f>
        <v>67935.6</v>
      </c>
      <c r="AM567" s="14">
        <f>S567*'Optimal Choice'!$B$9*AF567</f>
        <v>99000</v>
      </c>
      <c r="AN567" s="14">
        <f>T567*'Optimal Choice'!$B$14*AG567</f>
        <v>270720</v>
      </c>
      <c r="AO567" s="14">
        <f>U567*'Optimal Choice'!$B$19*AH567</f>
        <v>108000</v>
      </c>
      <c r="AP567" s="14">
        <f>V567*'Optimal Choice'!$B$24*AI567</f>
        <v>466560</v>
      </c>
      <c r="AS567" s="12">
        <f t="shared" si="9"/>
        <v>180</v>
      </c>
      <c r="AT567" s="12">
        <f t="shared" si="10"/>
        <v>150</v>
      </c>
      <c r="AU567" s="12">
        <f t="shared" si="11"/>
        <v>32</v>
      </c>
      <c r="AV567" s="12">
        <f t="shared" si="12"/>
        <v>4</v>
      </c>
      <c r="AW567" s="12">
        <f t="shared" si="13"/>
        <v>3</v>
      </c>
      <c r="AY567" s="11">
        <f t="shared" si="14"/>
        <v>1.009816434</v>
      </c>
    </row>
    <row r="568" ht="15.75" customHeight="1">
      <c r="A568" s="15">
        <f t="shared" si="2"/>
        <v>131.774242</v>
      </c>
      <c r="B568" s="7">
        <f>(sum(AL568:AP568))*'Optimal Choice'!$B$28</f>
        <v>1213215.6</v>
      </c>
      <c r="C568" s="11"/>
      <c r="D568" s="12"/>
      <c r="E568" s="12"/>
      <c r="F568" s="11"/>
      <c r="G568" s="11"/>
      <c r="H568" s="11"/>
      <c r="I568" s="11"/>
      <c r="J568" s="11"/>
      <c r="K568" s="11">
        <f>(X568/$B568)+(X568/('Optimal Choice'!$B$4*AS568))</f>
        <v>62272.47716</v>
      </c>
      <c r="L568" s="11">
        <f>(Y568/$B568)+(Y568/('Optimal Choice'!$B$9*AT568))</f>
        <v>27075.99686</v>
      </c>
      <c r="M568" s="11">
        <f>(Z568/$B568)+(Z568/('Optimal Choice'!$B$14*AU568))</f>
        <v>63816.15249</v>
      </c>
      <c r="N568" s="11">
        <f>(AA568/$B568)+(AA568/('Optimal Choice'!$B$19*AV568))</f>
        <v>64957.32409</v>
      </c>
      <c r="O568" s="11">
        <f>(AB568/$B568)+(AB568/('Optimal Choice'!$B$24*AW568))</f>
        <v>63001.24164</v>
      </c>
      <c r="R568" s="12">
        <f t="shared" ref="R568:V568" si="578">if(min($K567:$O567)=K567,R567+1,R567)</f>
        <v>226</v>
      </c>
      <c r="S568" s="12">
        <f t="shared" si="578"/>
        <v>100</v>
      </c>
      <c r="T568" s="12">
        <f t="shared" si="578"/>
        <v>94</v>
      </c>
      <c r="U568" s="12">
        <f t="shared" si="578"/>
        <v>75</v>
      </c>
      <c r="V568" s="12">
        <f t="shared" si="578"/>
        <v>72</v>
      </c>
      <c r="X568" s="13">
        <f> 'Optimal Choice'!$B$5*'Optimal Choice'!$B$6^(R568+1)</f>
        <v>18714469.72</v>
      </c>
      <c r="Y568" s="13">
        <f> 'Optimal Choice'!$B$10*'Optimal Choice'!$B$11^(S568+1)</f>
        <v>81027628.1</v>
      </c>
      <c r="Z568" s="13">
        <f> 'Optimal Choice'!$B$15*'Optimal Choice'!$B$16^(T568+1)</f>
        <v>183355260</v>
      </c>
      <c r="AA568" s="13">
        <f> 'Optimal Choice'!$B$20*'Optimal Choice'!$B$21^(U568+1)</f>
        <v>93427654.76</v>
      </c>
      <c r="AB568" s="13">
        <f> 'Optimal Choice'!$B$25*'Optimal Choice'!$B$26^(V568+1)</f>
        <v>406079105.2</v>
      </c>
      <c r="AE568" s="12">
        <f t="shared" si="4"/>
        <v>180</v>
      </c>
      <c r="AF568" s="12">
        <f t="shared" si="5"/>
        <v>150</v>
      </c>
      <c r="AG568" s="12">
        <f t="shared" si="6"/>
        <v>32</v>
      </c>
      <c r="AH568" s="12">
        <f t="shared" si="7"/>
        <v>4</v>
      </c>
      <c r="AI568" s="12">
        <f t="shared" si="8"/>
        <v>3</v>
      </c>
      <c r="AL568" s="14">
        <f>R568*'Optimal Choice'!$B$4*AE568</f>
        <v>67935.6</v>
      </c>
      <c r="AM568" s="14">
        <f>S568*'Optimal Choice'!$B$9*AF568</f>
        <v>300000</v>
      </c>
      <c r="AN568" s="14">
        <f>T568*'Optimal Choice'!$B$14*AG568</f>
        <v>270720</v>
      </c>
      <c r="AO568" s="14">
        <f>U568*'Optimal Choice'!$B$19*AH568</f>
        <v>108000</v>
      </c>
      <c r="AP568" s="14">
        <f>V568*'Optimal Choice'!$B$24*AI568</f>
        <v>466560</v>
      </c>
      <c r="AS568" s="12">
        <f t="shared" si="9"/>
        <v>180</v>
      </c>
      <c r="AT568" s="12">
        <f t="shared" si="10"/>
        <v>150</v>
      </c>
      <c r="AU568" s="12">
        <f t="shared" si="11"/>
        <v>32</v>
      </c>
      <c r="AV568" s="12">
        <f t="shared" si="12"/>
        <v>4</v>
      </c>
      <c r="AW568" s="12">
        <f t="shared" si="13"/>
        <v>3</v>
      </c>
      <c r="AY568" s="11">
        <f t="shared" si="14"/>
        <v>1.160141625</v>
      </c>
    </row>
    <row r="569" ht="15.75" customHeight="1">
      <c r="A569" s="15">
        <f t="shared" si="2"/>
        <v>132.8873668</v>
      </c>
      <c r="B569" s="7">
        <f>(sum(AL569:AP569))*'Optimal Choice'!$B$28</f>
        <v>1216215.6</v>
      </c>
      <c r="C569" s="11"/>
      <c r="D569" s="12"/>
      <c r="E569" s="12"/>
      <c r="F569" s="11"/>
      <c r="G569" s="11"/>
      <c r="H569" s="11"/>
      <c r="I569" s="11"/>
      <c r="J569" s="11"/>
      <c r="K569" s="11">
        <f>(X569/$B569)+(X569/('Optimal Choice'!$B$4*AS569))</f>
        <v>62272.43911</v>
      </c>
      <c r="L569" s="11">
        <f>(Y569/$B569)+(Y569/('Optimal Choice'!$B$9*AT569))</f>
        <v>31137.20693</v>
      </c>
      <c r="M569" s="11">
        <f>(Z569/$B569)+(Z569/('Optimal Choice'!$B$14*AU569))</f>
        <v>63815.77969</v>
      </c>
      <c r="N569" s="11">
        <f>(AA569/$B569)+(AA569/('Optimal Choice'!$B$19*AV569))</f>
        <v>64957.13414</v>
      </c>
      <c r="O569" s="11">
        <f>(AB569/$B569)+(AB569/('Optimal Choice'!$B$24*AW569))</f>
        <v>63000.41601</v>
      </c>
      <c r="R569" s="12">
        <f t="shared" ref="R569:V569" si="579">if(min($K568:$O568)=K568,R568+1,R568)</f>
        <v>226</v>
      </c>
      <c r="S569" s="12">
        <f t="shared" si="579"/>
        <v>101</v>
      </c>
      <c r="T569" s="12">
        <f t="shared" si="579"/>
        <v>94</v>
      </c>
      <c r="U569" s="12">
        <f t="shared" si="579"/>
        <v>75</v>
      </c>
      <c r="V569" s="12">
        <f t="shared" si="579"/>
        <v>72</v>
      </c>
      <c r="X569" s="13">
        <f> 'Optimal Choice'!$B$5*'Optimal Choice'!$B$6^(R569+1)</f>
        <v>18714469.72</v>
      </c>
      <c r="Y569" s="13">
        <f> 'Optimal Choice'!$B$10*'Optimal Choice'!$B$11^(S569+1)</f>
        <v>93181772.31</v>
      </c>
      <c r="Z569" s="13">
        <f> 'Optimal Choice'!$B$15*'Optimal Choice'!$B$16^(T569+1)</f>
        <v>183355260</v>
      </c>
      <c r="AA569" s="13">
        <f> 'Optimal Choice'!$B$20*'Optimal Choice'!$B$21^(U569+1)</f>
        <v>93427654.76</v>
      </c>
      <c r="AB569" s="13">
        <f> 'Optimal Choice'!$B$25*'Optimal Choice'!$B$26^(V569+1)</f>
        <v>406079105.2</v>
      </c>
      <c r="AE569" s="12">
        <f t="shared" si="4"/>
        <v>180</v>
      </c>
      <c r="AF569" s="12">
        <f t="shared" si="5"/>
        <v>150</v>
      </c>
      <c r="AG569" s="12">
        <f t="shared" si="6"/>
        <v>32</v>
      </c>
      <c r="AH569" s="12">
        <f t="shared" si="7"/>
        <v>4</v>
      </c>
      <c r="AI569" s="12">
        <f t="shared" si="8"/>
        <v>3</v>
      </c>
      <c r="AL569" s="14">
        <f>R569*'Optimal Choice'!$B$4*AE569</f>
        <v>67935.6</v>
      </c>
      <c r="AM569" s="14">
        <f>S569*'Optimal Choice'!$B$9*AF569</f>
        <v>303000</v>
      </c>
      <c r="AN569" s="14">
        <f>T569*'Optimal Choice'!$B$14*AG569</f>
        <v>270720</v>
      </c>
      <c r="AO569" s="14">
        <f>U569*'Optimal Choice'!$B$19*AH569</f>
        <v>108000</v>
      </c>
      <c r="AP569" s="14">
        <f>V569*'Optimal Choice'!$B$24*AI569</f>
        <v>466560</v>
      </c>
      <c r="AS569" s="12">
        <f t="shared" si="9"/>
        <v>180</v>
      </c>
      <c r="AT569" s="12">
        <f t="shared" si="10"/>
        <v>150</v>
      </c>
      <c r="AU569" s="12">
        <f t="shared" si="11"/>
        <v>32</v>
      </c>
      <c r="AV569" s="12">
        <f t="shared" si="12"/>
        <v>4</v>
      </c>
      <c r="AW569" s="12">
        <f t="shared" si="13"/>
        <v>3</v>
      </c>
      <c r="AY569" s="11">
        <f t="shared" si="14"/>
        <v>1.113124879</v>
      </c>
    </row>
    <row r="570" ht="15.75" customHeight="1">
      <c r="A570" s="15">
        <f t="shared" si="2"/>
        <v>134.1643029</v>
      </c>
      <c r="B570" s="7">
        <f>(sum(AL570:AP570))*'Optimal Choice'!$B$28</f>
        <v>1219215.6</v>
      </c>
      <c r="C570" s="11"/>
      <c r="D570" s="12"/>
      <c r="E570" s="12"/>
      <c r="F570" s="11"/>
      <c r="G570" s="11"/>
      <c r="H570" s="11"/>
      <c r="I570" s="11"/>
      <c r="J570" s="11"/>
      <c r="K570" s="11">
        <f>(X570/$B570)+(X570/('Optimal Choice'!$B$4*AS570))</f>
        <v>62272.40124</v>
      </c>
      <c r="L570" s="11">
        <f>(Y570/$B570)+(Y570/('Optimal Choice'!$B$9*AT570))</f>
        <v>35807.57117</v>
      </c>
      <c r="M570" s="11">
        <f>(Z570/$B570)+(Z570/('Optimal Choice'!$B$14*AU570))</f>
        <v>63815.40874</v>
      </c>
      <c r="N570" s="11">
        <f>(AA570/$B570)+(AA570/('Optimal Choice'!$B$19*AV570))</f>
        <v>64956.94512</v>
      </c>
      <c r="O570" s="11">
        <f>(AB570/$B570)+(AB570/('Optimal Choice'!$B$24*AW570))</f>
        <v>62999.59445</v>
      </c>
      <c r="R570" s="12">
        <f t="shared" ref="R570:V570" si="580">if(min($K569:$O569)=K569,R569+1,R569)</f>
        <v>226</v>
      </c>
      <c r="S570" s="12">
        <f t="shared" si="580"/>
        <v>102</v>
      </c>
      <c r="T570" s="12">
        <f t="shared" si="580"/>
        <v>94</v>
      </c>
      <c r="U570" s="12">
        <f t="shared" si="580"/>
        <v>75</v>
      </c>
      <c r="V570" s="12">
        <f t="shared" si="580"/>
        <v>72</v>
      </c>
      <c r="X570" s="13">
        <f> 'Optimal Choice'!$B$5*'Optimal Choice'!$B$6^(R570+1)</f>
        <v>18714469.72</v>
      </c>
      <c r="Y570" s="13">
        <f> 'Optimal Choice'!$B$10*'Optimal Choice'!$B$11^(S570+1)</f>
        <v>107159038.2</v>
      </c>
      <c r="Z570" s="13">
        <f> 'Optimal Choice'!$B$15*'Optimal Choice'!$B$16^(T570+1)</f>
        <v>183355260</v>
      </c>
      <c r="AA570" s="13">
        <f> 'Optimal Choice'!$B$20*'Optimal Choice'!$B$21^(U570+1)</f>
        <v>93427654.76</v>
      </c>
      <c r="AB570" s="13">
        <f> 'Optimal Choice'!$B$25*'Optimal Choice'!$B$26^(V570+1)</f>
        <v>406079105.2</v>
      </c>
      <c r="AE570" s="12">
        <f t="shared" si="4"/>
        <v>180</v>
      </c>
      <c r="AF570" s="12">
        <f t="shared" si="5"/>
        <v>150</v>
      </c>
      <c r="AG570" s="12">
        <f t="shared" si="6"/>
        <v>32</v>
      </c>
      <c r="AH570" s="12">
        <f t="shared" si="7"/>
        <v>4</v>
      </c>
      <c r="AI570" s="12">
        <f t="shared" si="8"/>
        <v>3</v>
      </c>
      <c r="AL570" s="14">
        <f>R570*'Optimal Choice'!$B$4*AE570</f>
        <v>67935.6</v>
      </c>
      <c r="AM570" s="14">
        <f>S570*'Optimal Choice'!$B$9*AF570</f>
        <v>306000</v>
      </c>
      <c r="AN570" s="14">
        <f>T570*'Optimal Choice'!$B$14*AG570</f>
        <v>270720</v>
      </c>
      <c r="AO570" s="14">
        <f>U570*'Optimal Choice'!$B$19*AH570</f>
        <v>108000</v>
      </c>
      <c r="AP570" s="14">
        <f>V570*'Optimal Choice'!$B$24*AI570</f>
        <v>466560</v>
      </c>
      <c r="AS570" s="12">
        <f t="shared" si="9"/>
        <v>180</v>
      </c>
      <c r="AT570" s="12">
        <f t="shared" si="10"/>
        <v>150</v>
      </c>
      <c r="AU570" s="12">
        <f t="shared" si="11"/>
        <v>32</v>
      </c>
      <c r="AV570" s="12">
        <f t="shared" si="12"/>
        <v>4</v>
      </c>
      <c r="AW570" s="12">
        <f t="shared" si="13"/>
        <v>3</v>
      </c>
      <c r="AY570" s="11">
        <f t="shared" si="14"/>
        <v>1.276936045</v>
      </c>
    </row>
    <row r="571" ht="15.75" customHeight="1">
      <c r="A571" s="15">
        <f t="shared" si="2"/>
        <v>135.629166</v>
      </c>
      <c r="B571" s="7">
        <f>(sum(AL571:AP571))*'Optimal Choice'!$B$28</f>
        <v>1222215.6</v>
      </c>
      <c r="C571" s="11"/>
      <c r="D571" s="12"/>
      <c r="E571" s="12"/>
      <c r="F571" s="11"/>
      <c r="G571" s="11"/>
      <c r="H571" s="11"/>
      <c r="I571" s="11"/>
      <c r="J571" s="11"/>
      <c r="K571" s="11">
        <f>(X571/$B571)+(X571/('Optimal Choice'!$B$4*AS571))</f>
        <v>62272.36357</v>
      </c>
      <c r="L571" s="11">
        <f>(Y571/$B571)+(Y571/('Optimal Choice'!$B$9*AT571))</f>
        <v>41178.45875</v>
      </c>
      <c r="M571" s="11">
        <f>(Z571/$B571)+(Z571/('Optimal Choice'!$B$14*AU571))</f>
        <v>63815.0396</v>
      </c>
      <c r="N571" s="11">
        <f>(AA571/$B571)+(AA571/('Optimal Choice'!$B$19*AV571))</f>
        <v>64956.75703</v>
      </c>
      <c r="O571" s="11">
        <f>(AB571/$B571)+(AB571/('Optimal Choice'!$B$24*AW571))</f>
        <v>62998.77692</v>
      </c>
      <c r="R571" s="12">
        <f t="shared" ref="R571:V571" si="581">if(min($K570:$O570)=K570,R570+1,R570)</f>
        <v>226</v>
      </c>
      <c r="S571" s="12">
        <f t="shared" si="581"/>
        <v>103</v>
      </c>
      <c r="T571" s="12">
        <f t="shared" si="581"/>
        <v>94</v>
      </c>
      <c r="U571" s="12">
        <f t="shared" si="581"/>
        <v>75</v>
      </c>
      <c r="V571" s="12">
        <f t="shared" si="581"/>
        <v>72</v>
      </c>
      <c r="X571" s="13">
        <f> 'Optimal Choice'!$B$5*'Optimal Choice'!$B$6^(R571+1)</f>
        <v>18714469.72</v>
      </c>
      <c r="Y571" s="13">
        <f> 'Optimal Choice'!$B$10*'Optimal Choice'!$B$11^(S571+1)</f>
        <v>123232893.9</v>
      </c>
      <c r="Z571" s="13">
        <f> 'Optimal Choice'!$B$15*'Optimal Choice'!$B$16^(T571+1)</f>
        <v>183355260</v>
      </c>
      <c r="AA571" s="13">
        <f> 'Optimal Choice'!$B$20*'Optimal Choice'!$B$21^(U571+1)</f>
        <v>93427654.76</v>
      </c>
      <c r="AB571" s="13">
        <f> 'Optimal Choice'!$B$25*'Optimal Choice'!$B$26^(V571+1)</f>
        <v>406079105.2</v>
      </c>
      <c r="AE571" s="12">
        <f t="shared" si="4"/>
        <v>180</v>
      </c>
      <c r="AF571" s="12">
        <f t="shared" si="5"/>
        <v>150</v>
      </c>
      <c r="AG571" s="12">
        <f t="shared" si="6"/>
        <v>32</v>
      </c>
      <c r="AH571" s="12">
        <f t="shared" si="7"/>
        <v>4</v>
      </c>
      <c r="AI571" s="12">
        <f t="shared" si="8"/>
        <v>3</v>
      </c>
      <c r="AL571" s="14">
        <f>R571*'Optimal Choice'!$B$4*AE571</f>
        <v>67935.6</v>
      </c>
      <c r="AM571" s="14">
        <f>S571*'Optimal Choice'!$B$9*AF571</f>
        <v>309000</v>
      </c>
      <c r="AN571" s="14">
        <f>T571*'Optimal Choice'!$B$14*AG571</f>
        <v>270720</v>
      </c>
      <c r="AO571" s="14">
        <f>U571*'Optimal Choice'!$B$19*AH571</f>
        <v>108000</v>
      </c>
      <c r="AP571" s="14">
        <f>V571*'Optimal Choice'!$B$24*AI571</f>
        <v>466560</v>
      </c>
      <c r="AS571" s="12">
        <f t="shared" si="9"/>
        <v>180</v>
      </c>
      <c r="AT571" s="12">
        <f t="shared" si="10"/>
        <v>150</v>
      </c>
      <c r="AU571" s="12">
        <f t="shared" si="11"/>
        <v>32</v>
      </c>
      <c r="AV571" s="12">
        <f t="shared" si="12"/>
        <v>4</v>
      </c>
      <c r="AW571" s="12">
        <f t="shared" si="13"/>
        <v>3</v>
      </c>
      <c r="AY571" s="11">
        <f t="shared" si="14"/>
        <v>1.464863121</v>
      </c>
    </row>
    <row r="572" ht="15.75" customHeight="1">
      <c r="A572" s="15">
        <f t="shared" si="2"/>
        <v>137.3096237</v>
      </c>
      <c r="B572" s="7">
        <f>(sum(AL572:AP572))*'Optimal Choice'!$B$28</f>
        <v>1225215.6</v>
      </c>
      <c r="C572" s="11"/>
      <c r="D572" s="12"/>
      <c r="E572" s="12"/>
      <c r="F572" s="11"/>
      <c r="G572" s="11"/>
      <c r="H572" s="11"/>
      <c r="I572" s="11"/>
      <c r="J572" s="11"/>
      <c r="K572" s="11">
        <f>(X572/$B572)+(X572/('Optimal Choice'!$B$4*AS572))</f>
        <v>62272.32608</v>
      </c>
      <c r="L572" s="11">
        <f>(Y572/$B572)+(Y572/('Optimal Choice'!$B$9*AT572))</f>
        <v>47354.94365</v>
      </c>
      <c r="M572" s="11">
        <f>(Z572/$B572)+(Z572/('Optimal Choice'!$B$14*AU572))</f>
        <v>63814.67227</v>
      </c>
      <c r="N572" s="11">
        <f>(AA572/$B572)+(AA572/('Optimal Choice'!$B$19*AV572))</f>
        <v>64956.56986</v>
      </c>
      <c r="O572" s="11">
        <f>(AB572/$B572)+(AB572/('Optimal Choice'!$B$24*AW572))</f>
        <v>62997.9634</v>
      </c>
      <c r="R572" s="12">
        <f t="shared" ref="R572:V572" si="582">if(min($K571:$O571)=K571,R571+1,R571)</f>
        <v>226</v>
      </c>
      <c r="S572" s="12">
        <f t="shared" si="582"/>
        <v>104</v>
      </c>
      <c r="T572" s="12">
        <f t="shared" si="582"/>
        <v>94</v>
      </c>
      <c r="U572" s="12">
        <f t="shared" si="582"/>
        <v>75</v>
      </c>
      <c r="V572" s="12">
        <f t="shared" si="582"/>
        <v>72</v>
      </c>
      <c r="X572" s="13">
        <f> 'Optimal Choice'!$B$5*'Optimal Choice'!$B$6^(R572+1)</f>
        <v>18714469.72</v>
      </c>
      <c r="Y572" s="13">
        <f> 'Optimal Choice'!$B$10*'Optimal Choice'!$B$11^(S572+1)</f>
        <v>141717828</v>
      </c>
      <c r="Z572" s="13">
        <f> 'Optimal Choice'!$B$15*'Optimal Choice'!$B$16^(T572+1)</f>
        <v>183355260</v>
      </c>
      <c r="AA572" s="13">
        <f> 'Optimal Choice'!$B$20*'Optimal Choice'!$B$21^(U572+1)</f>
        <v>93427654.76</v>
      </c>
      <c r="AB572" s="13">
        <f> 'Optimal Choice'!$B$25*'Optimal Choice'!$B$26^(V572+1)</f>
        <v>406079105.2</v>
      </c>
      <c r="AE572" s="12">
        <f t="shared" si="4"/>
        <v>180</v>
      </c>
      <c r="AF572" s="12">
        <f t="shared" si="5"/>
        <v>150</v>
      </c>
      <c r="AG572" s="12">
        <f t="shared" si="6"/>
        <v>32</v>
      </c>
      <c r="AH572" s="12">
        <f t="shared" si="7"/>
        <v>4</v>
      </c>
      <c r="AI572" s="12">
        <f t="shared" si="8"/>
        <v>3</v>
      </c>
      <c r="AL572" s="14">
        <f>R572*'Optimal Choice'!$B$4*AE572</f>
        <v>67935.6</v>
      </c>
      <c r="AM572" s="14">
        <f>S572*'Optimal Choice'!$B$9*AF572</f>
        <v>312000</v>
      </c>
      <c r="AN572" s="14">
        <f>T572*'Optimal Choice'!$B$14*AG572</f>
        <v>270720</v>
      </c>
      <c r="AO572" s="14">
        <f>U572*'Optimal Choice'!$B$19*AH572</f>
        <v>108000</v>
      </c>
      <c r="AP572" s="14">
        <f>V572*'Optimal Choice'!$B$24*AI572</f>
        <v>466560</v>
      </c>
      <c r="AS572" s="12">
        <f t="shared" si="9"/>
        <v>180</v>
      </c>
      <c r="AT572" s="12">
        <f t="shared" si="10"/>
        <v>150</v>
      </c>
      <c r="AU572" s="12">
        <f t="shared" si="11"/>
        <v>32</v>
      </c>
      <c r="AV572" s="12">
        <f t="shared" si="12"/>
        <v>4</v>
      </c>
      <c r="AW572" s="12">
        <f t="shared" si="13"/>
        <v>3</v>
      </c>
      <c r="AY572" s="11">
        <f t="shared" si="14"/>
        <v>1.680457658</v>
      </c>
    </row>
    <row r="573" ht="15.75" customHeight="1">
      <c r="A573" s="15">
        <f t="shared" si="2"/>
        <v>139.2374181</v>
      </c>
      <c r="B573" s="7">
        <f>(sum(AL573:AP573))*'Optimal Choice'!$B$28</f>
        <v>1228215.6</v>
      </c>
      <c r="C573" s="11"/>
      <c r="D573" s="12"/>
      <c r="E573" s="12"/>
      <c r="F573" s="11"/>
      <c r="G573" s="11"/>
      <c r="H573" s="11"/>
      <c r="I573" s="11"/>
      <c r="J573" s="11"/>
      <c r="K573" s="11">
        <f>(X573/$B573)+(X573/('Optimal Choice'!$B$4*AS573))</f>
        <v>62272.28877</v>
      </c>
      <c r="L573" s="11">
        <f>(Y573/$B573)+(Y573/('Optimal Choice'!$B$9*AT573))</f>
        <v>54457.8603</v>
      </c>
      <c r="M573" s="11">
        <f>(Z573/$B573)+(Z573/('Optimal Choice'!$B$14*AU573))</f>
        <v>63814.30674</v>
      </c>
      <c r="N573" s="11">
        <f>(AA573/$B573)+(AA573/('Optimal Choice'!$B$19*AV573))</f>
        <v>64956.3836</v>
      </c>
      <c r="O573" s="11">
        <f>(AB573/$B573)+(AB573/('Optimal Choice'!$B$24*AW573))</f>
        <v>62997.15384</v>
      </c>
      <c r="R573" s="12">
        <f t="shared" ref="R573:V573" si="583">if(min($K572:$O572)=K572,R572+1,R572)</f>
        <v>226</v>
      </c>
      <c r="S573" s="12">
        <f t="shared" si="583"/>
        <v>105</v>
      </c>
      <c r="T573" s="12">
        <f t="shared" si="583"/>
        <v>94</v>
      </c>
      <c r="U573" s="12">
        <f t="shared" si="583"/>
        <v>75</v>
      </c>
      <c r="V573" s="12">
        <f t="shared" si="583"/>
        <v>72</v>
      </c>
      <c r="X573" s="13">
        <f> 'Optimal Choice'!$B$5*'Optimal Choice'!$B$6^(R573+1)</f>
        <v>18714469.72</v>
      </c>
      <c r="Y573" s="13">
        <f> 'Optimal Choice'!$B$10*'Optimal Choice'!$B$11^(S573+1)</f>
        <v>162975502.2</v>
      </c>
      <c r="Z573" s="13">
        <f> 'Optimal Choice'!$B$15*'Optimal Choice'!$B$16^(T573+1)</f>
        <v>183355260</v>
      </c>
      <c r="AA573" s="13">
        <f> 'Optimal Choice'!$B$20*'Optimal Choice'!$B$21^(U573+1)</f>
        <v>93427654.76</v>
      </c>
      <c r="AB573" s="13">
        <f> 'Optimal Choice'!$B$25*'Optimal Choice'!$B$26^(V573+1)</f>
        <v>406079105.2</v>
      </c>
      <c r="AE573" s="12">
        <f t="shared" si="4"/>
        <v>180</v>
      </c>
      <c r="AF573" s="12">
        <f t="shared" si="5"/>
        <v>150</v>
      </c>
      <c r="AG573" s="12">
        <f t="shared" si="6"/>
        <v>32</v>
      </c>
      <c r="AH573" s="12">
        <f t="shared" si="7"/>
        <v>4</v>
      </c>
      <c r="AI573" s="12">
        <f t="shared" si="8"/>
        <v>3</v>
      </c>
      <c r="AL573" s="14">
        <f>R573*'Optimal Choice'!$B$4*AE573</f>
        <v>67935.6</v>
      </c>
      <c r="AM573" s="14">
        <f>S573*'Optimal Choice'!$B$9*AF573</f>
        <v>315000</v>
      </c>
      <c r="AN573" s="14">
        <f>T573*'Optimal Choice'!$B$14*AG573</f>
        <v>270720</v>
      </c>
      <c r="AO573" s="14">
        <f>U573*'Optimal Choice'!$B$19*AH573</f>
        <v>108000</v>
      </c>
      <c r="AP573" s="14">
        <f>V573*'Optimal Choice'!$B$24*AI573</f>
        <v>466560</v>
      </c>
      <c r="AS573" s="12">
        <f t="shared" si="9"/>
        <v>180</v>
      </c>
      <c r="AT573" s="12">
        <f t="shared" si="10"/>
        <v>150</v>
      </c>
      <c r="AU573" s="12">
        <f t="shared" si="11"/>
        <v>32</v>
      </c>
      <c r="AV573" s="12">
        <f t="shared" si="12"/>
        <v>4</v>
      </c>
      <c r="AW573" s="12">
        <f t="shared" si="13"/>
        <v>3</v>
      </c>
      <c r="AY573" s="11">
        <f t="shared" si="14"/>
        <v>1.927794422</v>
      </c>
    </row>
    <row r="574" ht="15.75" customHeight="1">
      <c r="A574" s="15">
        <f t="shared" si="2"/>
        <v>141.4489666</v>
      </c>
      <c r="B574" s="7">
        <f>(sum(AL574:AP574))*'Optimal Choice'!$B$28</f>
        <v>1231215.6</v>
      </c>
      <c r="C574" s="11"/>
      <c r="D574" s="12"/>
      <c r="E574" s="12"/>
      <c r="F574" s="11"/>
      <c r="G574" s="11"/>
      <c r="H574" s="11"/>
      <c r="I574" s="11"/>
      <c r="J574" s="11"/>
      <c r="K574" s="11">
        <f>(X574/$B574)+(X574/('Optimal Choice'!$B$4*AS574))</f>
        <v>62272.25164</v>
      </c>
      <c r="L574" s="11">
        <f>(Y574/$B574)+(Y574/('Optimal Choice'!$B$9*AT574))</f>
        <v>62626.16752</v>
      </c>
      <c r="M574" s="11">
        <f>(Z574/$B574)+(Z574/('Optimal Choice'!$B$14*AU574))</f>
        <v>63813.94299</v>
      </c>
      <c r="N574" s="11">
        <f>(AA574/$B574)+(AA574/('Optimal Choice'!$B$19*AV574))</f>
        <v>64956.19825</v>
      </c>
      <c r="O574" s="11">
        <f>(AB574/$B574)+(AB574/('Optimal Choice'!$B$24*AW574))</f>
        <v>62996.34824</v>
      </c>
      <c r="R574" s="12">
        <f t="shared" ref="R574:V574" si="584">if(min($K573:$O573)=K573,R573+1,R573)</f>
        <v>226</v>
      </c>
      <c r="S574" s="12">
        <f t="shared" si="584"/>
        <v>106</v>
      </c>
      <c r="T574" s="12">
        <f t="shared" si="584"/>
        <v>94</v>
      </c>
      <c r="U574" s="12">
        <f t="shared" si="584"/>
        <v>75</v>
      </c>
      <c r="V574" s="12">
        <f t="shared" si="584"/>
        <v>72</v>
      </c>
      <c r="X574" s="13">
        <f> 'Optimal Choice'!$B$5*'Optimal Choice'!$B$6^(R574+1)</f>
        <v>18714469.72</v>
      </c>
      <c r="Y574" s="13">
        <f> 'Optimal Choice'!$B$10*'Optimal Choice'!$B$11^(S574+1)</f>
        <v>187421827.5</v>
      </c>
      <c r="Z574" s="13">
        <f> 'Optimal Choice'!$B$15*'Optimal Choice'!$B$16^(T574+1)</f>
        <v>183355260</v>
      </c>
      <c r="AA574" s="13">
        <f> 'Optimal Choice'!$B$20*'Optimal Choice'!$B$21^(U574+1)</f>
        <v>93427654.76</v>
      </c>
      <c r="AB574" s="13">
        <f> 'Optimal Choice'!$B$25*'Optimal Choice'!$B$26^(V574+1)</f>
        <v>406079105.2</v>
      </c>
      <c r="AE574" s="12">
        <f t="shared" si="4"/>
        <v>180</v>
      </c>
      <c r="AF574" s="12">
        <f t="shared" si="5"/>
        <v>150</v>
      </c>
      <c r="AG574" s="12">
        <f t="shared" si="6"/>
        <v>32</v>
      </c>
      <c r="AH574" s="12">
        <f t="shared" si="7"/>
        <v>4</v>
      </c>
      <c r="AI574" s="12">
        <f t="shared" si="8"/>
        <v>3</v>
      </c>
      <c r="AL574" s="14">
        <f>R574*'Optimal Choice'!$B$4*AE574</f>
        <v>67935.6</v>
      </c>
      <c r="AM574" s="14">
        <f>S574*'Optimal Choice'!$B$9*AF574</f>
        <v>318000</v>
      </c>
      <c r="AN574" s="14">
        <f>T574*'Optimal Choice'!$B$14*AG574</f>
        <v>270720</v>
      </c>
      <c r="AO574" s="14">
        <f>U574*'Optimal Choice'!$B$19*AH574</f>
        <v>108000</v>
      </c>
      <c r="AP574" s="14">
        <f>V574*'Optimal Choice'!$B$24*AI574</f>
        <v>466560</v>
      </c>
      <c r="AS574" s="12">
        <f t="shared" si="9"/>
        <v>180</v>
      </c>
      <c r="AT574" s="12">
        <f t="shared" si="10"/>
        <v>150</v>
      </c>
      <c r="AU574" s="12">
        <f t="shared" si="11"/>
        <v>32</v>
      </c>
      <c r="AV574" s="12">
        <f t="shared" si="12"/>
        <v>4</v>
      </c>
      <c r="AW574" s="12">
        <f t="shared" si="13"/>
        <v>3</v>
      </c>
      <c r="AY574" s="11">
        <f t="shared" si="14"/>
        <v>2.211548501</v>
      </c>
    </row>
    <row r="575" ht="15.75" customHeight="1">
      <c r="A575" s="15">
        <f t="shared" si="2"/>
        <v>141.7022998</v>
      </c>
      <c r="B575" s="7">
        <f>(sum(AL575:AP575))*'Optimal Choice'!$B$28</f>
        <v>1231516.2</v>
      </c>
      <c r="C575" s="11"/>
      <c r="D575" s="12"/>
      <c r="E575" s="12"/>
      <c r="F575" s="11"/>
      <c r="G575" s="11"/>
      <c r="H575" s="11"/>
      <c r="I575" s="11"/>
      <c r="J575" s="11"/>
      <c r="K575" s="11">
        <f>(X575/$B575)+(X575/('Optimal Choice'!$B$4*AS575))</f>
        <v>66631.30528</v>
      </c>
      <c r="L575" s="11">
        <f>(Y575/$B575)+(Y575/('Optimal Choice'!$B$9*AT575))</f>
        <v>62626.13037</v>
      </c>
      <c r="M575" s="11">
        <f>(Z575/$B575)+(Z575/('Optimal Choice'!$B$14*AU575))</f>
        <v>63813.90664</v>
      </c>
      <c r="N575" s="11">
        <f>(AA575/$B575)+(AA575/('Optimal Choice'!$B$19*AV575))</f>
        <v>64956.17973</v>
      </c>
      <c r="O575" s="11">
        <f>(AB575/$B575)+(AB575/('Optimal Choice'!$B$24*AW575))</f>
        <v>62996.26773</v>
      </c>
      <c r="R575" s="12">
        <f t="shared" ref="R575:V575" si="585">if(min($K574:$O574)=K574,R574+1,R574)</f>
        <v>227</v>
      </c>
      <c r="S575" s="12">
        <f t="shared" si="585"/>
        <v>106</v>
      </c>
      <c r="T575" s="12">
        <f t="shared" si="585"/>
        <v>94</v>
      </c>
      <c r="U575" s="12">
        <f t="shared" si="585"/>
        <v>75</v>
      </c>
      <c r="V575" s="12">
        <f t="shared" si="585"/>
        <v>72</v>
      </c>
      <c r="X575" s="13">
        <f> 'Optimal Choice'!$B$5*'Optimal Choice'!$B$6^(R575+1)</f>
        <v>20024482.61</v>
      </c>
      <c r="Y575" s="13">
        <f> 'Optimal Choice'!$B$10*'Optimal Choice'!$B$11^(S575+1)</f>
        <v>187421827.5</v>
      </c>
      <c r="Z575" s="13">
        <f> 'Optimal Choice'!$B$15*'Optimal Choice'!$B$16^(T575+1)</f>
        <v>183355260</v>
      </c>
      <c r="AA575" s="13">
        <f> 'Optimal Choice'!$B$20*'Optimal Choice'!$B$21^(U575+1)</f>
        <v>93427654.76</v>
      </c>
      <c r="AB575" s="13">
        <f> 'Optimal Choice'!$B$25*'Optimal Choice'!$B$26^(V575+1)</f>
        <v>406079105.2</v>
      </c>
      <c r="AE575" s="12">
        <f t="shared" si="4"/>
        <v>180</v>
      </c>
      <c r="AF575" s="12">
        <f t="shared" si="5"/>
        <v>150</v>
      </c>
      <c r="AG575" s="12">
        <f t="shared" si="6"/>
        <v>32</v>
      </c>
      <c r="AH575" s="12">
        <f t="shared" si="7"/>
        <v>4</v>
      </c>
      <c r="AI575" s="12">
        <f t="shared" si="8"/>
        <v>3</v>
      </c>
      <c r="AL575" s="14">
        <f>R575*'Optimal Choice'!$B$4*AE575</f>
        <v>68236.2</v>
      </c>
      <c r="AM575" s="14">
        <f>S575*'Optimal Choice'!$B$9*AF575</f>
        <v>318000</v>
      </c>
      <c r="AN575" s="14">
        <f>T575*'Optimal Choice'!$B$14*AG575</f>
        <v>270720</v>
      </c>
      <c r="AO575" s="14">
        <f>U575*'Optimal Choice'!$B$19*AH575</f>
        <v>108000</v>
      </c>
      <c r="AP575" s="14">
        <f>V575*'Optimal Choice'!$B$24*AI575</f>
        <v>466560</v>
      </c>
      <c r="AS575" s="12">
        <f t="shared" si="9"/>
        <v>180</v>
      </c>
      <c r="AT575" s="12">
        <f t="shared" si="10"/>
        <v>150</v>
      </c>
      <c r="AU575" s="12">
        <f t="shared" si="11"/>
        <v>32</v>
      </c>
      <c r="AV575" s="12">
        <f t="shared" si="12"/>
        <v>4</v>
      </c>
      <c r="AW575" s="12">
        <f t="shared" si="13"/>
        <v>3</v>
      </c>
      <c r="AY575" s="11">
        <f t="shared" si="14"/>
        <v>0.2533332332</v>
      </c>
    </row>
    <row r="576" ht="15.75" customHeight="1">
      <c r="A576" s="15">
        <f t="shared" si="2"/>
        <v>144.2387643</v>
      </c>
      <c r="B576" s="7">
        <f>(sum(AL576:AP576))*'Optimal Choice'!$B$28</f>
        <v>1234516.2</v>
      </c>
      <c r="C576" s="11"/>
      <c r="D576" s="12"/>
      <c r="E576" s="12"/>
      <c r="F576" s="11"/>
      <c r="G576" s="11"/>
      <c r="H576" s="11"/>
      <c r="I576" s="11"/>
      <c r="J576" s="11"/>
      <c r="K576" s="11">
        <f>(X576/$B576)+(X576/('Optimal Choice'!$B$4*AS576))</f>
        <v>66631.26577</v>
      </c>
      <c r="L576" s="11">
        <f>(Y576/$B576)+(Y576/('Optimal Choice'!$B$9*AT576))</f>
        <v>72019.62461</v>
      </c>
      <c r="M576" s="11">
        <f>(Z576/$B576)+(Z576/('Optimal Choice'!$B$14*AU576))</f>
        <v>63813.54483</v>
      </c>
      <c r="N576" s="11">
        <f>(AA576/$B576)+(AA576/('Optimal Choice'!$B$19*AV576))</f>
        <v>64955.99537</v>
      </c>
      <c r="O576" s="11">
        <f>(AB576/$B576)+(AB576/('Optimal Choice'!$B$24*AW576))</f>
        <v>62995.46643</v>
      </c>
      <c r="R576" s="12">
        <f t="shared" ref="R576:V576" si="586">if(min($K575:$O575)=K575,R575+1,R575)</f>
        <v>227</v>
      </c>
      <c r="S576" s="12">
        <f t="shared" si="586"/>
        <v>107</v>
      </c>
      <c r="T576" s="12">
        <f t="shared" si="586"/>
        <v>94</v>
      </c>
      <c r="U576" s="12">
        <f t="shared" si="586"/>
        <v>75</v>
      </c>
      <c r="V576" s="12">
        <f t="shared" si="586"/>
        <v>72</v>
      </c>
      <c r="X576" s="13">
        <f> 'Optimal Choice'!$B$5*'Optimal Choice'!$B$6^(R576+1)</f>
        <v>20024482.61</v>
      </c>
      <c r="Y576" s="13">
        <f> 'Optimal Choice'!$B$10*'Optimal Choice'!$B$11^(S576+1)</f>
        <v>215535101.6</v>
      </c>
      <c r="Z576" s="13">
        <f> 'Optimal Choice'!$B$15*'Optimal Choice'!$B$16^(T576+1)</f>
        <v>183355260</v>
      </c>
      <c r="AA576" s="13">
        <f> 'Optimal Choice'!$B$20*'Optimal Choice'!$B$21^(U576+1)</f>
        <v>93427654.76</v>
      </c>
      <c r="AB576" s="13">
        <f> 'Optimal Choice'!$B$25*'Optimal Choice'!$B$26^(V576+1)</f>
        <v>406079105.2</v>
      </c>
      <c r="AE576" s="12">
        <f t="shared" si="4"/>
        <v>180</v>
      </c>
      <c r="AF576" s="12">
        <f t="shared" si="5"/>
        <v>150</v>
      </c>
      <c r="AG576" s="12">
        <f t="shared" si="6"/>
        <v>32</v>
      </c>
      <c r="AH576" s="12">
        <f t="shared" si="7"/>
        <v>4</v>
      </c>
      <c r="AI576" s="12">
        <f t="shared" si="8"/>
        <v>3</v>
      </c>
      <c r="AL576" s="14">
        <f>R576*'Optimal Choice'!$B$4*AE576</f>
        <v>68236.2</v>
      </c>
      <c r="AM576" s="14">
        <f>S576*'Optimal Choice'!$B$9*AF576</f>
        <v>321000</v>
      </c>
      <c r="AN576" s="14">
        <f>T576*'Optimal Choice'!$B$14*AG576</f>
        <v>270720</v>
      </c>
      <c r="AO576" s="14">
        <f>U576*'Optimal Choice'!$B$19*AH576</f>
        <v>108000</v>
      </c>
      <c r="AP576" s="14">
        <f>V576*'Optimal Choice'!$B$24*AI576</f>
        <v>466560</v>
      </c>
      <c r="AS576" s="12">
        <f t="shared" si="9"/>
        <v>180</v>
      </c>
      <c r="AT576" s="12">
        <f t="shared" si="10"/>
        <v>150</v>
      </c>
      <c r="AU576" s="12">
        <f t="shared" si="11"/>
        <v>32</v>
      </c>
      <c r="AV576" s="12">
        <f t="shared" si="12"/>
        <v>4</v>
      </c>
      <c r="AW576" s="12">
        <f t="shared" si="13"/>
        <v>3</v>
      </c>
      <c r="AY576" s="11">
        <f t="shared" si="14"/>
        <v>2.536464502</v>
      </c>
    </row>
    <row r="577" ht="15.75" customHeight="1">
      <c r="A577" s="15">
        <f t="shared" si="2"/>
        <v>149.7210618</v>
      </c>
      <c r="B577" s="7">
        <f>(sum(AL577:AP577))*'Optimal Choice'!$B$28</f>
        <v>1240996.2</v>
      </c>
      <c r="C577" s="11"/>
      <c r="D577" s="12"/>
      <c r="E577" s="12"/>
      <c r="F577" s="11"/>
      <c r="G577" s="11"/>
      <c r="H577" s="11"/>
      <c r="I577" s="11"/>
      <c r="J577" s="11"/>
      <c r="K577" s="11">
        <f>(X577/$B577)+(X577/('Optimal Choice'!$B$4*AS577))</f>
        <v>66631.18107</v>
      </c>
      <c r="L577" s="11">
        <f>(Y577/$B577)+(Y577/('Optimal Choice'!$B$9*AT577))</f>
        <v>72018.71297</v>
      </c>
      <c r="M577" s="11">
        <f>(Z577/$B577)+(Z577/('Optimal Choice'!$B$14*AU577))</f>
        <v>63812.7693</v>
      </c>
      <c r="N577" s="11">
        <f>(AA577/$B577)+(AA577/('Optimal Choice'!$B$19*AV577))</f>
        <v>64955.6002</v>
      </c>
      <c r="O577" s="11">
        <f>(AB577/$B577)+(AB577/('Optimal Choice'!$B$24*AW577))</f>
        <v>70552.99871</v>
      </c>
      <c r="R577" s="12">
        <f t="shared" ref="R577:V577" si="587">if(min($K576:$O576)=K576,R576+1,R576)</f>
        <v>227</v>
      </c>
      <c r="S577" s="12">
        <f t="shared" si="587"/>
        <v>107</v>
      </c>
      <c r="T577" s="12">
        <f t="shared" si="587"/>
        <v>94</v>
      </c>
      <c r="U577" s="12">
        <f t="shared" si="587"/>
        <v>75</v>
      </c>
      <c r="V577" s="12">
        <f t="shared" si="587"/>
        <v>73</v>
      </c>
      <c r="X577" s="13">
        <f> 'Optimal Choice'!$B$5*'Optimal Choice'!$B$6^(R577+1)</f>
        <v>20024482.61</v>
      </c>
      <c r="Y577" s="13">
        <f> 'Optimal Choice'!$B$10*'Optimal Choice'!$B$11^(S577+1)</f>
        <v>215535101.6</v>
      </c>
      <c r="Z577" s="13">
        <f> 'Optimal Choice'!$B$15*'Optimal Choice'!$B$16^(T577+1)</f>
        <v>183355260</v>
      </c>
      <c r="AA577" s="13">
        <f> 'Optimal Choice'!$B$20*'Optimal Choice'!$B$21^(U577+1)</f>
        <v>93427654.76</v>
      </c>
      <c r="AB577" s="13">
        <f> 'Optimal Choice'!$B$25*'Optimal Choice'!$B$26^(V577+1)</f>
        <v>454808597.8</v>
      </c>
      <c r="AE577" s="12">
        <f t="shared" si="4"/>
        <v>180</v>
      </c>
      <c r="AF577" s="12">
        <f t="shared" si="5"/>
        <v>150</v>
      </c>
      <c r="AG577" s="12">
        <f t="shared" si="6"/>
        <v>32</v>
      </c>
      <c r="AH577" s="12">
        <f t="shared" si="7"/>
        <v>4</v>
      </c>
      <c r="AI577" s="12">
        <f t="shared" si="8"/>
        <v>3</v>
      </c>
      <c r="AL577" s="14">
        <f>R577*'Optimal Choice'!$B$4*AE577</f>
        <v>68236.2</v>
      </c>
      <c r="AM577" s="14">
        <f>S577*'Optimal Choice'!$B$9*AF577</f>
        <v>321000</v>
      </c>
      <c r="AN577" s="14">
        <f>T577*'Optimal Choice'!$B$14*AG577</f>
        <v>270720</v>
      </c>
      <c r="AO577" s="14">
        <f>U577*'Optimal Choice'!$B$19*AH577</f>
        <v>108000</v>
      </c>
      <c r="AP577" s="14">
        <f>V577*'Optimal Choice'!$B$24*AI577</f>
        <v>473040</v>
      </c>
      <c r="AS577" s="12">
        <f t="shared" si="9"/>
        <v>180</v>
      </c>
      <c r="AT577" s="12">
        <f t="shared" si="10"/>
        <v>150</v>
      </c>
      <c r="AU577" s="12">
        <f t="shared" si="11"/>
        <v>32</v>
      </c>
      <c r="AV577" s="12">
        <f t="shared" si="12"/>
        <v>4</v>
      </c>
      <c r="AW577" s="12">
        <f t="shared" si="13"/>
        <v>3</v>
      </c>
      <c r="AY577" s="11">
        <f t="shared" si="14"/>
        <v>5.482297508</v>
      </c>
    </row>
    <row r="578" ht="15.75" customHeight="1">
      <c r="A578" s="15">
        <f t="shared" si="2"/>
        <v>152.1835359</v>
      </c>
      <c r="B578" s="7">
        <f>(sum(AL578:AP578))*'Optimal Choice'!$B$28</f>
        <v>1243876.2</v>
      </c>
      <c r="C578" s="11"/>
      <c r="D578" s="12"/>
      <c r="E578" s="12"/>
      <c r="F578" s="11"/>
      <c r="G578" s="11"/>
      <c r="H578" s="11"/>
      <c r="I578" s="11"/>
      <c r="J578" s="11"/>
      <c r="K578" s="11">
        <f>(X578/$B578)+(X578/('Optimal Choice'!$B$4*AS578))</f>
        <v>66631.14371</v>
      </c>
      <c r="L578" s="11">
        <f>(Y578/$B578)+(Y578/('Optimal Choice'!$B$9*AT578))</f>
        <v>72018.31084</v>
      </c>
      <c r="M578" s="11">
        <f>(Z578/$B578)+(Z578/('Optimal Choice'!$B$14*AU578))</f>
        <v>72746.16702</v>
      </c>
      <c r="N578" s="11">
        <f>(AA578/$B578)+(AA578/('Optimal Choice'!$B$19*AV578))</f>
        <v>64955.42589</v>
      </c>
      <c r="O578" s="11">
        <f>(AB578/$B578)+(AB578/('Optimal Choice'!$B$24*AW578))</f>
        <v>70552.15017</v>
      </c>
      <c r="R578" s="12">
        <f t="shared" ref="R578:V578" si="588">if(min($K577:$O577)=K577,R577+1,R577)</f>
        <v>227</v>
      </c>
      <c r="S578" s="12">
        <f t="shared" si="588"/>
        <v>107</v>
      </c>
      <c r="T578" s="12">
        <f t="shared" si="588"/>
        <v>95</v>
      </c>
      <c r="U578" s="12">
        <f t="shared" si="588"/>
        <v>75</v>
      </c>
      <c r="V578" s="12">
        <f t="shared" si="588"/>
        <v>73</v>
      </c>
      <c r="X578" s="13">
        <f> 'Optimal Choice'!$B$5*'Optimal Choice'!$B$6^(R578+1)</f>
        <v>20024482.61</v>
      </c>
      <c r="Y578" s="13">
        <f> 'Optimal Choice'!$B$10*'Optimal Choice'!$B$11^(S578+1)</f>
        <v>215535101.6</v>
      </c>
      <c r="Z578" s="13">
        <f> 'Optimal Choice'!$B$15*'Optimal Choice'!$B$16^(T578+1)</f>
        <v>209024996.5</v>
      </c>
      <c r="AA578" s="13">
        <f> 'Optimal Choice'!$B$20*'Optimal Choice'!$B$21^(U578+1)</f>
        <v>93427654.76</v>
      </c>
      <c r="AB578" s="13">
        <f> 'Optimal Choice'!$B$25*'Optimal Choice'!$B$26^(V578+1)</f>
        <v>454808597.8</v>
      </c>
      <c r="AE578" s="12">
        <f t="shared" si="4"/>
        <v>180</v>
      </c>
      <c r="AF578" s="12">
        <f t="shared" si="5"/>
        <v>150</v>
      </c>
      <c r="AG578" s="12">
        <f t="shared" si="6"/>
        <v>32</v>
      </c>
      <c r="AH578" s="12">
        <f t="shared" si="7"/>
        <v>4</v>
      </c>
      <c r="AI578" s="12">
        <f t="shared" si="8"/>
        <v>3</v>
      </c>
      <c r="AL578" s="14">
        <f>R578*'Optimal Choice'!$B$4*AE578</f>
        <v>68236.2</v>
      </c>
      <c r="AM578" s="14">
        <f>S578*'Optimal Choice'!$B$9*AF578</f>
        <v>321000</v>
      </c>
      <c r="AN578" s="14">
        <f>T578*'Optimal Choice'!$B$14*AG578</f>
        <v>273600</v>
      </c>
      <c r="AO578" s="14">
        <f>U578*'Optimal Choice'!$B$19*AH578</f>
        <v>108000</v>
      </c>
      <c r="AP578" s="14">
        <f>V578*'Optimal Choice'!$B$24*AI578</f>
        <v>473040</v>
      </c>
      <c r="AS578" s="12">
        <f t="shared" si="9"/>
        <v>180</v>
      </c>
      <c r="AT578" s="12">
        <f t="shared" si="10"/>
        <v>150</v>
      </c>
      <c r="AU578" s="12">
        <f t="shared" si="11"/>
        <v>32</v>
      </c>
      <c r="AV578" s="12">
        <f t="shared" si="12"/>
        <v>4</v>
      </c>
      <c r="AW578" s="12">
        <f t="shared" si="13"/>
        <v>3</v>
      </c>
      <c r="AY578" s="11">
        <f t="shared" si="14"/>
        <v>2.4624741</v>
      </c>
    </row>
    <row r="579" ht="15.75" customHeight="1">
      <c r="A579" s="15">
        <f t="shared" si="2"/>
        <v>153.4353708</v>
      </c>
      <c r="B579" s="7">
        <f>(sum(AL579:AP579))*'Optimal Choice'!$B$28</f>
        <v>1245316.2</v>
      </c>
      <c r="C579" s="11"/>
      <c r="D579" s="12"/>
      <c r="E579" s="12"/>
      <c r="F579" s="11"/>
      <c r="G579" s="11"/>
      <c r="H579" s="11"/>
      <c r="I579" s="11"/>
      <c r="J579" s="11"/>
      <c r="K579" s="11">
        <f>(X579/$B579)+(X579/('Optimal Choice'!$B$4*AS579))</f>
        <v>66631.1251</v>
      </c>
      <c r="L579" s="11">
        <f>(Y579/$B579)+(Y579/('Optimal Choice'!$B$9*AT579))</f>
        <v>72018.11048</v>
      </c>
      <c r="M579" s="11">
        <f>(Z579/$B579)+(Z579/('Optimal Choice'!$B$14*AU579))</f>
        <v>72745.9727</v>
      </c>
      <c r="N579" s="11">
        <f>(AA579/$B579)+(AA579/('Optimal Choice'!$B$19*AV579))</f>
        <v>73399.53312</v>
      </c>
      <c r="O579" s="11">
        <f>(AB579/$B579)+(AB579/('Optimal Choice'!$B$24*AW579))</f>
        <v>70551.72737</v>
      </c>
      <c r="R579" s="12">
        <f t="shared" ref="R579:V579" si="589">if(min($K578:$O578)=K578,R578+1,R578)</f>
        <v>227</v>
      </c>
      <c r="S579" s="12">
        <f t="shared" si="589"/>
        <v>107</v>
      </c>
      <c r="T579" s="12">
        <f t="shared" si="589"/>
        <v>95</v>
      </c>
      <c r="U579" s="12">
        <f t="shared" si="589"/>
        <v>76</v>
      </c>
      <c r="V579" s="12">
        <f t="shared" si="589"/>
        <v>73</v>
      </c>
      <c r="X579" s="13">
        <f> 'Optimal Choice'!$B$5*'Optimal Choice'!$B$6^(R579+1)</f>
        <v>20024482.61</v>
      </c>
      <c r="Y579" s="13">
        <f> 'Optimal Choice'!$B$10*'Optimal Choice'!$B$11^(S579+1)</f>
        <v>215535101.6</v>
      </c>
      <c r="Z579" s="13">
        <f> 'Optimal Choice'!$B$15*'Optimal Choice'!$B$16^(T579+1)</f>
        <v>209024996.5</v>
      </c>
      <c r="AA579" s="13">
        <f> 'Optimal Choice'!$B$20*'Optimal Choice'!$B$21^(U579+1)</f>
        <v>105573249.9</v>
      </c>
      <c r="AB579" s="13">
        <f> 'Optimal Choice'!$B$25*'Optimal Choice'!$B$26^(V579+1)</f>
        <v>454808597.8</v>
      </c>
      <c r="AE579" s="12">
        <f t="shared" si="4"/>
        <v>180</v>
      </c>
      <c r="AF579" s="12">
        <f t="shared" si="5"/>
        <v>150</v>
      </c>
      <c r="AG579" s="12">
        <f t="shared" si="6"/>
        <v>32</v>
      </c>
      <c r="AH579" s="12">
        <f t="shared" si="7"/>
        <v>4</v>
      </c>
      <c r="AI579" s="12">
        <f t="shared" si="8"/>
        <v>3</v>
      </c>
      <c r="AL579" s="14">
        <f>R579*'Optimal Choice'!$B$4*AE579</f>
        <v>68236.2</v>
      </c>
      <c r="AM579" s="14">
        <f>S579*'Optimal Choice'!$B$9*AF579</f>
        <v>321000</v>
      </c>
      <c r="AN579" s="14">
        <f>T579*'Optimal Choice'!$B$14*AG579</f>
        <v>273600</v>
      </c>
      <c r="AO579" s="14">
        <f>U579*'Optimal Choice'!$B$19*AH579</f>
        <v>109440</v>
      </c>
      <c r="AP579" s="14">
        <f>V579*'Optimal Choice'!$B$24*AI579</f>
        <v>473040</v>
      </c>
      <c r="AS579" s="12">
        <f t="shared" si="9"/>
        <v>180</v>
      </c>
      <c r="AT579" s="12">
        <f t="shared" si="10"/>
        <v>150</v>
      </c>
      <c r="AU579" s="12">
        <f t="shared" si="11"/>
        <v>32</v>
      </c>
      <c r="AV579" s="12">
        <f t="shared" si="12"/>
        <v>4</v>
      </c>
      <c r="AW579" s="12">
        <f t="shared" si="13"/>
        <v>3</v>
      </c>
      <c r="AY579" s="11">
        <f t="shared" si="14"/>
        <v>1.251834852</v>
      </c>
    </row>
    <row r="580" ht="15.75" customHeight="1">
      <c r="A580" s="15">
        <f t="shared" si="2"/>
        <v>153.7033681</v>
      </c>
      <c r="B580" s="7">
        <f>(sum(AL580:AP580))*'Optimal Choice'!$B$28</f>
        <v>1245616.8</v>
      </c>
      <c r="C580" s="11"/>
      <c r="D580" s="12"/>
      <c r="E580" s="12"/>
      <c r="F580" s="11"/>
      <c r="G580" s="11"/>
      <c r="H580" s="11"/>
      <c r="I580" s="11"/>
      <c r="J580" s="11"/>
      <c r="K580" s="11">
        <f>(X580/$B580)+(X580/('Optimal Choice'!$B$4*AS580))</f>
        <v>71295.2997</v>
      </c>
      <c r="L580" s="11">
        <f>(Y580/$B580)+(Y580/('Optimal Choice'!$B$9*AT580))</f>
        <v>72018.06871</v>
      </c>
      <c r="M580" s="11">
        <f>(Z580/$B580)+(Z580/('Optimal Choice'!$B$14*AU580))</f>
        <v>72745.9322</v>
      </c>
      <c r="N580" s="11">
        <f>(AA580/$B580)+(AA580/('Optimal Choice'!$B$19*AV580))</f>
        <v>73399.51266</v>
      </c>
      <c r="O580" s="11">
        <f>(AB580/$B580)+(AB580/('Optimal Choice'!$B$24*AW580))</f>
        <v>70551.63923</v>
      </c>
      <c r="R580" s="12">
        <f t="shared" ref="R580:V580" si="590">if(min($K579:$O579)=K579,R579+1,R579)</f>
        <v>228</v>
      </c>
      <c r="S580" s="12">
        <f t="shared" si="590"/>
        <v>107</v>
      </c>
      <c r="T580" s="12">
        <f t="shared" si="590"/>
        <v>95</v>
      </c>
      <c r="U580" s="12">
        <f t="shared" si="590"/>
        <v>76</v>
      </c>
      <c r="V580" s="12">
        <f t="shared" si="590"/>
        <v>73</v>
      </c>
      <c r="X580" s="13">
        <f> 'Optimal Choice'!$B$5*'Optimal Choice'!$B$6^(R580+1)</f>
        <v>21426196.39</v>
      </c>
      <c r="Y580" s="13">
        <f> 'Optimal Choice'!$B$10*'Optimal Choice'!$B$11^(S580+1)</f>
        <v>215535101.6</v>
      </c>
      <c r="Z580" s="13">
        <f> 'Optimal Choice'!$B$15*'Optimal Choice'!$B$16^(T580+1)</f>
        <v>209024996.5</v>
      </c>
      <c r="AA580" s="13">
        <f> 'Optimal Choice'!$B$20*'Optimal Choice'!$B$21^(U580+1)</f>
        <v>105573249.9</v>
      </c>
      <c r="AB580" s="13">
        <f> 'Optimal Choice'!$B$25*'Optimal Choice'!$B$26^(V580+1)</f>
        <v>454808597.8</v>
      </c>
      <c r="AE580" s="12">
        <f t="shared" si="4"/>
        <v>180</v>
      </c>
      <c r="AF580" s="12">
        <f t="shared" si="5"/>
        <v>150</v>
      </c>
      <c r="AG580" s="12">
        <f t="shared" si="6"/>
        <v>32</v>
      </c>
      <c r="AH580" s="12">
        <f t="shared" si="7"/>
        <v>4</v>
      </c>
      <c r="AI580" s="12">
        <f t="shared" si="8"/>
        <v>3</v>
      </c>
      <c r="AL580" s="14">
        <f>R580*'Optimal Choice'!$B$4*AE580</f>
        <v>68536.8</v>
      </c>
      <c r="AM580" s="14">
        <f>S580*'Optimal Choice'!$B$9*AF580</f>
        <v>321000</v>
      </c>
      <c r="AN580" s="14">
        <f>T580*'Optimal Choice'!$B$14*AG580</f>
        <v>273600</v>
      </c>
      <c r="AO580" s="14">
        <f>U580*'Optimal Choice'!$B$19*AH580</f>
        <v>109440</v>
      </c>
      <c r="AP580" s="14">
        <f>V580*'Optimal Choice'!$B$24*AI580</f>
        <v>473040</v>
      </c>
      <c r="AS580" s="12">
        <f t="shared" si="9"/>
        <v>180</v>
      </c>
      <c r="AT580" s="12">
        <f t="shared" si="10"/>
        <v>150</v>
      </c>
      <c r="AU580" s="12">
        <f t="shared" si="11"/>
        <v>32</v>
      </c>
      <c r="AV580" s="12">
        <f t="shared" si="12"/>
        <v>4</v>
      </c>
      <c r="AW580" s="12">
        <f t="shared" si="13"/>
        <v>3</v>
      </c>
      <c r="AY580" s="11">
        <f t="shared" si="14"/>
        <v>0.267997298</v>
      </c>
    </row>
    <row r="581" ht="15.75" customHeight="1">
      <c r="A581" s="15">
        <f t="shared" si="2"/>
        <v>159.7888217</v>
      </c>
      <c r="B581" s="7">
        <f>(sum(AL581:AP581))*'Optimal Choice'!$B$28</f>
        <v>1252096.8</v>
      </c>
      <c r="C581" s="11"/>
      <c r="D581" s="12"/>
      <c r="E581" s="12"/>
      <c r="F581" s="11"/>
      <c r="G581" s="11"/>
      <c r="H581" s="11"/>
      <c r="I581" s="11"/>
      <c r="J581" s="11"/>
      <c r="K581" s="11">
        <f>(X581/$B581)+(X581/('Optimal Choice'!$B$4*AS581))</f>
        <v>71295.21068</v>
      </c>
      <c r="L581" s="11">
        <f>(Y581/$B581)+(Y581/('Optimal Choice'!$B$9*AT581))</f>
        <v>72017.1732</v>
      </c>
      <c r="M581" s="11">
        <f>(Z581/$B581)+(Z581/('Optimal Choice'!$B$14*AU581))</f>
        <v>72745.06373</v>
      </c>
      <c r="N581" s="11">
        <f>(AA581/$B581)+(AA581/('Optimal Choice'!$B$19*AV581))</f>
        <v>73399.07402</v>
      </c>
      <c r="O581" s="11">
        <f>(AB581/$B581)+(AB581/('Optimal Choice'!$B$24*AW581))</f>
        <v>79015.71953</v>
      </c>
      <c r="R581" s="12">
        <f t="shared" ref="R581:V581" si="591">if(min($K580:$O580)=K580,R580+1,R580)</f>
        <v>228</v>
      </c>
      <c r="S581" s="12">
        <f t="shared" si="591"/>
        <v>107</v>
      </c>
      <c r="T581" s="12">
        <f t="shared" si="591"/>
        <v>95</v>
      </c>
      <c r="U581" s="12">
        <f t="shared" si="591"/>
        <v>76</v>
      </c>
      <c r="V581" s="12">
        <f t="shared" si="591"/>
        <v>74</v>
      </c>
      <c r="X581" s="13">
        <f> 'Optimal Choice'!$B$5*'Optimal Choice'!$B$6^(R581+1)</f>
        <v>21426196.39</v>
      </c>
      <c r="Y581" s="13">
        <f> 'Optimal Choice'!$B$10*'Optimal Choice'!$B$11^(S581+1)</f>
        <v>215535101.6</v>
      </c>
      <c r="Z581" s="13">
        <f> 'Optimal Choice'!$B$15*'Optimal Choice'!$B$16^(T581+1)</f>
        <v>209024996.5</v>
      </c>
      <c r="AA581" s="13">
        <f> 'Optimal Choice'!$B$20*'Optimal Choice'!$B$21^(U581+1)</f>
        <v>105573249.9</v>
      </c>
      <c r="AB581" s="13">
        <f> 'Optimal Choice'!$B$25*'Optimal Choice'!$B$26^(V581+1)</f>
        <v>509385629.6</v>
      </c>
      <c r="AE581" s="12">
        <f t="shared" si="4"/>
        <v>180</v>
      </c>
      <c r="AF581" s="12">
        <f t="shared" si="5"/>
        <v>150</v>
      </c>
      <c r="AG581" s="12">
        <f t="shared" si="6"/>
        <v>32</v>
      </c>
      <c r="AH581" s="12">
        <f t="shared" si="7"/>
        <v>4</v>
      </c>
      <c r="AI581" s="12">
        <f t="shared" si="8"/>
        <v>3</v>
      </c>
      <c r="AL581" s="14">
        <f>R581*'Optimal Choice'!$B$4*AE581</f>
        <v>68536.8</v>
      </c>
      <c r="AM581" s="14">
        <f>S581*'Optimal Choice'!$B$9*AF581</f>
        <v>321000</v>
      </c>
      <c r="AN581" s="14">
        <f>T581*'Optimal Choice'!$B$14*AG581</f>
        <v>273600</v>
      </c>
      <c r="AO581" s="14">
        <f>U581*'Optimal Choice'!$B$19*AH581</f>
        <v>109440</v>
      </c>
      <c r="AP581" s="14">
        <f>V581*'Optimal Choice'!$B$24*AI581</f>
        <v>479520</v>
      </c>
      <c r="AS581" s="12">
        <f t="shared" si="9"/>
        <v>180</v>
      </c>
      <c r="AT581" s="12">
        <f t="shared" si="10"/>
        <v>150</v>
      </c>
      <c r="AU581" s="12">
        <f t="shared" si="11"/>
        <v>32</v>
      </c>
      <c r="AV581" s="12">
        <f t="shared" si="12"/>
        <v>4</v>
      </c>
      <c r="AW581" s="12">
        <f t="shared" si="13"/>
        <v>3</v>
      </c>
      <c r="AY581" s="11">
        <f t="shared" si="14"/>
        <v>6.085453646</v>
      </c>
    </row>
    <row r="582" ht="15.75" customHeight="1">
      <c r="A582" s="15">
        <f t="shared" si="2"/>
        <v>160.0740259</v>
      </c>
      <c r="B582" s="7">
        <f>(sum(AL582:AP582))*'Optimal Choice'!$B$28</f>
        <v>1252397.4</v>
      </c>
      <c r="C582" s="11"/>
      <c r="D582" s="12"/>
      <c r="E582" s="12"/>
      <c r="F582" s="11"/>
      <c r="G582" s="11"/>
      <c r="H582" s="11"/>
      <c r="I582" s="11"/>
      <c r="J582" s="11"/>
      <c r="K582" s="11">
        <f>(X582/$B582)+(X582/('Optimal Choice'!$B$4*AS582))</f>
        <v>76285.87103</v>
      </c>
      <c r="L582" s="11">
        <f>(Y582/$B582)+(Y582/('Optimal Choice'!$B$9*AT582))</f>
        <v>72017.13188</v>
      </c>
      <c r="M582" s="11">
        <f>(Z582/$B582)+(Z582/('Optimal Choice'!$B$14*AU582))</f>
        <v>72745.02366</v>
      </c>
      <c r="N582" s="11">
        <f>(AA582/$B582)+(AA582/('Optimal Choice'!$B$19*AV582))</f>
        <v>73399.05378</v>
      </c>
      <c r="O582" s="11">
        <f>(AB582/$B582)+(AB582/('Optimal Choice'!$B$24*AW582))</f>
        <v>79015.62188</v>
      </c>
      <c r="R582" s="12">
        <f t="shared" ref="R582:V582" si="592">if(min($K581:$O581)=K581,R581+1,R581)</f>
        <v>229</v>
      </c>
      <c r="S582" s="12">
        <f t="shared" si="592"/>
        <v>107</v>
      </c>
      <c r="T582" s="12">
        <f t="shared" si="592"/>
        <v>95</v>
      </c>
      <c r="U582" s="12">
        <f t="shared" si="592"/>
        <v>76</v>
      </c>
      <c r="V582" s="12">
        <f t="shared" si="592"/>
        <v>74</v>
      </c>
      <c r="X582" s="13">
        <f> 'Optimal Choice'!$B$5*'Optimal Choice'!$B$6^(R582+1)</f>
        <v>22926030.13</v>
      </c>
      <c r="Y582" s="13">
        <f> 'Optimal Choice'!$B$10*'Optimal Choice'!$B$11^(S582+1)</f>
        <v>215535101.6</v>
      </c>
      <c r="Z582" s="13">
        <f> 'Optimal Choice'!$B$15*'Optimal Choice'!$B$16^(T582+1)</f>
        <v>209024996.5</v>
      </c>
      <c r="AA582" s="13">
        <f> 'Optimal Choice'!$B$20*'Optimal Choice'!$B$21^(U582+1)</f>
        <v>105573249.9</v>
      </c>
      <c r="AB582" s="13">
        <f> 'Optimal Choice'!$B$25*'Optimal Choice'!$B$26^(V582+1)</f>
        <v>509385629.6</v>
      </c>
      <c r="AE582" s="12">
        <f t="shared" si="4"/>
        <v>180</v>
      </c>
      <c r="AF582" s="12">
        <f t="shared" si="5"/>
        <v>150</v>
      </c>
      <c r="AG582" s="12">
        <f t="shared" si="6"/>
        <v>32</v>
      </c>
      <c r="AH582" s="12">
        <f t="shared" si="7"/>
        <v>4</v>
      </c>
      <c r="AI582" s="12">
        <f t="shared" si="8"/>
        <v>3</v>
      </c>
      <c r="AL582" s="14">
        <f>R582*'Optimal Choice'!$B$4*AE582</f>
        <v>68837.4</v>
      </c>
      <c r="AM582" s="14">
        <f>S582*'Optimal Choice'!$B$9*AF582</f>
        <v>321000</v>
      </c>
      <c r="AN582" s="14">
        <f>T582*'Optimal Choice'!$B$14*AG582</f>
        <v>273600</v>
      </c>
      <c r="AO582" s="14">
        <f>U582*'Optimal Choice'!$B$19*AH582</f>
        <v>109440</v>
      </c>
      <c r="AP582" s="14">
        <f>V582*'Optimal Choice'!$B$24*AI582</f>
        <v>479520</v>
      </c>
      <c r="AS582" s="12">
        <f t="shared" si="9"/>
        <v>180</v>
      </c>
      <c r="AT582" s="12">
        <f t="shared" si="10"/>
        <v>150</v>
      </c>
      <c r="AU582" s="12">
        <f t="shared" si="11"/>
        <v>32</v>
      </c>
      <c r="AV582" s="12">
        <f t="shared" si="12"/>
        <v>4</v>
      </c>
      <c r="AW582" s="12">
        <f t="shared" si="13"/>
        <v>3</v>
      </c>
      <c r="AY582" s="11">
        <f t="shared" si="14"/>
        <v>0.2852042056</v>
      </c>
    </row>
    <row r="583" ht="15.75" customHeight="1">
      <c r="A583" s="15">
        <f t="shared" si="2"/>
        <v>162.9423261</v>
      </c>
      <c r="B583" s="7">
        <f>(sum(AL583:AP583))*'Optimal Choice'!$B$28</f>
        <v>1255397.4</v>
      </c>
      <c r="C583" s="11"/>
      <c r="D583" s="12"/>
      <c r="E583" s="12"/>
      <c r="F583" s="11"/>
      <c r="G583" s="11"/>
      <c r="H583" s="11"/>
      <c r="I583" s="11"/>
      <c r="J583" s="11"/>
      <c r="K583" s="11">
        <f>(X583/$B583)+(X583/('Optimal Choice'!$B$4*AS583))</f>
        <v>76285.82729</v>
      </c>
      <c r="L583" s="11">
        <f>(Y583/$B583)+(Y583/('Optimal Choice'!$B$9*AT583))</f>
        <v>82819.22871</v>
      </c>
      <c r="M583" s="11">
        <f>(Z583/$B583)+(Z583/('Optimal Choice'!$B$14*AU583))</f>
        <v>72744.62483</v>
      </c>
      <c r="N583" s="11">
        <f>(AA583/$B583)+(AA583/('Optimal Choice'!$B$19*AV583))</f>
        <v>73398.85234</v>
      </c>
      <c r="O583" s="11">
        <f>(AB583/$B583)+(AB583/('Optimal Choice'!$B$24*AW583))</f>
        <v>79014.64993</v>
      </c>
      <c r="R583" s="12">
        <f t="shared" ref="R583:V583" si="593">if(min($K582:$O582)=K582,R582+1,R582)</f>
        <v>229</v>
      </c>
      <c r="S583" s="12">
        <f t="shared" si="593"/>
        <v>108</v>
      </c>
      <c r="T583" s="12">
        <f t="shared" si="593"/>
        <v>95</v>
      </c>
      <c r="U583" s="12">
        <f t="shared" si="593"/>
        <v>76</v>
      </c>
      <c r="V583" s="12">
        <f t="shared" si="593"/>
        <v>74</v>
      </c>
      <c r="X583" s="13">
        <f> 'Optimal Choice'!$B$5*'Optimal Choice'!$B$6^(R583+1)</f>
        <v>22926030.13</v>
      </c>
      <c r="Y583" s="13">
        <f> 'Optimal Choice'!$B$10*'Optimal Choice'!$B$11^(S583+1)</f>
        <v>247865366.9</v>
      </c>
      <c r="Z583" s="13">
        <f> 'Optimal Choice'!$B$15*'Optimal Choice'!$B$16^(T583+1)</f>
        <v>209024996.5</v>
      </c>
      <c r="AA583" s="13">
        <f> 'Optimal Choice'!$B$20*'Optimal Choice'!$B$21^(U583+1)</f>
        <v>105573249.9</v>
      </c>
      <c r="AB583" s="13">
        <f> 'Optimal Choice'!$B$25*'Optimal Choice'!$B$26^(V583+1)</f>
        <v>509385629.6</v>
      </c>
      <c r="AE583" s="12">
        <f t="shared" si="4"/>
        <v>180</v>
      </c>
      <c r="AF583" s="12">
        <f t="shared" si="5"/>
        <v>150</v>
      </c>
      <c r="AG583" s="12">
        <f t="shared" si="6"/>
        <v>32</v>
      </c>
      <c r="AH583" s="12">
        <f t="shared" si="7"/>
        <v>4</v>
      </c>
      <c r="AI583" s="12">
        <f t="shared" si="8"/>
        <v>3</v>
      </c>
      <c r="AL583" s="14">
        <f>R583*'Optimal Choice'!$B$4*AE583</f>
        <v>68837.4</v>
      </c>
      <c r="AM583" s="14">
        <f>S583*'Optimal Choice'!$B$9*AF583</f>
        <v>324000</v>
      </c>
      <c r="AN583" s="14">
        <f>T583*'Optimal Choice'!$B$14*AG583</f>
        <v>273600</v>
      </c>
      <c r="AO583" s="14">
        <f>U583*'Optimal Choice'!$B$19*AH583</f>
        <v>109440</v>
      </c>
      <c r="AP583" s="14">
        <f>V583*'Optimal Choice'!$B$24*AI583</f>
        <v>479520</v>
      </c>
      <c r="AS583" s="12">
        <f t="shared" si="9"/>
        <v>180</v>
      </c>
      <c r="AT583" s="12">
        <f t="shared" si="10"/>
        <v>150</v>
      </c>
      <c r="AU583" s="12">
        <f t="shared" si="11"/>
        <v>32</v>
      </c>
      <c r="AV583" s="12">
        <f t="shared" si="12"/>
        <v>4</v>
      </c>
      <c r="AW583" s="12">
        <f t="shared" si="13"/>
        <v>3</v>
      </c>
      <c r="AY583" s="11">
        <f t="shared" si="14"/>
        <v>2.868300184</v>
      </c>
    </row>
    <row r="584" ht="15.75" customHeight="1">
      <c r="A584" s="15">
        <f t="shared" si="2"/>
        <v>165.7173438</v>
      </c>
      <c r="B584" s="7">
        <f>(sum(AL584:AP584))*'Optimal Choice'!$B$28</f>
        <v>1258277.4</v>
      </c>
      <c r="C584" s="11"/>
      <c r="D584" s="12"/>
      <c r="E584" s="12"/>
      <c r="F584" s="11"/>
      <c r="G584" s="11"/>
      <c r="H584" s="11"/>
      <c r="I584" s="11"/>
      <c r="J584" s="11"/>
      <c r="K584" s="11">
        <f>(X584/$B584)+(X584/('Optimal Choice'!$B$4*AS584))</f>
        <v>76285.78549</v>
      </c>
      <c r="L584" s="11">
        <f>(Y584/$B584)+(Y584/('Optimal Choice'!$B$9*AT584))</f>
        <v>82818.77681</v>
      </c>
      <c r="M584" s="11">
        <f>(Z584/$B584)+(Z584/('Optimal Choice'!$B$14*AU584))</f>
        <v>82928.43785</v>
      </c>
      <c r="N584" s="11">
        <f>(AA584/$B584)+(AA584/('Optimal Choice'!$B$19*AV584))</f>
        <v>73398.65986</v>
      </c>
      <c r="O584" s="11">
        <f>(AB584/$B584)+(AB584/('Optimal Choice'!$B$24*AW584))</f>
        <v>79013.72122</v>
      </c>
      <c r="R584" s="12">
        <f t="shared" ref="R584:V584" si="594">if(min($K583:$O583)=K583,R583+1,R583)</f>
        <v>229</v>
      </c>
      <c r="S584" s="12">
        <f t="shared" si="594"/>
        <v>108</v>
      </c>
      <c r="T584" s="12">
        <f t="shared" si="594"/>
        <v>96</v>
      </c>
      <c r="U584" s="12">
        <f t="shared" si="594"/>
        <v>76</v>
      </c>
      <c r="V584" s="12">
        <f t="shared" si="594"/>
        <v>74</v>
      </c>
      <c r="X584" s="13">
        <f> 'Optimal Choice'!$B$5*'Optimal Choice'!$B$6^(R584+1)</f>
        <v>22926030.13</v>
      </c>
      <c r="Y584" s="13">
        <f> 'Optimal Choice'!$B$10*'Optimal Choice'!$B$11^(S584+1)</f>
        <v>247865366.9</v>
      </c>
      <c r="Z584" s="13">
        <f> 'Optimal Choice'!$B$15*'Optimal Choice'!$B$16^(T584+1)</f>
        <v>238288496</v>
      </c>
      <c r="AA584" s="13">
        <f> 'Optimal Choice'!$B$20*'Optimal Choice'!$B$21^(U584+1)</f>
        <v>105573249.9</v>
      </c>
      <c r="AB584" s="13">
        <f> 'Optimal Choice'!$B$25*'Optimal Choice'!$B$26^(V584+1)</f>
        <v>509385629.6</v>
      </c>
      <c r="AE584" s="12">
        <f t="shared" si="4"/>
        <v>180</v>
      </c>
      <c r="AF584" s="12">
        <f t="shared" si="5"/>
        <v>150</v>
      </c>
      <c r="AG584" s="12">
        <f t="shared" si="6"/>
        <v>32</v>
      </c>
      <c r="AH584" s="12">
        <f t="shared" si="7"/>
        <v>4</v>
      </c>
      <c r="AI584" s="12">
        <f t="shared" si="8"/>
        <v>3</v>
      </c>
      <c r="AL584" s="14">
        <f>R584*'Optimal Choice'!$B$4*AE584</f>
        <v>68837.4</v>
      </c>
      <c r="AM584" s="14">
        <f>S584*'Optimal Choice'!$B$9*AF584</f>
        <v>324000</v>
      </c>
      <c r="AN584" s="14">
        <f>T584*'Optimal Choice'!$B$14*AG584</f>
        <v>276480</v>
      </c>
      <c r="AO584" s="14">
        <f>U584*'Optimal Choice'!$B$19*AH584</f>
        <v>109440</v>
      </c>
      <c r="AP584" s="14">
        <f>V584*'Optimal Choice'!$B$24*AI584</f>
        <v>479520</v>
      </c>
      <c r="AS584" s="12">
        <f t="shared" si="9"/>
        <v>180</v>
      </c>
      <c r="AT584" s="12">
        <f t="shared" si="10"/>
        <v>150</v>
      </c>
      <c r="AU584" s="12">
        <f t="shared" si="11"/>
        <v>32</v>
      </c>
      <c r="AV584" s="12">
        <f t="shared" si="12"/>
        <v>4</v>
      </c>
      <c r="AW584" s="12">
        <f t="shared" si="13"/>
        <v>3</v>
      </c>
      <c r="AY584" s="11">
        <f t="shared" si="14"/>
        <v>2.775017648</v>
      </c>
    </row>
    <row r="585" ht="15.75" customHeight="1">
      <c r="A585" s="15">
        <f t="shared" si="2"/>
        <v>167.1157271</v>
      </c>
      <c r="B585" s="7">
        <f>(sum(AL585:AP585))*'Optimal Choice'!$B$28</f>
        <v>1259717.4</v>
      </c>
      <c r="C585" s="11"/>
      <c r="D585" s="12"/>
      <c r="E585" s="12"/>
      <c r="F585" s="11"/>
      <c r="G585" s="11"/>
      <c r="H585" s="11"/>
      <c r="I585" s="11"/>
      <c r="J585" s="11"/>
      <c r="K585" s="11">
        <f>(X585/$B585)+(X585/('Optimal Choice'!$B$4*AS585))</f>
        <v>76285.76466</v>
      </c>
      <c r="L585" s="11">
        <f>(Y585/$B585)+(Y585/('Optimal Choice'!$B$9*AT585))</f>
        <v>82818.55163</v>
      </c>
      <c r="M585" s="11">
        <f>(Z585/$B585)+(Z585/('Optimal Choice'!$B$14*AU585))</f>
        <v>82928.22138</v>
      </c>
      <c r="N585" s="11">
        <f>(AA585/$B585)+(AA585/('Optimal Choice'!$B$19*AV585))</f>
        <v>82940.37726</v>
      </c>
      <c r="O585" s="11">
        <f>(AB585/$B585)+(AB585/('Optimal Choice'!$B$24*AW585))</f>
        <v>79013.25845</v>
      </c>
      <c r="R585" s="12">
        <f t="shared" ref="R585:V585" si="595">if(min($K584:$O584)=K584,R584+1,R584)</f>
        <v>229</v>
      </c>
      <c r="S585" s="12">
        <f t="shared" si="595"/>
        <v>108</v>
      </c>
      <c r="T585" s="12">
        <f t="shared" si="595"/>
        <v>96</v>
      </c>
      <c r="U585" s="12">
        <f t="shared" si="595"/>
        <v>77</v>
      </c>
      <c r="V585" s="12">
        <f t="shared" si="595"/>
        <v>74</v>
      </c>
      <c r="X585" s="13">
        <f> 'Optimal Choice'!$B$5*'Optimal Choice'!$B$6^(R585+1)</f>
        <v>22926030.13</v>
      </c>
      <c r="Y585" s="13">
        <f> 'Optimal Choice'!$B$10*'Optimal Choice'!$B$11^(S585+1)</f>
        <v>247865366.9</v>
      </c>
      <c r="Z585" s="13">
        <f> 'Optimal Choice'!$B$15*'Optimal Choice'!$B$16^(T585+1)</f>
        <v>238288496</v>
      </c>
      <c r="AA585" s="13">
        <f> 'Optimal Choice'!$B$20*'Optimal Choice'!$B$21^(U585+1)</f>
        <v>119297772.4</v>
      </c>
      <c r="AB585" s="13">
        <f> 'Optimal Choice'!$B$25*'Optimal Choice'!$B$26^(V585+1)</f>
        <v>509385629.6</v>
      </c>
      <c r="AE585" s="12">
        <f t="shared" si="4"/>
        <v>180</v>
      </c>
      <c r="AF585" s="12">
        <f t="shared" si="5"/>
        <v>150</v>
      </c>
      <c r="AG585" s="12">
        <f t="shared" si="6"/>
        <v>32</v>
      </c>
      <c r="AH585" s="12">
        <f t="shared" si="7"/>
        <v>4</v>
      </c>
      <c r="AI585" s="12">
        <f t="shared" si="8"/>
        <v>3</v>
      </c>
      <c r="AL585" s="14">
        <f>R585*'Optimal Choice'!$B$4*AE585</f>
        <v>68837.4</v>
      </c>
      <c r="AM585" s="14">
        <f>S585*'Optimal Choice'!$B$9*AF585</f>
        <v>324000</v>
      </c>
      <c r="AN585" s="14">
        <f>T585*'Optimal Choice'!$B$14*AG585</f>
        <v>276480</v>
      </c>
      <c r="AO585" s="14">
        <f>U585*'Optimal Choice'!$B$19*AH585</f>
        <v>110880</v>
      </c>
      <c r="AP585" s="14">
        <f>V585*'Optimal Choice'!$B$24*AI585</f>
        <v>479520</v>
      </c>
      <c r="AS585" s="12">
        <f t="shared" si="9"/>
        <v>180</v>
      </c>
      <c r="AT585" s="12">
        <f t="shared" si="10"/>
        <v>150</v>
      </c>
      <c r="AU585" s="12">
        <f t="shared" si="11"/>
        <v>32</v>
      </c>
      <c r="AV585" s="12">
        <f t="shared" si="12"/>
        <v>4</v>
      </c>
      <c r="AW585" s="12">
        <f t="shared" si="13"/>
        <v>3</v>
      </c>
      <c r="AY585" s="11">
        <f t="shared" si="14"/>
        <v>1.398383349</v>
      </c>
    </row>
    <row r="586" ht="15.75" customHeight="1">
      <c r="A586" s="15">
        <f t="shared" si="2"/>
        <v>167.4190495</v>
      </c>
      <c r="B586" s="7">
        <f>(sum(AL586:AP586))*'Optimal Choice'!$B$28</f>
        <v>1260018</v>
      </c>
      <c r="C586" s="11"/>
      <c r="D586" s="12"/>
      <c r="E586" s="12"/>
      <c r="F586" s="11"/>
      <c r="G586" s="11"/>
      <c r="H586" s="11"/>
      <c r="I586" s="11"/>
      <c r="J586" s="11"/>
      <c r="K586" s="11">
        <f>(X586/$B586)+(X586/('Optimal Choice'!$B$4*AS586))</f>
        <v>81625.76354</v>
      </c>
      <c r="L586" s="11">
        <f>(Y586/$B586)+(Y586/('Optimal Choice'!$B$9*AT586))</f>
        <v>82818.50468</v>
      </c>
      <c r="M586" s="11">
        <f>(Z586/$B586)+(Z586/('Optimal Choice'!$B$14*AU586))</f>
        <v>82928.17625</v>
      </c>
      <c r="N586" s="11">
        <f>(AA586/$B586)+(AA586/('Optimal Choice'!$B$19*AV586))</f>
        <v>82940.35467</v>
      </c>
      <c r="O586" s="11">
        <f>(AB586/$B586)+(AB586/('Optimal Choice'!$B$24*AW586))</f>
        <v>79013.16199</v>
      </c>
      <c r="R586" s="12">
        <f t="shared" ref="R586:V586" si="596">if(min($K585:$O585)=K585,R585+1,R585)</f>
        <v>230</v>
      </c>
      <c r="S586" s="12">
        <f t="shared" si="596"/>
        <v>108</v>
      </c>
      <c r="T586" s="12">
        <f t="shared" si="596"/>
        <v>96</v>
      </c>
      <c r="U586" s="12">
        <f t="shared" si="596"/>
        <v>77</v>
      </c>
      <c r="V586" s="12">
        <f t="shared" si="596"/>
        <v>74</v>
      </c>
      <c r="X586" s="13">
        <f> 'Optimal Choice'!$B$5*'Optimal Choice'!$B$6^(R586+1)</f>
        <v>24530852.24</v>
      </c>
      <c r="Y586" s="13">
        <f> 'Optimal Choice'!$B$10*'Optimal Choice'!$B$11^(S586+1)</f>
        <v>247865366.9</v>
      </c>
      <c r="Z586" s="13">
        <f> 'Optimal Choice'!$B$15*'Optimal Choice'!$B$16^(T586+1)</f>
        <v>238288496</v>
      </c>
      <c r="AA586" s="13">
        <f> 'Optimal Choice'!$B$20*'Optimal Choice'!$B$21^(U586+1)</f>
        <v>119297772.4</v>
      </c>
      <c r="AB586" s="13">
        <f> 'Optimal Choice'!$B$25*'Optimal Choice'!$B$26^(V586+1)</f>
        <v>509385629.6</v>
      </c>
      <c r="AE586" s="12">
        <f t="shared" si="4"/>
        <v>180</v>
      </c>
      <c r="AF586" s="12">
        <f t="shared" si="5"/>
        <v>150</v>
      </c>
      <c r="AG586" s="12">
        <f t="shared" si="6"/>
        <v>32</v>
      </c>
      <c r="AH586" s="12">
        <f t="shared" si="7"/>
        <v>4</v>
      </c>
      <c r="AI586" s="12">
        <f t="shared" si="8"/>
        <v>3</v>
      </c>
      <c r="AL586" s="14">
        <f>R586*'Optimal Choice'!$B$4*AE586</f>
        <v>69138</v>
      </c>
      <c r="AM586" s="14">
        <f>S586*'Optimal Choice'!$B$9*AF586</f>
        <v>324000</v>
      </c>
      <c r="AN586" s="14">
        <f>T586*'Optimal Choice'!$B$14*AG586</f>
        <v>276480</v>
      </c>
      <c r="AO586" s="14">
        <f>U586*'Optimal Choice'!$B$19*AH586</f>
        <v>110880</v>
      </c>
      <c r="AP586" s="14">
        <f>V586*'Optimal Choice'!$B$24*AI586</f>
        <v>479520</v>
      </c>
      <c r="AS586" s="12">
        <f t="shared" si="9"/>
        <v>180</v>
      </c>
      <c r="AT586" s="12">
        <f t="shared" si="10"/>
        <v>150</v>
      </c>
      <c r="AU586" s="12">
        <f t="shared" si="11"/>
        <v>32</v>
      </c>
      <c r="AV586" s="12">
        <f t="shared" si="12"/>
        <v>4</v>
      </c>
      <c r="AW586" s="12">
        <f t="shared" si="13"/>
        <v>3</v>
      </c>
      <c r="AY586" s="11">
        <f t="shared" si="14"/>
        <v>0.3033223977</v>
      </c>
    </row>
    <row r="587" ht="15.75" customHeight="1">
      <c r="A587" s="15">
        <f t="shared" si="2"/>
        <v>174.1568584</v>
      </c>
      <c r="B587" s="7">
        <f>(sum(AL587:AP587))*'Optimal Choice'!$B$28</f>
        <v>1266498</v>
      </c>
      <c r="C587" s="11"/>
      <c r="D587" s="12"/>
      <c r="E587" s="12"/>
      <c r="F587" s="11"/>
      <c r="G587" s="11"/>
      <c r="H587" s="11"/>
      <c r="I587" s="11"/>
      <c r="J587" s="11"/>
      <c r="K587" s="11">
        <f>(X587/$B587)+(X587/('Optimal Choice'!$B$4*AS587))</f>
        <v>81625.66393</v>
      </c>
      <c r="L587" s="11">
        <f>(Y587/$B587)+(Y587/('Optimal Choice'!$B$9*AT587))</f>
        <v>82817.49819</v>
      </c>
      <c r="M587" s="11">
        <f>(Z587/$B587)+(Z587/('Optimal Choice'!$B$14*AU587))</f>
        <v>82927.20865</v>
      </c>
      <c r="N587" s="11">
        <f>(AA587/$B587)+(AA587/('Optimal Choice'!$B$19*AV587))</f>
        <v>82939.87024</v>
      </c>
      <c r="O587" s="11">
        <f>(AB587/$B587)+(AB587/('Optimal Choice'!$B$24*AW587))</f>
        <v>88492.42479</v>
      </c>
      <c r="R587" s="12">
        <f t="shared" ref="R587:V587" si="597">if(min($K586:$O586)=K586,R586+1,R586)</f>
        <v>230</v>
      </c>
      <c r="S587" s="12">
        <f t="shared" si="597"/>
        <v>108</v>
      </c>
      <c r="T587" s="12">
        <f t="shared" si="597"/>
        <v>96</v>
      </c>
      <c r="U587" s="12">
        <f t="shared" si="597"/>
        <v>77</v>
      </c>
      <c r="V587" s="12">
        <f t="shared" si="597"/>
        <v>75</v>
      </c>
      <c r="X587" s="13">
        <f> 'Optimal Choice'!$B$5*'Optimal Choice'!$B$6^(R587+1)</f>
        <v>24530852.24</v>
      </c>
      <c r="Y587" s="13">
        <f> 'Optimal Choice'!$B$10*'Optimal Choice'!$B$11^(S587+1)</f>
        <v>247865366.9</v>
      </c>
      <c r="Z587" s="13">
        <f> 'Optimal Choice'!$B$15*'Optimal Choice'!$B$16^(T587+1)</f>
        <v>238288496</v>
      </c>
      <c r="AA587" s="13">
        <f> 'Optimal Choice'!$B$20*'Optimal Choice'!$B$21^(U587+1)</f>
        <v>119297772.4</v>
      </c>
      <c r="AB587" s="13">
        <f> 'Optimal Choice'!$B$25*'Optimal Choice'!$B$26^(V587+1)</f>
        <v>570511905.1</v>
      </c>
      <c r="AE587" s="12">
        <f t="shared" si="4"/>
        <v>180</v>
      </c>
      <c r="AF587" s="12">
        <f t="shared" si="5"/>
        <v>150</v>
      </c>
      <c r="AG587" s="12">
        <f t="shared" si="6"/>
        <v>32</v>
      </c>
      <c r="AH587" s="12">
        <f t="shared" si="7"/>
        <v>4</v>
      </c>
      <c r="AI587" s="12">
        <f t="shared" si="8"/>
        <v>3</v>
      </c>
      <c r="AL587" s="14">
        <f>R587*'Optimal Choice'!$B$4*AE587</f>
        <v>69138</v>
      </c>
      <c r="AM587" s="14">
        <f>S587*'Optimal Choice'!$B$9*AF587</f>
        <v>324000</v>
      </c>
      <c r="AN587" s="14">
        <f>T587*'Optimal Choice'!$B$14*AG587</f>
        <v>276480</v>
      </c>
      <c r="AO587" s="14">
        <f>U587*'Optimal Choice'!$B$19*AH587</f>
        <v>110880</v>
      </c>
      <c r="AP587" s="14">
        <f>V587*'Optimal Choice'!$B$24*AI587</f>
        <v>486000</v>
      </c>
      <c r="AS587" s="12">
        <f t="shared" si="9"/>
        <v>180</v>
      </c>
      <c r="AT587" s="12">
        <f t="shared" si="10"/>
        <v>150</v>
      </c>
      <c r="AU587" s="12">
        <f t="shared" si="11"/>
        <v>32</v>
      </c>
      <c r="AV587" s="12">
        <f t="shared" si="12"/>
        <v>4</v>
      </c>
      <c r="AW587" s="12">
        <f t="shared" si="13"/>
        <v>3</v>
      </c>
      <c r="AY587" s="11">
        <f t="shared" si="14"/>
        <v>6.737808899</v>
      </c>
    </row>
    <row r="588" ht="15.75" customHeight="1">
      <c r="A588" s="15">
        <f t="shared" si="2"/>
        <v>174.4796758</v>
      </c>
      <c r="B588" s="7">
        <f>(sum(AL588:AP588))*'Optimal Choice'!$B$28</f>
        <v>1266798.6</v>
      </c>
      <c r="C588" s="11"/>
      <c r="D588" s="12"/>
      <c r="E588" s="12"/>
      <c r="F588" s="11"/>
      <c r="G588" s="11"/>
      <c r="H588" s="11"/>
      <c r="I588" s="11"/>
      <c r="J588" s="11"/>
      <c r="K588" s="11">
        <f>(X588/$B588)+(X588/('Optimal Choice'!$B$4*AS588))</f>
        <v>87339.45549</v>
      </c>
      <c r="L588" s="11">
        <f>(Y588/$B588)+(Y588/('Optimal Choice'!$B$9*AT588))</f>
        <v>82817.45175</v>
      </c>
      <c r="M588" s="11">
        <f>(Z588/$B588)+(Z588/('Optimal Choice'!$B$14*AU588))</f>
        <v>82927.164</v>
      </c>
      <c r="N588" s="11">
        <f>(AA588/$B588)+(AA588/('Optimal Choice'!$B$19*AV588))</f>
        <v>82939.84789</v>
      </c>
      <c r="O588" s="11">
        <f>(AB588/$B588)+(AB588/('Optimal Choice'!$B$24*AW588))</f>
        <v>88492.31789</v>
      </c>
      <c r="R588" s="12">
        <f t="shared" ref="R588:V588" si="598">if(min($K587:$O587)=K587,R587+1,R587)</f>
        <v>231</v>
      </c>
      <c r="S588" s="12">
        <f t="shared" si="598"/>
        <v>108</v>
      </c>
      <c r="T588" s="12">
        <f t="shared" si="598"/>
        <v>96</v>
      </c>
      <c r="U588" s="12">
        <f t="shared" si="598"/>
        <v>77</v>
      </c>
      <c r="V588" s="12">
        <f t="shared" si="598"/>
        <v>75</v>
      </c>
      <c r="X588" s="13">
        <f> 'Optimal Choice'!$B$5*'Optimal Choice'!$B$6^(R588+1)</f>
        <v>26248011.9</v>
      </c>
      <c r="Y588" s="13">
        <f> 'Optimal Choice'!$B$10*'Optimal Choice'!$B$11^(S588+1)</f>
        <v>247865366.9</v>
      </c>
      <c r="Z588" s="13">
        <f> 'Optimal Choice'!$B$15*'Optimal Choice'!$B$16^(T588+1)</f>
        <v>238288496</v>
      </c>
      <c r="AA588" s="13">
        <f> 'Optimal Choice'!$B$20*'Optimal Choice'!$B$21^(U588+1)</f>
        <v>119297772.4</v>
      </c>
      <c r="AB588" s="13">
        <f> 'Optimal Choice'!$B$25*'Optimal Choice'!$B$26^(V588+1)</f>
        <v>570511905.1</v>
      </c>
      <c r="AE588" s="12">
        <f t="shared" si="4"/>
        <v>180</v>
      </c>
      <c r="AF588" s="12">
        <f t="shared" si="5"/>
        <v>150</v>
      </c>
      <c r="AG588" s="12">
        <f t="shared" si="6"/>
        <v>32</v>
      </c>
      <c r="AH588" s="12">
        <f t="shared" si="7"/>
        <v>4</v>
      </c>
      <c r="AI588" s="12">
        <f t="shared" si="8"/>
        <v>3</v>
      </c>
      <c r="AL588" s="14">
        <f>R588*'Optimal Choice'!$B$4*AE588</f>
        <v>69438.6</v>
      </c>
      <c r="AM588" s="14">
        <f>S588*'Optimal Choice'!$B$9*AF588</f>
        <v>324000</v>
      </c>
      <c r="AN588" s="14">
        <f>T588*'Optimal Choice'!$B$14*AG588</f>
        <v>276480</v>
      </c>
      <c r="AO588" s="14">
        <f>U588*'Optimal Choice'!$B$19*AH588</f>
        <v>110880</v>
      </c>
      <c r="AP588" s="14">
        <f>V588*'Optimal Choice'!$B$24*AI588</f>
        <v>486000</v>
      </c>
      <c r="AS588" s="12">
        <f t="shared" si="9"/>
        <v>180</v>
      </c>
      <c r="AT588" s="12">
        <f t="shared" si="10"/>
        <v>150</v>
      </c>
      <c r="AU588" s="12">
        <f t="shared" si="11"/>
        <v>32</v>
      </c>
      <c r="AV588" s="12">
        <f t="shared" si="12"/>
        <v>4</v>
      </c>
      <c r="AW588" s="12">
        <f t="shared" si="13"/>
        <v>3</v>
      </c>
      <c r="AY588" s="11">
        <f t="shared" si="14"/>
        <v>0.3228173573</v>
      </c>
    </row>
    <row r="589" ht="15.75" customHeight="1">
      <c r="A589" s="15">
        <f t="shared" si="2"/>
        <v>177.7407225</v>
      </c>
      <c r="B589" s="7">
        <f>(sum(AL589:AP589))*'Optimal Choice'!$B$28</f>
        <v>1269798.6</v>
      </c>
      <c r="C589" s="11"/>
      <c r="D589" s="12"/>
      <c r="E589" s="12"/>
      <c r="F589" s="11"/>
      <c r="G589" s="11"/>
      <c r="H589" s="11"/>
      <c r="I589" s="11"/>
      <c r="J589" s="11"/>
      <c r="K589" s="11">
        <f>(X589/$B589)+(X589/('Optimal Choice'!$B$4*AS589))</f>
        <v>87339.40654</v>
      </c>
      <c r="L589" s="11">
        <f>(Y589/$B589)+(Y589/('Optimal Choice'!$B$9*AT589))</f>
        <v>95239.53791</v>
      </c>
      <c r="M589" s="11">
        <f>(Z589/$B589)+(Z589/('Optimal Choice'!$B$14*AU589))</f>
        <v>82926.71959</v>
      </c>
      <c r="N589" s="11">
        <f>(AA589/$B589)+(AA589/('Optimal Choice'!$B$19*AV589))</f>
        <v>82939.6254</v>
      </c>
      <c r="O589" s="11">
        <f>(AB589/$B589)+(AB589/('Optimal Choice'!$B$24*AW589))</f>
        <v>88491.25389</v>
      </c>
      <c r="R589" s="12">
        <f t="shared" ref="R589:V589" si="599">if(min($K588:$O588)=K588,R588+1,R588)</f>
        <v>231</v>
      </c>
      <c r="S589" s="12">
        <f t="shared" si="599"/>
        <v>109</v>
      </c>
      <c r="T589" s="12">
        <f t="shared" si="599"/>
        <v>96</v>
      </c>
      <c r="U589" s="12">
        <f t="shared" si="599"/>
        <v>77</v>
      </c>
      <c r="V589" s="12">
        <f t="shared" si="599"/>
        <v>75</v>
      </c>
      <c r="X589" s="13">
        <f> 'Optimal Choice'!$B$5*'Optimal Choice'!$B$6^(R589+1)</f>
        <v>26248011.9</v>
      </c>
      <c r="Y589" s="13">
        <f> 'Optimal Choice'!$B$10*'Optimal Choice'!$B$11^(S589+1)</f>
        <v>285045171.9</v>
      </c>
      <c r="Z589" s="13">
        <f> 'Optimal Choice'!$B$15*'Optimal Choice'!$B$16^(T589+1)</f>
        <v>238288496</v>
      </c>
      <c r="AA589" s="13">
        <f> 'Optimal Choice'!$B$20*'Optimal Choice'!$B$21^(U589+1)</f>
        <v>119297772.4</v>
      </c>
      <c r="AB589" s="13">
        <f> 'Optimal Choice'!$B$25*'Optimal Choice'!$B$26^(V589+1)</f>
        <v>570511905.1</v>
      </c>
      <c r="AE589" s="12">
        <f t="shared" si="4"/>
        <v>180</v>
      </c>
      <c r="AF589" s="12">
        <f t="shared" si="5"/>
        <v>150</v>
      </c>
      <c r="AG589" s="12">
        <f t="shared" si="6"/>
        <v>32</v>
      </c>
      <c r="AH589" s="12">
        <f t="shared" si="7"/>
        <v>4</v>
      </c>
      <c r="AI589" s="12">
        <f t="shared" si="8"/>
        <v>3</v>
      </c>
      <c r="AL589" s="14">
        <f>R589*'Optimal Choice'!$B$4*AE589</f>
        <v>69438.6</v>
      </c>
      <c r="AM589" s="14">
        <f>S589*'Optimal Choice'!$B$9*AF589</f>
        <v>327000</v>
      </c>
      <c r="AN589" s="14">
        <f>T589*'Optimal Choice'!$B$14*AG589</f>
        <v>276480</v>
      </c>
      <c r="AO589" s="14">
        <f>U589*'Optimal Choice'!$B$19*AH589</f>
        <v>110880</v>
      </c>
      <c r="AP589" s="14">
        <f>V589*'Optimal Choice'!$B$24*AI589</f>
        <v>486000</v>
      </c>
      <c r="AS589" s="12">
        <f t="shared" si="9"/>
        <v>180</v>
      </c>
      <c r="AT589" s="12">
        <f t="shared" si="10"/>
        <v>150</v>
      </c>
      <c r="AU589" s="12">
        <f t="shared" si="11"/>
        <v>32</v>
      </c>
      <c r="AV589" s="12">
        <f t="shared" si="12"/>
        <v>4</v>
      </c>
      <c r="AW589" s="12">
        <f t="shared" si="13"/>
        <v>3</v>
      </c>
      <c r="AY589" s="11">
        <f t="shared" si="14"/>
        <v>3.261046742</v>
      </c>
    </row>
    <row r="590" ht="15.75" customHeight="1">
      <c r="A590" s="15">
        <f t="shared" si="2"/>
        <v>180.8683641</v>
      </c>
      <c r="B590" s="7">
        <f>(sum(AL590:AP590))*'Optimal Choice'!$B$28</f>
        <v>1272678.6</v>
      </c>
      <c r="C590" s="11"/>
      <c r="D590" s="12"/>
      <c r="E590" s="12"/>
      <c r="F590" s="11"/>
      <c r="G590" s="11"/>
      <c r="H590" s="11"/>
      <c r="I590" s="11"/>
      <c r="J590" s="11"/>
      <c r="K590" s="11">
        <f>(X590/$B590)+(X590/('Optimal Choice'!$B$4*AS590))</f>
        <v>87339.35976</v>
      </c>
      <c r="L590" s="11">
        <f>(Y590/$B590)+(Y590/('Optimal Choice'!$B$9*AT590))</f>
        <v>95239.02992</v>
      </c>
      <c r="M590" s="11">
        <f>(Z590/$B590)+(Z590/('Optimal Choice'!$B$14*AU590))</f>
        <v>94535.97622</v>
      </c>
      <c r="N590" s="11">
        <f>(AA590/$B590)+(AA590/('Optimal Choice'!$B$19*AV590))</f>
        <v>82939.4128</v>
      </c>
      <c r="O590" s="11">
        <f>(AB590/$B590)+(AB590/('Optimal Choice'!$B$24*AW590))</f>
        <v>88490.23716</v>
      </c>
      <c r="R590" s="12">
        <f t="shared" ref="R590:V590" si="600">if(min($K589:$O589)=K589,R589+1,R589)</f>
        <v>231</v>
      </c>
      <c r="S590" s="12">
        <f t="shared" si="600"/>
        <v>109</v>
      </c>
      <c r="T590" s="12">
        <f t="shared" si="600"/>
        <v>97</v>
      </c>
      <c r="U590" s="12">
        <f t="shared" si="600"/>
        <v>77</v>
      </c>
      <c r="V590" s="12">
        <f t="shared" si="600"/>
        <v>75</v>
      </c>
      <c r="X590" s="13">
        <f> 'Optimal Choice'!$B$5*'Optimal Choice'!$B$6^(R590+1)</f>
        <v>26248011.9</v>
      </c>
      <c r="Y590" s="13">
        <f> 'Optimal Choice'!$B$10*'Optimal Choice'!$B$11^(S590+1)</f>
        <v>285045171.9</v>
      </c>
      <c r="Z590" s="13">
        <f> 'Optimal Choice'!$B$15*'Optimal Choice'!$B$16^(T590+1)</f>
        <v>271648885.4</v>
      </c>
      <c r="AA590" s="13">
        <f> 'Optimal Choice'!$B$20*'Optimal Choice'!$B$21^(U590+1)</f>
        <v>119297772.4</v>
      </c>
      <c r="AB590" s="13">
        <f> 'Optimal Choice'!$B$25*'Optimal Choice'!$B$26^(V590+1)</f>
        <v>570511905.1</v>
      </c>
      <c r="AE590" s="12">
        <f t="shared" si="4"/>
        <v>180</v>
      </c>
      <c r="AF590" s="12">
        <f t="shared" si="5"/>
        <v>150</v>
      </c>
      <c r="AG590" s="12">
        <f t="shared" si="6"/>
        <v>32</v>
      </c>
      <c r="AH590" s="12">
        <f t="shared" si="7"/>
        <v>4</v>
      </c>
      <c r="AI590" s="12">
        <f t="shared" si="8"/>
        <v>3</v>
      </c>
      <c r="AL590" s="14">
        <f>R590*'Optimal Choice'!$B$4*AE590</f>
        <v>69438.6</v>
      </c>
      <c r="AM590" s="14">
        <f>S590*'Optimal Choice'!$B$9*AF590</f>
        <v>327000</v>
      </c>
      <c r="AN590" s="14">
        <f>T590*'Optimal Choice'!$B$14*AG590</f>
        <v>279360</v>
      </c>
      <c r="AO590" s="14">
        <f>U590*'Optimal Choice'!$B$19*AH590</f>
        <v>110880</v>
      </c>
      <c r="AP590" s="14">
        <f>V590*'Optimal Choice'!$B$24*AI590</f>
        <v>486000</v>
      </c>
      <c r="AS590" s="12">
        <f t="shared" si="9"/>
        <v>180</v>
      </c>
      <c r="AT590" s="12">
        <f t="shared" si="10"/>
        <v>150</v>
      </c>
      <c r="AU590" s="12">
        <f t="shared" si="11"/>
        <v>32</v>
      </c>
      <c r="AV590" s="12">
        <f t="shared" si="12"/>
        <v>4</v>
      </c>
      <c r="AW590" s="12">
        <f t="shared" si="13"/>
        <v>3</v>
      </c>
      <c r="AY590" s="11">
        <f t="shared" si="14"/>
        <v>3.127641606</v>
      </c>
    </row>
    <row r="591" ht="15.75" customHeight="1">
      <c r="A591" s="15">
        <f t="shared" si="2"/>
        <v>182.4306566</v>
      </c>
      <c r="B591" s="7">
        <f>(sum(AL591:AP591))*'Optimal Choice'!$B$28</f>
        <v>1274118.6</v>
      </c>
      <c r="C591" s="11"/>
      <c r="D591" s="12"/>
      <c r="E591" s="12"/>
      <c r="F591" s="11"/>
      <c r="G591" s="11"/>
      <c r="H591" s="11"/>
      <c r="I591" s="11"/>
      <c r="J591" s="11"/>
      <c r="K591" s="11">
        <f>(X591/$B591)+(X591/('Optimal Choice'!$B$4*AS591))</f>
        <v>87339.33645</v>
      </c>
      <c r="L591" s="11">
        <f>(Y591/$B591)+(Y591/('Optimal Choice'!$B$9*AT591))</f>
        <v>95238.77679</v>
      </c>
      <c r="M591" s="11">
        <f>(Z591/$B591)+(Z591/('Optimal Choice'!$B$14*AU591))</f>
        <v>94535.73499</v>
      </c>
      <c r="N591" s="11">
        <f>(AA591/$B591)+(AA591/('Optimal Choice'!$B$19*AV591))</f>
        <v>93721.41675</v>
      </c>
      <c r="O591" s="11">
        <f>(AB591/$B591)+(AB591/('Optimal Choice'!$B$24*AW591))</f>
        <v>88489.73053</v>
      </c>
      <c r="R591" s="12">
        <f t="shared" ref="R591:V591" si="601">if(min($K590:$O590)=K590,R590+1,R590)</f>
        <v>231</v>
      </c>
      <c r="S591" s="12">
        <f t="shared" si="601"/>
        <v>109</v>
      </c>
      <c r="T591" s="12">
        <f t="shared" si="601"/>
        <v>97</v>
      </c>
      <c r="U591" s="12">
        <f t="shared" si="601"/>
        <v>78</v>
      </c>
      <c r="V591" s="12">
        <f t="shared" si="601"/>
        <v>75</v>
      </c>
      <c r="X591" s="13">
        <f> 'Optimal Choice'!$B$5*'Optimal Choice'!$B$6^(R591+1)</f>
        <v>26248011.9</v>
      </c>
      <c r="Y591" s="13">
        <f> 'Optimal Choice'!$B$10*'Optimal Choice'!$B$11^(S591+1)</f>
        <v>285045171.9</v>
      </c>
      <c r="Z591" s="13">
        <f> 'Optimal Choice'!$B$15*'Optimal Choice'!$B$16^(T591+1)</f>
        <v>271648885.4</v>
      </c>
      <c r="AA591" s="13">
        <f> 'Optimal Choice'!$B$20*'Optimal Choice'!$B$21^(U591+1)</f>
        <v>134806482.8</v>
      </c>
      <c r="AB591" s="13">
        <f> 'Optimal Choice'!$B$25*'Optimal Choice'!$B$26^(V591+1)</f>
        <v>570511905.1</v>
      </c>
      <c r="AE591" s="12">
        <f t="shared" si="4"/>
        <v>180</v>
      </c>
      <c r="AF591" s="12">
        <f t="shared" si="5"/>
        <v>150</v>
      </c>
      <c r="AG591" s="12">
        <f t="shared" si="6"/>
        <v>32</v>
      </c>
      <c r="AH591" s="12">
        <f t="shared" si="7"/>
        <v>4</v>
      </c>
      <c r="AI591" s="12">
        <f t="shared" si="8"/>
        <v>3</v>
      </c>
      <c r="AL591" s="14">
        <f>R591*'Optimal Choice'!$B$4*AE591</f>
        <v>69438.6</v>
      </c>
      <c r="AM591" s="14">
        <f>S591*'Optimal Choice'!$B$9*AF591</f>
        <v>327000</v>
      </c>
      <c r="AN591" s="14">
        <f>T591*'Optimal Choice'!$B$14*AG591</f>
        <v>279360</v>
      </c>
      <c r="AO591" s="14">
        <f>U591*'Optimal Choice'!$B$19*AH591</f>
        <v>112320</v>
      </c>
      <c r="AP591" s="14">
        <f>V591*'Optimal Choice'!$B$24*AI591</f>
        <v>486000</v>
      </c>
      <c r="AS591" s="12">
        <f t="shared" si="9"/>
        <v>180</v>
      </c>
      <c r="AT591" s="12">
        <f t="shared" si="10"/>
        <v>150</v>
      </c>
      <c r="AU591" s="12">
        <f t="shared" si="11"/>
        <v>32</v>
      </c>
      <c r="AV591" s="12">
        <f t="shared" si="12"/>
        <v>4</v>
      </c>
      <c r="AW591" s="12">
        <f t="shared" si="13"/>
        <v>3</v>
      </c>
      <c r="AY591" s="11">
        <f t="shared" si="14"/>
        <v>1.56229248</v>
      </c>
    </row>
    <row r="592" ht="15.75" customHeight="1">
      <c r="A592" s="15">
        <f t="shared" si="2"/>
        <v>182.7740052</v>
      </c>
      <c r="B592" s="7">
        <f>(sum(AL592:AP592))*'Optimal Choice'!$B$28</f>
        <v>1274419.2</v>
      </c>
      <c r="C592" s="11"/>
      <c r="D592" s="12"/>
      <c r="E592" s="12"/>
      <c r="F592" s="11"/>
      <c r="G592" s="11"/>
      <c r="H592" s="11"/>
      <c r="I592" s="11"/>
      <c r="J592" s="11"/>
      <c r="K592" s="11">
        <f>(X592/$B592)+(X592/('Optimal Choice'!$B$4*AS592))</f>
        <v>93453.0848</v>
      </c>
      <c r="L592" s="11">
        <f>(Y592/$B592)+(Y592/('Optimal Choice'!$B$9*AT592))</f>
        <v>95238.72402</v>
      </c>
      <c r="M592" s="11">
        <f>(Z592/$B592)+(Z592/('Optimal Choice'!$B$14*AU592))</f>
        <v>94535.6847</v>
      </c>
      <c r="N592" s="11">
        <f>(AA592/$B592)+(AA592/('Optimal Choice'!$B$19*AV592))</f>
        <v>93721.39179</v>
      </c>
      <c r="O592" s="11">
        <f>(AB592/$B592)+(AB592/('Optimal Choice'!$B$24*AW592))</f>
        <v>88489.62491</v>
      </c>
      <c r="R592" s="12">
        <f t="shared" ref="R592:V592" si="602">if(min($K591:$O591)=K591,R591+1,R591)</f>
        <v>232</v>
      </c>
      <c r="S592" s="12">
        <f t="shared" si="602"/>
        <v>109</v>
      </c>
      <c r="T592" s="12">
        <f t="shared" si="602"/>
        <v>97</v>
      </c>
      <c r="U592" s="12">
        <f t="shared" si="602"/>
        <v>78</v>
      </c>
      <c r="V592" s="12">
        <f t="shared" si="602"/>
        <v>75</v>
      </c>
      <c r="X592" s="13">
        <f> 'Optimal Choice'!$B$5*'Optimal Choice'!$B$6^(R592+1)</f>
        <v>28085372.73</v>
      </c>
      <c r="Y592" s="13">
        <f> 'Optimal Choice'!$B$10*'Optimal Choice'!$B$11^(S592+1)</f>
        <v>285045171.9</v>
      </c>
      <c r="Z592" s="13">
        <f> 'Optimal Choice'!$B$15*'Optimal Choice'!$B$16^(T592+1)</f>
        <v>271648885.4</v>
      </c>
      <c r="AA592" s="13">
        <f> 'Optimal Choice'!$B$20*'Optimal Choice'!$B$21^(U592+1)</f>
        <v>134806482.8</v>
      </c>
      <c r="AB592" s="13">
        <f> 'Optimal Choice'!$B$25*'Optimal Choice'!$B$26^(V592+1)</f>
        <v>570511905.1</v>
      </c>
      <c r="AE592" s="12">
        <f t="shared" si="4"/>
        <v>180</v>
      </c>
      <c r="AF592" s="12">
        <f t="shared" si="5"/>
        <v>150</v>
      </c>
      <c r="AG592" s="12">
        <f t="shared" si="6"/>
        <v>32</v>
      </c>
      <c r="AH592" s="12">
        <f t="shared" si="7"/>
        <v>4</v>
      </c>
      <c r="AI592" s="12">
        <f t="shared" si="8"/>
        <v>3</v>
      </c>
      <c r="AL592" s="14">
        <f>R592*'Optimal Choice'!$B$4*AE592</f>
        <v>69739.2</v>
      </c>
      <c r="AM592" s="14">
        <f>S592*'Optimal Choice'!$B$9*AF592</f>
        <v>327000</v>
      </c>
      <c r="AN592" s="14">
        <f>T592*'Optimal Choice'!$B$14*AG592</f>
        <v>279360</v>
      </c>
      <c r="AO592" s="14">
        <f>U592*'Optimal Choice'!$B$19*AH592</f>
        <v>112320</v>
      </c>
      <c r="AP592" s="14">
        <f>V592*'Optimal Choice'!$B$24*AI592</f>
        <v>486000</v>
      </c>
      <c r="AS592" s="12">
        <f t="shared" si="9"/>
        <v>180</v>
      </c>
      <c r="AT592" s="12">
        <f t="shared" si="10"/>
        <v>150</v>
      </c>
      <c r="AU592" s="12">
        <f t="shared" si="11"/>
        <v>32</v>
      </c>
      <c r="AV592" s="12">
        <f t="shared" si="12"/>
        <v>4</v>
      </c>
      <c r="AW592" s="12">
        <f t="shared" si="13"/>
        <v>3</v>
      </c>
      <c r="AY592" s="11">
        <f t="shared" si="14"/>
        <v>0.3433486216</v>
      </c>
    </row>
    <row r="593" ht="15.75" customHeight="1">
      <c r="A593" s="15">
        <f t="shared" si="2"/>
        <v>190.2350759</v>
      </c>
      <c r="B593" s="7">
        <f>(sum(AL593:AP593))*'Optimal Choice'!$B$28</f>
        <v>1280899.2</v>
      </c>
      <c r="C593" s="11"/>
      <c r="D593" s="12"/>
      <c r="E593" s="12"/>
      <c r="F593" s="11"/>
      <c r="G593" s="11"/>
      <c r="H593" s="11"/>
      <c r="I593" s="11"/>
      <c r="J593" s="11"/>
      <c r="K593" s="11">
        <f>(X593/$B593)+(X593/('Optimal Choice'!$B$4*AS593))</f>
        <v>93452.97332</v>
      </c>
      <c r="L593" s="11">
        <f>(Y593/$B593)+(Y593/('Optimal Choice'!$B$9*AT593))</f>
        <v>95237.5925</v>
      </c>
      <c r="M593" s="11">
        <f>(Z593/$B593)+(Z593/('Optimal Choice'!$B$14*AU593))</f>
        <v>94534.60636</v>
      </c>
      <c r="N593" s="11">
        <f>(AA593/$B593)+(AA593/('Optimal Choice'!$B$19*AV593))</f>
        <v>93720.85666</v>
      </c>
      <c r="O593" s="11">
        <f>(AB593/$B593)+(AB593/('Optimal Choice'!$B$24*AW593))</f>
        <v>99105.84342</v>
      </c>
      <c r="R593" s="12">
        <f t="shared" ref="R593:V593" si="603">if(min($K592:$O592)=K592,R592+1,R592)</f>
        <v>232</v>
      </c>
      <c r="S593" s="12">
        <f t="shared" si="603"/>
        <v>109</v>
      </c>
      <c r="T593" s="12">
        <f t="shared" si="603"/>
        <v>97</v>
      </c>
      <c r="U593" s="12">
        <f t="shared" si="603"/>
        <v>78</v>
      </c>
      <c r="V593" s="12">
        <f t="shared" si="603"/>
        <v>76</v>
      </c>
      <c r="X593" s="13">
        <f> 'Optimal Choice'!$B$5*'Optimal Choice'!$B$6^(R593+1)</f>
        <v>28085372.73</v>
      </c>
      <c r="Y593" s="13">
        <f> 'Optimal Choice'!$B$10*'Optimal Choice'!$B$11^(S593+1)</f>
        <v>285045171.9</v>
      </c>
      <c r="Z593" s="13">
        <f> 'Optimal Choice'!$B$15*'Optimal Choice'!$B$16^(T593+1)</f>
        <v>271648885.4</v>
      </c>
      <c r="AA593" s="13">
        <f> 'Optimal Choice'!$B$20*'Optimal Choice'!$B$21^(U593+1)</f>
        <v>134806482.8</v>
      </c>
      <c r="AB593" s="13">
        <f> 'Optimal Choice'!$B$25*'Optimal Choice'!$B$26^(V593+1)</f>
        <v>638973333.7</v>
      </c>
      <c r="AE593" s="12">
        <f t="shared" si="4"/>
        <v>180</v>
      </c>
      <c r="AF593" s="12">
        <f t="shared" si="5"/>
        <v>150</v>
      </c>
      <c r="AG593" s="12">
        <f t="shared" si="6"/>
        <v>32</v>
      </c>
      <c r="AH593" s="12">
        <f t="shared" si="7"/>
        <v>4</v>
      </c>
      <c r="AI593" s="12">
        <f t="shared" si="8"/>
        <v>3</v>
      </c>
      <c r="AL593" s="14">
        <f>R593*'Optimal Choice'!$B$4*AE593</f>
        <v>69739.2</v>
      </c>
      <c r="AM593" s="14">
        <f>S593*'Optimal Choice'!$B$9*AF593</f>
        <v>327000</v>
      </c>
      <c r="AN593" s="14">
        <f>T593*'Optimal Choice'!$B$14*AG593</f>
        <v>279360</v>
      </c>
      <c r="AO593" s="14">
        <f>U593*'Optimal Choice'!$B$19*AH593</f>
        <v>112320</v>
      </c>
      <c r="AP593" s="14">
        <f>V593*'Optimal Choice'!$B$24*AI593</f>
        <v>492480</v>
      </c>
      <c r="AS593" s="12">
        <f t="shared" si="9"/>
        <v>180</v>
      </c>
      <c r="AT593" s="12">
        <f t="shared" si="10"/>
        <v>150</v>
      </c>
      <c r="AU593" s="12">
        <f t="shared" si="11"/>
        <v>32</v>
      </c>
      <c r="AV593" s="12">
        <f t="shared" si="12"/>
        <v>4</v>
      </c>
      <c r="AW593" s="12">
        <f t="shared" si="13"/>
        <v>3</v>
      </c>
      <c r="AY593" s="11">
        <f t="shared" si="14"/>
        <v>7.461070699</v>
      </c>
    </row>
    <row r="594" ht="15.75" customHeight="1">
      <c r="A594" s="15">
        <f t="shared" si="2"/>
        <v>190.6005142</v>
      </c>
      <c r="B594" s="7">
        <f>(sum(AL594:AP594))*'Optimal Choice'!$B$28</f>
        <v>1281199.8</v>
      </c>
      <c r="C594" s="11"/>
      <c r="D594" s="12"/>
      <c r="E594" s="12"/>
      <c r="F594" s="11"/>
      <c r="G594" s="11"/>
      <c r="H594" s="11"/>
      <c r="I594" s="11"/>
      <c r="J594" s="11"/>
      <c r="K594" s="11">
        <f>(X594/$B594)+(X594/('Optimal Choice'!$B$4*AS594))</f>
        <v>99994.67594</v>
      </c>
      <c r="L594" s="11">
        <f>(Y594/$B594)+(Y594/('Optimal Choice'!$B$9*AT594))</f>
        <v>95237.54029</v>
      </c>
      <c r="M594" s="11">
        <f>(Z594/$B594)+(Z594/('Optimal Choice'!$B$14*AU594))</f>
        <v>94534.5566</v>
      </c>
      <c r="N594" s="11">
        <f>(AA594/$B594)+(AA594/('Optimal Choice'!$B$19*AV594))</f>
        <v>93720.83197</v>
      </c>
      <c r="O594" s="11">
        <f>(AB594/$B594)+(AB594/('Optimal Choice'!$B$24*AW594))</f>
        <v>99105.72638</v>
      </c>
      <c r="R594" s="12">
        <f t="shared" ref="R594:V594" si="604">if(min($K593:$O593)=K593,R593+1,R593)</f>
        <v>233</v>
      </c>
      <c r="S594" s="12">
        <f t="shared" si="604"/>
        <v>109</v>
      </c>
      <c r="T594" s="12">
        <f t="shared" si="604"/>
        <v>97</v>
      </c>
      <c r="U594" s="12">
        <f t="shared" si="604"/>
        <v>78</v>
      </c>
      <c r="V594" s="12">
        <f t="shared" si="604"/>
        <v>76</v>
      </c>
      <c r="X594" s="13">
        <f> 'Optimal Choice'!$B$5*'Optimal Choice'!$B$6^(R594+1)</f>
        <v>30051348.83</v>
      </c>
      <c r="Y594" s="13">
        <f> 'Optimal Choice'!$B$10*'Optimal Choice'!$B$11^(S594+1)</f>
        <v>285045171.9</v>
      </c>
      <c r="Z594" s="13">
        <f> 'Optimal Choice'!$B$15*'Optimal Choice'!$B$16^(T594+1)</f>
        <v>271648885.4</v>
      </c>
      <c r="AA594" s="13">
        <f> 'Optimal Choice'!$B$20*'Optimal Choice'!$B$21^(U594+1)</f>
        <v>134806482.8</v>
      </c>
      <c r="AB594" s="13">
        <f> 'Optimal Choice'!$B$25*'Optimal Choice'!$B$26^(V594+1)</f>
        <v>638973333.7</v>
      </c>
      <c r="AE594" s="12">
        <f t="shared" si="4"/>
        <v>180</v>
      </c>
      <c r="AF594" s="12">
        <f t="shared" si="5"/>
        <v>150</v>
      </c>
      <c r="AG594" s="12">
        <f t="shared" si="6"/>
        <v>32</v>
      </c>
      <c r="AH594" s="12">
        <f t="shared" si="7"/>
        <v>4</v>
      </c>
      <c r="AI594" s="12">
        <f t="shared" si="8"/>
        <v>3</v>
      </c>
      <c r="AL594" s="14">
        <f>R594*'Optimal Choice'!$B$4*AE594</f>
        <v>70039.8</v>
      </c>
      <c r="AM594" s="14">
        <f>S594*'Optimal Choice'!$B$9*AF594</f>
        <v>327000</v>
      </c>
      <c r="AN594" s="14">
        <f>T594*'Optimal Choice'!$B$14*AG594</f>
        <v>279360</v>
      </c>
      <c r="AO594" s="14">
        <f>U594*'Optimal Choice'!$B$19*AH594</f>
        <v>112320</v>
      </c>
      <c r="AP594" s="14">
        <f>V594*'Optimal Choice'!$B$24*AI594</f>
        <v>492480</v>
      </c>
      <c r="AS594" s="12">
        <f t="shared" si="9"/>
        <v>180</v>
      </c>
      <c r="AT594" s="12">
        <f t="shared" si="10"/>
        <v>150</v>
      </c>
      <c r="AU594" s="12">
        <f t="shared" si="11"/>
        <v>32</v>
      </c>
      <c r="AV594" s="12">
        <f t="shared" si="12"/>
        <v>4</v>
      </c>
      <c r="AW594" s="12">
        <f t="shared" si="13"/>
        <v>3</v>
      </c>
      <c r="AY594" s="11">
        <f t="shared" si="14"/>
        <v>0.3654382371</v>
      </c>
    </row>
    <row r="595" ht="15.75" customHeight="1">
      <c r="A595" s="15">
        <f t="shared" si="2"/>
        <v>192.3541631</v>
      </c>
      <c r="B595" s="7">
        <f>(sum(AL595:AP595))*'Optimal Choice'!$B$28</f>
        <v>1282639.8</v>
      </c>
      <c r="C595" s="11"/>
      <c r="D595" s="12"/>
      <c r="E595" s="12"/>
      <c r="F595" s="11"/>
      <c r="G595" s="11"/>
      <c r="H595" s="11"/>
      <c r="I595" s="11"/>
      <c r="J595" s="11"/>
      <c r="K595" s="11">
        <f>(X595/$B595)+(X595/('Optimal Choice'!$B$4*AS595))</f>
        <v>99994.64961</v>
      </c>
      <c r="L595" s="11">
        <f>(Y595/$B595)+(Y595/('Optimal Choice'!$B$9*AT595))</f>
        <v>95237.29051</v>
      </c>
      <c r="M595" s="11">
        <f>(Z595/$B595)+(Z595/('Optimal Choice'!$B$14*AU595))</f>
        <v>94534.31856</v>
      </c>
      <c r="N595" s="11">
        <f>(AA595/$B595)+(AA595/('Optimal Choice'!$B$19*AV595))</f>
        <v>105904.4066</v>
      </c>
      <c r="O595" s="11">
        <f>(AB595/$B595)+(AB595/('Optimal Choice'!$B$24*AW595))</f>
        <v>99105.16646</v>
      </c>
      <c r="R595" s="12">
        <f t="shared" ref="R595:V595" si="605">if(min($K594:$O594)=K594,R594+1,R594)</f>
        <v>233</v>
      </c>
      <c r="S595" s="12">
        <f t="shared" si="605"/>
        <v>109</v>
      </c>
      <c r="T595" s="12">
        <f t="shared" si="605"/>
        <v>97</v>
      </c>
      <c r="U595" s="12">
        <f t="shared" si="605"/>
        <v>79</v>
      </c>
      <c r="V595" s="12">
        <f t="shared" si="605"/>
        <v>76</v>
      </c>
      <c r="X595" s="13">
        <f> 'Optimal Choice'!$B$5*'Optimal Choice'!$B$6^(R595+1)</f>
        <v>30051348.83</v>
      </c>
      <c r="Y595" s="13">
        <f> 'Optimal Choice'!$B$10*'Optimal Choice'!$B$11^(S595+1)</f>
        <v>285045171.9</v>
      </c>
      <c r="Z595" s="13">
        <f> 'Optimal Choice'!$B$15*'Optimal Choice'!$B$16^(T595+1)</f>
        <v>271648885.4</v>
      </c>
      <c r="AA595" s="13">
        <f> 'Optimal Choice'!$B$20*'Optimal Choice'!$B$21^(U595+1)</f>
        <v>152331325.5</v>
      </c>
      <c r="AB595" s="13">
        <f> 'Optimal Choice'!$B$25*'Optimal Choice'!$B$26^(V595+1)</f>
        <v>638973333.7</v>
      </c>
      <c r="AE595" s="12">
        <f t="shared" si="4"/>
        <v>180</v>
      </c>
      <c r="AF595" s="12">
        <f t="shared" si="5"/>
        <v>150</v>
      </c>
      <c r="AG595" s="12">
        <f t="shared" si="6"/>
        <v>32</v>
      </c>
      <c r="AH595" s="12">
        <f t="shared" si="7"/>
        <v>4</v>
      </c>
      <c r="AI595" s="12">
        <f t="shared" si="8"/>
        <v>3</v>
      </c>
      <c r="AL595" s="14">
        <f>R595*'Optimal Choice'!$B$4*AE595</f>
        <v>70039.8</v>
      </c>
      <c r="AM595" s="14">
        <f>S595*'Optimal Choice'!$B$9*AF595</f>
        <v>327000</v>
      </c>
      <c r="AN595" s="14">
        <f>T595*'Optimal Choice'!$B$14*AG595</f>
        <v>279360</v>
      </c>
      <c r="AO595" s="14">
        <f>U595*'Optimal Choice'!$B$19*AH595</f>
        <v>113760</v>
      </c>
      <c r="AP595" s="14">
        <f>V595*'Optimal Choice'!$B$24*AI595</f>
        <v>492480</v>
      </c>
      <c r="AS595" s="12">
        <f t="shared" si="9"/>
        <v>180</v>
      </c>
      <c r="AT595" s="12">
        <f t="shared" si="10"/>
        <v>150</v>
      </c>
      <c r="AU595" s="12">
        <f t="shared" si="11"/>
        <v>32</v>
      </c>
      <c r="AV595" s="12">
        <f t="shared" si="12"/>
        <v>4</v>
      </c>
      <c r="AW595" s="12">
        <f t="shared" si="13"/>
        <v>3</v>
      </c>
      <c r="AY595" s="11">
        <f t="shared" si="14"/>
        <v>1.753648972</v>
      </c>
    </row>
    <row r="596" ht="15.75" customHeight="1">
      <c r="A596" s="15">
        <f t="shared" si="2"/>
        <v>195.8839783</v>
      </c>
      <c r="B596" s="7">
        <f>(sum(AL596:AP596))*'Optimal Choice'!$B$28</f>
        <v>1285519.8</v>
      </c>
      <c r="C596" s="11"/>
      <c r="D596" s="12"/>
      <c r="E596" s="12"/>
      <c r="F596" s="11"/>
      <c r="G596" s="11"/>
      <c r="H596" s="11"/>
      <c r="I596" s="11"/>
      <c r="J596" s="11"/>
      <c r="K596" s="11">
        <f>(X596/$B596)+(X596/('Optimal Choice'!$B$4*AS596))</f>
        <v>99994.59712</v>
      </c>
      <c r="L596" s="11">
        <f>(Y596/$B596)+(Y596/('Optimal Choice'!$B$9*AT596))</f>
        <v>95236.79263</v>
      </c>
      <c r="M596" s="11">
        <f>(Z596/$B596)+(Z596/('Optimal Choice'!$B$14*AU596))</f>
        <v>107768.5823</v>
      </c>
      <c r="N596" s="11">
        <f>(AA596/$B596)+(AA596/('Optimal Choice'!$B$19*AV596))</f>
        <v>105904.1406</v>
      </c>
      <c r="O596" s="11">
        <f>(AB596/$B596)+(AB596/('Optimal Choice'!$B$24*AW596))</f>
        <v>99104.05039</v>
      </c>
      <c r="R596" s="12">
        <f t="shared" ref="R596:V596" si="606">if(min($K595:$O595)=K595,R595+1,R595)</f>
        <v>233</v>
      </c>
      <c r="S596" s="12">
        <f t="shared" si="606"/>
        <v>109</v>
      </c>
      <c r="T596" s="12">
        <f t="shared" si="606"/>
        <v>98</v>
      </c>
      <c r="U596" s="12">
        <f t="shared" si="606"/>
        <v>79</v>
      </c>
      <c r="V596" s="12">
        <f t="shared" si="606"/>
        <v>76</v>
      </c>
      <c r="X596" s="13">
        <f> 'Optimal Choice'!$B$5*'Optimal Choice'!$B$6^(R596+1)</f>
        <v>30051348.83</v>
      </c>
      <c r="Y596" s="13">
        <f> 'Optimal Choice'!$B$10*'Optimal Choice'!$B$11^(S596+1)</f>
        <v>285045171.9</v>
      </c>
      <c r="Z596" s="13">
        <f> 'Optimal Choice'!$B$15*'Optimal Choice'!$B$16^(T596+1)</f>
        <v>309679729.3</v>
      </c>
      <c r="AA596" s="13">
        <f> 'Optimal Choice'!$B$20*'Optimal Choice'!$B$21^(U596+1)</f>
        <v>152331325.5</v>
      </c>
      <c r="AB596" s="13">
        <f> 'Optimal Choice'!$B$25*'Optimal Choice'!$B$26^(V596+1)</f>
        <v>638973333.7</v>
      </c>
      <c r="AE596" s="12">
        <f t="shared" si="4"/>
        <v>180</v>
      </c>
      <c r="AF596" s="12">
        <f t="shared" si="5"/>
        <v>150</v>
      </c>
      <c r="AG596" s="12">
        <f t="shared" si="6"/>
        <v>32</v>
      </c>
      <c r="AH596" s="12">
        <f t="shared" si="7"/>
        <v>4</v>
      </c>
      <c r="AI596" s="12">
        <f t="shared" si="8"/>
        <v>3</v>
      </c>
      <c r="AL596" s="14">
        <f>R596*'Optimal Choice'!$B$4*AE596</f>
        <v>70039.8</v>
      </c>
      <c r="AM596" s="14">
        <f>S596*'Optimal Choice'!$B$9*AF596</f>
        <v>327000</v>
      </c>
      <c r="AN596" s="14">
        <f>T596*'Optimal Choice'!$B$14*AG596</f>
        <v>282240</v>
      </c>
      <c r="AO596" s="14">
        <f>U596*'Optimal Choice'!$B$19*AH596</f>
        <v>113760</v>
      </c>
      <c r="AP596" s="14">
        <f>V596*'Optimal Choice'!$B$24*AI596</f>
        <v>492480</v>
      </c>
      <c r="AS596" s="12">
        <f t="shared" si="9"/>
        <v>180</v>
      </c>
      <c r="AT596" s="12">
        <f t="shared" si="10"/>
        <v>150</v>
      </c>
      <c r="AU596" s="12">
        <f t="shared" si="11"/>
        <v>32</v>
      </c>
      <c r="AV596" s="12">
        <f t="shared" si="12"/>
        <v>4</v>
      </c>
      <c r="AW596" s="12">
        <f t="shared" si="13"/>
        <v>3</v>
      </c>
      <c r="AY596" s="11">
        <f t="shared" si="14"/>
        <v>3.52981517</v>
      </c>
    </row>
    <row r="597" ht="15.75" customHeight="1">
      <c r="A597" s="15">
        <f t="shared" si="2"/>
        <v>199.5795673</v>
      </c>
      <c r="B597" s="7">
        <f>(sum(AL597:AP597))*'Optimal Choice'!$B$28</f>
        <v>1288519.8</v>
      </c>
      <c r="C597" s="11"/>
      <c r="D597" s="12"/>
      <c r="E597" s="12"/>
      <c r="F597" s="11"/>
      <c r="G597" s="11"/>
      <c r="H597" s="11"/>
      <c r="I597" s="11"/>
      <c r="J597" s="11"/>
      <c r="K597" s="11">
        <f>(X597/$B597)+(X597/('Optimal Choice'!$B$4*AS597))</f>
        <v>99994.54269</v>
      </c>
      <c r="L597" s="11">
        <f>(Y597/$B597)+(Y597/('Optimal Choice'!$B$9*AT597))</f>
        <v>109521.7178</v>
      </c>
      <c r="M597" s="11">
        <f>(Z597/$B597)+(Z597/('Optimal Choice'!$B$14*AU597))</f>
        <v>107768.0214</v>
      </c>
      <c r="N597" s="11">
        <f>(AA597/$B597)+(AA597/('Optimal Choice'!$B$19*AV597))</f>
        <v>105903.8647</v>
      </c>
      <c r="O597" s="11">
        <f>(AB597/$B597)+(AB597/('Optimal Choice'!$B$24*AW597))</f>
        <v>99102.89313</v>
      </c>
      <c r="R597" s="12">
        <f t="shared" ref="R597:V597" si="607">if(min($K596:$O596)=K596,R596+1,R596)</f>
        <v>233</v>
      </c>
      <c r="S597" s="12">
        <f t="shared" si="607"/>
        <v>110</v>
      </c>
      <c r="T597" s="12">
        <f t="shared" si="607"/>
        <v>98</v>
      </c>
      <c r="U597" s="12">
        <f t="shared" si="607"/>
        <v>79</v>
      </c>
      <c r="V597" s="12">
        <f t="shared" si="607"/>
        <v>76</v>
      </c>
      <c r="X597" s="13">
        <f> 'Optimal Choice'!$B$5*'Optimal Choice'!$B$6^(R597+1)</f>
        <v>30051348.83</v>
      </c>
      <c r="Y597" s="13">
        <f> 'Optimal Choice'!$B$10*'Optimal Choice'!$B$11^(S597+1)</f>
        <v>327801947.7</v>
      </c>
      <c r="Z597" s="13">
        <f> 'Optimal Choice'!$B$15*'Optimal Choice'!$B$16^(T597+1)</f>
        <v>309679729.3</v>
      </c>
      <c r="AA597" s="13">
        <f> 'Optimal Choice'!$B$20*'Optimal Choice'!$B$21^(U597+1)</f>
        <v>152331325.5</v>
      </c>
      <c r="AB597" s="13">
        <f> 'Optimal Choice'!$B$25*'Optimal Choice'!$B$26^(V597+1)</f>
        <v>638973333.7</v>
      </c>
      <c r="AE597" s="12">
        <f t="shared" si="4"/>
        <v>180</v>
      </c>
      <c r="AF597" s="12">
        <f t="shared" si="5"/>
        <v>150</v>
      </c>
      <c r="AG597" s="12">
        <f t="shared" si="6"/>
        <v>32</v>
      </c>
      <c r="AH597" s="12">
        <f t="shared" si="7"/>
        <v>4</v>
      </c>
      <c r="AI597" s="12">
        <f t="shared" si="8"/>
        <v>3</v>
      </c>
      <c r="AL597" s="14">
        <f>R597*'Optimal Choice'!$B$4*AE597</f>
        <v>70039.8</v>
      </c>
      <c r="AM597" s="14">
        <f>S597*'Optimal Choice'!$B$9*AF597</f>
        <v>330000</v>
      </c>
      <c r="AN597" s="14">
        <f>T597*'Optimal Choice'!$B$14*AG597</f>
        <v>282240</v>
      </c>
      <c r="AO597" s="14">
        <f>U597*'Optimal Choice'!$B$19*AH597</f>
        <v>113760</v>
      </c>
      <c r="AP597" s="14">
        <f>V597*'Optimal Choice'!$B$24*AI597</f>
        <v>492480</v>
      </c>
      <c r="AS597" s="12">
        <f t="shared" si="9"/>
        <v>180</v>
      </c>
      <c r="AT597" s="12">
        <f t="shared" si="10"/>
        <v>150</v>
      </c>
      <c r="AU597" s="12">
        <f t="shared" si="11"/>
        <v>32</v>
      </c>
      <c r="AV597" s="12">
        <f t="shared" si="12"/>
        <v>4</v>
      </c>
      <c r="AW597" s="12">
        <f t="shared" si="13"/>
        <v>3</v>
      </c>
      <c r="AY597" s="11">
        <f t="shared" si="14"/>
        <v>3.695589025</v>
      </c>
    </row>
    <row r="598" ht="15.75" customHeight="1">
      <c r="A598" s="15">
        <f t="shared" si="2"/>
        <v>207.8445203</v>
      </c>
      <c r="B598" s="7">
        <f>(sum(AL598:AP598))*'Optimal Choice'!$B$28</f>
        <v>1294999.8</v>
      </c>
      <c r="C598" s="11"/>
      <c r="D598" s="12"/>
      <c r="E598" s="12"/>
      <c r="F598" s="11"/>
      <c r="G598" s="11"/>
      <c r="H598" s="11"/>
      <c r="I598" s="11"/>
      <c r="J598" s="11"/>
      <c r="K598" s="11">
        <f>(X598/$B598)+(X598/('Optimal Choice'!$B$4*AS598))</f>
        <v>99994.42599</v>
      </c>
      <c r="L598" s="11">
        <f>(Y598/$B598)+(Y598/('Optimal Choice'!$B$9*AT598))</f>
        <v>109520.4448</v>
      </c>
      <c r="M598" s="11">
        <f>(Z598/$B598)+(Z598/('Optimal Choice'!$B$14*AU598))</f>
        <v>107766.8188</v>
      </c>
      <c r="N598" s="11">
        <f>(AA598/$B598)+(AA598/('Optimal Choice'!$B$19*AV598))</f>
        <v>105903.2731</v>
      </c>
      <c r="O598" s="11">
        <f>(AB598/$B598)+(AB598/('Optimal Choice'!$B$24*AW598))</f>
        <v>110992.4611</v>
      </c>
      <c r="R598" s="12">
        <f t="shared" ref="R598:V598" si="608">if(min($K597:$O597)=K597,R597+1,R597)</f>
        <v>233</v>
      </c>
      <c r="S598" s="12">
        <f t="shared" si="608"/>
        <v>110</v>
      </c>
      <c r="T598" s="12">
        <f t="shared" si="608"/>
        <v>98</v>
      </c>
      <c r="U598" s="12">
        <f t="shared" si="608"/>
        <v>79</v>
      </c>
      <c r="V598" s="12">
        <f t="shared" si="608"/>
        <v>77</v>
      </c>
      <c r="X598" s="13">
        <f> 'Optimal Choice'!$B$5*'Optimal Choice'!$B$6^(R598+1)</f>
        <v>30051348.83</v>
      </c>
      <c r="Y598" s="13">
        <f> 'Optimal Choice'!$B$10*'Optimal Choice'!$B$11^(S598+1)</f>
        <v>327801947.7</v>
      </c>
      <c r="Z598" s="13">
        <f> 'Optimal Choice'!$B$15*'Optimal Choice'!$B$16^(T598+1)</f>
        <v>309679729.3</v>
      </c>
      <c r="AA598" s="13">
        <f> 'Optimal Choice'!$B$20*'Optimal Choice'!$B$21^(U598+1)</f>
        <v>152331325.5</v>
      </c>
      <c r="AB598" s="13">
        <f> 'Optimal Choice'!$B$25*'Optimal Choice'!$B$26^(V598+1)</f>
        <v>715650133.8</v>
      </c>
      <c r="AE598" s="12">
        <f t="shared" si="4"/>
        <v>180</v>
      </c>
      <c r="AF598" s="12">
        <f t="shared" si="5"/>
        <v>150</v>
      </c>
      <c r="AG598" s="12">
        <f t="shared" si="6"/>
        <v>32</v>
      </c>
      <c r="AH598" s="12">
        <f t="shared" si="7"/>
        <v>4</v>
      </c>
      <c r="AI598" s="12">
        <f t="shared" si="8"/>
        <v>3</v>
      </c>
      <c r="AL598" s="14">
        <f>R598*'Optimal Choice'!$B$4*AE598</f>
        <v>70039.8</v>
      </c>
      <c r="AM598" s="14">
        <f>S598*'Optimal Choice'!$B$9*AF598</f>
        <v>330000</v>
      </c>
      <c r="AN598" s="14">
        <f>T598*'Optimal Choice'!$B$14*AG598</f>
        <v>282240</v>
      </c>
      <c r="AO598" s="14">
        <f>U598*'Optimal Choice'!$B$19*AH598</f>
        <v>113760</v>
      </c>
      <c r="AP598" s="14">
        <f>V598*'Optimal Choice'!$B$24*AI598</f>
        <v>498960</v>
      </c>
      <c r="AS598" s="12">
        <f t="shared" si="9"/>
        <v>180</v>
      </c>
      <c r="AT598" s="12">
        <f t="shared" si="10"/>
        <v>150</v>
      </c>
      <c r="AU598" s="12">
        <f t="shared" si="11"/>
        <v>32</v>
      </c>
      <c r="AV598" s="12">
        <f t="shared" si="12"/>
        <v>4</v>
      </c>
      <c r="AW598" s="12">
        <f t="shared" si="13"/>
        <v>3</v>
      </c>
      <c r="AY598" s="11">
        <f t="shared" si="14"/>
        <v>8.264952981</v>
      </c>
    </row>
    <row r="599" ht="15.75" customHeight="1">
      <c r="A599" s="15">
        <f t="shared" si="2"/>
        <v>208.2312816</v>
      </c>
      <c r="B599" s="7">
        <f>(sum(AL599:AP599))*'Optimal Choice'!$B$28</f>
        <v>1295300.4</v>
      </c>
      <c r="C599" s="11"/>
      <c r="D599" s="12"/>
      <c r="E599" s="12"/>
      <c r="F599" s="11"/>
      <c r="G599" s="11"/>
      <c r="H599" s="11"/>
      <c r="I599" s="11"/>
      <c r="J599" s="11"/>
      <c r="K599" s="11">
        <f>(X599/$B599)+(X599/('Optimal Choice'!$B$4*AS599))</f>
        <v>106994.03</v>
      </c>
      <c r="L599" s="11">
        <f>(Y599/$B599)+(Y599/('Optimal Choice'!$B$9*AT599))</f>
        <v>109520.3861</v>
      </c>
      <c r="M599" s="11">
        <f>(Z599/$B599)+(Z599/('Optimal Choice'!$B$14*AU599))</f>
        <v>107766.7633</v>
      </c>
      <c r="N599" s="11">
        <f>(AA599/$B599)+(AA599/('Optimal Choice'!$B$19*AV599))</f>
        <v>105903.2458</v>
      </c>
      <c r="O599" s="11">
        <f>(AB599/$B599)+(AB599/('Optimal Choice'!$B$24*AW599))</f>
        <v>110992.3329</v>
      </c>
      <c r="R599" s="12">
        <f t="shared" ref="R599:V599" si="609">if(min($K598:$O598)=K598,R598+1,R598)</f>
        <v>234</v>
      </c>
      <c r="S599" s="12">
        <f t="shared" si="609"/>
        <v>110</v>
      </c>
      <c r="T599" s="12">
        <f t="shared" si="609"/>
        <v>98</v>
      </c>
      <c r="U599" s="12">
        <f t="shared" si="609"/>
        <v>79</v>
      </c>
      <c r="V599" s="12">
        <f t="shared" si="609"/>
        <v>77</v>
      </c>
      <c r="X599" s="13">
        <f> 'Optimal Choice'!$B$5*'Optimal Choice'!$B$6^(R599+1)</f>
        <v>32154943.24</v>
      </c>
      <c r="Y599" s="13">
        <f> 'Optimal Choice'!$B$10*'Optimal Choice'!$B$11^(S599+1)</f>
        <v>327801947.7</v>
      </c>
      <c r="Z599" s="13">
        <f> 'Optimal Choice'!$B$15*'Optimal Choice'!$B$16^(T599+1)</f>
        <v>309679729.3</v>
      </c>
      <c r="AA599" s="13">
        <f> 'Optimal Choice'!$B$20*'Optimal Choice'!$B$21^(U599+1)</f>
        <v>152331325.5</v>
      </c>
      <c r="AB599" s="13">
        <f> 'Optimal Choice'!$B$25*'Optimal Choice'!$B$26^(V599+1)</f>
        <v>715650133.8</v>
      </c>
      <c r="AE599" s="12">
        <f t="shared" si="4"/>
        <v>180</v>
      </c>
      <c r="AF599" s="12">
        <f t="shared" si="5"/>
        <v>150</v>
      </c>
      <c r="AG599" s="12">
        <f t="shared" si="6"/>
        <v>32</v>
      </c>
      <c r="AH599" s="12">
        <f t="shared" si="7"/>
        <v>4</v>
      </c>
      <c r="AI599" s="12">
        <f t="shared" si="8"/>
        <v>3</v>
      </c>
      <c r="AL599" s="14">
        <f>R599*'Optimal Choice'!$B$4*AE599</f>
        <v>70340.4</v>
      </c>
      <c r="AM599" s="14">
        <f>S599*'Optimal Choice'!$B$9*AF599</f>
        <v>330000</v>
      </c>
      <c r="AN599" s="14">
        <f>T599*'Optimal Choice'!$B$14*AG599</f>
        <v>282240</v>
      </c>
      <c r="AO599" s="14">
        <f>U599*'Optimal Choice'!$B$19*AH599</f>
        <v>113760</v>
      </c>
      <c r="AP599" s="14">
        <f>V599*'Optimal Choice'!$B$24*AI599</f>
        <v>498960</v>
      </c>
      <c r="AS599" s="12">
        <f t="shared" si="9"/>
        <v>180</v>
      </c>
      <c r="AT599" s="12">
        <f t="shared" si="10"/>
        <v>150</v>
      </c>
      <c r="AU599" s="12">
        <f t="shared" si="11"/>
        <v>32</v>
      </c>
      <c r="AV599" s="12">
        <f t="shared" si="12"/>
        <v>4</v>
      </c>
      <c r="AW599" s="12">
        <f t="shared" si="13"/>
        <v>3</v>
      </c>
      <c r="AY599" s="11">
        <f t="shared" si="14"/>
        <v>0.3867613059</v>
      </c>
    </row>
    <row r="600" ht="15.75" customHeight="1">
      <c r="A600" s="15">
        <f t="shared" si="2"/>
        <v>210.1913331</v>
      </c>
      <c r="B600" s="7">
        <f>(sum(AL600:AP600))*'Optimal Choice'!$B$28</f>
        <v>1296740.4</v>
      </c>
      <c r="C600" s="11"/>
      <c r="D600" s="12"/>
      <c r="E600" s="12"/>
      <c r="F600" s="11"/>
      <c r="G600" s="11"/>
      <c r="H600" s="11"/>
      <c r="I600" s="11"/>
      <c r="J600" s="11"/>
      <c r="K600" s="11">
        <f>(X600/$B600)+(X600/('Optimal Choice'!$B$4*AS600))</f>
        <v>106994.0025</v>
      </c>
      <c r="L600" s="11">
        <f>(Y600/$B600)+(Y600/('Optimal Choice'!$B$9*AT600))</f>
        <v>109520.1051</v>
      </c>
      <c r="M600" s="11">
        <f>(Z600/$B600)+(Z600/('Optimal Choice'!$B$14*AU600))</f>
        <v>107766.4978</v>
      </c>
      <c r="N600" s="11">
        <f>(AA600/$B600)+(AA600/('Optimal Choice'!$B$19*AV600))</f>
        <v>119670.5202</v>
      </c>
      <c r="O600" s="11">
        <f>(AB600/$B600)+(AB600/('Optimal Choice'!$B$24*AW600))</f>
        <v>110991.7193</v>
      </c>
      <c r="R600" s="12">
        <f t="shared" ref="R600:V600" si="610">if(min($K599:$O599)=K599,R599+1,R599)</f>
        <v>234</v>
      </c>
      <c r="S600" s="12">
        <f t="shared" si="610"/>
        <v>110</v>
      </c>
      <c r="T600" s="12">
        <f t="shared" si="610"/>
        <v>98</v>
      </c>
      <c r="U600" s="12">
        <f t="shared" si="610"/>
        <v>80</v>
      </c>
      <c r="V600" s="12">
        <f t="shared" si="610"/>
        <v>77</v>
      </c>
      <c r="X600" s="13">
        <f> 'Optimal Choice'!$B$5*'Optimal Choice'!$B$6^(R600+1)</f>
        <v>32154943.24</v>
      </c>
      <c r="Y600" s="13">
        <f> 'Optimal Choice'!$B$10*'Optimal Choice'!$B$11^(S600+1)</f>
        <v>327801947.7</v>
      </c>
      <c r="Z600" s="13">
        <f> 'Optimal Choice'!$B$15*'Optimal Choice'!$B$16^(T600+1)</f>
        <v>309679729.3</v>
      </c>
      <c r="AA600" s="13">
        <f> 'Optimal Choice'!$B$20*'Optimal Choice'!$B$21^(U600+1)</f>
        <v>172134397.8</v>
      </c>
      <c r="AB600" s="13">
        <f> 'Optimal Choice'!$B$25*'Optimal Choice'!$B$26^(V600+1)</f>
        <v>715650133.8</v>
      </c>
      <c r="AE600" s="12">
        <f t="shared" si="4"/>
        <v>180</v>
      </c>
      <c r="AF600" s="12">
        <f t="shared" si="5"/>
        <v>150</v>
      </c>
      <c r="AG600" s="12">
        <f t="shared" si="6"/>
        <v>32</v>
      </c>
      <c r="AH600" s="12">
        <f t="shared" si="7"/>
        <v>4</v>
      </c>
      <c r="AI600" s="12">
        <f t="shared" si="8"/>
        <v>3</v>
      </c>
      <c r="AL600" s="14">
        <f>R600*'Optimal Choice'!$B$4*AE600</f>
        <v>70340.4</v>
      </c>
      <c r="AM600" s="14">
        <f>S600*'Optimal Choice'!$B$9*AF600</f>
        <v>330000</v>
      </c>
      <c r="AN600" s="14">
        <f>T600*'Optimal Choice'!$B$14*AG600</f>
        <v>282240</v>
      </c>
      <c r="AO600" s="14">
        <f>U600*'Optimal Choice'!$B$19*AH600</f>
        <v>115200</v>
      </c>
      <c r="AP600" s="14">
        <f>V600*'Optimal Choice'!$B$24*AI600</f>
        <v>498960</v>
      </c>
      <c r="AS600" s="12">
        <f t="shared" si="9"/>
        <v>180</v>
      </c>
      <c r="AT600" s="12">
        <f t="shared" si="10"/>
        <v>150</v>
      </c>
      <c r="AU600" s="12">
        <f t="shared" si="11"/>
        <v>32</v>
      </c>
      <c r="AV600" s="12">
        <f t="shared" si="12"/>
        <v>4</v>
      </c>
      <c r="AW600" s="12">
        <f t="shared" si="13"/>
        <v>3</v>
      </c>
      <c r="AY600" s="11">
        <f t="shared" si="14"/>
        <v>1.960051449</v>
      </c>
    </row>
    <row r="601" ht="15.75" customHeight="1">
      <c r="A601" s="15"/>
      <c r="B601" s="7"/>
      <c r="C601" s="11"/>
      <c r="D601" s="12"/>
      <c r="E601" s="12"/>
      <c r="F601" s="11"/>
      <c r="G601" s="11"/>
      <c r="H601" s="11"/>
      <c r="I601" s="11"/>
      <c r="J601" s="11"/>
      <c r="K601" s="11"/>
      <c r="L601" s="11"/>
      <c r="M601" s="11"/>
      <c r="N601" s="11"/>
      <c r="O601" s="11"/>
      <c r="R601" s="12"/>
      <c r="S601" s="12"/>
      <c r="T601" s="12"/>
      <c r="U601" s="12"/>
      <c r="V601" s="12"/>
      <c r="X601" s="13"/>
      <c r="Y601" s="13"/>
      <c r="Z601" s="13"/>
      <c r="AA601" s="13"/>
      <c r="AB601" s="13"/>
    </row>
    <row r="602" ht="15.75" customHeight="1">
      <c r="A602" s="15"/>
      <c r="B602" s="7"/>
      <c r="C602" s="11"/>
      <c r="D602" s="12"/>
      <c r="E602" s="12"/>
      <c r="F602" s="11"/>
      <c r="G602" s="11"/>
      <c r="H602" s="11"/>
      <c r="I602" s="11"/>
      <c r="J602" s="11"/>
      <c r="K602" s="11"/>
      <c r="L602" s="11"/>
      <c r="M602" s="11"/>
      <c r="N602" s="11"/>
      <c r="O602" s="11"/>
      <c r="R602" s="12"/>
      <c r="S602" s="12"/>
      <c r="T602" s="12"/>
      <c r="U602" s="12"/>
      <c r="V602" s="12"/>
      <c r="X602" s="13"/>
      <c r="Y602" s="13"/>
      <c r="Z602" s="13"/>
      <c r="AA602" s="13"/>
      <c r="AB602" s="13"/>
    </row>
    <row r="603" ht="15.75" customHeight="1">
      <c r="A603" s="15"/>
      <c r="B603" s="7"/>
      <c r="C603" s="11"/>
      <c r="D603" s="12"/>
      <c r="E603" s="12"/>
      <c r="F603" s="11"/>
      <c r="G603" s="11"/>
      <c r="H603" s="11"/>
      <c r="I603" s="11"/>
      <c r="J603" s="11"/>
      <c r="K603" s="11"/>
      <c r="L603" s="11"/>
      <c r="M603" s="11"/>
      <c r="N603" s="11"/>
      <c r="O603" s="11"/>
      <c r="R603" s="12"/>
      <c r="S603" s="12"/>
      <c r="T603" s="12"/>
      <c r="U603" s="12"/>
      <c r="V603" s="12"/>
      <c r="X603" s="13"/>
      <c r="Y603" s="13"/>
      <c r="Z603" s="13"/>
      <c r="AA603" s="13"/>
      <c r="AB603" s="13"/>
    </row>
    <row r="604" ht="15.75" customHeight="1">
      <c r="A604" s="15"/>
      <c r="B604" s="7"/>
      <c r="C604" s="11"/>
      <c r="D604" s="12"/>
      <c r="E604" s="12"/>
      <c r="F604" s="11"/>
      <c r="G604" s="11"/>
      <c r="H604" s="11"/>
      <c r="I604" s="11"/>
      <c r="J604" s="11"/>
      <c r="K604" s="11"/>
      <c r="L604" s="11"/>
      <c r="M604" s="11"/>
      <c r="N604" s="11"/>
      <c r="O604" s="11"/>
      <c r="R604" s="12"/>
      <c r="S604" s="12"/>
      <c r="T604" s="12"/>
      <c r="U604" s="12"/>
      <c r="V604" s="12"/>
      <c r="X604" s="13"/>
      <c r="Y604" s="13"/>
      <c r="Z604" s="13"/>
      <c r="AA604" s="13"/>
      <c r="AB604" s="13"/>
    </row>
    <row r="605" ht="15.75" customHeight="1">
      <c r="A605" s="15"/>
      <c r="B605" s="7"/>
      <c r="C605" s="11"/>
      <c r="D605" s="12"/>
      <c r="E605" s="12"/>
      <c r="F605" s="11"/>
      <c r="G605" s="11"/>
      <c r="H605" s="11"/>
      <c r="I605" s="11"/>
      <c r="J605" s="11"/>
      <c r="K605" s="11"/>
      <c r="L605" s="11"/>
      <c r="M605" s="11"/>
      <c r="N605" s="11"/>
      <c r="O605" s="11"/>
      <c r="R605" s="12"/>
      <c r="S605" s="12"/>
      <c r="T605" s="12"/>
      <c r="U605" s="12"/>
      <c r="V605" s="12"/>
      <c r="X605" s="13"/>
      <c r="Y605" s="13"/>
      <c r="Z605" s="13"/>
      <c r="AA605" s="13"/>
      <c r="AB605" s="13"/>
    </row>
    <row r="606" ht="15.75" customHeight="1">
      <c r="A606" s="15"/>
      <c r="B606" s="7"/>
      <c r="C606" s="11"/>
      <c r="D606" s="12"/>
      <c r="E606" s="12"/>
      <c r="F606" s="11"/>
      <c r="G606" s="11"/>
      <c r="H606" s="11"/>
      <c r="I606" s="11"/>
      <c r="J606" s="11"/>
      <c r="K606" s="11"/>
      <c r="L606" s="11"/>
      <c r="M606" s="11"/>
      <c r="N606" s="11"/>
      <c r="O606" s="11"/>
      <c r="R606" s="12"/>
      <c r="S606" s="12"/>
      <c r="T606" s="12"/>
      <c r="U606" s="12"/>
      <c r="V606" s="12"/>
      <c r="X606" s="13"/>
      <c r="Y606" s="13"/>
      <c r="Z606" s="13"/>
      <c r="AA606" s="13"/>
      <c r="AB606" s="13"/>
    </row>
    <row r="607" ht="15.75" customHeight="1">
      <c r="A607" s="15"/>
      <c r="B607" s="7"/>
      <c r="C607" s="11"/>
      <c r="D607" s="12"/>
      <c r="E607" s="12"/>
      <c r="F607" s="11"/>
      <c r="G607" s="11"/>
      <c r="H607" s="11"/>
      <c r="I607" s="11"/>
      <c r="J607" s="11"/>
      <c r="K607" s="11"/>
      <c r="L607" s="11"/>
      <c r="M607" s="11"/>
      <c r="N607" s="11"/>
      <c r="O607" s="11"/>
      <c r="R607" s="12"/>
      <c r="S607" s="12"/>
      <c r="T607" s="12"/>
      <c r="U607" s="12"/>
      <c r="V607" s="12"/>
      <c r="X607" s="13"/>
      <c r="Y607" s="13"/>
      <c r="Z607" s="13"/>
      <c r="AA607" s="13"/>
      <c r="AB607" s="13"/>
    </row>
    <row r="608" ht="15.75" customHeight="1">
      <c r="A608" s="15"/>
      <c r="B608" s="7"/>
      <c r="C608" s="11"/>
      <c r="D608" s="12"/>
      <c r="E608" s="12"/>
      <c r="F608" s="11"/>
      <c r="G608" s="11"/>
      <c r="H608" s="11"/>
      <c r="I608" s="11"/>
      <c r="J608" s="11"/>
      <c r="K608" s="11"/>
      <c r="L608" s="11"/>
      <c r="M608" s="11"/>
      <c r="N608" s="11"/>
      <c r="O608" s="11"/>
      <c r="R608" s="12"/>
      <c r="S608" s="12"/>
      <c r="T608" s="12"/>
      <c r="U608" s="12"/>
      <c r="V608" s="12"/>
      <c r="X608" s="13"/>
      <c r="Y608" s="13"/>
      <c r="Z608" s="13"/>
      <c r="AA608" s="13"/>
      <c r="AB608" s="13"/>
    </row>
    <row r="609" ht="15.75" customHeight="1">
      <c r="A609" s="15"/>
      <c r="B609" s="7"/>
      <c r="C609" s="11"/>
      <c r="D609" s="12"/>
      <c r="E609" s="12"/>
      <c r="F609" s="11"/>
      <c r="G609" s="11"/>
      <c r="H609" s="11"/>
      <c r="I609" s="11"/>
      <c r="J609" s="11"/>
      <c r="K609" s="11"/>
      <c r="L609" s="11"/>
      <c r="M609" s="11"/>
      <c r="N609" s="11"/>
      <c r="O609" s="11"/>
      <c r="R609" s="12"/>
      <c r="S609" s="12"/>
      <c r="T609" s="12"/>
      <c r="U609" s="12"/>
      <c r="V609" s="12"/>
      <c r="X609" s="13"/>
      <c r="Y609" s="13"/>
      <c r="Z609" s="13"/>
      <c r="AA609" s="13"/>
      <c r="AB609" s="13"/>
    </row>
    <row r="610" ht="15.75" customHeight="1">
      <c r="A610" s="15"/>
      <c r="B610" s="7"/>
      <c r="C610" s="11"/>
      <c r="D610" s="12"/>
      <c r="E610" s="12"/>
      <c r="F610" s="11"/>
      <c r="G610" s="11"/>
      <c r="H610" s="11"/>
      <c r="I610" s="11"/>
      <c r="J610" s="11"/>
      <c r="K610" s="11"/>
      <c r="L610" s="11"/>
      <c r="M610" s="11"/>
      <c r="N610" s="11"/>
      <c r="O610" s="11"/>
      <c r="R610" s="12"/>
      <c r="S610" s="12"/>
      <c r="T610" s="12"/>
      <c r="U610" s="12"/>
      <c r="V610" s="12"/>
      <c r="X610" s="13"/>
      <c r="Y610" s="13"/>
      <c r="Z610" s="13"/>
      <c r="AA610" s="13"/>
      <c r="AB610" s="13"/>
    </row>
    <row r="611" ht="15.75" customHeight="1">
      <c r="A611" s="15"/>
      <c r="B611" s="7"/>
      <c r="C611" s="11"/>
      <c r="D611" s="12"/>
      <c r="E611" s="12"/>
      <c r="F611" s="11"/>
      <c r="G611" s="11"/>
      <c r="H611" s="11"/>
      <c r="I611" s="11"/>
      <c r="J611" s="11"/>
      <c r="K611" s="11"/>
      <c r="L611" s="11"/>
      <c r="M611" s="11"/>
      <c r="N611" s="11"/>
      <c r="O611" s="11"/>
      <c r="R611" s="12"/>
      <c r="S611" s="12"/>
      <c r="T611" s="12"/>
      <c r="U611" s="12"/>
      <c r="V611" s="12"/>
      <c r="X611" s="13"/>
      <c r="Y611" s="13"/>
      <c r="Z611" s="13"/>
      <c r="AA611" s="13"/>
      <c r="AB611" s="13"/>
    </row>
    <row r="612" ht="15.75" customHeight="1">
      <c r="A612" s="15"/>
      <c r="B612" s="7"/>
      <c r="C612" s="11"/>
      <c r="D612" s="12"/>
      <c r="E612" s="12"/>
      <c r="F612" s="11"/>
      <c r="G612" s="11"/>
      <c r="H612" s="11"/>
      <c r="I612" s="11"/>
      <c r="J612" s="11"/>
      <c r="K612" s="11"/>
      <c r="L612" s="11"/>
      <c r="M612" s="11"/>
      <c r="N612" s="11"/>
      <c r="O612" s="11"/>
      <c r="R612" s="12"/>
      <c r="S612" s="12"/>
      <c r="T612" s="12"/>
      <c r="U612" s="12"/>
      <c r="V612" s="12"/>
      <c r="X612" s="13"/>
      <c r="Y612" s="13"/>
      <c r="Z612" s="13"/>
      <c r="AA612" s="13"/>
      <c r="AB612" s="13"/>
    </row>
    <row r="613" ht="15.75" customHeight="1">
      <c r="A613" s="15"/>
      <c r="B613" s="7"/>
      <c r="C613" s="11"/>
      <c r="D613" s="12"/>
      <c r="E613" s="12"/>
      <c r="F613" s="11"/>
      <c r="G613" s="11"/>
      <c r="H613" s="11"/>
      <c r="I613" s="11"/>
      <c r="J613" s="11"/>
      <c r="K613" s="11"/>
      <c r="L613" s="11"/>
      <c r="M613" s="11"/>
      <c r="N613" s="11"/>
      <c r="O613" s="11"/>
      <c r="R613" s="12"/>
      <c r="S613" s="12"/>
      <c r="T613" s="12"/>
      <c r="U613" s="12"/>
      <c r="V613" s="12"/>
      <c r="X613" s="13"/>
      <c r="Y613" s="13"/>
      <c r="Z613" s="13"/>
      <c r="AA613" s="13"/>
      <c r="AB613" s="13"/>
    </row>
    <row r="614" ht="15.75" customHeight="1">
      <c r="A614" s="15"/>
      <c r="B614" s="7"/>
      <c r="C614" s="11"/>
      <c r="D614" s="12"/>
      <c r="E614" s="12"/>
      <c r="F614" s="11"/>
      <c r="G614" s="11"/>
      <c r="H614" s="11"/>
      <c r="I614" s="11"/>
      <c r="J614" s="11"/>
      <c r="K614" s="11"/>
      <c r="L614" s="11"/>
      <c r="M614" s="11"/>
      <c r="N614" s="11"/>
      <c r="O614" s="11"/>
      <c r="R614" s="12"/>
      <c r="S614" s="12"/>
      <c r="T614" s="12"/>
      <c r="U614" s="12"/>
      <c r="V614" s="12"/>
      <c r="X614" s="13"/>
      <c r="Y614" s="13"/>
      <c r="Z614" s="13"/>
      <c r="AA614" s="13"/>
      <c r="AB614" s="13"/>
    </row>
    <row r="615" ht="15.75" customHeight="1">
      <c r="A615" s="15"/>
      <c r="B615" s="7"/>
      <c r="C615" s="11"/>
      <c r="D615" s="12"/>
      <c r="E615" s="12"/>
      <c r="F615" s="11"/>
      <c r="G615" s="11"/>
      <c r="H615" s="11"/>
      <c r="I615" s="11"/>
      <c r="J615" s="11"/>
      <c r="K615" s="11"/>
      <c r="L615" s="11"/>
      <c r="M615" s="11"/>
      <c r="N615" s="11"/>
      <c r="O615" s="11"/>
      <c r="R615" s="12"/>
      <c r="S615" s="12"/>
      <c r="T615" s="12"/>
      <c r="U615" s="12"/>
      <c r="V615" s="12"/>
      <c r="X615" s="13"/>
      <c r="Y615" s="13"/>
      <c r="Z615" s="13"/>
      <c r="AA615" s="13"/>
      <c r="AB615" s="13"/>
    </row>
    <row r="616" ht="15.75" customHeight="1">
      <c r="A616" s="15"/>
      <c r="B616" s="7"/>
      <c r="C616" s="11"/>
      <c r="D616" s="12"/>
      <c r="E616" s="12"/>
      <c r="F616" s="11"/>
      <c r="G616" s="11"/>
      <c r="H616" s="11"/>
      <c r="I616" s="11"/>
      <c r="J616" s="11"/>
      <c r="K616" s="11"/>
      <c r="L616" s="11"/>
      <c r="M616" s="11"/>
      <c r="N616" s="11"/>
      <c r="O616" s="11"/>
      <c r="R616" s="12"/>
      <c r="S616" s="12"/>
      <c r="T616" s="12"/>
      <c r="U616" s="12"/>
      <c r="V616" s="12"/>
      <c r="X616" s="13"/>
      <c r="Y616" s="13"/>
      <c r="Z616" s="13"/>
      <c r="AA616" s="13"/>
      <c r="AB616" s="13"/>
    </row>
    <row r="617" ht="15.75" customHeight="1">
      <c r="A617" s="15"/>
      <c r="B617" s="7"/>
      <c r="C617" s="11"/>
      <c r="D617" s="12"/>
      <c r="E617" s="12"/>
      <c r="F617" s="11"/>
      <c r="G617" s="11"/>
      <c r="H617" s="11"/>
      <c r="I617" s="11"/>
      <c r="J617" s="11"/>
      <c r="K617" s="11"/>
      <c r="L617" s="11"/>
      <c r="M617" s="11"/>
      <c r="N617" s="11"/>
      <c r="O617" s="11"/>
      <c r="R617" s="12"/>
      <c r="S617" s="12"/>
      <c r="T617" s="12"/>
      <c r="U617" s="12"/>
      <c r="V617" s="12"/>
      <c r="X617" s="13"/>
      <c r="Y617" s="13"/>
      <c r="Z617" s="13"/>
      <c r="AA617" s="13"/>
      <c r="AB617" s="13"/>
    </row>
    <row r="618" ht="15.75" customHeight="1">
      <c r="A618" s="15"/>
      <c r="B618" s="7"/>
      <c r="C618" s="11"/>
      <c r="D618" s="12"/>
      <c r="E618" s="12"/>
      <c r="F618" s="11"/>
      <c r="G618" s="11"/>
      <c r="H618" s="11"/>
      <c r="I618" s="11"/>
      <c r="J618" s="11"/>
      <c r="K618" s="11"/>
      <c r="L618" s="11"/>
      <c r="M618" s="11"/>
      <c r="N618" s="11"/>
      <c r="O618" s="11"/>
      <c r="R618" s="12"/>
      <c r="S618" s="12"/>
      <c r="T618" s="12"/>
      <c r="U618" s="12"/>
      <c r="V618" s="12"/>
      <c r="X618" s="13"/>
      <c r="Y618" s="13"/>
      <c r="Z618" s="13"/>
      <c r="AA618" s="13"/>
      <c r="AB618" s="13"/>
    </row>
    <row r="619" ht="15.75" customHeight="1">
      <c r="A619" s="15"/>
      <c r="B619" s="7"/>
      <c r="C619" s="11"/>
      <c r="D619" s="12"/>
      <c r="E619" s="12"/>
      <c r="F619" s="11"/>
      <c r="G619" s="11"/>
      <c r="H619" s="11"/>
      <c r="I619" s="11"/>
      <c r="J619" s="11"/>
      <c r="K619" s="11"/>
      <c r="L619" s="11"/>
      <c r="M619" s="11"/>
      <c r="N619" s="11"/>
      <c r="O619" s="11"/>
      <c r="R619" s="12"/>
      <c r="S619" s="12"/>
      <c r="T619" s="12"/>
      <c r="U619" s="12"/>
      <c r="V619" s="12"/>
      <c r="X619" s="13"/>
      <c r="Y619" s="13"/>
      <c r="Z619" s="13"/>
      <c r="AA619" s="13"/>
      <c r="AB619" s="13"/>
    </row>
    <row r="620" ht="15.75" customHeight="1">
      <c r="A620" s="15"/>
      <c r="B620" s="7"/>
      <c r="C620" s="11"/>
      <c r="D620" s="12"/>
      <c r="E620" s="12"/>
      <c r="F620" s="11"/>
      <c r="G620" s="11"/>
      <c r="H620" s="11"/>
      <c r="I620" s="11"/>
      <c r="J620" s="11"/>
      <c r="K620" s="11"/>
      <c r="L620" s="11"/>
      <c r="M620" s="11"/>
      <c r="N620" s="11"/>
      <c r="O620" s="11"/>
      <c r="R620" s="12"/>
      <c r="S620" s="12"/>
      <c r="T620" s="12"/>
      <c r="U620" s="12"/>
      <c r="V620" s="12"/>
      <c r="X620" s="13"/>
      <c r="Y620" s="13"/>
      <c r="Z620" s="13"/>
      <c r="AA620" s="13"/>
      <c r="AB620" s="13"/>
    </row>
    <row r="621" ht="15.75" customHeight="1">
      <c r="A621" s="15"/>
      <c r="B621" s="7"/>
      <c r="C621" s="11"/>
      <c r="D621" s="12"/>
      <c r="E621" s="12"/>
      <c r="F621" s="11"/>
      <c r="G621" s="11"/>
      <c r="H621" s="11"/>
      <c r="I621" s="11"/>
      <c r="J621" s="11"/>
      <c r="K621" s="11"/>
      <c r="L621" s="11"/>
      <c r="M621" s="11"/>
      <c r="N621" s="11"/>
      <c r="O621" s="11"/>
      <c r="R621" s="12"/>
      <c r="S621" s="12"/>
      <c r="T621" s="12"/>
      <c r="U621" s="12"/>
      <c r="V621" s="12"/>
      <c r="X621" s="13"/>
      <c r="Y621" s="13"/>
      <c r="Z621" s="13"/>
      <c r="AA621" s="13"/>
      <c r="AB621" s="13"/>
    </row>
    <row r="622" ht="15.75" customHeight="1">
      <c r="A622" s="15"/>
      <c r="B622" s="7"/>
      <c r="C622" s="11"/>
      <c r="D622" s="12"/>
      <c r="E622" s="12"/>
      <c r="F622" s="11"/>
      <c r="G622" s="11"/>
      <c r="H622" s="11"/>
      <c r="I622" s="11"/>
      <c r="J622" s="11"/>
      <c r="K622" s="11"/>
      <c r="L622" s="11"/>
      <c r="M622" s="11"/>
      <c r="N622" s="11"/>
      <c r="O622" s="11"/>
      <c r="R622" s="12"/>
      <c r="S622" s="12"/>
      <c r="T622" s="12"/>
      <c r="U622" s="12"/>
      <c r="V622" s="12"/>
      <c r="X622" s="13"/>
      <c r="Y622" s="13"/>
      <c r="Z622" s="13"/>
      <c r="AA622" s="13"/>
      <c r="AB622" s="13"/>
    </row>
    <row r="623" ht="15.75" customHeight="1">
      <c r="A623" s="15"/>
      <c r="B623" s="7"/>
      <c r="C623" s="11"/>
      <c r="D623" s="12"/>
      <c r="E623" s="12"/>
      <c r="F623" s="11"/>
      <c r="G623" s="11"/>
      <c r="H623" s="11"/>
      <c r="I623" s="11"/>
      <c r="J623" s="11"/>
      <c r="K623" s="11"/>
      <c r="L623" s="11"/>
      <c r="M623" s="11"/>
      <c r="N623" s="11"/>
      <c r="O623" s="11"/>
      <c r="R623" s="12"/>
      <c r="S623" s="12"/>
      <c r="T623" s="12"/>
      <c r="U623" s="12"/>
      <c r="V623" s="12"/>
      <c r="X623" s="13"/>
      <c r="Y623" s="13"/>
      <c r="Z623" s="13"/>
      <c r="AA623" s="13"/>
      <c r="AB623" s="13"/>
    </row>
    <row r="624" ht="15.75" customHeight="1">
      <c r="A624" s="15"/>
      <c r="B624" s="7"/>
      <c r="C624" s="11"/>
      <c r="D624" s="12"/>
      <c r="E624" s="12"/>
      <c r="F624" s="11"/>
      <c r="G624" s="11"/>
      <c r="H624" s="11"/>
      <c r="I624" s="11"/>
      <c r="J624" s="11"/>
      <c r="K624" s="11"/>
      <c r="L624" s="11"/>
      <c r="M624" s="11"/>
      <c r="N624" s="11"/>
      <c r="O624" s="11"/>
      <c r="R624" s="12"/>
      <c r="S624" s="12"/>
      <c r="T624" s="12"/>
      <c r="U624" s="12"/>
      <c r="V624" s="12"/>
      <c r="X624" s="13"/>
      <c r="Y624" s="13"/>
      <c r="Z624" s="13"/>
      <c r="AA624" s="13"/>
      <c r="AB624" s="13"/>
    </row>
    <row r="625" ht="15.75" customHeight="1">
      <c r="A625" s="15"/>
      <c r="B625" s="7"/>
      <c r="C625" s="11"/>
      <c r="D625" s="12"/>
      <c r="E625" s="12"/>
      <c r="F625" s="11"/>
      <c r="G625" s="11"/>
      <c r="H625" s="11"/>
      <c r="I625" s="11"/>
      <c r="J625" s="11"/>
      <c r="K625" s="11"/>
      <c r="L625" s="11"/>
      <c r="M625" s="11"/>
      <c r="N625" s="11"/>
      <c r="O625" s="11"/>
      <c r="R625" s="12"/>
      <c r="S625" s="12"/>
      <c r="T625" s="12"/>
      <c r="U625" s="12"/>
      <c r="V625" s="12"/>
      <c r="X625" s="13"/>
      <c r="Y625" s="13"/>
      <c r="Z625" s="13"/>
      <c r="AA625" s="13"/>
      <c r="AB625" s="13"/>
    </row>
    <row r="626" ht="15.75" customHeight="1">
      <c r="A626" s="15"/>
      <c r="B626" s="7"/>
      <c r="C626" s="11"/>
      <c r="D626" s="12"/>
      <c r="E626" s="12"/>
      <c r="F626" s="11"/>
      <c r="G626" s="11"/>
      <c r="H626" s="11"/>
      <c r="I626" s="11"/>
      <c r="J626" s="11"/>
      <c r="K626" s="11"/>
      <c r="L626" s="11"/>
      <c r="M626" s="11"/>
      <c r="N626" s="11"/>
      <c r="O626" s="11"/>
      <c r="R626" s="12"/>
      <c r="S626" s="12"/>
      <c r="T626" s="12"/>
      <c r="U626" s="12"/>
      <c r="V626" s="12"/>
      <c r="X626" s="13"/>
      <c r="Y626" s="13"/>
      <c r="Z626" s="13"/>
      <c r="AA626" s="13"/>
      <c r="AB626" s="13"/>
    </row>
    <row r="627" ht="15.75" customHeight="1">
      <c r="A627" s="15"/>
      <c r="B627" s="7"/>
      <c r="C627" s="11"/>
      <c r="D627" s="12"/>
      <c r="E627" s="12"/>
      <c r="F627" s="11"/>
      <c r="G627" s="11"/>
      <c r="H627" s="11"/>
      <c r="I627" s="11"/>
      <c r="J627" s="11"/>
      <c r="K627" s="11"/>
      <c r="L627" s="11"/>
      <c r="M627" s="11"/>
      <c r="N627" s="11"/>
      <c r="O627" s="11"/>
      <c r="R627" s="12"/>
      <c r="S627" s="12"/>
      <c r="T627" s="12"/>
      <c r="U627" s="12"/>
      <c r="V627" s="12"/>
      <c r="X627" s="13"/>
      <c r="Y627" s="13"/>
      <c r="Z627" s="13"/>
      <c r="AA627" s="13"/>
      <c r="AB627" s="13"/>
    </row>
    <row r="628" ht="15.75" customHeight="1">
      <c r="A628" s="15"/>
      <c r="B628" s="7"/>
      <c r="C628" s="11"/>
      <c r="D628" s="12"/>
      <c r="E628" s="12"/>
      <c r="F628" s="11"/>
      <c r="G628" s="11"/>
      <c r="H628" s="11"/>
      <c r="I628" s="11"/>
      <c r="J628" s="11"/>
      <c r="K628" s="11"/>
      <c r="L628" s="11"/>
      <c r="M628" s="11"/>
      <c r="N628" s="11"/>
      <c r="O628" s="11"/>
      <c r="R628" s="12"/>
      <c r="S628" s="12"/>
      <c r="T628" s="12"/>
      <c r="U628" s="12"/>
      <c r="V628" s="12"/>
      <c r="X628" s="13"/>
      <c r="Y628" s="13"/>
      <c r="Z628" s="13"/>
      <c r="AA628" s="13"/>
      <c r="AB628" s="13"/>
    </row>
    <row r="629" ht="15.75" customHeight="1">
      <c r="A629" s="15"/>
      <c r="B629" s="7"/>
      <c r="C629" s="11"/>
      <c r="D629" s="12"/>
      <c r="E629" s="12"/>
      <c r="F629" s="11"/>
      <c r="G629" s="11"/>
      <c r="H629" s="11"/>
      <c r="I629" s="11"/>
      <c r="J629" s="11"/>
      <c r="K629" s="11"/>
      <c r="L629" s="11"/>
      <c r="M629" s="11"/>
      <c r="N629" s="11"/>
      <c r="O629" s="11"/>
      <c r="R629" s="12"/>
      <c r="S629" s="12"/>
      <c r="T629" s="12"/>
      <c r="U629" s="12"/>
      <c r="V629" s="12"/>
      <c r="X629" s="13"/>
      <c r="Y629" s="13"/>
      <c r="Z629" s="13"/>
      <c r="AA629" s="13"/>
      <c r="AB629" s="13"/>
    </row>
    <row r="630" ht="15.75" customHeight="1">
      <c r="A630" s="15"/>
      <c r="B630" s="7"/>
      <c r="C630" s="11"/>
      <c r="D630" s="12"/>
      <c r="E630" s="12"/>
      <c r="F630" s="11"/>
      <c r="G630" s="11"/>
      <c r="H630" s="11"/>
      <c r="I630" s="11"/>
      <c r="J630" s="11"/>
      <c r="K630" s="11"/>
      <c r="L630" s="11"/>
      <c r="M630" s="11"/>
      <c r="N630" s="11"/>
      <c r="O630" s="11"/>
      <c r="R630" s="12"/>
      <c r="S630" s="12"/>
      <c r="T630" s="12"/>
      <c r="U630" s="12"/>
      <c r="V630" s="12"/>
      <c r="X630" s="13"/>
      <c r="Y630" s="13"/>
      <c r="Z630" s="13"/>
      <c r="AA630" s="13"/>
      <c r="AB630" s="13"/>
    </row>
    <row r="631" ht="15.75" customHeight="1">
      <c r="A631" s="15"/>
      <c r="B631" s="7"/>
      <c r="C631" s="11"/>
      <c r="D631" s="12"/>
      <c r="E631" s="12"/>
      <c r="F631" s="11"/>
      <c r="G631" s="11"/>
      <c r="H631" s="11"/>
      <c r="I631" s="11"/>
      <c r="J631" s="11"/>
      <c r="K631" s="11"/>
      <c r="L631" s="11"/>
      <c r="M631" s="11"/>
      <c r="N631" s="11"/>
      <c r="O631" s="11"/>
      <c r="R631" s="12"/>
      <c r="S631" s="12"/>
      <c r="T631" s="12"/>
      <c r="U631" s="12"/>
      <c r="V631" s="12"/>
      <c r="X631" s="13"/>
      <c r="Y631" s="13"/>
      <c r="Z631" s="13"/>
      <c r="AA631" s="13"/>
      <c r="AB631" s="13"/>
    </row>
    <row r="632" ht="15.75" customHeight="1">
      <c r="A632" s="15"/>
      <c r="B632" s="7"/>
      <c r="C632" s="11"/>
      <c r="D632" s="12"/>
      <c r="E632" s="12"/>
      <c r="F632" s="11"/>
      <c r="G632" s="11"/>
      <c r="H632" s="11"/>
      <c r="I632" s="11"/>
      <c r="J632" s="11"/>
      <c r="K632" s="11"/>
      <c r="L632" s="11"/>
      <c r="M632" s="11"/>
      <c r="N632" s="11"/>
      <c r="O632" s="11"/>
      <c r="R632" s="12"/>
      <c r="S632" s="12"/>
      <c r="T632" s="12"/>
      <c r="U632" s="12"/>
      <c r="V632" s="12"/>
      <c r="X632" s="13"/>
      <c r="Y632" s="13"/>
      <c r="Z632" s="13"/>
      <c r="AA632" s="13"/>
      <c r="AB632" s="13"/>
    </row>
    <row r="633" ht="15.75" customHeight="1">
      <c r="A633" s="15"/>
      <c r="B633" s="7"/>
      <c r="C633" s="11"/>
      <c r="D633" s="12"/>
      <c r="E633" s="12"/>
      <c r="F633" s="11"/>
      <c r="G633" s="11"/>
      <c r="H633" s="11"/>
      <c r="I633" s="11"/>
      <c r="J633" s="11"/>
      <c r="K633" s="11"/>
      <c r="L633" s="11"/>
      <c r="M633" s="11"/>
      <c r="N633" s="11"/>
      <c r="O633" s="11"/>
      <c r="R633" s="12"/>
      <c r="S633" s="12"/>
      <c r="T633" s="12"/>
      <c r="U633" s="12"/>
      <c r="V633" s="12"/>
      <c r="X633" s="13"/>
      <c r="Y633" s="13"/>
      <c r="Z633" s="13"/>
      <c r="AA633" s="13"/>
      <c r="AB633" s="13"/>
    </row>
    <row r="634" ht="15.75" customHeight="1">
      <c r="A634" s="15"/>
      <c r="B634" s="7"/>
      <c r="C634" s="11"/>
      <c r="D634" s="12"/>
      <c r="E634" s="12"/>
      <c r="F634" s="11"/>
      <c r="G634" s="11"/>
      <c r="H634" s="11"/>
      <c r="I634" s="11"/>
      <c r="J634" s="11"/>
      <c r="K634" s="11"/>
      <c r="L634" s="11"/>
      <c r="M634" s="11"/>
      <c r="N634" s="11"/>
      <c r="O634" s="11"/>
      <c r="R634" s="12"/>
      <c r="S634" s="12"/>
      <c r="T634" s="12"/>
      <c r="U634" s="12"/>
      <c r="V634" s="12"/>
      <c r="X634" s="13"/>
      <c r="Y634" s="13"/>
      <c r="Z634" s="13"/>
      <c r="AA634" s="13"/>
      <c r="AB634" s="13"/>
    </row>
    <row r="635" ht="15.75" customHeight="1">
      <c r="A635" s="15"/>
      <c r="B635" s="7"/>
      <c r="C635" s="11"/>
      <c r="D635" s="12"/>
      <c r="E635" s="12"/>
      <c r="F635" s="11"/>
      <c r="G635" s="11"/>
      <c r="H635" s="11"/>
      <c r="I635" s="11"/>
      <c r="J635" s="11"/>
      <c r="K635" s="11"/>
      <c r="L635" s="11"/>
      <c r="M635" s="11"/>
      <c r="N635" s="11"/>
      <c r="O635" s="11"/>
      <c r="R635" s="12"/>
      <c r="S635" s="12"/>
      <c r="T635" s="12"/>
      <c r="U635" s="12"/>
      <c r="V635" s="12"/>
      <c r="X635" s="13"/>
      <c r="Y635" s="13"/>
      <c r="Z635" s="13"/>
      <c r="AA635" s="13"/>
      <c r="AB635" s="13"/>
    </row>
    <row r="636" ht="15.75" customHeight="1">
      <c r="A636" s="15"/>
      <c r="B636" s="7"/>
      <c r="C636" s="11"/>
      <c r="D636" s="12"/>
      <c r="E636" s="12"/>
      <c r="F636" s="11"/>
      <c r="G636" s="11"/>
      <c r="H636" s="11"/>
      <c r="I636" s="11"/>
      <c r="J636" s="11"/>
      <c r="K636" s="11"/>
      <c r="L636" s="11"/>
      <c r="M636" s="11"/>
      <c r="N636" s="11"/>
      <c r="O636" s="11"/>
      <c r="R636" s="12"/>
      <c r="S636" s="12"/>
      <c r="T636" s="12"/>
      <c r="U636" s="12"/>
      <c r="V636" s="12"/>
      <c r="X636" s="13"/>
      <c r="Y636" s="13"/>
      <c r="Z636" s="13"/>
      <c r="AA636" s="13"/>
      <c r="AB636" s="13"/>
    </row>
    <row r="637" ht="15.75" customHeight="1">
      <c r="A637" s="15"/>
      <c r="B637" s="7"/>
      <c r="C637" s="11"/>
      <c r="D637" s="12"/>
      <c r="E637" s="12"/>
      <c r="F637" s="11"/>
      <c r="G637" s="11"/>
      <c r="H637" s="11"/>
      <c r="I637" s="11"/>
      <c r="J637" s="11"/>
      <c r="K637" s="11"/>
      <c r="L637" s="11"/>
      <c r="M637" s="11"/>
      <c r="N637" s="11"/>
      <c r="O637" s="11"/>
      <c r="R637" s="12"/>
      <c r="S637" s="12"/>
      <c r="T637" s="12"/>
      <c r="U637" s="12"/>
      <c r="V637" s="12"/>
      <c r="X637" s="13"/>
      <c r="Y637" s="13"/>
      <c r="Z637" s="13"/>
      <c r="AA637" s="13"/>
      <c r="AB637" s="13"/>
    </row>
    <row r="638" ht="15.75" customHeight="1">
      <c r="A638" s="15"/>
      <c r="B638" s="7"/>
      <c r="C638" s="11"/>
      <c r="D638" s="12"/>
      <c r="E638" s="12"/>
      <c r="F638" s="11"/>
      <c r="G638" s="11"/>
      <c r="H638" s="11"/>
      <c r="I638" s="11"/>
      <c r="J638" s="11"/>
      <c r="K638" s="11"/>
      <c r="L638" s="11"/>
      <c r="M638" s="11"/>
      <c r="N638" s="11"/>
      <c r="O638" s="11"/>
      <c r="R638" s="12"/>
      <c r="S638" s="12"/>
      <c r="T638" s="12"/>
      <c r="U638" s="12"/>
      <c r="V638" s="12"/>
      <c r="X638" s="13"/>
      <c r="Y638" s="13"/>
      <c r="Z638" s="13"/>
      <c r="AA638" s="13"/>
      <c r="AB638" s="13"/>
    </row>
    <row r="639" ht="15.75" customHeight="1">
      <c r="A639" s="15"/>
      <c r="B639" s="7"/>
      <c r="C639" s="11"/>
      <c r="D639" s="12"/>
      <c r="E639" s="12"/>
      <c r="F639" s="11"/>
      <c r="G639" s="11"/>
      <c r="H639" s="11"/>
      <c r="I639" s="11"/>
      <c r="J639" s="11"/>
      <c r="K639" s="11"/>
      <c r="L639" s="11"/>
      <c r="M639" s="11"/>
      <c r="N639" s="11"/>
      <c r="O639" s="11"/>
      <c r="R639" s="12"/>
      <c r="S639" s="12"/>
      <c r="T639" s="12"/>
      <c r="U639" s="12"/>
      <c r="V639" s="12"/>
      <c r="X639" s="13"/>
      <c r="Y639" s="13"/>
      <c r="Z639" s="13"/>
      <c r="AA639" s="13"/>
      <c r="AB639" s="13"/>
    </row>
    <row r="640" ht="15.75" customHeight="1">
      <c r="A640" s="15"/>
      <c r="B640" s="7"/>
      <c r="C640" s="11"/>
      <c r="D640" s="12"/>
      <c r="E640" s="12"/>
      <c r="F640" s="11"/>
      <c r="G640" s="11"/>
      <c r="H640" s="11"/>
      <c r="I640" s="11"/>
      <c r="J640" s="11"/>
      <c r="K640" s="11"/>
      <c r="L640" s="11"/>
      <c r="M640" s="11"/>
      <c r="N640" s="11"/>
      <c r="O640" s="11"/>
      <c r="R640" s="12"/>
      <c r="S640" s="12"/>
      <c r="T640" s="12"/>
      <c r="U640" s="12"/>
      <c r="V640" s="12"/>
      <c r="X640" s="13"/>
      <c r="Y640" s="13"/>
      <c r="Z640" s="13"/>
      <c r="AA640" s="13"/>
      <c r="AB640" s="13"/>
    </row>
    <row r="641" ht="15.75" customHeight="1">
      <c r="A641" s="15"/>
      <c r="B641" s="7"/>
      <c r="C641" s="11"/>
      <c r="D641" s="12"/>
      <c r="E641" s="12"/>
      <c r="F641" s="11"/>
      <c r="G641" s="11"/>
      <c r="H641" s="11"/>
      <c r="I641" s="11"/>
      <c r="J641" s="11"/>
      <c r="K641" s="11"/>
      <c r="L641" s="11"/>
      <c r="M641" s="11"/>
      <c r="N641" s="11"/>
      <c r="O641" s="11"/>
      <c r="R641" s="12"/>
      <c r="S641" s="12"/>
      <c r="T641" s="12"/>
      <c r="U641" s="12"/>
      <c r="V641" s="12"/>
      <c r="X641" s="13"/>
      <c r="Y641" s="13"/>
      <c r="Z641" s="13"/>
      <c r="AA641" s="13"/>
      <c r="AB641" s="13"/>
    </row>
    <row r="642" ht="15.75" customHeight="1">
      <c r="A642" s="15"/>
      <c r="B642" s="7"/>
      <c r="C642" s="11"/>
      <c r="D642" s="12"/>
      <c r="E642" s="12"/>
      <c r="F642" s="11"/>
      <c r="G642" s="11"/>
      <c r="H642" s="11"/>
      <c r="I642" s="11"/>
      <c r="J642" s="11"/>
      <c r="K642" s="11"/>
      <c r="L642" s="11"/>
      <c r="M642" s="11"/>
      <c r="N642" s="11"/>
      <c r="O642" s="11"/>
      <c r="R642" s="12"/>
      <c r="S642" s="12"/>
      <c r="T642" s="12"/>
      <c r="U642" s="12"/>
      <c r="V642" s="12"/>
      <c r="X642" s="13"/>
      <c r="Y642" s="13"/>
      <c r="Z642" s="13"/>
      <c r="AA642" s="13"/>
      <c r="AB642" s="13"/>
    </row>
    <row r="643" ht="15.75" customHeight="1">
      <c r="A643" s="15"/>
      <c r="B643" s="7"/>
      <c r="C643" s="11"/>
      <c r="D643" s="12"/>
      <c r="E643" s="12"/>
      <c r="F643" s="11"/>
      <c r="G643" s="11"/>
      <c r="H643" s="11"/>
      <c r="I643" s="11"/>
      <c r="J643" s="11"/>
      <c r="K643" s="11"/>
      <c r="L643" s="11"/>
      <c r="M643" s="11"/>
      <c r="N643" s="11"/>
      <c r="O643" s="11"/>
      <c r="R643" s="12"/>
      <c r="S643" s="12"/>
      <c r="T643" s="12"/>
      <c r="U643" s="12"/>
      <c r="V643" s="12"/>
      <c r="X643" s="13"/>
      <c r="Y643" s="13"/>
      <c r="Z643" s="13"/>
      <c r="AA643" s="13"/>
      <c r="AB643" s="13"/>
    </row>
    <row r="644" ht="15.75" customHeight="1">
      <c r="A644" s="15"/>
      <c r="B644" s="7"/>
      <c r="C644" s="11"/>
      <c r="D644" s="12"/>
      <c r="E644" s="12"/>
      <c r="F644" s="11"/>
      <c r="G644" s="11"/>
      <c r="H644" s="11"/>
      <c r="I644" s="11"/>
      <c r="J644" s="11"/>
      <c r="K644" s="11"/>
      <c r="L644" s="11"/>
      <c r="M644" s="11"/>
      <c r="N644" s="11"/>
      <c r="O644" s="11"/>
      <c r="R644" s="12"/>
      <c r="S644" s="12"/>
      <c r="T644" s="12"/>
      <c r="U644" s="12"/>
      <c r="V644" s="12"/>
      <c r="X644" s="13"/>
      <c r="Y644" s="13"/>
      <c r="Z644" s="13"/>
      <c r="AA644" s="13"/>
      <c r="AB644" s="13"/>
    </row>
    <row r="645" ht="15.75" customHeight="1">
      <c r="A645" s="15"/>
      <c r="B645" s="7"/>
      <c r="C645" s="11"/>
      <c r="D645" s="12"/>
      <c r="E645" s="12"/>
      <c r="F645" s="11"/>
      <c r="G645" s="11"/>
      <c r="H645" s="11"/>
      <c r="I645" s="11"/>
      <c r="J645" s="11"/>
      <c r="K645" s="11"/>
      <c r="L645" s="11"/>
      <c r="M645" s="11"/>
      <c r="N645" s="11"/>
      <c r="O645" s="11"/>
      <c r="R645" s="12"/>
      <c r="S645" s="12"/>
      <c r="T645" s="12"/>
      <c r="U645" s="12"/>
      <c r="V645" s="12"/>
      <c r="X645" s="13"/>
      <c r="Y645" s="13"/>
      <c r="Z645" s="13"/>
      <c r="AA645" s="13"/>
      <c r="AB645" s="13"/>
    </row>
    <row r="646" ht="15.75" customHeight="1">
      <c r="A646" s="15"/>
      <c r="B646" s="7"/>
      <c r="C646" s="11"/>
      <c r="D646" s="12"/>
      <c r="E646" s="12"/>
      <c r="F646" s="11"/>
      <c r="G646" s="11"/>
      <c r="H646" s="11"/>
      <c r="I646" s="11"/>
      <c r="J646" s="11"/>
      <c r="K646" s="11"/>
      <c r="L646" s="11"/>
      <c r="M646" s="11"/>
      <c r="N646" s="11"/>
      <c r="O646" s="11"/>
      <c r="R646" s="12"/>
      <c r="S646" s="12"/>
      <c r="T646" s="12"/>
      <c r="U646" s="12"/>
      <c r="V646" s="12"/>
      <c r="X646" s="13"/>
      <c r="Y646" s="13"/>
      <c r="Z646" s="13"/>
      <c r="AA646" s="13"/>
      <c r="AB646" s="13"/>
    </row>
    <row r="647" ht="15.75" customHeight="1">
      <c r="A647" s="15"/>
      <c r="B647" s="7"/>
      <c r="C647" s="11"/>
      <c r="D647" s="12"/>
      <c r="E647" s="12"/>
      <c r="F647" s="11"/>
      <c r="G647" s="11"/>
      <c r="H647" s="11"/>
      <c r="I647" s="11"/>
      <c r="J647" s="11"/>
      <c r="K647" s="11"/>
      <c r="L647" s="11"/>
      <c r="M647" s="11"/>
      <c r="N647" s="11"/>
      <c r="O647" s="11"/>
      <c r="R647" s="12"/>
      <c r="S647" s="12"/>
      <c r="T647" s="12"/>
      <c r="U647" s="12"/>
      <c r="V647" s="12"/>
      <c r="X647" s="13"/>
      <c r="Y647" s="13"/>
      <c r="Z647" s="13"/>
      <c r="AA647" s="13"/>
      <c r="AB647" s="13"/>
    </row>
    <row r="648" ht="15.75" customHeight="1">
      <c r="A648" s="15"/>
      <c r="B648" s="7"/>
      <c r="C648" s="11"/>
      <c r="D648" s="12"/>
      <c r="E648" s="12"/>
      <c r="F648" s="11"/>
      <c r="G648" s="11"/>
      <c r="H648" s="11"/>
      <c r="I648" s="11"/>
      <c r="J648" s="11"/>
      <c r="K648" s="11"/>
      <c r="L648" s="11"/>
      <c r="M648" s="11"/>
      <c r="N648" s="11"/>
      <c r="O648" s="11"/>
      <c r="R648" s="12"/>
      <c r="S648" s="12"/>
      <c r="T648" s="12"/>
      <c r="U648" s="12"/>
      <c r="V648" s="12"/>
      <c r="X648" s="13"/>
      <c r="Y648" s="13"/>
      <c r="Z648" s="13"/>
      <c r="AA648" s="13"/>
      <c r="AB648" s="13"/>
    </row>
    <row r="649" ht="15.75" customHeight="1">
      <c r="A649" s="15"/>
      <c r="B649" s="7"/>
      <c r="C649" s="11"/>
      <c r="D649" s="12"/>
      <c r="E649" s="12"/>
      <c r="F649" s="11"/>
      <c r="G649" s="11"/>
      <c r="H649" s="11"/>
      <c r="I649" s="11"/>
      <c r="J649" s="11"/>
      <c r="K649" s="11"/>
      <c r="L649" s="11"/>
      <c r="M649" s="11"/>
      <c r="N649" s="11"/>
      <c r="O649" s="11"/>
      <c r="R649" s="12"/>
      <c r="S649" s="12"/>
      <c r="T649" s="12"/>
      <c r="U649" s="12"/>
      <c r="V649" s="12"/>
      <c r="X649" s="13"/>
      <c r="Y649" s="13"/>
      <c r="Z649" s="13"/>
      <c r="AA649" s="13"/>
      <c r="AB649" s="13"/>
    </row>
    <row r="650" ht="15.75" customHeight="1">
      <c r="A650" s="15"/>
      <c r="B650" s="7"/>
      <c r="C650" s="11"/>
      <c r="D650" s="12"/>
      <c r="E650" s="12"/>
      <c r="F650" s="11"/>
      <c r="G650" s="11"/>
      <c r="H650" s="11"/>
      <c r="I650" s="11"/>
      <c r="J650" s="11"/>
      <c r="K650" s="11"/>
      <c r="L650" s="11"/>
      <c r="M650" s="11"/>
      <c r="N650" s="11"/>
      <c r="O650" s="11"/>
      <c r="R650" s="12"/>
      <c r="S650" s="12"/>
      <c r="T650" s="12"/>
      <c r="U650" s="12"/>
      <c r="V650" s="12"/>
      <c r="X650" s="13"/>
      <c r="Y650" s="13"/>
      <c r="Z650" s="13"/>
      <c r="AA650" s="13"/>
      <c r="AB650" s="13"/>
    </row>
    <row r="651" ht="15.75" customHeight="1">
      <c r="A651" s="15"/>
      <c r="B651" s="7"/>
      <c r="C651" s="11"/>
      <c r="D651" s="12"/>
      <c r="E651" s="12"/>
      <c r="F651" s="11"/>
      <c r="G651" s="11"/>
      <c r="H651" s="11"/>
      <c r="I651" s="11"/>
      <c r="J651" s="11"/>
      <c r="K651" s="11"/>
      <c r="L651" s="11"/>
      <c r="M651" s="11"/>
      <c r="N651" s="11"/>
      <c r="O651" s="11"/>
      <c r="R651" s="12"/>
      <c r="S651" s="12"/>
      <c r="T651" s="12"/>
      <c r="U651" s="12"/>
      <c r="V651" s="12"/>
      <c r="X651" s="13"/>
      <c r="Y651" s="13"/>
      <c r="Z651" s="13"/>
      <c r="AA651" s="13"/>
      <c r="AB651" s="13"/>
    </row>
    <row r="652" ht="15.75" customHeight="1">
      <c r="A652" s="15"/>
      <c r="B652" s="7"/>
      <c r="C652" s="11"/>
      <c r="D652" s="12"/>
      <c r="E652" s="12"/>
      <c r="F652" s="11"/>
      <c r="G652" s="11"/>
      <c r="H652" s="11"/>
      <c r="I652" s="11"/>
      <c r="J652" s="11"/>
      <c r="K652" s="11"/>
      <c r="L652" s="11"/>
      <c r="M652" s="11"/>
      <c r="N652" s="11"/>
      <c r="O652" s="11"/>
      <c r="R652" s="12"/>
      <c r="S652" s="12"/>
      <c r="T652" s="12"/>
      <c r="U652" s="12"/>
      <c r="V652" s="12"/>
      <c r="X652" s="13"/>
      <c r="Y652" s="13"/>
      <c r="Z652" s="13"/>
      <c r="AA652" s="13"/>
      <c r="AB652" s="13"/>
    </row>
    <row r="653" ht="15.75" customHeight="1">
      <c r="A653" s="15"/>
      <c r="B653" s="7"/>
      <c r="C653" s="11"/>
      <c r="D653" s="12"/>
      <c r="E653" s="12"/>
      <c r="F653" s="11"/>
      <c r="G653" s="11"/>
      <c r="H653" s="11"/>
      <c r="I653" s="11"/>
      <c r="J653" s="11"/>
      <c r="K653" s="11"/>
      <c r="L653" s="11"/>
      <c r="M653" s="11"/>
      <c r="N653" s="11"/>
      <c r="O653" s="11"/>
      <c r="R653" s="12"/>
      <c r="S653" s="12"/>
      <c r="T653" s="12"/>
      <c r="U653" s="12"/>
      <c r="V653" s="12"/>
      <c r="X653" s="13"/>
      <c r="Y653" s="13"/>
      <c r="Z653" s="13"/>
      <c r="AA653" s="13"/>
      <c r="AB653" s="13"/>
    </row>
    <row r="654" ht="15.75" customHeight="1">
      <c r="A654" s="15"/>
      <c r="B654" s="7"/>
      <c r="C654" s="11"/>
      <c r="D654" s="12"/>
      <c r="E654" s="12"/>
      <c r="F654" s="11"/>
      <c r="G654" s="11"/>
      <c r="H654" s="11"/>
      <c r="I654" s="11"/>
      <c r="J654" s="11"/>
      <c r="K654" s="11"/>
      <c r="L654" s="11"/>
      <c r="M654" s="11"/>
      <c r="N654" s="11"/>
      <c r="O654" s="11"/>
      <c r="R654" s="12"/>
      <c r="S654" s="12"/>
      <c r="T654" s="12"/>
      <c r="U654" s="12"/>
      <c r="V654" s="12"/>
      <c r="X654" s="13"/>
      <c r="Y654" s="13"/>
      <c r="Z654" s="13"/>
      <c r="AA654" s="13"/>
      <c r="AB654" s="13"/>
    </row>
    <row r="655" ht="15.75" customHeight="1">
      <c r="A655" s="15"/>
      <c r="B655" s="7"/>
      <c r="C655" s="11"/>
      <c r="D655" s="12"/>
      <c r="E655" s="12"/>
      <c r="F655" s="11"/>
      <c r="G655" s="11"/>
      <c r="H655" s="11"/>
      <c r="I655" s="11"/>
      <c r="J655" s="11"/>
      <c r="K655" s="11"/>
      <c r="L655" s="11"/>
      <c r="M655" s="11"/>
      <c r="N655" s="11"/>
      <c r="O655" s="11"/>
      <c r="R655" s="12"/>
      <c r="S655" s="12"/>
      <c r="T655" s="12"/>
      <c r="U655" s="12"/>
      <c r="V655" s="12"/>
      <c r="X655" s="13"/>
      <c r="Y655" s="13"/>
      <c r="Z655" s="13"/>
      <c r="AA655" s="13"/>
      <c r="AB655" s="13"/>
    </row>
    <row r="656" ht="15.75" customHeight="1">
      <c r="A656" s="15"/>
      <c r="B656" s="7"/>
      <c r="C656" s="11"/>
      <c r="D656" s="12"/>
      <c r="E656" s="12"/>
      <c r="F656" s="11"/>
      <c r="G656" s="11"/>
      <c r="H656" s="11"/>
      <c r="I656" s="11"/>
      <c r="J656" s="11"/>
      <c r="K656" s="11"/>
      <c r="L656" s="11"/>
      <c r="M656" s="11"/>
      <c r="N656" s="11"/>
      <c r="O656" s="11"/>
      <c r="R656" s="12"/>
      <c r="S656" s="12"/>
      <c r="T656" s="12"/>
      <c r="U656" s="12"/>
      <c r="V656" s="12"/>
      <c r="X656" s="13"/>
      <c r="Y656" s="13"/>
      <c r="Z656" s="13"/>
      <c r="AA656" s="13"/>
      <c r="AB656" s="13"/>
    </row>
    <row r="657" ht="15.75" customHeight="1">
      <c r="A657" s="15"/>
      <c r="B657" s="7"/>
      <c r="C657" s="11"/>
      <c r="D657" s="12"/>
      <c r="E657" s="12"/>
      <c r="F657" s="11"/>
      <c r="G657" s="11"/>
      <c r="H657" s="11"/>
      <c r="I657" s="11"/>
      <c r="J657" s="11"/>
      <c r="K657" s="11"/>
      <c r="L657" s="11"/>
      <c r="M657" s="11"/>
      <c r="N657" s="11"/>
      <c r="O657" s="11"/>
      <c r="R657" s="12"/>
      <c r="S657" s="12"/>
      <c r="T657" s="12"/>
      <c r="U657" s="12"/>
      <c r="V657" s="12"/>
      <c r="X657" s="13"/>
      <c r="Y657" s="13"/>
      <c r="Z657" s="13"/>
      <c r="AA657" s="13"/>
      <c r="AB657" s="13"/>
    </row>
    <row r="658" ht="15.75" customHeight="1">
      <c r="A658" s="15"/>
      <c r="B658" s="7"/>
      <c r="C658" s="11"/>
      <c r="D658" s="12"/>
      <c r="E658" s="12"/>
      <c r="F658" s="11"/>
      <c r="G658" s="11"/>
      <c r="H658" s="11"/>
      <c r="I658" s="11"/>
      <c r="J658" s="11"/>
      <c r="K658" s="11"/>
      <c r="L658" s="11"/>
      <c r="M658" s="11"/>
      <c r="N658" s="11"/>
      <c r="O658" s="11"/>
      <c r="R658" s="12"/>
      <c r="S658" s="12"/>
      <c r="T658" s="12"/>
      <c r="U658" s="12"/>
      <c r="V658" s="12"/>
      <c r="X658" s="13"/>
      <c r="Y658" s="13"/>
      <c r="Z658" s="13"/>
      <c r="AA658" s="13"/>
      <c r="AB658" s="13"/>
    </row>
    <row r="659" ht="15.75" customHeight="1">
      <c r="A659" s="15"/>
      <c r="B659" s="7"/>
      <c r="C659" s="11"/>
      <c r="D659" s="12"/>
      <c r="E659" s="12"/>
      <c r="F659" s="11"/>
      <c r="G659" s="11"/>
      <c r="H659" s="11"/>
      <c r="I659" s="11"/>
      <c r="J659" s="11"/>
      <c r="K659" s="11"/>
      <c r="L659" s="11"/>
      <c r="M659" s="11"/>
      <c r="N659" s="11"/>
      <c r="O659" s="11"/>
      <c r="R659" s="12"/>
      <c r="S659" s="12"/>
      <c r="T659" s="12"/>
      <c r="U659" s="12"/>
      <c r="V659" s="12"/>
      <c r="X659" s="13"/>
      <c r="Y659" s="13"/>
      <c r="Z659" s="13"/>
      <c r="AA659" s="13"/>
      <c r="AB659" s="13"/>
    </row>
    <row r="660" ht="15.75" customHeight="1">
      <c r="A660" s="15"/>
      <c r="B660" s="7"/>
      <c r="C660" s="11"/>
      <c r="D660" s="12"/>
      <c r="E660" s="12"/>
      <c r="F660" s="11"/>
      <c r="G660" s="11"/>
      <c r="H660" s="11"/>
      <c r="I660" s="11"/>
      <c r="J660" s="11"/>
      <c r="K660" s="11"/>
      <c r="L660" s="11"/>
      <c r="M660" s="11"/>
      <c r="N660" s="11"/>
      <c r="O660" s="11"/>
      <c r="R660" s="12"/>
      <c r="S660" s="12"/>
      <c r="T660" s="12"/>
      <c r="U660" s="12"/>
      <c r="V660" s="12"/>
      <c r="X660" s="13"/>
      <c r="Y660" s="13"/>
      <c r="Z660" s="13"/>
      <c r="AA660" s="13"/>
      <c r="AB660" s="13"/>
    </row>
    <row r="661" ht="15.75" customHeight="1">
      <c r="A661" s="15"/>
      <c r="B661" s="7"/>
      <c r="C661" s="11"/>
      <c r="D661" s="12"/>
      <c r="E661" s="12"/>
      <c r="F661" s="11"/>
      <c r="G661" s="11"/>
      <c r="H661" s="11"/>
      <c r="I661" s="11"/>
      <c r="J661" s="11"/>
      <c r="K661" s="11"/>
      <c r="L661" s="11"/>
      <c r="M661" s="11"/>
      <c r="N661" s="11"/>
      <c r="O661" s="11"/>
      <c r="R661" s="12"/>
      <c r="S661" s="12"/>
      <c r="T661" s="12"/>
      <c r="U661" s="12"/>
      <c r="V661" s="12"/>
      <c r="X661" s="13"/>
      <c r="Y661" s="13"/>
      <c r="Z661" s="13"/>
      <c r="AA661" s="13"/>
      <c r="AB661" s="13"/>
    </row>
    <row r="662" ht="15.75" customHeight="1">
      <c r="A662" s="15"/>
      <c r="B662" s="7"/>
      <c r="C662" s="11"/>
      <c r="D662" s="12"/>
      <c r="E662" s="12"/>
      <c r="F662" s="11"/>
      <c r="G662" s="11"/>
      <c r="H662" s="11"/>
      <c r="I662" s="11"/>
      <c r="J662" s="11"/>
      <c r="K662" s="11"/>
      <c r="L662" s="11"/>
      <c r="M662" s="11"/>
      <c r="N662" s="11"/>
      <c r="O662" s="11"/>
      <c r="R662" s="12"/>
      <c r="S662" s="12"/>
      <c r="T662" s="12"/>
      <c r="U662" s="12"/>
      <c r="V662" s="12"/>
      <c r="X662" s="13"/>
      <c r="Y662" s="13"/>
      <c r="Z662" s="13"/>
      <c r="AA662" s="13"/>
      <c r="AB662" s="13"/>
    </row>
    <row r="663" ht="15.75" customHeight="1">
      <c r="A663" s="15"/>
      <c r="B663" s="7"/>
      <c r="C663" s="11"/>
      <c r="D663" s="12"/>
      <c r="E663" s="12"/>
      <c r="F663" s="11"/>
      <c r="G663" s="11"/>
      <c r="H663" s="11"/>
      <c r="I663" s="11"/>
      <c r="J663" s="11"/>
      <c r="K663" s="11"/>
      <c r="L663" s="11"/>
      <c r="M663" s="11"/>
      <c r="N663" s="11"/>
      <c r="O663" s="11"/>
      <c r="R663" s="12"/>
      <c r="S663" s="12"/>
      <c r="T663" s="12"/>
      <c r="U663" s="12"/>
      <c r="V663" s="12"/>
      <c r="X663" s="13"/>
      <c r="Y663" s="13"/>
      <c r="Z663" s="13"/>
      <c r="AA663" s="13"/>
      <c r="AB663" s="13"/>
    </row>
    <row r="664" ht="15.75" customHeight="1">
      <c r="A664" s="15"/>
      <c r="B664" s="7"/>
      <c r="C664" s="11"/>
      <c r="D664" s="12"/>
      <c r="E664" s="12"/>
      <c r="F664" s="11"/>
      <c r="G664" s="11"/>
      <c r="H664" s="11"/>
      <c r="I664" s="11"/>
      <c r="J664" s="11"/>
      <c r="K664" s="11"/>
      <c r="L664" s="11"/>
      <c r="M664" s="11"/>
      <c r="N664" s="11"/>
      <c r="O664" s="11"/>
      <c r="R664" s="12"/>
      <c r="S664" s="12"/>
      <c r="T664" s="12"/>
      <c r="U664" s="12"/>
      <c r="V664" s="12"/>
      <c r="X664" s="13"/>
      <c r="Y664" s="13"/>
      <c r="Z664" s="13"/>
      <c r="AA664" s="13"/>
      <c r="AB664" s="13"/>
    </row>
    <row r="665" ht="15.75" customHeight="1">
      <c r="A665" s="15"/>
      <c r="B665" s="7"/>
      <c r="C665" s="11"/>
      <c r="D665" s="12"/>
      <c r="E665" s="12"/>
      <c r="F665" s="11"/>
      <c r="G665" s="11"/>
      <c r="H665" s="11"/>
      <c r="I665" s="11"/>
      <c r="J665" s="11"/>
      <c r="K665" s="11"/>
      <c r="L665" s="11"/>
      <c r="M665" s="11"/>
      <c r="N665" s="11"/>
      <c r="O665" s="11"/>
      <c r="R665" s="12"/>
      <c r="S665" s="12"/>
      <c r="T665" s="12"/>
      <c r="U665" s="12"/>
      <c r="V665" s="12"/>
      <c r="X665" s="13"/>
      <c r="Y665" s="13"/>
      <c r="Z665" s="13"/>
      <c r="AA665" s="13"/>
      <c r="AB665" s="13"/>
    </row>
    <row r="666" ht="15.75" customHeight="1">
      <c r="A666" s="15"/>
      <c r="B666" s="7"/>
      <c r="C666" s="11"/>
      <c r="D666" s="12"/>
      <c r="E666" s="12"/>
      <c r="F666" s="11"/>
      <c r="G666" s="11"/>
      <c r="H666" s="11"/>
      <c r="I666" s="11"/>
      <c r="J666" s="11"/>
      <c r="K666" s="11"/>
      <c r="L666" s="11"/>
      <c r="M666" s="11"/>
      <c r="N666" s="11"/>
      <c r="O666" s="11"/>
      <c r="R666" s="12"/>
      <c r="S666" s="12"/>
      <c r="T666" s="12"/>
      <c r="U666" s="12"/>
      <c r="V666" s="12"/>
      <c r="X666" s="13"/>
      <c r="Y666" s="13"/>
      <c r="Z666" s="13"/>
      <c r="AA666" s="13"/>
      <c r="AB666" s="13"/>
    </row>
    <row r="667" ht="15.75" customHeight="1">
      <c r="A667" s="15"/>
      <c r="B667" s="7"/>
      <c r="C667" s="11"/>
      <c r="D667" s="12"/>
      <c r="E667" s="12"/>
      <c r="F667" s="11"/>
      <c r="G667" s="11"/>
      <c r="H667" s="11"/>
      <c r="I667" s="11"/>
      <c r="J667" s="11"/>
      <c r="K667" s="11"/>
      <c r="L667" s="11"/>
      <c r="M667" s="11"/>
      <c r="N667" s="11"/>
      <c r="O667" s="11"/>
      <c r="R667" s="12"/>
      <c r="S667" s="12"/>
      <c r="T667" s="12"/>
      <c r="U667" s="12"/>
      <c r="V667" s="12"/>
      <c r="X667" s="13"/>
      <c r="Y667" s="13"/>
      <c r="Z667" s="13"/>
      <c r="AA667" s="13"/>
      <c r="AB667" s="13"/>
    </row>
    <row r="668" ht="15.75" customHeight="1">
      <c r="A668" s="15"/>
      <c r="B668" s="7"/>
      <c r="C668" s="11"/>
      <c r="D668" s="12"/>
      <c r="E668" s="12"/>
      <c r="F668" s="11"/>
      <c r="G668" s="11"/>
      <c r="H668" s="11"/>
      <c r="I668" s="11"/>
      <c r="J668" s="11"/>
      <c r="K668" s="11"/>
      <c r="L668" s="11"/>
      <c r="M668" s="11"/>
      <c r="N668" s="11"/>
      <c r="O668" s="11"/>
      <c r="R668" s="12"/>
      <c r="S668" s="12"/>
      <c r="T668" s="12"/>
      <c r="U668" s="12"/>
      <c r="V668" s="12"/>
      <c r="X668" s="13"/>
      <c r="Y668" s="13"/>
      <c r="Z668" s="13"/>
      <c r="AA668" s="13"/>
      <c r="AB668" s="13"/>
    </row>
    <row r="669" ht="15.75" customHeight="1">
      <c r="A669" s="15"/>
      <c r="B669" s="7"/>
      <c r="C669" s="11"/>
      <c r="D669" s="12"/>
      <c r="E669" s="12"/>
      <c r="F669" s="11"/>
      <c r="G669" s="11"/>
      <c r="H669" s="11"/>
      <c r="I669" s="11"/>
      <c r="J669" s="11"/>
      <c r="K669" s="11"/>
      <c r="L669" s="11"/>
      <c r="M669" s="11"/>
      <c r="N669" s="11"/>
      <c r="O669" s="11"/>
      <c r="R669" s="12"/>
      <c r="S669" s="12"/>
      <c r="T669" s="12"/>
      <c r="U669" s="12"/>
      <c r="V669" s="12"/>
      <c r="X669" s="13"/>
      <c r="Y669" s="13"/>
      <c r="Z669" s="13"/>
      <c r="AA669" s="13"/>
      <c r="AB669" s="13"/>
    </row>
    <row r="670" ht="15.75" customHeight="1">
      <c r="A670" s="15"/>
      <c r="B670" s="7"/>
      <c r="C670" s="11"/>
      <c r="D670" s="12"/>
      <c r="E670" s="12"/>
      <c r="F670" s="11"/>
      <c r="G670" s="11"/>
      <c r="H670" s="11"/>
      <c r="I670" s="11"/>
      <c r="J670" s="11"/>
      <c r="K670" s="11"/>
      <c r="L670" s="11"/>
      <c r="M670" s="11"/>
      <c r="N670" s="11"/>
      <c r="O670" s="11"/>
      <c r="R670" s="12"/>
      <c r="S670" s="12"/>
      <c r="T670" s="12"/>
      <c r="U670" s="12"/>
      <c r="V670" s="12"/>
      <c r="X670" s="13"/>
      <c r="Y670" s="13"/>
      <c r="Z670" s="13"/>
      <c r="AA670" s="13"/>
      <c r="AB670" s="13"/>
    </row>
    <row r="671" ht="15.75" customHeight="1">
      <c r="A671" s="15"/>
      <c r="B671" s="7"/>
      <c r="C671" s="11"/>
      <c r="D671" s="12"/>
      <c r="E671" s="12"/>
      <c r="F671" s="11"/>
      <c r="G671" s="11"/>
      <c r="H671" s="11"/>
      <c r="I671" s="11"/>
      <c r="J671" s="11"/>
      <c r="K671" s="11"/>
      <c r="L671" s="11"/>
      <c r="M671" s="11"/>
      <c r="N671" s="11"/>
      <c r="O671" s="11"/>
      <c r="R671" s="12"/>
      <c r="S671" s="12"/>
      <c r="T671" s="12"/>
      <c r="U671" s="12"/>
      <c r="V671" s="12"/>
      <c r="X671" s="13"/>
      <c r="Y671" s="13"/>
      <c r="Z671" s="13"/>
      <c r="AA671" s="13"/>
      <c r="AB671" s="13"/>
    </row>
    <row r="672" ht="15.75" customHeight="1">
      <c r="A672" s="15"/>
      <c r="B672" s="7"/>
      <c r="C672" s="11"/>
      <c r="D672" s="12"/>
      <c r="E672" s="12"/>
      <c r="F672" s="11"/>
      <c r="G672" s="11"/>
      <c r="H672" s="11"/>
      <c r="I672" s="11"/>
      <c r="J672" s="11"/>
      <c r="K672" s="11"/>
      <c r="L672" s="11"/>
      <c r="M672" s="11"/>
      <c r="N672" s="11"/>
      <c r="O672" s="11"/>
      <c r="R672" s="12"/>
      <c r="S672" s="12"/>
      <c r="T672" s="12"/>
      <c r="U672" s="12"/>
      <c r="V672" s="12"/>
      <c r="X672" s="13"/>
      <c r="Y672" s="13"/>
      <c r="Z672" s="13"/>
      <c r="AA672" s="13"/>
      <c r="AB672" s="13"/>
    </row>
    <row r="673" ht="15.75" customHeight="1">
      <c r="A673" s="15"/>
      <c r="B673" s="7"/>
      <c r="C673" s="11"/>
      <c r="D673" s="12"/>
      <c r="E673" s="12"/>
      <c r="F673" s="11"/>
      <c r="G673" s="11"/>
      <c r="H673" s="11"/>
      <c r="I673" s="11"/>
      <c r="J673" s="11"/>
      <c r="K673" s="11"/>
      <c r="L673" s="11"/>
      <c r="M673" s="11"/>
      <c r="N673" s="11"/>
      <c r="O673" s="11"/>
      <c r="R673" s="12"/>
      <c r="S673" s="12"/>
      <c r="T673" s="12"/>
      <c r="U673" s="12"/>
      <c r="V673" s="12"/>
      <c r="X673" s="13"/>
      <c r="Y673" s="13"/>
      <c r="Z673" s="13"/>
      <c r="AA673" s="13"/>
      <c r="AB673" s="13"/>
    </row>
    <row r="674" ht="15.75" customHeight="1">
      <c r="A674" s="15"/>
      <c r="B674" s="7"/>
      <c r="C674" s="11"/>
      <c r="D674" s="12"/>
      <c r="E674" s="12"/>
      <c r="F674" s="11"/>
      <c r="G674" s="11"/>
      <c r="H674" s="11"/>
      <c r="I674" s="11"/>
      <c r="J674" s="11"/>
      <c r="K674" s="11"/>
      <c r="L674" s="11"/>
      <c r="M674" s="11"/>
      <c r="N674" s="11"/>
      <c r="O674" s="11"/>
      <c r="R674" s="12"/>
      <c r="S674" s="12"/>
      <c r="T674" s="12"/>
      <c r="U674" s="12"/>
      <c r="V674" s="12"/>
      <c r="X674" s="13"/>
      <c r="Y674" s="13"/>
      <c r="Z674" s="13"/>
      <c r="AA674" s="13"/>
      <c r="AB674" s="13"/>
    </row>
    <row r="675" ht="15.75" customHeight="1">
      <c r="A675" s="15"/>
      <c r="B675" s="7"/>
      <c r="C675" s="11"/>
      <c r="D675" s="12"/>
      <c r="E675" s="12"/>
      <c r="F675" s="11"/>
      <c r="G675" s="11"/>
      <c r="H675" s="11"/>
      <c r="I675" s="11"/>
      <c r="J675" s="11"/>
      <c r="K675" s="11"/>
      <c r="L675" s="11"/>
      <c r="M675" s="11"/>
      <c r="N675" s="11"/>
      <c r="O675" s="11"/>
      <c r="R675" s="12"/>
      <c r="S675" s="12"/>
      <c r="T675" s="12"/>
      <c r="U675" s="12"/>
      <c r="V675" s="12"/>
      <c r="X675" s="13"/>
      <c r="Y675" s="13"/>
      <c r="Z675" s="13"/>
      <c r="AA675" s="13"/>
      <c r="AB675" s="13"/>
    </row>
    <row r="676" ht="15.75" customHeight="1">
      <c r="A676" s="15"/>
      <c r="B676" s="7"/>
      <c r="C676" s="11"/>
      <c r="D676" s="12"/>
      <c r="E676" s="12"/>
      <c r="F676" s="11"/>
      <c r="G676" s="11"/>
      <c r="H676" s="11"/>
      <c r="I676" s="11"/>
      <c r="J676" s="11"/>
      <c r="K676" s="11"/>
      <c r="L676" s="11"/>
      <c r="M676" s="11"/>
      <c r="N676" s="11"/>
      <c r="O676" s="11"/>
      <c r="R676" s="12"/>
      <c r="S676" s="12"/>
      <c r="T676" s="12"/>
      <c r="U676" s="12"/>
      <c r="V676" s="12"/>
      <c r="X676" s="13"/>
      <c r="Y676" s="13"/>
      <c r="Z676" s="13"/>
      <c r="AA676" s="13"/>
      <c r="AB676" s="13"/>
    </row>
    <row r="677" ht="15.75" customHeight="1">
      <c r="A677" s="15"/>
      <c r="B677" s="7"/>
      <c r="C677" s="11"/>
      <c r="D677" s="12"/>
      <c r="E677" s="12"/>
      <c r="F677" s="11"/>
      <c r="G677" s="11"/>
      <c r="H677" s="11"/>
      <c r="I677" s="11"/>
      <c r="J677" s="11"/>
      <c r="K677" s="11"/>
      <c r="L677" s="11"/>
      <c r="M677" s="11"/>
      <c r="N677" s="11"/>
      <c r="O677" s="11"/>
      <c r="R677" s="12"/>
      <c r="S677" s="12"/>
      <c r="T677" s="12"/>
      <c r="U677" s="12"/>
      <c r="V677" s="12"/>
      <c r="X677" s="13"/>
      <c r="Y677" s="13"/>
      <c r="Z677" s="13"/>
      <c r="AA677" s="13"/>
      <c r="AB677" s="13"/>
    </row>
    <row r="678" ht="15.75" customHeight="1">
      <c r="A678" s="15"/>
      <c r="B678" s="7"/>
      <c r="C678" s="11"/>
      <c r="D678" s="12"/>
      <c r="E678" s="12"/>
      <c r="F678" s="11"/>
      <c r="G678" s="11"/>
      <c r="H678" s="11"/>
      <c r="I678" s="11"/>
      <c r="J678" s="11"/>
      <c r="K678" s="11"/>
      <c r="L678" s="11"/>
      <c r="M678" s="11"/>
      <c r="N678" s="11"/>
      <c r="O678" s="11"/>
      <c r="R678" s="12"/>
      <c r="S678" s="12"/>
      <c r="T678" s="12"/>
      <c r="U678" s="12"/>
      <c r="V678" s="12"/>
      <c r="X678" s="13"/>
      <c r="Y678" s="13"/>
      <c r="Z678" s="13"/>
      <c r="AA678" s="13"/>
      <c r="AB678" s="13"/>
    </row>
    <row r="679" ht="15.75" customHeight="1">
      <c r="A679" s="15"/>
      <c r="B679" s="7"/>
      <c r="C679" s="11"/>
      <c r="D679" s="12"/>
      <c r="E679" s="12"/>
      <c r="F679" s="11"/>
      <c r="G679" s="11"/>
      <c r="H679" s="11"/>
      <c r="I679" s="11"/>
      <c r="J679" s="11"/>
      <c r="K679" s="11"/>
      <c r="L679" s="11"/>
      <c r="M679" s="11"/>
      <c r="N679" s="11"/>
      <c r="O679" s="11"/>
      <c r="R679" s="12"/>
      <c r="S679" s="12"/>
      <c r="T679" s="12"/>
      <c r="U679" s="12"/>
      <c r="V679" s="12"/>
      <c r="X679" s="13"/>
      <c r="Y679" s="13"/>
      <c r="Z679" s="13"/>
      <c r="AA679" s="13"/>
      <c r="AB679" s="13"/>
    </row>
    <row r="680" ht="15.75" customHeight="1">
      <c r="A680" s="15"/>
      <c r="B680" s="7"/>
      <c r="C680" s="11"/>
      <c r="D680" s="12"/>
      <c r="E680" s="12"/>
      <c r="F680" s="11"/>
      <c r="G680" s="11"/>
      <c r="H680" s="11"/>
      <c r="I680" s="11"/>
      <c r="J680" s="11"/>
      <c r="K680" s="11"/>
      <c r="L680" s="11"/>
      <c r="M680" s="11"/>
      <c r="N680" s="11"/>
      <c r="O680" s="11"/>
      <c r="R680" s="12"/>
      <c r="S680" s="12"/>
      <c r="T680" s="12"/>
      <c r="U680" s="12"/>
      <c r="V680" s="12"/>
      <c r="X680" s="13"/>
      <c r="Y680" s="13"/>
      <c r="Z680" s="13"/>
      <c r="AA680" s="13"/>
      <c r="AB680" s="13"/>
    </row>
    <row r="681" ht="15.75" customHeight="1">
      <c r="A681" s="15"/>
      <c r="B681" s="7"/>
      <c r="C681" s="11"/>
      <c r="D681" s="12"/>
      <c r="E681" s="12"/>
      <c r="F681" s="11"/>
      <c r="G681" s="11"/>
      <c r="H681" s="11"/>
      <c r="I681" s="11"/>
      <c r="J681" s="11"/>
      <c r="K681" s="11"/>
      <c r="L681" s="11"/>
      <c r="M681" s="11"/>
      <c r="N681" s="11"/>
      <c r="O681" s="11"/>
      <c r="R681" s="12"/>
      <c r="S681" s="12"/>
      <c r="T681" s="12"/>
      <c r="U681" s="12"/>
      <c r="V681" s="12"/>
      <c r="X681" s="13"/>
      <c r="Y681" s="13"/>
      <c r="Z681" s="13"/>
      <c r="AA681" s="13"/>
      <c r="AB681" s="13"/>
    </row>
    <row r="682" ht="15.75" customHeight="1">
      <c r="A682" s="15"/>
      <c r="B682" s="7"/>
      <c r="C682" s="11"/>
      <c r="D682" s="12"/>
      <c r="E682" s="12"/>
      <c r="F682" s="11"/>
      <c r="G682" s="11"/>
      <c r="H682" s="11"/>
      <c r="I682" s="11"/>
      <c r="J682" s="11"/>
      <c r="K682" s="11"/>
      <c r="L682" s="11"/>
      <c r="M682" s="11"/>
      <c r="N682" s="11"/>
      <c r="O682" s="11"/>
      <c r="R682" s="12"/>
      <c r="S682" s="12"/>
      <c r="T682" s="12"/>
      <c r="U682" s="12"/>
      <c r="V682" s="12"/>
      <c r="X682" s="13"/>
      <c r="Y682" s="13"/>
      <c r="Z682" s="13"/>
      <c r="AA682" s="13"/>
      <c r="AB682" s="13"/>
    </row>
    <row r="683" ht="15.75" customHeight="1">
      <c r="A683" s="15"/>
      <c r="B683" s="7"/>
      <c r="C683" s="11"/>
      <c r="D683" s="12"/>
      <c r="E683" s="12"/>
      <c r="F683" s="11"/>
      <c r="G683" s="11"/>
      <c r="H683" s="11"/>
      <c r="I683" s="11"/>
      <c r="J683" s="11"/>
      <c r="K683" s="11"/>
      <c r="L683" s="11"/>
      <c r="M683" s="11"/>
      <c r="N683" s="11"/>
      <c r="O683" s="11"/>
      <c r="R683" s="12"/>
      <c r="S683" s="12"/>
      <c r="T683" s="12"/>
      <c r="U683" s="12"/>
      <c r="V683" s="12"/>
      <c r="X683" s="13"/>
      <c r="Y683" s="13"/>
      <c r="Z683" s="13"/>
      <c r="AA683" s="13"/>
      <c r="AB683" s="13"/>
    </row>
    <row r="684" ht="15.75" customHeight="1">
      <c r="A684" s="15"/>
      <c r="B684" s="7"/>
      <c r="C684" s="11"/>
      <c r="D684" s="12"/>
      <c r="E684" s="12"/>
      <c r="F684" s="11"/>
      <c r="G684" s="11"/>
      <c r="H684" s="11"/>
      <c r="I684" s="11"/>
      <c r="J684" s="11"/>
      <c r="K684" s="11"/>
      <c r="L684" s="11"/>
      <c r="M684" s="11"/>
      <c r="N684" s="11"/>
      <c r="O684" s="11"/>
      <c r="R684" s="12"/>
      <c r="S684" s="12"/>
      <c r="T684" s="12"/>
      <c r="U684" s="12"/>
      <c r="V684" s="12"/>
      <c r="X684" s="13"/>
      <c r="Y684" s="13"/>
      <c r="Z684" s="13"/>
      <c r="AA684" s="13"/>
      <c r="AB684" s="13"/>
    </row>
    <row r="685" ht="15.75" customHeight="1">
      <c r="A685" s="15"/>
      <c r="B685" s="7"/>
      <c r="C685" s="11"/>
      <c r="D685" s="12"/>
      <c r="E685" s="12"/>
      <c r="F685" s="11"/>
      <c r="G685" s="11"/>
      <c r="H685" s="11"/>
      <c r="I685" s="11"/>
      <c r="J685" s="11"/>
      <c r="K685" s="11"/>
      <c r="L685" s="11"/>
      <c r="M685" s="11"/>
      <c r="N685" s="11"/>
      <c r="O685" s="11"/>
      <c r="R685" s="12"/>
      <c r="S685" s="12"/>
      <c r="T685" s="12"/>
      <c r="U685" s="12"/>
      <c r="V685" s="12"/>
      <c r="X685" s="13"/>
      <c r="Y685" s="13"/>
      <c r="Z685" s="13"/>
      <c r="AA685" s="13"/>
      <c r="AB685" s="13"/>
    </row>
    <row r="686" ht="15.75" customHeight="1">
      <c r="A686" s="15"/>
      <c r="B686" s="7"/>
      <c r="C686" s="11"/>
      <c r="D686" s="12"/>
      <c r="E686" s="12"/>
      <c r="F686" s="11"/>
      <c r="G686" s="11"/>
      <c r="H686" s="11"/>
      <c r="I686" s="11"/>
      <c r="J686" s="11"/>
      <c r="K686" s="11"/>
      <c r="L686" s="11"/>
      <c r="M686" s="11"/>
      <c r="N686" s="11"/>
      <c r="O686" s="11"/>
      <c r="R686" s="12"/>
      <c r="S686" s="12"/>
      <c r="T686" s="12"/>
      <c r="U686" s="12"/>
      <c r="V686" s="12"/>
      <c r="X686" s="13"/>
      <c r="Y686" s="13"/>
      <c r="Z686" s="13"/>
      <c r="AA686" s="13"/>
      <c r="AB686" s="13"/>
    </row>
    <row r="687" ht="15.75" customHeight="1">
      <c r="A687" s="15"/>
      <c r="B687" s="7"/>
      <c r="C687" s="11"/>
      <c r="D687" s="12"/>
      <c r="E687" s="12"/>
      <c r="F687" s="11"/>
      <c r="G687" s="11"/>
      <c r="H687" s="11"/>
      <c r="I687" s="11"/>
      <c r="J687" s="11"/>
      <c r="K687" s="11"/>
      <c r="L687" s="11"/>
      <c r="M687" s="11"/>
      <c r="N687" s="11"/>
      <c r="O687" s="11"/>
      <c r="R687" s="12"/>
      <c r="S687" s="12"/>
      <c r="T687" s="12"/>
      <c r="U687" s="12"/>
      <c r="V687" s="12"/>
      <c r="X687" s="13"/>
      <c r="Y687" s="13"/>
      <c r="Z687" s="13"/>
      <c r="AA687" s="13"/>
      <c r="AB687" s="13"/>
    </row>
    <row r="688" ht="15.75" customHeight="1">
      <c r="A688" s="15"/>
      <c r="B688" s="7"/>
      <c r="C688" s="11"/>
      <c r="D688" s="12"/>
      <c r="E688" s="12"/>
      <c r="F688" s="11"/>
      <c r="G688" s="11"/>
      <c r="H688" s="11"/>
      <c r="I688" s="11"/>
      <c r="J688" s="11"/>
      <c r="K688" s="11"/>
      <c r="L688" s="11"/>
      <c r="M688" s="11"/>
      <c r="N688" s="11"/>
      <c r="O688" s="11"/>
      <c r="R688" s="12"/>
      <c r="S688" s="12"/>
      <c r="T688" s="12"/>
      <c r="U688" s="12"/>
      <c r="V688" s="12"/>
      <c r="X688" s="13"/>
      <c r="Y688" s="13"/>
      <c r="Z688" s="13"/>
      <c r="AA688" s="13"/>
      <c r="AB688" s="13"/>
    </row>
    <row r="689" ht="15.75" customHeight="1">
      <c r="A689" s="15"/>
      <c r="B689" s="7"/>
      <c r="C689" s="11"/>
      <c r="D689" s="12"/>
      <c r="E689" s="12"/>
      <c r="F689" s="11"/>
      <c r="G689" s="11"/>
      <c r="H689" s="11"/>
      <c r="I689" s="11"/>
      <c r="J689" s="11"/>
      <c r="K689" s="11"/>
      <c r="L689" s="11"/>
      <c r="M689" s="11"/>
      <c r="N689" s="11"/>
      <c r="O689" s="11"/>
      <c r="R689" s="12"/>
      <c r="S689" s="12"/>
      <c r="T689" s="12"/>
      <c r="U689" s="12"/>
      <c r="V689" s="12"/>
      <c r="X689" s="13"/>
      <c r="Y689" s="13"/>
      <c r="Z689" s="13"/>
      <c r="AA689" s="13"/>
      <c r="AB689" s="13"/>
    </row>
    <row r="690" ht="15.75" customHeight="1">
      <c r="A690" s="15"/>
      <c r="B690" s="7"/>
      <c r="C690" s="11"/>
      <c r="D690" s="12"/>
      <c r="E690" s="12"/>
      <c r="F690" s="11"/>
      <c r="G690" s="11"/>
      <c r="H690" s="11"/>
      <c r="I690" s="11"/>
      <c r="J690" s="11"/>
      <c r="K690" s="11"/>
      <c r="L690" s="11"/>
      <c r="M690" s="11"/>
      <c r="N690" s="11"/>
      <c r="O690" s="11"/>
      <c r="R690" s="12"/>
      <c r="S690" s="12"/>
      <c r="T690" s="12"/>
      <c r="U690" s="12"/>
      <c r="V690" s="12"/>
      <c r="X690" s="13"/>
      <c r="Y690" s="13"/>
      <c r="Z690" s="13"/>
      <c r="AA690" s="13"/>
      <c r="AB690" s="13"/>
    </row>
    <row r="691" ht="15.75" customHeight="1">
      <c r="A691" s="15"/>
      <c r="B691" s="7"/>
      <c r="C691" s="11"/>
      <c r="D691" s="12"/>
      <c r="E691" s="12"/>
      <c r="F691" s="11"/>
      <c r="G691" s="11"/>
      <c r="H691" s="11"/>
      <c r="I691" s="11"/>
      <c r="J691" s="11"/>
      <c r="K691" s="11"/>
      <c r="L691" s="11"/>
      <c r="M691" s="11"/>
      <c r="N691" s="11"/>
      <c r="O691" s="11"/>
      <c r="R691" s="12"/>
      <c r="S691" s="12"/>
      <c r="T691" s="12"/>
      <c r="U691" s="12"/>
      <c r="V691" s="12"/>
      <c r="X691" s="13"/>
      <c r="Y691" s="13"/>
      <c r="Z691" s="13"/>
      <c r="AA691" s="13"/>
      <c r="AB691" s="13"/>
    </row>
    <row r="692" ht="15.75" customHeight="1">
      <c r="A692" s="15"/>
      <c r="B692" s="7"/>
      <c r="C692" s="11"/>
      <c r="D692" s="12"/>
      <c r="E692" s="12"/>
      <c r="F692" s="11"/>
      <c r="G692" s="11"/>
      <c r="H692" s="11"/>
      <c r="I692" s="11"/>
      <c r="J692" s="11"/>
      <c r="K692" s="11"/>
      <c r="L692" s="11"/>
      <c r="M692" s="11"/>
      <c r="N692" s="11"/>
      <c r="O692" s="11"/>
      <c r="R692" s="12"/>
      <c r="S692" s="12"/>
      <c r="T692" s="12"/>
      <c r="U692" s="12"/>
      <c r="V692" s="12"/>
      <c r="X692" s="13"/>
      <c r="Y692" s="13"/>
      <c r="Z692" s="13"/>
      <c r="AA692" s="13"/>
      <c r="AB692" s="13"/>
    </row>
    <row r="693" ht="15.75" customHeight="1">
      <c r="A693" s="15"/>
      <c r="B693" s="7"/>
      <c r="C693" s="11"/>
      <c r="D693" s="12"/>
      <c r="E693" s="12"/>
      <c r="F693" s="11"/>
      <c r="G693" s="11"/>
      <c r="H693" s="11"/>
      <c r="I693" s="11"/>
      <c r="J693" s="11"/>
      <c r="K693" s="11"/>
      <c r="L693" s="11"/>
      <c r="M693" s="11"/>
      <c r="N693" s="11"/>
      <c r="O693" s="11"/>
      <c r="R693" s="12"/>
      <c r="S693" s="12"/>
      <c r="T693" s="12"/>
      <c r="U693" s="12"/>
      <c r="V693" s="12"/>
      <c r="X693" s="13"/>
      <c r="Y693" s="13"/>
      <c r="Z693" s="13"/>
      <c r="AA693" s="13"/>
      <c r="AB693" s="13"/>
    </row>
    <row r="694" ht="15.75" customHeight="1">
      <c r="A694" s="15"/>
      <c r="B694" s="7"/>
      <c r="C694" s="11"/>
      <c r="D694" s="12"/>
      <c r="E694" s="12"/>
      <c r="F694" s="11"/>
      <c r="G694" s="11"/>
      <c r="H694" s="11"/>
      <c r="I694" s="11"/>
      <c r="J694" s="11"/>
      <c r="K694" s="11"/>
      <c r="L694" s="11"/>
      <c r="M694" s="11"/>
      <c r="N694" s="11"/>
      <c r="O694" s="11"/>
      <c r="R694" s="12"/>
      <c r="S694" s="12"/>
      <c r="T694" s="12"/>
      <c r="U694" s="12"/>
      <c r="V694" s="12"/>
      <c r="X694" s="13"/>
      <c r="Y694" s="13"/>
      <c r="Z694" s="13"/>
      <c r="AA694" s="13"/>
      <c r="AB694" s="13"/>
    </row>
    <row r="695" ht="15.75" customHeight="1">
      <c r="A695" s="15"/>
      <c r="B695" s="7"/>
      <c r="C695" s="11"/>
      <c r="D695" s="12"/>
      <c r="E695" s="12"/>
      <c r="F695" s="11"/>
      <c r="G695" s="11"/>
      <c r="H695" s="11"/>
      <c r="I695" s="11"/>
      <c r="J695" s="11"/>
      <c r="K695" s="11"/>
      <c r="L695" s="11"/>
      <c r="M695" s="11"/>
      <c r="N695" s="11"/>
      <c r="O695" s="11"/>
      <c r="R695" s="12"/>
      <c r="S695" s="12"/>
      <c r="T695" s="12"/>
      <c r="U695" s="12"/>
      <c r="V695" s="12"/>
      <c r="X695" s="13"/>
      <c r="Y695" s="13"/>
      <c r="Z695" s="13"/>
      <c r="AA695" s="13"/>
      <c r="AB695" s="13"/>
    </row>
    <row r="696" ht="15.75" customHeight="1">
      <c r="A696" s="15"/>
      <c r="B696" s="7"/>
      <c r="C696" s="11"/>
      <c r="D696" s="12"/>
      <c r="E696" s="12"/>
      <c r="F696" s="11"/>
      <c r="G696" s="11"/>
      <c r="H696" s="11"/>
      <c r="I696" s="11"/>
      <c r="J696" s="11"/>
      <c r="K696" s="11"/>
      <c r="L696" s="11"/>
      <c r="M696" s="11"/>
      <c r="N696" s="11"/>
      <c r="O696" s="11"/>
      <c r="R696" s="12"/>
      <c r="S696" s="12"/>
      <c r="T696" s="12"/>
      <c r="U696" s="12"/>
      <c r="V696" s="12"/>
      <c r="X696" s="13"/>
      <c r="Y696" s="13"/>
      <c r="Z696" s="13"/>
      <c r="AA696" s="13"/>
      <c r="AB696" s="13"/>
    </row>
    <row r="697" ht="15.75" customHeight="1">
      <c r="A697" s="15"/>
      <c r="B697" s="7"/>
      <c r="C697" s="11"/>
      <c r="D697" s="12"/>
      <c r="E697" s="12"/>
      <c r="F697" s="11"/>
      <c r="G697" s="11"/>
      <c r="H697" s="11"/>
      <c r="I697" s="11"/>
      <c r="J697" s="11"/>
      <c r="K697" s="11"/>
      <c r="L697" s="11"/>
      <c r="M697" s="11"/>
      <c r="N697" s="11"/>
      <c r="O697" s="11"/>
      <c r="R697" s="12"/>
      <c r="S697" s="12"/>
      <c r="T697" s="12"/>
      <c r="U697" s="12"/>
      <c r="V697" s="12"/>
      <c r="X697" s="13"/>
      <c r="Y697" s="13"/>
      <c r="Z697" s="13"/>
      <c r="AA697" s="13"/>
      <c r="AB697" s="13"/>
    </row>
    <row r="698" ht="15.75" customHeight="1">
      <c r="A698" s="15"/>
      <c r="B698" s="7"/>
      <c r="C698" s="11"/>
      <c r="D698" s="12"/>
      <c r="E698" s="12"/>
      <c r="F698" s="11"/>
      <c r="G698" s="11"/>
      <c r="H698" s="11"/>
      <c r="I698" s="11"/>
      <c r="J698" s="11"/>
      <c r="K698" s="11"/>
      <c r="L698" s="11"/>
      <c r="M698" s="11"/>
      <c r="N698" s="11"/>
      <c r="O698" s="11"/>
      <c r="R698" s="12"/>
      <c r="S698" s="12"/>
      <c r="T698" s="12"/>
      <c r="U698" s="12"/>
      <c r="V698" s="12"/>
      <c r="X698" s="13"/>
      <c r="Y698" s="13"/>
      <c r="Z698" s="13"/>
      <c r="AA698" s="13"/>
      <c r="AB698" s="13"/>
    </row>
    <row r="699" ht="15.75" customHeight="1">
      <c r="A699" s="15"/>
      <c r="B699" s="7"/>
      <c r="C699" s="11"/>
      <c r="D699" s="12"/>
      <c r="E699" s="12"/>
      <c r="F699" s="11"/>
      <c r="G699" s="11"/>
      <c r="H699" s="11"/>
      <c r="I699" s="11"/>
      <c r="J699" s="11"/>
      <c r="K699" s="11"/>
      <c r="L699" s="11"/>
      <c r="M699" s="11"/>
      <c r="N699" s="11"/>
      <c r="O699" s="11"/>
      <c r="R699" s="12"/>
      <c r="S699" s="12"/>
      <c r="T699" s="12"/>
      <c r="U699" s="12"/>
      <c r="V699" s="12"/>
      <c r="X699" s="13"/>
      <c r="Y699" s="13"/>
      <c r="Z699" s="13"/>
      <c r="AA699" s="13"/>
      <c r="AB699" s="13"/>
    </row>
    <row r="700" ht="15.75" customHeight="1">
      <c r="A700" s="15"/>
      <c r="B700" s="7"/>
      <c r="C700" s="11"/>
      <c r="D700" s="12"/>
      <c r="E700" s="12"/>
      <c r="F700" s="11"/>
      <c r="G700" s="11"/>
      <c r="H700" s="11"/>
      <c r="I700" s="11"/>
      <c r="J700" s="11"/>
      <c r="K700" s="11"/>
      <c r="L700" s="11"/>
      <c r="M700" s="11"/>
      <c r="N700" s="11"/>
      <c r="O700" s="11"/>
      <c r="R700" s="12"/>
      <c r="S700" s="12"/>
      <c r="T700" s="12"/>
      <c r="U700" s="12"/>
      <c r="V700" s="12"/>
      <c r="X700" s="13"/>
      <c r="Y700" s="13"/>
      <c r="Z700" s="13"/>
      <c r="AA700" s="13"/>
      <c r="AB700" s="13"/>
    </row>
    <row r="701" ht="15.75" customHeight="1">
      <c r="A701" s="15"/>
      <c r="B701" s="7"/>
      <c r="C701" s="11"/>
      <c r="D701" s="12"/>
      <c r="E701" s="12"/>
      <c r="F701" s="11"/>
      <c r="G701" s="11"/>
      <c r="H701" s="11"/>
      <c r="I701" s="11"/>
      <c r="J701" s="11"/>
      <c r="K701" s="11"/>
      <c r="L701" s="11"/>
      <c r="M701" s="11"/>
      <c r="N701" s="11"/>
      <c r="O701" s="11"/>
      <c r="R701" s="12"/>
      <c r="S701" s="12"/>
      <c r="T701" s="12"/>
      <c r="U701" s="12"/>
      <c r="V701" s="12"/>
      <c r="X701" s="13"/>
      <c r="Y701" s="13"/>
      <c r="Z701" s="13"/>
      <c r="AA701" s="13"/>
      <c r="AB701" s="13"/>
    </row>
    <row r="702" ht="15.75" customHeight="1">
      <c r="A702" s="15"/>
      <c r="B702" s="7"/>
      <c r="C702" s="11"/>
      <c r="D702" s="12"/>
      <c r="E702" s="12"/>
      <c r="F702" s="11"/>
      <c r="G702" s="11"/>
      <c r="H702" s="11"/>
      <c r="I702" s="11"/>
      <c r="J702" s="11"/>
      <c r="K702" s="11"/>
      <c r="L702" s="11"/>
      <c r="M702" s="11"/>
      <c r="N702" s="11"/>
      <c r="O702" s="11"/>
      <c r="R702" s="12"/>
      <c r="S702" s="12"/>
      <c r="T702" s="12"/>
      <c r="U702" s="12"/>
      <c r="V702" s="12"/>
      <c r="X702" s="13"/>
      <c r="Y702" s="13"/>
      <c r="Z702" s="13"/>
      <c r="AA702" s="13"/>
      <c r="AB702" s="13"/>
    </row>
    <row r="703" ht="15.75" customHeight="1">
      <c r="A703" s="15"/>
      <c r="B703" s="7"/>
      <c r="C703" s="11"/>
      <c r="D703" s="12"/>
      <c r="E703" s="12"/>
      <c r="F703" s="11"/>
      <c r="G703" s="11"/>
      <c r="H703" s="11"/>
      <c r="I703" s="11"/>
      <c r="J703" s="11"/>
      <c r="K703" s="11"/>
      <c r="L703" s="11"/>
      <c r="M703" s="11"/>
      <c r="N703" s="11"/>
      <c r="O703" s="11"/>
      <c r="R703" s="12"/>
      <c r="S703" s="12"/>
      <c r="T703" s="12"/>
      <c r="U703" s="12"/>
      <c r="V703" s="12"/>
      <c r="X703" s="13"/>
      <c r="Y703" s="13"/>
      <c r="Z703" s="13"/>
      <c r="AA703" s="13"/>
      <c r="AB703" s="13"/>
    </row>
    <row r="704" ht="15.75" customHeight="1">
      <c r="A704" s="15"/>
      <c r="B704" s="7"/>
      <c r="C704" s="11"/>
      <c r="D704" s="12"/>
      <c r="E704" s="12"/>
      <c r="F704" s="11"/>
      <c r="G704" s="11"/>
      <c r="H704" s="11"/>
      <c r="I704" s="11"/>
      <c r="J704" s="11"/>
      <c r="K704" s="11"/>
      <c r="L704" s="11"/>
      <c r="M704" s="11"/>
      <c r="N704" s="11"/>
      <c r="O704" s="11"/>
      <c r="R704" s="12"/>
      <c r="S704" s="12"/>
      <c r="T704" s="12"/>
      <c r="U704" s="12"/>
      <c r="V704" s="12"/>
      <c r="X704" s="13"/>
      <c r="Y704" s="13"/>
      <c r="Z704" s="13"/>
      <c r="AA704" s="13"/>
      <c r="AB704" s="13"/>
    </row>
    <row r="705" ht="15.75" customHeight="1">
      <c r="A705" s="15"/>
      <c r="B705" s="7"/>
      <c r="C705" s="11"/>
      <c r="D705" s="12"/>
      <c r="E705" s="12"/>
      <c r="F705" s="11"/>
      <c r="G705" s="11"/>
      <c r="H705" s="11"/>
      <c r="I705" s="11"/>
      <c r="J705" s="11"/>
      <c r="K705" s="11"/>
      <c r="L705" s="11"/>
      <c r="M705" s="11"/>
      <c r="N705" s="11"/>
      <c r="O705" s="11"/>
      <c r="R705" s="12"/>
      <c r="S705" s="12"/>
      <c r="T705" s="12"/>
      <c r="U705" s="12"/>
      <c r="V705" s="12"/>
      <c r="X705" s="13"/>
      <c r="Y705" s="13"/>
      <c r="Z705" s="13"/>
      <c r="AA705" s="13"/>
      <c r="AB705" s="13"/>
    </row>
    <row r="706" ht="15.75" customHeight="1">
      <c r="A706" s="15"/>
      <c r="B706" s="7"/>
      <c r="C706" s="11"/>
      <c r="D706" s="12"/>
      <c r="E706" s="12"/>
      <c r="F706" s="11"/>
      <c r="G706" s="11"/>
      <c r="H706" s="11"/>
      <c r="I706" s="11"/>
      <c r="J706" s="11"/>
      <c r="K706" s="11"/>
      <c r="L706" s="11"/>
      <c r="M706" s="11"/>
      <c r="N706" s="11"/>
      <c r="O706" s="11"/>
      <c r="R706" s="12"/>
      <c r="S706" s="12"/>
      <c r="T706" s="12"/>
      <c r="U706" s="12"/>
      <c r="V706" s="12"/>
      <c r="X706" s="13"/>
      <c r="Y706" s="13"/>
      <c r="Z706" s="13"/>
      <c r="AA706" s="13"/>
      <c r="AB706" s="13"/>
    </row>
    <row r="707" ht="15.75" customHeight="1">
      <c r="A707" s="15"/>
      <c r="B707" s="7"/>
      <c r="C707" s="11"/>
      <c r="D707" s="12"/>
      <c r="E707" s="12"/>
      <c r="F707" s="11"/>
      <c r="G707" s="11"/>
      <c r="H707" s="11"/>
      <c r="I707" s="11"/>
      <c r="J707" s="11"/>
      <c r="K707" s="11"/>
      <c r="L707" s="11"/>
      <c r="M707" s="11"/>
      <c r="N707" s="11"/>
      <c r="O707" s="11"/>
      <c r="R707" s="12"/>
      <c r="S707" s="12"/>
      <c r="T707" s="12"/>
      <c r="U707" s="12"/>
      <c r="V707" s="12"/>
      <c r="X707" s="13"/>
      <c r="Y707" s="13"/>
      <c r="Z707" s="13"/>
      <c r="AA707" s="13"/>
      <c r="AB707" s="13"/>
    </row>
    <row r="708" ht="15.75" customHeight="1">
      <c r="A708" s="15"/>
      <c r="B708" s="7"/>
      <c r="C708" s="11"/>
      <c r="D708" s="12"/>
      <c r="E708" s="12"/>
      <c r="F708" s="11"/>
      <c r="G708" s="11"/>
      <c r="H708" s="11"/>
      <c r="I708" s="11"/>
      <c r="J708" s="11"/>
      <c r="K708" s="11"/>
      <c r="L708" s="11"/>
      <c r="M708" s="11"/>
      <c r="N708" s="11"/>
      <c r="O708" s="11"/>
      <c r="R708" s="12"/>
      <c r="S708" s="12"/>
      <c r="T708" s="12"/>
      <c r="U708" s="12"/>
      <c r="V708" s="12"/>
      <c r="X708" s="13"/>
      <c r="Y708" s="13"/>
      <c r="Z708" s="13"/>
      <c r="AA708" s="13"/>
      <c r="AB708" s="13"/>
    </row>
    <row r="709" ht="15.75" customHeight="1">
      <c r="A709" s="15"/>
      <c r="B709" s="7"/>
      <c r="C709" s="11"/>
      <c r="D709" s="12"/>
      <c r="E709" s="12"/>
      <c r="F709" s="11"/>
      <c r="G709" s="11"/>
      <c r="H709" s="11"/>
      <c r="I709" s="11"/>
      <c r="J709" s="11"/>
      <c r="K709" s="11"/>
      <c r="L709" s="11"/>
      <c r="M709" s="11"/>
      <c r="N709" s="11"/>
      <c r="O709" s="11"/>
      <c r="R709" s="12"/>
      <c r="S709" s="12"/>
      <c r="T709" s="12"/>
      <c r="U709" s="12"/>
      <c r="V709" s="12"/>
      <c r="X709" s="13"/>
      <c r="Y709" s="13"/>
      <c r="Z709" s="13"/>
      <c r="AA709" s="13"/>
      <c r="AB709" s="13"/>
    </row>
    <row r="710" ht="15.75" customHeight="1">
      <c r="A710" s="15"/>
      <c r="B710" s="7"/>
      <c r="C710" s="11"/>
      <c r="D710" s="12"/>
      <c r="E710" s="12"/>
      <c r="F710" s="11"/>
      <c r="G710" s="11"/>
      <c r="H710" s="11"/>
      <c r="I710" s="11"/>
      <c r="J710" s="11"/>
      <c r="K710" s="11"/>
      <c r="L710" s="11"/>
      <c r="M710" s="11"/>
      <c r="N710" s="11"/>
      <c r="O710" s="11"/>
      <c r="R710" s="12"/>
      <c r="S710" s="12"/>
      <c r="T710" s="12"/>
      <c r="U710" s="12"/>
      <c r="V710" s="12"/>
      <c r="X710" s="13"/>
      <c r="Y710" s="13"/>
      <c r="Z710" s="13"/>
      <c r="AA710" s="13"/>
      <c r="AB710" s="13"/>
    </row>
    <row r="711" ht="15.75" customHeight="1">
      <c r="A711" s="15"/>
      <c r="B711" s="7"/>
      <c r="C711" s="11"/>
      <c r="D711" s="12"/>
      <c r="E711" s="12"/>
      <c r="F711" s="11"/>
      <c r="G711" s="11"/>
      <c r="H711" s="11"/>
      <c r="I711" s="11"/>
      <c r="J711" s="11"/>
      <c r="K711" s="11"/>
      <c r="L711" s="11"/>
      <c r="M711" s="11"/>
      <c r="N711" s="11"/>
      <c r="O711" s="11"/>
      <c r="R711" s="12"/>
      <c r="S711" s="12"/>
      <c r="T711" s="12"/>
      <c r="U711" s="12"/>
      <c r="V711" s="12"/>
      <c r="X711" s="13"/>
      <c r="Y711" s="13"/>
      <c r="Z711" s="13"/>
      <c r="AA711" s="13"/>
      <c r="AB711" s="13"/>
    </row>
    <row r="712" ht="15.75" customHeight="1">
      <c r="A712" s="15"/>
      <c r="B712" s="7"/>
      <c r="C712" s="11"/>
      <c r="D712" s="12"/>
      <c r="E712" s="12"/>
      <c r="F712" s="11"/>
      <c r="G712" s="11"/>
      <c r="H712" s="11"/>
      <c r="I712" s="11"/>
      <c r="J712" s="11"/>
      <c r="K712" s="11"/>
      <c r="L712" s="11"/>
      <c r="M712" s="11"/>
      <c r="N712" s="11"/>
      <c r="O712" s="11"/>
      <c r="R712" s="12"/>
      <c r="S712" s="12"/>
      <c r="T712" s="12"/>
      <c r="U712" s="12"/>
      <c r="V712" s="12"/>
      <c r="X712" s="13"/>
      <c r="Y712" s="13"/>
      <c r="Z712" s="13"/>
      <c r="AA712" s="13"/>
      <c r="AB712" s="13"/>
    </row>
    <row r="713" ht="15.75" customHeight="1">
      <c r="A713" s="15"/>
      <c r="B713" s="7"/>
      <c r="C713" s="11"/>
      <c r="D713" s="12"/>
      <c r="E713" s="12"/>
      <c r="F713" s="11"/>
      <c r="G713" s="11"/>
      <c r="H713" s="11"/>
      <c r="I713" s="11"/>
      <c r="J713" s="11"/>
      <c r="K713" s="11"/>
      <c r="L713" s="11"/>
      <c r="M713" s="11"/>
      <c r="N713" s="11"/>
      <c r="O713" s="11"/>
      <c r="R713" s="12"/>
      <c r="S713" s="12"/>
      <c r="T713" s="12"/>
      <c r="U713" s="12"/>
      <c r="V713" s="12"/>
      <c r="X713" s="13"/>
      <c r="Y713" s="13"/>
      <c r="Z713" s="13"/>
      <c r="AA713" s="13"/>
      <c r="AB713" s="13"/>
    </row>
    <row r="714" ht="15.75" customHeight="1">
      <c r="A714" s="15"/>
      <c r="B714" s="7"/>
      <c r="C714" s="11"/>
      <c r="D714" s="12"/>
      <c r="E714" s="12"/>
      <c r="F714" s="11"/>
      <c r="G714" s="11"/>
      <c r="H714" s="11"/>
      <c r="I714" s="11"/>
      <c r="J714" s="11"/>
      <c r="K714" s="11"/>
      <c r="L714" s="11"/>
      <c r="M714" s="11"/>
      <c r="N714" s="11"/>
      <c r="O714" s="11"/>
      <c r="R714" s="12"/>
      <c r="S714" s="12"/>
      <c r="T714" s="12"/>
      <c r="U714" s="12"/>
      <c r="V714" s="12"/>
      <c r="X714" s="13"/>
      <c r="Y714" s="13"/>
      <c r="Z714" s="13"/>
      <c r="AA714" s="13"/>
      <c r="AB714" s="13"/>
    </row>
    <row r="715" ht="15.75" customHeight="1">
      <c r="A715" s="15"/>
      <c r="B715" s="7"/>
      <c r="C715" s="11"/>
      <c r="D715" s="12"/>
      <c r="E715" s="12"/>
      <c r="F715" s="11"/>
      <c r="G715" s="11"/>
      <c r="H715" s="11"/>
      <c r="I715" s="11"/>
      <c r="J715" s="11"/>
      <c r="K715" s="11"/>
      <c r="L715" s="11"/>
      <c r="M715" s="11"/>
      <c r="N715" s="11"/>
      <c r="O715" s="11"/>
      <c r="R715" s="12"/>
      <c r="S715" s="12"/>
      <c r="T715" s="12"/>
      <c r="U715" s="12"/>
      <c r="V715" s="12"/>
      <c r="X715" s="13"/>
      <c r="Y715" s="13"/>
      <c r="Z715" s="13"/>
      <c r="AA715" s="13"/>
      <c r="AB715" s="13"/>
    </row>
    <row r="716" ht="15.75" customHeight="1">
      <c r="A716" s="15"/>
      <c r="B716" s="7"/>
      <c r="C716" s="11"/>
      <c r="D716" s="12"/>
      <c r="E716" s="12"/>
      <c r="F716" s="11"/>
      <c r="G716" s="11"/>
      <c r="H716" s="11"/>
      <c r="I716" s="11"/>
      <c r="J716" s="11"/>
      <c r="K716" s="11"/>
      <c r="L716" s="11"/>
      <c r="M716" s="11"/>
      <c r="N716" s="11"/>
      <c r="O716" s="11"/>
      <c r="R716" s="12"/>
      <c r="S716" s="12"/>
      <c r="T716" s="12"/>
      <c r="U716" s="12"/>
      <c r="V716" s="12"/>
      <c r="X716" s="13"/>
      <c r="Y716" s="13"/>
      <c r="Z716" s="13"/>
      <c r="AA716" s="13"/>
      <c r="AB716" s="13"/>
    </row>
    <row r="717" ht="15.75" customHeight="1">
      <c r="A717" s="15"/>
      <c r="B717" s="7"/>
      <c r="C717" s="11"/>
      <c r="D717" s="12"/>
      <c r="E717" s="12"/>
      <c r="F717" s="11"/>
      <c r="G717" s="11"/>
      <c r="H717" s="11"/>
      <c r="I717" s="11"/>
      <c r="J717" s="11"/>
      <c r="K717" s="11"/>
      <c r="L717" s="11"/>
      <c r="M717" s="11"/>
      <c r="N717" s="11"/>
      <c r="O717" s="11"/>
      <c r="R717" s="12"/>
      <c r="S717" s="12"/>
      <c r="T717" s="12"/>
      <c r="U717" s="12"/>
      <c r="V717" s="12"/>
      <c r="X717" s="13"/>
      <c r="Y717" s="13"/>
      <c r="Z717" s="13"/>
      <c r="AA717" s="13"/>
      <c r="AB717" s="13"/>
    </row>
    <row r="718" ht="15.75" customHeight="1">
      <c r="A718" s="15"/>
      <c r="B718" s="7"/>
      <c r="C718" s="11"/>
      <c r="D718" s="12"/>
      <c r="E718" s="12"/>
      <c r="F718" s="11"/>
      <c r="G718" s="11"/>
      <c r="H718" s="11"/>
      <c r="I718" s="11"/>
      <c r="J718" s="11"/>
      <c r="K718" s="11"/>
      <c r="L718" s="11"/>
      <c r="M718" s="11"/>
      <c r="N718" s="11"/>
      <c r="O718" s="11"/>
      <c r="R718" s="12"/>
      <c r="S718" s="12"/>
      <c r="T718" s="12"/>
      <c r="U718" s="12"/>
      <c r="V718" s="12"/>
      <c r="X718" s="13"/>
      <c r="Y718" s="13"/>
      <c r="Z718" s="13"/>
      <c r="AA718" s="13"/>
      <c r="AB718" s="13"/>
    </row>
    <row r="719" ht="15.75" customHeight="1">
      <c r="A719" s="15"/>
      <c r="B719" s="7"/>
      <c r="C719" s="11"/>
      <c r="D719" s="12"/>
      <c r="E719" s="12"/>
      <c r="F719" s="11"/>
      <c r="G719" s="11"/>
      <c r="H719" s="11"/>
      <c r="I719" s="11"/>
      <c r="J719" s="11"/>
      <c r="K719" s="11"/>
      <c r="L719" s="11"/>
      <c r="M719" s="11"/>
      <c r="N719" s="11"/>
      <c r="O719" s="11"/>
      <c r="R719" s="12"/>
      <c r="S719" s="12"/>
      <c r="T719" s="12"/>
      <c r="U719" s="12"/>
      <c r="V719" s="12"/>
      <c r="X719" s="13"/>
      <c r="Y719" s="13"/>
      <c r="Z719" s="13"/>
      <c r="AA719" s="13"/>
      <c r="AB719" s="13"/>
    </row>
    <row r="720" ht="15.75" customHeight="1">
      <c r="A720" s="15"/>
      <c r="B720" s="7"/>
      <c r="C720" s="11"/>
      <c r="D720" s="12"/>
      <c r="E720" s="12"/>
      <c r="F720" s="11"/>
      <c r="G720" s="11"/>
      <c r="H720" s="11"/>
      <c r="I720" s="11"/>
      <c r="J720" s="11"/>
      <c r="K720" s="11"/>
      <c r="L720" s="11"/>
      <c r="M720" s="11"/>
      <c r="N720" s="11"/>
      <c r="O720" s="11"/>
      <c r="R720" s="12"/>
      <c r="S720" s="12"/>
      <c r="T720" s="12"/>
      <c r="U720" s="12"/>
      <c r="V720" s="12"/>
      <c r="X720" s="13"/>
      <c r="Y720" s="13"/>
      <c r="Z720" s="13"/>
      <c r="AA720" s="13"/>
      <c r="AB720" s="13"/>
    </row>
    <row r="721" ht="15.75" customHeight="1">
      <c r="A721" s="15"/>
      <c r="B721" s="7"/>
      <c r="C721" s="11"/>
      <c r="D721" s="12"/>
      <c r="E721" s="12"/>
      <c r="F721" s="11"/>
      <c r="G721" s="11"/>
      <c r="H721" s="11"/>
      <c r="I721" s="11"/>
      <c r="J721" s="11"/>
      <c r="K721" s="11"/>
      <c r="L721" s="11"/>
      <c r="M721" s="11"/>
      <c r="N721" s="11"/>
      <c r="O721" s="11"/>
      <c r="R721" s="12"/>
      <c r="S721" s="12"/>
      <c r="T721" s="12"/>
      <c r="U721" s="12"/>
      <c r="V721" s="12"/>
      <c r="X721" s="13"/>
      <c r="Y721" s="13"/>
      <c r="Z721" s="13"/>
      <c r="AA721" s="13"/>
      <c r="AB721" s="13"/>
    </row>
    <row r="722" ht="15.75" customHeight="1">
      <c r="A722" s="15"/>
      <c r="B722" s="7"/>
      <c r="C722" s="11"/>
      <c r="D722" s="12"/>
      <c r="E722" s="12"/>
      <c r="F722" s="11"/>
      <c r="G722" s="11"/>
      <c r="H722" s="11"/>
      <c r="I722" s="11"/>
      <c r="J722" s="11"/>
      <c r="K722" s="11"/>
      <c r="L722" s="11"/>
      <c r="M722" s="11"/>
      <c r="N722" s="11"/>
      <c r="O722" s="11"/>
      <c r="R722" s="12"/>
      <c r="S722" s="12"/>
      <c r="T722" s="12"/>
      <c r="U722" s="12"/>
      <c r="V722" s="12"/>
      <c r="X722" s="13"/>
      <c r="Y722" s="13"/>
      <c r="Z722" s="13"/>
      <c r="AA722" s="13"/>
      <c r="AB722" s="13"/>
    </row>
    <row r="723" ht="15.75" customHeight="1">
      <c r="A723" s="15"/>
      <c r="B723" s="7"/>
      <c r="C723" s="11"/>
      <c r="D723" s="12"/>
      <c r="E723" s="12"/>
      <c r="F723" s="11"/>
      <c r="G723" s="11"/>
      <c r="H723" s="11"/>
      <c r="I723" s="11"/>
      <c r="J723" s="11"/>
      <c r="K723" s="11"/>
      <c r="L723" s="11"/>
      <c r="M723" s="11"/>
      <c r="N723" s="11"/>
      <c r="O723" s="11"/>
      <c r="R723" s="12"/>
      <c r="S723" s="12"/>
      <c r="T723" s="12"/>
      <c r="U723" s="12"/>
      <c r="V723" s="12"/>
      <c r="X723" s="13"/>
      <c r="Y723" s="13"/>
      <c r="Z723" s="13"/>
      <c r="AA723" s="13"/>
      <c r="AB723" s="13"/>
    </row>
    <row r="724" ht="15.75" customHeight="1">
      <c r="A724" s="15"/>
      <c r="B724" s="7"/>
      <c r="C724" s="11"/>
      <c r="D724" s="12"/>
      <c r="E724" s="12"/>
      <c r="F724" s="11"/>
      <c r="G724" s="11"/>
      <c r="H724" s="11"/>
      <c r="I724" s="11"/>
      <c r="J724" s="11"/>
      <c r="K724" s="11"/>
      <c r="L724" s="11"/>
      <c r="M724" s="11"/>
      <c r="N724" s="11"/>
      <c r="O724" s="11"/>
      <c r="R724" s="12"/>
      <c r="S724" s="12"/>
      <c r="T724" s="12"/>
      <c r="U724" s="12"/>
      <c r="V724" s="12"/>
      <c r="X724" s="13"/>
      <c r="Y724" s="13"/>
      <c r="Z724" s="13"/>
      <c r="AA724" s="13"/>
      <c r="AB724" s="13"/>
    </row>
    <row r="725" ht="15.75" customHeight="1">
      <c r="A725" s="15"/>
      <c r="B725" s="7"/>
      <c r="C725" s="11"/>
      <c r="D725" s="12"/>
      <c r="E725" s="12"/>
      <c r="F725" s="11"/>
      <c r="G725" s="11"/>
      <c r="H725" s="11"/>
      <c r="I725" s="11"/>
      <c r="J725" s="11"/>
      <c r="K725" s="11"/>
      <c r="L725" s="11"/>
      <c r="M725" s="11"/>
      <c r="N725" s="11"/>
      <c r="O725" s="11"/>
      <c r="R725" s="12"/>
      <c r="S725" s="12"/>
      <c r="T725" s="12"/>
      <c r="U725" s="12"/>
      <c r="V725" s="12"/>
      <c r="X725" s="13"/>
      <c r="Y725" s="13"/>
      <c r="Z725" s="13"/>
      <c r="AA725" s="13"/>
      <c r="AB725" s="13"/>
    </row>
    <row r="726" ht="15.75" customHeight="1">
      <c r="A726" s="15"/>
      <c r="B726" s="7"/>
      <c r="C726" s="11"/>
      <c r="D726" s="12"/>
      <c r="E726" s="12"/>
      <c r="F726" s="11"/>
      <c r="G726" s="11"/>
      <c r="H726" s="11"/>
      <c r="I726" s="11"/>
      <c r="J726" s="11"/>
      <c r="K726" s="11"/>
      <c r="L726" s="11"/>
      <c r="M726" s="11"/>
      <c r="N726" s="11"/>
      <c r="O726" s="11"/>
      <c r="R726" s="12"/>
      <c r="S726" s="12"/>
      <c r="T726" s="12"/>
      <c r="U726" s="12"/>
      <c r="V726" s="12"/>
      <c r="X726" s="13"/>
      <c r="Y726" s="13"/>
      <c r="Z726" s="13"/>
      <c r="AA726" s="13"/>
      <c r="AB726" s="13"/>
    </row>
    <row r="727" ht="15.75" customHeight="1">
      <c r="A727" s="15"/>
      <c r="B727" s="7"/>
      <c r="C727" s="11"/>
      <c r="D727" s="12"/>
      <c r="E727" s="12"/>
      <c r="F727" s="11"/>
      <c r="G727" s="11"/>
      <c r="H727" s="11"/>
      <c r="I727" s="11"/>
      <c r="J727" s="11"/>
      <c r="K727" s="11"/>
      <c r="L727" s="11"/>
      <c r="M727" s="11"/>
      <c r="N727" s="11"/>
      <c r="O727" s="11"/>
      <c r="R727" s="12"/>
      <c r="S727" s="12"/>
      <c r="T727" s="12"/>
      <c r="U727" s="12"/>
      <c r="V727" s="12"/>
      <c r="X727" s="13"/>
      <c r="Y727" s="13"/>
      <c r="Z727" s="13"/>
      <c r="AA727" s="13"/>
      <c r="AB727" s="13"/>
    </row>
    <row r="728" ht="15.75" customHeight="1">
      <c r="A728" s="15"/>
      <c r="B728" s="7"/>
      <c r="C728" s="11"/>
      <c r="D728" s="12"/>
      <c r="E728" s="12"/>
      <c r="F728" s="11"/>
      <c r="G728" s="11"/>
      <c r="H728" s="11"/>
      <c r="I728" s="11"/>
      <c r="J728" s="11"/>
      <c r="K728" s="11"/>
      <c r="L728" s="11"/>
      <c r="M728" s="11"/>
      <c r="N728" s="11"/>
      <c r="O728" s="11"/>
      <c r="R728" s="12"/>
      <c r="S728" s="12"/>
      <c r="T728" s="12"/>
      <c r="U728" s="12"/>
      <c r="V728" s="12"/>
      <c r="X728" s="13"/>
      <c r="Y728" s="13"/>
      <c r="Z728" s="13"/>
      <c r="AA728" s="13"/>
      <c r="AB728" s="13"/>
    </row>
    <row r="729" ht="15.75" customHeight="1">
      <c r="A729" s="15"/>
      <c r="B729" s="7"/>
      <c r="C729" s="11"/>
      <c r="D729" s="12"/>
      <c r="E729" s="12"/>
      <c r="F729" s="11"/>
      <c r="G729" s="11"/>
      <c r="H729" s="11"/>
      <c r="I729" s="11"/>
      <c r="J729" s="11"/>
      <c r="K729" s="11"/>
      <c r="L729" s="11"/>
      <c r="M729" s="11"/>
      <c r="N729" s="11"/>
      <c r="O729" s="11"/>
      <c r="R729" s="12"/>
      <c r="S729" s="12"/>
      <c r="T729" s="12"/>
      <c r="U729" s="12"/>
      <c r="V729" s="12"/>
      <c r="X729" s="13"/>
      <c r="Y729" s="13"/>
      <c r="Z729" s="13"/>
      <c r="AA729" s="13"/>
      <c r="AB729" s="13"/>
    </row>
    <row r="730" ht="15.75" customHeight="1">
      <c r="A730" s="15"/>
      <c r="B730" s="7"/>
      <c r="C730" s="11"/>
      <c r="D730" s="12"/>
      <c r="E730" s="12"/>
      <c r="F730" s="11"/>
      <c r="G730" s="11"/>
      <c r="H730" s="11"/>
      <c r="I730" s="11"/>
      <c r="J730" s="11"/>
      <c r="K730" s="11"/>
      <c r="L730" s="11"/>
      <c r="M730" s="11"/>
      <c r="N730" s="11"/>
      <c r="O730" s="11"/>
      <c r="R730" s="12"/>
      <c r="S730" s="12"/>
      <c r="T730" s="12"/>
      <c r="U730" s="12"/>
      <c r="V730" s="12"/>
      <c r="X730" s="13"/>
      <c r="Y730" s="13"/>
      <c r="Z730" s="13"/>
      <c r="AA730" s="13"/>
      <c r="AB730" s="13"/>
    </row>
    <row r="731" ht="15.75" customHeight="1">
      <c r="A731" s="15"/>
      <c r="B731" s="7"/>
      <c r="C731" s="11"/>
      <c r="D731" s="12"/>
      <c r="E731" s="12"/>
      <c r="F731" s="11"/>
      <c r="G731" s="11"/>
      <c r="H731" s="11"/>
      <c r="I731" s="11"/>
      <c r="J731" s="11"/>
      <c r="K731" s="11"/>
      <c r="L731" s="11"/>
      <c r="M731" s="11"/>
      <c r="N731" s="11"/>
      <c r="O731" s="11"/>
      <c r="R731" s="12"/>
      <c r="S731" s="12"/>
      <c r="T731" s="12"/>
      <c r="U731" s="12"/>
      <c r="V731" s="12"/>
      <c r="X731" s="13"/>
      <c r="Y731" s="13"/>
      <c r="Z731" s="13"/>
      <c r="AA731" s="13"/>
      <c r="AB731" s="13"/>
    </row>
    <row r="732" ht="15.75" customHeight="1">
      <c r="A732" s="15"/>
      <c r="B732" s="7"/>
      <c r="C732" s="11"/>
      <c r="D732" s="12"/>
      <c r="E732" s="12"/>
      <c r="F732" s="11"/>
      <c r="G732" s="11"/>
      <c r="H732" s="11"/>
      <c r="I732" s="11"/>
      <c r="J732" s="11"/>
      <c r="K732" s="11"/>
      <c r="L732" s="11"/>
      <c r="M732" s="11"/>
      <c r="N732" s="11"/>
      <c r="O732" s="11"/>
      <c r="R732" s="12"/>
      <c r="S732" s="12"/>
      <c r="T732" s="12"/>
      <c r="U732" s="12"/>
      <c r="V732" s="12"/>
      <c r="X732" s="13"/>
      <c r="Y732" s="13"/>
      <c r="Z732" s="13"/>
      <c r="AA732" s="13"/>
      <c r="AB732" s="13"/>
    </row>
    <row r="733" ht="15.75" customHeight="1">
      <c r="A733" s="15"/>
      <c r="B733" s="7"/>
      <c r="C733" s="11"/>
      <c r="D733" s="12"/>
      <c r="E733" s="12"/>
      <c r="F733" s="11"/>
      <c r="G733" s="11"/>
      <c r="H733" s="11"/>
      <c r="I733" s="11"/>
      <c r="J733" s="11"/>
      <c r="K733" s="11"/>
      <c r="L733" s="11"/>
      <c r="M733" s="11"/>
      <c r="N733" s="11"/>
      <c r="O733" s="11"/>
      <c r="R733" s="12"/>
      <c r="S733" s="12"/>
      <c r="T733" s="12"/>
      <c r="U733" s="12"/>
      <c r="V733" s="12"/>
      <c r="X733" s="13"/>
      <c r="Y733" s="13"/>
      <c r="Z733" s="13"/>
      <c r="AA733" s="13"/>
      <c r="AB733" s="13"/>
    </row>
    <row r="734" ht="15.75" customHeight="1">
      <c r="A734" s="15"/>
      <c r="B734" s="7"/>
      <c r="C734" s="11"/>
      <c r="D734" s="12"/>
      <c r="E734" s="12"/>
      <c r="F734" s="11"/>
      <c r="G734" s="11"/>
      <c r="H734" s="11"/>
      <c r="I734" s="11"/>
      <c r="J734" s="11"/>
      <c r="K734" s="11"/>
      <c r="L734" s="11"/>
      <c r="M734" s="11"/>
      <c r="N734" s="11"/>
      <c r="O734" s="11"/>
      <c r="R734" s="12"/>
      <c r="S734" s="12"/>
      <c r="T734" s="12"/>
      <c r="U734" s="12"/>
      <c r="V734" s="12"/>
      <c r="X734" s="13"/>
      <c r="Y734" s="13"/>
      <c r="Z734" s="13"/>
      <c r="AA734" s="13"/>
      <c r="AB734" s="13"/>
    </row>
    <row r="735" ht="15.75" customHeight="1">
      <c r="A735" s="15"/>
      <c r="B735" s="7"/>
      <c r="C735" s="11"/>
      <c r="D735" s="12"/>
      <c r="E735" s="12"/>
      <c r="F735" s="11"/>
      <c r="G735" s="11"/>
      <c r="H735" s="11"/>
      <c r="I735" s="11"/>
      <c r="J735" s="11"/>
      <c r="K735" s="11"/>
      <c r="L735" s="11"/>
      <c r="M735" s="11"/>
      <c r="N735" s="11"/>
      <c r="O735" s="11"/>
      <c r="R735" s="12"/>
      <c r="S735" s="12"/>
      <c r="T735" s="12"/>
      <c r="U735" s="12"/>
      <c r="V735" s="12"/>
      <c r="X735" s="13"/>
      <c r="Y735" s="13"/>
      <c r="Z735" s="13"/>
      <c r="AA735" s="13"/>
      <c r="AB735" s="13"/>
    </row>
    <row r="736" ht="15.75" customHeight="1">
      <c r="A736" s="15"/>
      <c r="B736" s="7"/>
      <c r="C736" s="11"/>
      <c r="D736" s="12"/>
      <c r="E736" s="12"/>
      <c r="F736" s="11"/>
      <c r="G736" s="11"/>
      <c r="H736" s="11"/>
      <c r="I736" s="11"/>
      <c r="J736" s="11"/>
      <c r="K736" s="11"/>
      <c r="L736" s="11"/>
      <c r="M736" s="11"/>
      <c r="N736" s="11"/>
      <c r="O736" s="11"/>
      <c r="R736" s="12"/>
      <c r="S736" s="12"/>
      <c r="T736" s="12"/>
      <c r="U736" s="12"/>
      <c r="V736" s="12"/>
      <c r="X736" s="13"/>
      <c r="Y736" s="13"/>
      <c r="Z736" s="13"/>
      <c r="AA736" s="13"/>
      <c r="AB736" s="13"/>
    </row>
    <row r="737" ht="15.75" customHeight="1">
      <c r="A737" s="15"/>
      <c r="B737" s="7"/>
      <c r="C737" s="11"/>
      <c r="D737" s="12"/>
      <c r="E737" s="12"/>
      <c r="F737" s="11"/>
      <c r="G737" s="11"/>
      <c r="H737" s="11"/>
      <c r="I737" s="11"/>
      <c r="J737" s="11"/>
      <c r="K737" s="11"/>
      <c r="L737" s="11"/>
      <c r="M737" s="11"/>
      <c r="N737" s="11"/>
      <c r="O737" s="11"/>
      <c r="R737" s="12"/>
      <c r="S737" s="12"/>
      <c r="T737" s="12"/>
      <c r="U737" s="12"/>
      <c r="V737" s="12"/>
      <c r="X737" s="13"/>
      <c r="Y737" s="13"/>
      <c r="Z737" s="13"/>
      <c r="AA737" s="13"/>
      <c r="AB737" s="13"/>
    </row>
    <row r="738" ht="15.75" customHeight="1">
      <c r="A738" s="15"/>
      <c r="B738" s="7"/>
      <c r="C738" s="11"/>
      <c r="D738" s="12"/>
      <c r="E738" s="12"/>
      <c r="F738" s="11"/>
      <c r="G738" s="11"/>
      <c r="H738" s="11"/>
      <c r="I738" s="11"/>
      <c r="J738" s="11"/>
      <c r="K738" s="11"/>
      <c r="L738" s="11"/>
      <c r="M738" s="11"/>
      <c r="N738" s="11"/>
      <c r="O738" s="11"/>
      <c r="R738" s="12"/>
      <c r="S738" s="12"/>
      <c r="T738" s="12"/>
      <c r="U738" s="12"/>
      <c r="V738" s="12"/>
      <c r="X738" s="13"/>
      <c r="Y738" s="13"/>
      <c r="Z738" s="13"/>
      <c r="AA738" s="13"/>
      <c r="AB738" s="13"/>
    </row>
    <row r="739" ht="15.75" customHeight="1">
      <c r="A739" s="15"/>
      <c r="B739" s="7"/>
      <c r="C739" s="11"/>
      <c r="D739" s="12"/>
      <c r="E739" s="12"/>
      <c r="F739" s="11"/>
      <c r="G739" s="11"/>
      <c r="H739" s="11"/>
      <c r="I739" s="11"/>
      <c r="J739" s="11"/>
      <c r="K739" s="11"/>
      <c r="L739" s="11"/>
      <c r="M739" s="11"/>
      <c r="N739" s="11"/>
      <c r="O739" s="11"/>
      <c r="R739" s="12"/>
      <c r="S739" s="12"/>
      <c r="T739" s="12"/>
      <c r="U739" s="12"/>
      <c r="V739" s="12"/>
      <c r="X739" s="13"/>
      <c r="Y739" s="13"/>
      <c r="Z739" s="13"/>
      <c r="AA739" s="13"/>
      <c r="AB739" s="13"/>
    </row>
    <row r="740" ht="15.75" customHeight="1">
      <c r="A740" s="15"/>
      <c r="B740" s="7"/>
      <c r="C740" s="11"/>
      <c r="D740" s="12"/>
      <c r="E740" s="12"/>
      <c r="F740" s="11"/>
      <c r="G740" s="11"/>
      <c r="H740" s="11"/>
      <c r="I740" s="11"/>
      <c r="J740" s="11"/>
      <c r="K740" s="11"/>
      <c r="L740" s="11"/>
      <c r="M740" s="11"/>
      <c r="N740" s="11"/>
      <c r="O740" s="11"/>
      <c r="R740" s="12"/>
      <c r="S740" s="12"/>
      <c r="T740" s="12"/>
      <c r="U740" s="12"/>
      <c r="V740" s="12"/>
      <c r="X740" s="13"/>
      <c r="Y740" s="13"/>
      <c r="Z740" s="13"/>
      <c r="AA740" s="13"/>
      <c r="AB740" s="13"/>
    </row>
    <row r="741" ht="15.75" customHeight="1">
      <c r="A741" s="15"/>
      <c r="B741" s="7"/>
      <c r="C741" s="11"/>
      <c r="D741" s="12"/>
      <c r="E741" s="12"/>
      <c r="F741" s="11"/>
      <c r="G741" s="11"/>
      <c r="H741" s="11"/>
      <c r="I741" s="11"/>
      <c r="J741" s="11"/>
      <c r="K741" s="11"/>
      <c r="L741" s="11"/>
      <c r="M741" s="11"/>
      <c r="N741" s="11"/>
      <c r="O741" s="11"/>
      <c r="R741" s="12"/>
      <c r="S741" s="12"/>
      <c r="T741" s="12"/>
      <c r="U741" s="12"/>
      <c r="V741" s="12"/>
      <c r="X741" s="13"/>
      <c r="Y741" s="13"/>
      <c r="Z741" s="13"/>
      <c r="AA741" s="13"/>
      <c r="AB741" s="13"/>
    </row>
    <row r="742" ht="15.75" customHeight="1">
      <c r="A742" s="15"/>
      <c r="B742" s="7"/>
      <c r="C742" s="11"/>
      <c r="D742" s="12"/>
      <c r="E742" s="12"/>
      <c r="F742" s="11"/>
      <c r="G742" s="11"/>
      <c r="H742" s="11"/>
      <c r="I742" s="11"/>
      <c r="J742" s="11"/>
      <c r="K742" s="11"/>
      <c r="L742" s="11"/>
      <c r="M742" s="11"/>
      <c r="N742" s="11"/>
      <c r="O742" s="11"/>
      <c r="R742" s="12"/>
      <c r="S742" s="12"/>
      <c r="T742" s="12"/>
      <c r="U742" s="12"/>
      <c r="V742" s="12"/>
      <c r="X742" s="13"/>
      <c r="Y742" s="13"/>
      <c r="Z742" s="13"/>
      <c r="AA742" s="13"/>
      <c r="AB742" s="13"/>
    </row>
    <row r="743" ht="15.75" customHeight="1">
      <c r="A743" s="15"/>
      <c r="B743" s="7"/>
      <c r="C743" s="11"/>
      <c r="D743" s="12"/>
      <c r="E743" s="12"/>
      <c r="F743" s="11"/>
      <c r="G743" s="11"/>
      <c r="H743" s="11"/>
      <c r="I743" s="11"/>
      <c r="J743" s="11"/>
      <c r="K743" s="11"/>
      <c r="L743" s="11"/>
      <c r="M743" s="11"/>
      <c r="N743" s="11"/>
      <c r="O743" s="11"/>
      <c r="R743" s="12"/>
      <c r="S743" s="12"/>
      <c r="T743" s="12"/>
      <c r="U743" s="12"/>
      <c r="V743" s="12"/>
      <c r="X743" s="13"/>
      <c r="Y743" s="13"/>
      <c r="Z743" s="13"/>
      <c r="AA743" s="13"/>
      <c r="AB743" s="13"/>
    </row>
    <row r="744" ht="15.75" customHeight="1">
      <c r="A744" s="15"/>
      <c r="B744" s="7"/>
      <c r="C744" s="11"/>
      <c r="D744" s="12"/>
      <c r="E744" s="12"/>
      <c r="F744" s="11"/>
      <c r="G744" s="11"/>
      <c r="H744" s="11"/>
      <c r="I744" s="11"/>
      <c r="J744" s="11"/>
      <c r="K744" s="11"/>
      <c r="L744" s="11"/>
      <c r="M744" s="11"/>
      <c r="N744" s="11"/>
      <c r="O744" s="11"/>
      <c r="R744" s="12"/>
      <c r="S744" s="12"/>
      <c r="T744" s="12"/>
      <c r="U744" s="12"/>
      <c r="V744" s="12"/>
      <c r="X744" s="13"/>
      <c r="Y744" s="13"/>
      <c r="Z744" s="13"/>
      <c r="AA744" s="13"/>
      <c r="AB744" s="13"/>
    </row>
    <row r="745" ht="15.75" customHeight="1">
      <c r="A745" s="15"/>
      <c r="B745" s="7"/>
      <c r="C745" s="11"/>
      <c r="D745" s="12"/>
      <c r="E745" s="12"/>
      <c r="F745" s="11"/>
      <c r="G745" s="11"/>
      <c r="H745" s="11"/>
      <c r="I745" s="11"/>
      <c r="J745" s="11"/>
      <c r="K745" s="11"/>
      <c r="L745" s="11"/>
      <c r="M745" s="11"/>
      <c r="N745" s="11"/>
      <c r="O745" s="11"/>
      <c r="R745" s="12"/>
      <c r="S745" s="12"/>
      <c r="T745" s="12"/>
      <c r="U745" s="12"/>
      <c r="V745" s="12"/>
      <c r="X745" s="13"/>
      <c r="Y745" s="13"/>
      <c r="Z745" s="13"/>
      <c r="AA745" s="13"/>
      <c r="AB745" s="13"/>
    </row>
    <row r="746" ht="15.75" customHeight="1">
      <c r="A746" s="15"/>
      <c r="B746" s="7"/>
      <c r="C746" s="11"/>
      <c r="D746" s="12"/>
      <c r="E746" s="12"/>
      <c r="F746" s="11"/>
      <c r="G746" s="11"/>
      <c r="H746" s="11"/>
      <c r="I746" s="11"/>
      <c r="J746" s="11"/>
      <c r="K746" s="11"/>
      <c r="L746" s="11"/>
      <c r="M746" s="11"/>
      <c r="N746" s="11"/>
      <c r="O746" s="11"/>
      <c r="R746" s="12"/>
      <c r="S746" s="12"/>
      <c r="T746" s="12"/>
      <c r="U746" s="12"/>
      <c r="V746" s="12"/>
      <c r="X746" s="13"/>
      <c r="Y746" s="13"/>
      <c r="Z746" s="13"/>
      <c r="AA746" s="13"/>
      <c r="AB746" s="13"/>
    </row>
    <row r="747" ht="15.75" customHeight="1">
      <c r="A747" s="15"/>
      <c r="B747" s="7"/>
      <c r="C747" s="11"/>
      <c r="D747" s="12"/>
      <c r="E747" s="12"/>
      <c r="F747" s="11"/>
      <c r="G747" s="11"/>
      <c r="H747" s="11"/>
      <c r="I747" s="11"/>
      <c r="J747" s="11"/>
      <c r="K747" s="11"/>
      <c r="L747" s="11"/>
      <c r="M747" s="11"/>
      <c r="N747" s="11"/>
      <c r="O747" s="11"/>
      <c r="R747" s="12"/>
      <c r="S747" s="12"/>
      <c r="T747" s="12"/>
      <c r="U747" s="12"/>
      <c r="V747" s="12"/>
      <c r="X747" s="13"/>
      <c r="Y747" s="13"/>
      <c r="Z747" s="13"/>
      <c r="AA747" s="13"/>
      <c r="AB747" s="13"/>
    </row>
    <row r="748" ht="15.75" customHeight="1">
      <c r="A748" s="15"/>
      <c r="B748" s="7"/>
      <c r="C748" s="11"/>
      <c r="D748" s="12"/>
      <c r="E748" s="12"/>
      <c r="F748" s="11"/>
      <c r="G748" s="11"/>
      <c r="H748" s="11"/>
      <c r="I748" s="11"/>
      <c r="J748" s="11"/>
      <c r="K748" s="11"/>
      <c r="L748" s="11"/>
      <c r="M748" s="11"/>
      <c r="N748" s="11"/>
      <c r="O748" s="11"/>
      <c r="R748" s="12"/>
      <c r="S748" s="12"/>
      <c r="T748" s="12"/>
      <c r="U748" s="12"/>
      <c r="V748" s="12"/>
      <c r="X748" s="13"/>
      <c r="Y748" s="13"/>
      <c r="Z748" s="13"/>
      <c r="AA748" s="13"/>
      <c r="AB748" s="13"/>
    </row>
    <row r="749" ht="15.75" customHeight="1">
      <c r="A749" s="15"/>
      <c r="B749" s="7"/>
      <c r="C749" s="11"/>
      <c r="D749" s="12"/>
      <c r="E749" s="12"/>
      <c r="F749" s="11"/>
      <c r="G749" s="11"/>
      <c r="H749" s="11"/>
      <c r="I749" s="11"/>
      <c r="J749" s="11"/>
      <c r="K749" s="11"/>
      <c r="L749" s="11"/>
      <c r="M749" s="11"/>
      <c r="N749" s="11"/>
      <c r="O749" s="11"/>
      <c r="R749" s="12"/>
      <c r="S749" s="12"/>
      <c r="T749" s="12"/>
      <c r="U749" s="12"/>
      <c r="V749" s="12"/>
      <c r="X749" s="13"/>
      <c r="Y749" s="13"/>
      <c r="Z749" s="13"/>
      <c r="AA749" s="13"/>
      <c r="AB749" s="13"/>
    </row>
    <row r="750" ht="15.75" customHeight="1">
      <c r="A750" s="15"/>
      <c r="B750" s="7"/>
      <c r="C750" s="11"/>
      <c r="D750" s="12"/>
      <c r="E750" s="12"/>
      <c r="F750" s="11"/>
      <c r="G750" s="11"/>
      <c r="H750" s="11"/>
      <c r="I750" s="11"/>
      <c r="J750" s="11"/>
      <c r="K750" s="11"/>
      <c r="L750" s="11"/>
      <c r="M750" s="11"/>
      <c r="N750" s="11"/>
      <c r="O750" s="11"/>
      <c r="R750" s="12"/>
      <c r="S750" s="12"/>
      <c r="T750" s="12"/>
      <c r="U750" s="12"/>
      <c r="V750" s="12"/>
      <c r="X750" s="13"/>
      <c r="Y750" s="13"/>
      <c r="Z750" s="13"/>
      <c r="AA750" s="13"/>
      <c r="AB750" s="13"/>
    </row>
    <row r="751" ht="15.75" customHeight="1">
      <c r="A751" s="11"/>
      <c r="B751" s="7"/>
      <c r="C751" s="11"/>
      <c r="D751" s="12"/>
      <c r="E751" s="12"/>
      <c r="F751" s="11"/>
      <c r="G751" s="11"/>
      <c r="H751" s="11"/>
      <c r="I751" s="11"/>
      <c r="J751" s="11"/>
      <c r="K751" s="11"/>
      <c r="L751" s="11"/>
      <c r="M751" s="11"/>
      <c r="N751" s="11"/>
      <c r="O751" s="11"/>
      <c r="R751" s="12"/>
      <c r="S751" s="12"/>
      <c r="T751" s="12"/>
      <c r="U751" s="12"/>
      <c r="V751" s="12"/>
      <c r="X751" s="13"/>
      <c r="Y751" s="13"/>
      <c r="Z751" s="13"/>
      <c r="AA751" s="13"/>
      <c r="AB751" s="13"/>
    </row>
    <row r="752" ht="15.75" customHeight="1">
      <c r="A752" s="11"/>
      <c r="B752" s="7"/>
      <c r="C752" s="11"/>
      <c r="D752" s="12"/>
      <c r="E752" s="12"/>
      <c r="F752" s="11"/>
      <c r="G752" s="11"/>
      <c r="H752" s="11"/>
      <c r="I752" s="11"/>
      <c r="J752" s="11"/>
      <c r="K752" s="11"/>
      <c r="L752" s="11"/>
      <c r="M752" s="11"/>
      <c r="N752" s="11"/>
      <c r="O752" s="11"/>
      <c r="R752" s="12"/>
      <c r="S752" s="12"/>
      <c r="T752" s="12"/>
      <c r="U752" s="12"/>
      <c r="V752" s="12"/>
      <c r="X752" s="13"/>
      <c r="Y752" s="13"/>
      <c r="Z752" s="13"/>
      <c r="AA752" s="13"/>
      <c r="AB752" s="13"/>
    </row>
    <row r="753" ht="15.75" customHeight="1">
      <c r="A753" s="11"/>
      <c r="B753" s="7"/>
      <c r="C753" s="11"/>
      <c r="D753" s="12"/>
      <c r="E753" s="12"/>
      <c r="F753" s="11"/>
      <c r="G753" s="11"/>
      <c r="H753" s="11"/>
      <c r="I753" s="11"/>
      <c r="J753" s="11"/>
      <c r="K753" s="11"/>
      <c r="L753" s="11"/>
      <c r="M753" s="11"/>
      <c r="N753" s="11"/>
      <c r="O753" s="11"/>
      <c r="R753" s="12"/>
      <c r="S753" s="12"/>
      <c r="T753" s="12"/>
      <c r="U753" s="12"/>
      <c r="V753" s="12"/>
      <c r="X753" s="13"/>
      <c r="Y753" s="13"/>
      <c r="Z753" s="13"/>
      <c r="AA753" s="13"/>
      <c r="AB753" s="13"/>
    </row>
    <row r="754" ht="15.75" customHeight="1">
      <c r="A754" s="11"/>
      <c r="B754" s="7"/>
      <c r="C754" s="11"/>
      <c r="D754" s="12"/>
      <c r="E754" s="12"/>
      <c r="F754" s="11"/>
      <c r="G754" s="11"/>
      <c r="H754" s="11"/>
      <c r="I754" s="11"/>
      <c r="J754" s="11"/>
      <c r="K754" s="11"/>
      <c r="L754" s="11"/>
      <c r="M754" s="11"/>
      <c r="N754" s="11"/>
      <c r="O754" s="11"/>
      <c r="R754" s="12"/>
      <c r="S754" s="12"/>
      <c r="T754" s="12"/>
      <c r="U754" s="12"/>
      <c r="V754" s="12"/>
      <c r="X754" s="13"/>
      <c r="Y754" s="13"/>
      <c r="Z754" s="13"/>
      <c r="AA754" s="13"/>
      <c r="AB754" s="13"/>
    </row>
    <row r="755" ht="15.75" customHeight="1">
      <c r="A755" s="11"/>
      <c r="B755" s="7"/>
      <c r="C755" s="11"/>
      <c r="D755" s="12"/>
      <c r="E755" s="12"/>
      <c r="F755" s="11"/>
      <c r="G755" s="11"/>
      <c r="H755" s="11"/>
      <c r="I755" s="11"/>
      <c r="J755" s="11"/>
      <c r="K755" s="11"/>
      <c r="L755" s="11"/>
      <c r="M755" s="11"/>
      <c r="N755" s="11"/>
      <c r="O755" s="11"/>
      <c r="R755" s="12"/>
      <c r="S755" s="12"/>
      <c r="T755" s="12"/>
      <c r="U755" s="12"/>
      <c r="V755" s="12"/>
      <c r="X755" s="13"/>
      <c r="Y755" s="13"/>
      <c r="Z755" s="13"/>
      <c r="AA755" s="13"/>
      <c r="AB755" s="13"/>
    </row>
    <row r="756" ht="15.75" customHeight="1">
      <c r="A756" s="11"/>
      <c r="B756" s="7"/>
      <c r="C756" s="11"/>
      <c r="D756" s="12"/>
      <c r="E756" s="12"/>
      <c r="F756" s="11"/>
      <c r="G756" s="11"/>
      <c r="H756" s="11"/>
      <c r="I756" s="11"/>
      <c r="J756" s="11"/>
      <c r="K756" s="11"/>
      <c r="L756" s="11"/>
      <c r="M756" s="11"/>
      <c r="N756" s="11"/>
      <c r="O756" s="11"/>
      <c r="R756" s="12"/>
      <c r="S756" s="12"/>
      <c r="T756" s="12"/>
      <c r="U756" s="12"/>
      <c r="V756" s="12"/>
      <c r="X756" s="13"/>
      <c r="Y756" s="13"/>
      <c r="Z756" s="13"/>
      <c r="AA756" s="13"/>
      <c r="AB756" s="13"/>
    </row>
    <row r="757" ht="15.75" customHeight="1">
      <c r="A757" s="11"/>
      <c r="B757" s="7"/>
      <c r="C757" s="11"/>
      <c r="D757" s="12"/>
      <c r="E757" s="12"/>
      <c r="F757" s="11"/>
      <c r="G757" s="11"/>
      <c r="H757" s="11"/>
      <c r="I757" s="11"/>
      <c r="J757" s="11"/>
      <c r="K757" s="11"/>
      <c r="L757" s="11"/>
      <c r="M757" s="11"/>
      <c r="N757" s="11"/>
      <c r="O757" s="11"/>
      <c r="R757" s="12"/>
      <c r="S757" s="12"/>
      <c r="T757" s="12"/>
      <c r="U757" s="12"/>
      <c r="V757" s="12"/>
      <c r="X757" s="13"/>
      <c r="Y757" s="13"/>
      <c r="Z757" s="13"/>
      <c r="AA757" s="13"/>
      <c r="AB757" s="13"/>
    </row>
    <row r="758" ht="15.75" customHeight="1">
      <c r="A758" s="11"/>
      <c r="B758" s="7"/>
      <c r="C758" s="11"/>
      <c r="D758" s="12"/>
      <c r="E758" s="12"/>
      <c r="F758" s="11"/>
      <c r="G758" s="11"/>
      <c r="H758" s="11"/>
      <c r="I758" s="11"/>
      <c r="J758" s="11"/>
      <c r="K758" s="11"/>
      <c r="L758" s="11"/>
      <c r="M758" s="11"/>
      <c r="N758" s="11"/>
      <c r="O758" s="11"/>
      <c r="R758" s="12"/>
      <c r="S758" s="12"/>
      <c r="T758" s="12"/>
      <c r="U758" s="12"/>
      <c r="V758" s="12"/>
      <c r="X758" s="13"/>
      <c r="Y758" s="13"/>
      <c r="Z758" s="13"/>
      <c r="AA758" s="13"/>
      <c r="AB758" s="13"/>
    </row>
    <row r="759" ht="15.75" customHeight="1">
      <c r="A759" s="11"/>
      <c r="B759" s="7"/>
      <c r="C759" s="11"/>
      <c r="D759" s="12"/>
      <c r="E759" s="12"/>
      <c r="F759" s="11"/>
      <c r="G759" s="11"/>
      <c r="H759" s="11"/>
      <c r="I759" s="11"/>
      <c r="J759" s="11"/>
      <c r="K759" s="11"/>
      <c r="L759" s="11"/>
      <c r="M759" s="11"/>
      <c r="N759" s="11"/>
      <c r="O759" s="11"/>
      <c r="R759" s="12"/>
      <c r="S759" s="12"/>
      <c r="T759" s="12"/>
      <c r="U759" s="12"/>
      <c r="V759" s="12"/>
      <c r="X759" s="13"/>
      <c r="Y759" s="13"/>
      <c r="Z759" s="13"/>
      <c r="AA759" s="13"/>
      <c r="AB759" s="13"/>
    </row>
    <row r="760" ht="15.75" customHeight="1">
      <c r="A760" s="11"/>
      <c r="B760" s="7"/>
      <c r="C760" s="11"/>
      <c r="D760" s="12"/>
      <c r="E760" s="12"/>
      <c r="F760" s="11"/>
      <c r="G760" s="11"/>
      <c r="H760" s="11"/>
      <c r="I760" s="11"/>
      <c r="J760" s="11"/>
      <c r="K760" s="11"/>
      <c r="L760" s="11"/>
      <c r="M760" s="11"/>
      <c r="N760" s="11"/>
      <c r="O760" s="11"/>
      <c r="R760" s="12"/>
      <c r="S760" s="12"/>
      <c r="T760" s="12"/>
      <c r="U760" s="12"/>
      <c r="V760" s="12"/>
      <c r="X760" s="13"/>
      <c r="Y760" s="13"/>
      <c r="Z760" s="13"/>
      <c r="AA760" s="13"/>
      <c r="AB760" s="13"/>
    </row>
    <row r="761" ht="15.75" customHeight="1">
      <c r="A761" s="11"/>
      <c r="B761" s="7"/>
      <c r="C761" s="11"/>
      <c r="D761" s="12"/>
      <c r="E761" s="12"/>
      <c r="F761" s="11"/>
      <c r="G761" s="11"/>
      <c r="H761" s="11"/>
      <c r="I761" s="11"/>
      <c r="J761" s="11"/>
      <c r="K761" s="11"/>
      <c r="L761" s="11"/>
      <c r="M761" s="11"/>
      <c r="N761" s="11"/>
      <c r="O761" s="11"/>
      <c r="R761" s="12"/>
      <c r="S761" s="12"/>
      <c r="T761" s="12"/>
      <c r="U761" s="12"/>
      <c r="V761" s="12"/>
      <c r="X761" s="13"/>
      <c r="Y761" s="13"/>
      <c r="Z761" s="13"/>
      <c r="AA761" s="13"/>
      <c r="AB761" s="13"/>
    </row>
    <row r="762" ht="15.75" customHeight="1">
      <c r="A762" s="11"/>
      <c r="B762" s="7"/>
      <c r="C762" s="11"/>
      <c r="D762" s="12"/>
      <c r="E762" s="12"/>
      <c r="F762" s="11"/>
      <c r="G762" s="11"/>
      <c r="H762" s="11"/>
      <c r="I762" s="11"/>
      <c r="J762" s="11"/>
      <c r="K762" s="11"/>
      <c r="L762" s="11"/>
      <c r="M762" s="11"/>
      <c r="N762" s="11"/>
      <c r="O762" s="11"/>
      <c r="R762" s="12"/>
      <c r="S762" s="12"/>
      <c r="T762" s="12"/>
      <c r="U762" s="12"/>
      <c r="V762" s="12"/>
      <c r="X762" s="13"/>
      <c r="Y762" s="13"/>
      <c r="Z762" s="13"/>
      <c r="AA762" s="13"/>
      <c r="AB762" s="13"/>
    </row>
    <row r="763" ht="15.75" customHeight="1">
      <c r="A763" s="11"/>
      <c r="B763" s="7"/>
      <c r="C763" s="11"/>
      <c r="D763" s="12"/>
      <c r="E763" s="12"/>
      <c r="F763" s="11"/>
      <c r="G763" s="11"/>
      <c r="H763" s="11"/>
      <c r="I763" s="11"/>
      <c r="J763" s="11"/>
      <c r="K763" s="11"/>
      <c r="L763" s="11"/>
      <c r="M763" s="11"/>
      <c r="N763" s="11"/>
      <c r="O763" s="11"/>
      <c r="R763" s="12"/>
      <c r="S763" s="12"/>
      <c r="T763" s="12"/>
      <c r="U763" s="12"/>
      <c r="V763" s="12"/>
      <c r="X763" s="13"/>
      <c r="Y763" s="13"/>
      <c r="Z763" s="13"/>
      <c r="AA763" s="13"/>
      <c r="AB763" s="13"/>
    </row>
    <row r="764" ht="15.75" customHeight="1">
      <c r="A764" s="11"/>
      <c r="B764" s="7"/>
      <c r="C764" s="11"/>
      <c r="D764" s="12"/>
      <c r="E764" s="12"/>
      <c r="F764" s="11"/>
      <c r="G764" s="11"/>
      <c r="H764" s="11"/>
      <c r="I764" s="11"/>
      <c r="J764" s="11"/>
      <c r="K764" s="11"/>
      <c r="L764" s="11"/>
      <c r="M764" s="11"/>
      <c r="N764" s="11"/>
      <c r="O764" s="11"/>
      <c r="R764" s="12"/>
      <c r="S764" s="12"/>
      <c r="T764" s="12"/>
      <c r="U764" s="12"/>
      <c r="V764" s="12"/>
      <c r="X764" s="13"/>
      <c r="Y764" s="13"/>
      <c r="Z764" s="13"/>
      <c r="AA764" s="13"/>
      <c r="AB764" s="13"/>
    </row>
    <row r="765" ht="15.75" customHeight="1">
      <c r="A765" s="11"/>
      <c r="B765" s="7"/>
      <c r="C765" s="11"/>
      <c r="D765" s="12"/>
      <c r="E765" s="12"/>
      <c r="F765" s="11"/>
      <c r="G765" s="11"/>
      <c r="H765" s="11"/>
      <c r="I765" s="11"/>
      <c r="J765" s="11"/>
      <c r="K765" s="11"/>
      <c r="L765" s="11"/>
      <c r="M765" s="11"/>
      <c r="N765" s="11"/>
      <c r="O765" s="11"/>
      <c r="R765" s="12"/>
      <c r="S765" s="12"/>
      <c r="T765" s="12"/>
      <c r="U765" s="12"/>
      <c r="V765" s="12"/>
      <c r="X765" s="13"/>
      <c r="Y765" s="13"/>
      <c r="Z765" s="13"/>
      <c r="AA765" s="13"/>
      <c r="AB765" s="13"/>
    </row>
    <row r="766" ht="15.75" customHeight="1">
      <c r="A766" s="11"/>
      <c r="B766" s="7"/>
      <c r="C766" s="11"/>
      <c r="D766" s="12"/>
      <c r="E766" s="12"/>
      <c r="F766" s="11"/>
      <c r="G766" s="11"/>
      <c r="H766" s="11"/>
      <c r="I766" s="11"/>
      <c r="J766" s="11"/>
      <c r="K766" s="11"/>
      <c r="L766" s="11"/>
      <c r="M766" s="11"/>
      <c r="N766" s="11"/>
      <c r="O766" s="11"/>
      <c r="R766" s="12"/>
      <c r="S766" s="12"/>
      <c r="T766" s="12"/>
      <c r="U766" s="12"/>
      <c r="V766" s="12"/>
      <c r="X766" s="13"/>
      <c r="Y766" s="13"/>
      <c r="Z766" s="13"/>
      <c r="AA766" s="13"/>
      <c r="AB766" s="13"/>
    </row>
    <row r="767" ht="15.75" customHeight="1">
      <c r="A767" s="11"/>
      <c r="B767" s="7"/>
      <c r="C767" s="11"/>
      <c r="D767" s="12"/>
      <c r="E767" s="12"/>
      <c r="F767" s="11"/>
      <c r="G767" s="11"/>
      <c r="H767" s="11"/>
      <c r="I767" s="11"/>
      <c r="J767" s="11"/>
      <c r="K767" s="11"/>
      <c r="L767" s="11"/>
      <c r="M767" s="11"/>
      <c r="N767" s="11"/>
      <c r="O767" s="11"/>
      <c r="R767" s="12"/>
      <c r="S767" s="12"/>
      <c r="T767" s="12"/>
      <c r="U767" s="12"/>
      <c r="V767" s="12"/>
      <c r="X767" s="13"/>
      <c r="Y767" s="13"/>
      <c r="Z767" s="13"/>
      <c r="AA767" s="13"/>
      <c r="AB767" s="13"/>
    </row>
    <row r="768" ht="15.75" customHeight="1">
      <c r="A768" s="11"/>
      <c r="B768" s="7"/>
      <c r="C768" s="11"/>
      <c r="D768" s="12"/>
      <c r="E768" s="12"/>
      <c r="F768" s="11"/>
      <c r="G768" s="11"/>
      <c r="H768" s="11"/>
      <c r="I768" s="11"/>
      <c r="J768" s="11"/>
      <c r="K768" s="11"/>
      <c r="L768" s="11"/>
      <c r="M768" s="11"/>
      <c r="N768" s="11"/>
      <c r="O768" s="11"/>
      <c r="R768" s="12"/>
      <c r="S768" s="12"/>
      <c r="T768" s="12"/>
      <c r="U768" s="12"/>
      <c r="V768" s="12"/>
      <c r="X768" s="13"/>
      <c r="Y768" s="13"/>
      <c r="Z768" s="13"/>
      <c r="AA768" s="13"/>
      <c r="AB768" s="13"/>
    </row>
    <row r="769" ht="15.75" customHeight="1">
      <c r="A769" s="11"/>
      <c r="B769" s="7"/>
      <c r="C769" s="11"/>
      <c r="D769" s="12"/>
      <c r="E769" s="12"/>
      <c r="F769" s="11"/>
      <c r="G769" s="11"/>
      <c r="H769" s="11"/>
      <c r="I769" s="11"/>
      <c r="J769" s="11"/>
      <c r="K769" s="11"/>
      <c r="L769" s="11"/>
      <c r="M769" s="11"/>
      <c r="N769" s="11"/>
      <c r="O769" s="11"/>
      <c r="R769" s="12"/>
      <c r="S769" s="12"/>
      <c r="T769" s="12"/>
      <c r="U769" s="12"/>
      <c r="V769" s="12"/>
      <c r="X769" s="13"/>
      <c r="Y769" s="13"/>
      <c r="Z769" s="13"/>
      <c r="AA769" s="13"/>
      <c r="AB769" s="13"/>
    </row>
    <row r="770" ht="15.75" customHeight="1">
      <c r="A770" s="11"/>
      <c r="B770" s="7"/>
      <c r="C770" s="11"/>
      <c r="D770" s="12"/>
      <c r="E770" s="12"/>
      <c r="F770" s="11"/>
      <c r="G770" s="11"/>
      <c r="H770" s="11"/>
      <c r="I770" s="11"/>
      <c r="J770" s="11"/>
      <c r="K770" s="11"/>
      <c r="L770" s="11"/>
      <c r="M770" s="11"/>
      <c r="N770" s="11"/>
      <c r="O770" s="11"/>
      <c r="R770" s="12"/>
      <c r="S770" s="12"/>
      <c r="T770" s="12"/>
      <c r="U770" s="12"/>
      <c r="V770" s="12"/>
      <c r="X770" s="13"/>
      <c r="Y770" s="13"/>
      <c r="Z770" s="13"/>
      <c r="AA770" s="13"/>
      <c r="AB770" s="13"/>
    </row>
    <row r="771" ht="15.75" customHeight="1">
      <c r="A771" s="11"/>
      <c r="B771" s="7"/>
      <c r="C771" s="11"/>
      <c r="D771" s="12"/>
      <c r="E771" s="12"/>
      <c r="F771" s="11"/>
      <c r="G771" s="11"/>
      <c r="H771" s="11"/>
      <c r="I771" s="11"/>
      <c r="J771" s="11"/>
      <c r="K771" s="11"/>
      <c r="L771" s="11"/>
      <c r="M771" s="11"/>
      <c r="N771" s="11"/>
      <c r="O771" s="11"/>
      <c r="R771" s="12"/>
      <c r="S771" s="12"/>
      <c r="T771" s="12"/>
      <c r="U771" s="12"/>
      <c r="V771" s="12"/>
      <c r="X771" s="13"/>
      <c r="Y771" s="13"/>
      <c r="Z771" s="13"/>
      <c r="AA771" s="13"/>
      <c r="AB771" s="13"/>
    </row>
    <row r="772" ht="15.75" customHeight="1">
      <c r="A772" s="11"/>
      <c r="B772" s="7"/>
      <c r="C772" s="11"/>
      <c r="D772" s="12"/>
      <c r="E772" s="12"/>
      <c r="F772" s="11"/>
      <c r="G772" s="11"/>
      <c r="H772" s="11"/>
      <c r="I772" s="11"/>
      <c r="J772" s="11"/>
      <c r="K772" s="11"/>
      <c r="L772" s="11"/>
      <c r="M772" s="11"/>
      <c r="N772" s="11"/>
      <c r="O772" s="11"/>
      <c r="R772" s="12"/>
      <c r="S772" s="12"/>
      <c r="T772" s="12"/>
      <c r="U772" s="12"/>
      <c r="V772" s="12"/>
      <c r="X772" s="13"/>
      <c r="Y772" s="13"/>
      <c r="Z772" s="13"/>
      <c r="AA772" s="13"/>
      <c r="AB772" s="13"/>
    </row>
    <row r="773" ht="15.75" customHeight="1">
      <c r="A773" s="11"/>
      <c r="B773" s="7"/>
      <c r="C773" s="11"/>
      <c r="D773" s="12"/>
      <c r="E773" s="12"/>
      <c r="F773" s="11"/>
      <c r="G773" s="11"/>
      <c r="H773" s="11"/>
      <c r="I773" s="11"/>
      <c r="J773" s="11"/>
      <c r="K773" s="11"/>
      <c r="L773" s="11"/>
      <c r="M773" s="11"/>
      <c r="N773" s="11"/>
      <c r="O773" s="11"/>
      <c r="R773" s="12"/>
      <c r="S773" s="12"/>
      <c r="T773" s="12"/>
      <c r="U773" s="12"/>
      <c r="V773" s="12"/>
      <c r="X773" s="13"/>
      <c r="Y773" s="13"/>
      <c r="Z773" s="13"/>
      <c r="AA773" s="13"/>
      <c r="AB773" s="13"/>
    </row>
    <row r="774" ht="15.75" customHeight="1">
      <c r="A774" s="11"/>
      <c r="B774" s="7"/>
      <c r="C774" s="11"/>
      <c r="D774" s="12"/>
      <c r="E774" s="12"/>
      <c r="F774" s="11"/>
      <c r="G774" s="11"/>
      <c r="H774" s="11"/>
      <c r="I774" s="11"/>
      <c r="J774" s="11"/>
      <c r="K774" s="11"/>
      <c r="L774" s="11"/>
      <c r="M774" s="11"/>
      <c r="N774" s="11"/>
      <c r="O774" s="11"/>
      <c r="R774" s="12"/>
      <c r="S774" s="12"/>
      <c r="T774" s="12"/>
      <c r="U774" s="12"/>
      <c r="V774" s="12"/>
      <c r="X774" s="13"/>
      <c r="Y774" s="13"/>
      <c r="Z774" s="13"/>
      <c r="AA774" s="13"/>
      <c r="AB774" s="13"/>
    </row>
    <row r="775" ht="15.75" customHeight="1">
      <c r="A775" s="11"/>
      <c r="B775" s="7"/>
      <c r="C775" s="11"/>
      <c r="D775" s="12"/>
      <c r="E775" s="12"/>
      <c r="F775" s="11"/>
      <c r="G775" s="11"/>
      <c r="H775" s="11"/>
      <c r="I775" s="11"/>
      <c r="J775" s="11"/>
      <c r="K775" s="11"/>
      <c r="L775" s="11"/>
      <c r="M775" s="11"/>
      <c r="N775" s="11"/>
      <c r="O775" s="11"/>
      <c r="R775" s="12"/>
      <c r="S775" s="12"/>
      <c r="T775" s="12"/>
      <c r="U775" s="12"/>
      <c r="V775" s="12"/>
      <c r="X775" s="13"/>
      <c r="Y775" s="13"/>
      <c r="Z775" s="13"/>
      <c r="AA775" s="13"/>
      <c r="AB775" s="13"/>
    </row>
    <row r="776" ht="15.75" customHeight="1">
      <c r="A776" s="11"/>
      <c r="B776" s="7"/>
      <c r="C776" s="11"/>
      <c r="D776" s="12"/>
      <c r="E776" s="12"/>
      <c r="F776" s="11"/>
      <c r="G776" s="11"/>
      <c r="H776" s="11"/>
      <c r="I776" s="11"/>
      <c r="J776" s="11"/>
      <c r="K776" s="11"/>
      <c r="L776" s="11"/>
      <c r="M776" s="11"/>
      <c r="N776" s="11"/>
      <c r="O776" s="11"/>
      <c r="R776" s="12"/>
      <c r="S776" s="12"/>
      <c r="T776" s="12"/>
      <c r="U776" s="12"/>
      <c r="V776" s="12"/>
      <c r="X776" s="13"/>
      <c r="Y776" s="13"/>
      <c r="Z776" s="13"/>
      <c r="AA776" s="13"/>
      <c r="AB776" s="13"/>
    </row>
    <row r="777" ht="15.75" customHeight="1">
      <c r="A777" s="11"/>
      <c r="B777" s="7"/>
      <c r="C777" s="11"/>
      <c r="D777" s="12"/>
      <c r="E777" s="12"/>
      <c r="F777" s="11"/>
      <c r="G777" s="11"/>
      <c r="H777" s="11"/>
      <c r="I777" s="11"/>
      <c r="J777" s="11"/>
      <c r="K777" s="11"/>
      <c r="L777" s="11"/>
      <c r="M777" s="11"/>
      <c r="N777" s="11"/>
      <c r="O777" s="11"/>
      <c r="R777" s="12"/>
      <c r="S777" s="12"/>
      <c r="T777" s="12"/>
      <c r="U777" s="12"/>
      <c r="V777" s="12"/>
      <c r="X777" s="13"/>
      <c r="Y777" s="13"/>
      <c r="Z777" s="13"/>
      <c r="AA777" s="13"/>
      <c r="AB777" s="13"/>
    </row>
    <row r="778" ht="15.75" customHeight="1">
      <c r="A778" s="11"/>
      <c r="B778" s="7"/>
      <c r="C778" s="11"/>
      <c r="D778" s="12"/>
      <c r="E778" s="12"/>
      <c r="F778" s="11"/>
      <c r="G778" s="11"/>
      <c r="H778" s="11"/>
      <c r="I778" s="11"/>
      <c r="J778" s="11"/>
      <c r="K778" s="11"/>
      <c r="L778" s="11"/>
      <c r="M778" s="11"/>
      <c r="N778" s="11"/>
      <c r="O778" s="11"/>
      <c r="R778" s="12"/>
      <c r="S778" s="12"/>
      <c r="T778" s="12"/>
      <c r="U778" s="12"/>
      <c r="V778" s="12"/>
      <c r="X778" s="13"/>
      <c r="Y778" s="13"/>
      <c r="Z778" s="13"/>
      <c r="AA778" s="13"/>
      <c r="AB778" s="13"/>
    </row>
    <row r="779" ht="15.75" customHeight="1">
      <c r="A779" s="11"/>
      <c r="B779" s="7"/>
      <c r="C779" s="11"/>
      <c r="D779" s="12"/>
      <c r="E779" s="12"/>
      <c r="F779" s="11"/>
      <c r="G779" s="11"/>
      <c r="H779" s="11"/>
      <c r="I779" s="11"/>
      <c r="J779" s="11"/>
      <c r="K779" s="11"/>
      <c r="L779" s="11"/>
      <c r="M779" s="11"/>
      <c r="N779" s="11"/>
      <c r="O779" s="11"/>
      <c r="R779" s="12"/>
      <c r="S779" s="12"/>
      <c r="T779" s="12"/>
      <c r="U779" s="12"/>
      <c r="V779" s="12"/>
      <c r="X779" s="13"/>
      <c r="Y779" s="13"/>
      <c r="Z779" s="13"/>
      <c r="AA779" s="13"/>
      <c r="AB779" s="13"/>
    </row>
    <row r="780" ht="15.75" customHeight="1">
      <c r="A780" s="11"/>
      <c r="B780" s="7"/>
      <c r="C780" s="11"/>
      <c r="D780" s="12"/>
      <c r="E780" s="12"/>
      <c r="F780" s="11"/>
      <c r="G780" s="11"/>
      <c r="H780" s="11"/>
      <c r="I780" s="11"/>
      <c r="J780" s="11"/>
      <c r="K780" s="11"/>
      <c r="L780" s="11"/>
      <c r="M780" s="11"/>
      <c r="N780" s="11"/>
      <c r="O780" s="11"/>
      <c r="R780" s="12"/>
      <c r="S780" s="12"/>
      <c r="T780" s="12"/>
      <c r="U780" s="12"/>
      <c r="V780" s="12"/>
      <c r="X780" s="13"/>
      <c r="Y780" s="13"/>
      <c r="Z780" s="13"/>
      <c r="AA780" s="13"/>
      <c r="AB780" s="13"/>
    </row>
    <row r="781" ht="15.75" customHeight="1">
      <c r="A781" s="11"/>
      <c r="B781" s="7"/>
      <c r="C781" s="11"/>
      <c r="D781" s="12"/>
      <c r="E781" s="12"/>
      <c r="F781" s="11"/>
      <c r="G781" s="11"/>
      <c r="H781" s="11"/>
      <c r="I781" s="11"/>
      <c r="J781" s="11"/>
      <c r="K781" s="11"/>
      <c r="L781" s="11"/>
      <c r="M781" s="11"/>
      <c r="N781" s="11"/>
      <c r="O781" s="11"/>
      <c r="R781" s="12"/>
      <c r="S781" s="12"/>
      <c r="T781" s="12"/>
      <c r="U781" s="12"/>
      <c r="V781" s="12"/>
      <c r="X781" s="13"/>
      <c r="Y781" s="13"/>
      <c r="Z781" s="13"/>
      <c r="AA781" s="13"/>
      <c r="AB781" s="13"/>
    </row>
    <row r="782" ht="15.75" customHeight="1">
      <c r="A782" s="11"/>
      <c r="B782" s="7"/>
      <c r="C782" s="11"/>
      <c r="D782" s="12"/>
      <c r="E782" s="12"/>
      <c r="F782" s="11"/>
      <c r="G782" s="11"/>
      <c r="H782" s="11"/>
      <c r="I782" s="11"/>
      <c r="J782" s="11"/>
      <c r="K782" s="11"/>
      <c r="L782" s="11"/>
      <c r="M782" s="11"/>
      <c r="N782" s="11"/>
      <c r="O782" s="11"/>
      <c r="R782" s="12"/>
      <c r="S782" s="12"/>
      <c r="T782" s="12"/>
      <c r="U782" s="12"/>
      <c r="V782" s="12"/>
      <c r="X782" s="13"/>
      <c r="Y782" s="13"/>
      <c r="Z782" s="13"/>
      <c r="AA782" s="13"/>
      <c r="AB782" s="13"/>
    </row>
    <row r="783" ht="15.75" customHeight="1">
      <c r="A783" s="11"/>
      <c r="B783" s="7"/>
      <c r="C783" s="11"/>
      <c r="D783" s="12"/>
      <c r="E783" s="12"/>
      <c r="F783" s="11"/>
      <c r="G783" s="11"/>
      <c r="H783" s="11"/>
      <c r="I783" s="11"/>
      <c r="J783" s="11"/>
      <c r="K783" s="11"/>
      <c r="L783" s="11"/>
      <c r="M783" s="11"/>
      <c r="N783" s="11"/>
      <c r="O783" s="11"/>
      <c r="R783" s="12"/>
      <c r="S783" s="12"/>
      <c r="T783" s="12"/>
      <c r="U783" s="12"/>
      <c r="V783" s="12"/>
      <c r="X783" s="13"/>
      <c r="Y783" s="13"/>
      <c r="Z783" s="13"/>
      <c r="AA783" s="13"/>
      <c r="AB783" s="13"/>
    </row>
    <row r="784" ht="15.75" customHeight="1">
      <c r="A784" s="11"/>
      <c r="B784" s="7"/>
      <c r="C784" s="11"/>
      <c r="D784" s="12"/>
      <c r="E784" s="12"/>
      <c r="F784" s="11"/>
      <c r="G784" s="11"/>
      <c r="H784" s="11"/>
      <c r="I784" s="11"/>
      <c r="J784" s="11"/>
      <c r="K784" s="11"/>
      <c r="L784" s="11"/>
      <c r="M784" s="11"/>
      <c r="N784" s="11"/>
      <c r="O784" s="11"/>
      <c r="R784" s="12"/>
      <c r="S784" s="12"/>
      <c r="T784" s="12"/>
      <c r="U784" s="12"/>
      <c r="V784" s="12"/>
      <c r="X784" s="13"/>
      <c r="Y784" s="13"/>
      <c r="Z784" s="13"/>
      <c r="AA784" s="13"/>
      <c r="AB784" s="13"/>
    </row>
    <row r="785" ht="15.75" customHeight="1">
      <c r="A785" s="11"/>
      <c r="B785" s="7"/>
      <c r="C785" s="11"/>
      <c r="D785" s="12"/>
      <c r="E785" s="12"/>
      <c r="F785" s="11"/>
      <c r="G785" s="11"/>
      <c r="H785" s="11"/>
      <c r="I785" s="11"/>
      <c r="J785" s="11"/>
      <c r="K785" s="11"/>
      <c r="L785" s="11"/>
      <c r="M785" s="11"/>
      <c r="N785" s="11"/>
      <c r="O785" s="11"/>
      <c r="R785" s="12"/>
      <c r="S785" s="12"/>
      <c r="T785" s="12"/>
      <c r="U785" s="12"/>
      <c r="V785" s="12"/>
      <c r="X785" s="13"/>
      <c r="Y785" s="13"/>
      <c r="Z785" s="13"/>
      <c r="AA785" s="13"/>
      <c r="AB785" s="13"/>
    </row>
    <row r="786" ht="15.75" customHeight="1">
      <c r="A786" s="11"/>
      <c r="B786" s="7"/>
      <c r="C786" s="11"/>
      <c r="D786" s="12"/>
      <c r="E786" s="12"/>
      <c r="F786" s="11"/>
      <c r="G786" s="11"/>
      <c r="H786" s="11"/>
      <c r="I786" s="11"/>
      <c r="J786" s="11"/>
      <c r="K786" s="11"/>
      <c r="L786" s="11"/>
      <c r="M786" s="11"/>
      <c r="N786" s="11"/>
      <c r="O786" s="11"/>
      <c r="R786" s="12"/>
      <c r="S786" s="12"/>
      <c r="T786" s="12"/>
      <c r="U786" s="12"/>
      <c r="V786" s="12"/>
      <c r="X786" s="13"/>
      <c r="Y786" s="13"/>
      <c r="Z786" s="13"/>
      <c r="AA786" s="13"/>
      <c r="AB786" s="13"/>
    </row>
    <row r="787" ht="15.75" customHeight="1">
      <c r="A787" s="11"/>
      <c r="B787" s="7"/>
      <c r="C787" s="11"/>
      <c r="D787" s="12"/>
      <c r="E787" s="12"/>
      <c r="F787" s="11"/>
      <c r="G787" s="11"/>
      <c r="H787" s="11"/>
      <c r="I787" s="11"/>
      <c r="J787" s="11"/>
      <c r="K787" s="11"/>
      <c r="L787" s="11"/>
      <c r="M787" s="11"/>
      <c r="N787" s="11"/>
      <c r="O787" s="11"/>
      <c r="R787" s="12"/>
      <c r="S787" s="12"/>
      <c r="T787" s="12"/>
      <c r="U787" s="12"/>
      <c r="V787" s="12"/>
      <c r="X787" s="13"/>
      <c r="Y787" s="13"/>
      <c r="Z787" s="13"/>
      <c r="AA787" s="13"/>
      <c r="AB787" s="13"/>
    </row>
    <row r="788" ht="15.75" customHeight="1">
      <c r="A788" s="11"/>
      <c r="B788" s="7"/>
      <c r="C788" s="11"/>
      <c r="D788" s="12"/>
      <c r="E788" s="12"/>
      <c r="F788" s="11"/>
      <c r="G788" s="11"/>
      <c r="H788" s="11"/>
      <c r="I788" s="11"/>
      <c r="J788" s="11"/>
      <c r="K788" s="11"/>
      <c r="L788" s="11"/>
      <c r="M788" s="11"/>
      <c r="N788" s="11"/>
      <c r="O788" s="11"/>
      <c r="R788" s="12"/>
      <c r="S788" s="12"/>
      <c r="T788" s="12"/>
      <c r="U788" s="12"/>
      <c r="V788" s="12"/>
      <c r="X788" s="13"/>
      <c r="Y788" s="13"/>
      <c r="Z788" s="13"/>
      <c r="AA788" s="13"/>
      <c r="AB788" s="13"/>
    </row>
    <row r="789" ht="15.75" customHeight="1">
      <c r="A789" s="11"/>
      <c r="B789" s="7"/>
      <c r="C789" s="11"/>
      <c r="D789" s="12"/>
      <c r="E789" s="12"/>
      <c r="F789" s="11"/>
      <c r="G789" s="11"/>
      <c r="H789" s="11"/>
      <c r="I789" s="11"/>
      <c r="J789" s="11"/>
      <c r="K789" s="11"/>
      <c r="L789" s="11"/>
      <c r="M789" s="11"/>
      <c r="N789" s="11"/>
      <c r="O789" s="11"/>
      <c r="R789" s="12"/>
      <c r="S789" s="12"/>
      <c r="T789" s="12"/>
      <c r="U789" s="12"/>
      <c r="V789" s="12"/>
      <c r="X789" s="13"/>
      <c r="Y789" s="13"/>
      <c r="Z789" s="13"/>
      <c r="AA789" s="13"/>
      <c r="AB789" s="13"/>
    </row>
    <row r="790" ht="15.75" customHeight="1">
      <c r="A790" s="11"/>
      <c r="B790" s="7"/>
      <c r="C790" s="11"/>
      <c r="D790" s="12"/>
      <c r="E790" s="12"/>
      <c r="F790" s="11"/>
      <c r="G790" s="11"/>
      <c r="H790" s="11"/>
      <c r="I790" s="11"/>
      <c r="J790" s="11"/>
      <c r="K790" s="11"/>
      <c r="L790" s="11"/>
      <c r="M790" s="11"/>
      <c r="N790" s="11"/>
      <c r="O790" s="11"/>
      <c r="R790" s="12"/>
      <c r="S790" s="12"/>
      <c r="T790" s="12"/>
      <c r="U790" s="12"/>
      <c r="V790" s="12"/>
      <c r="X790" s="13"/>
      <c r="Y790" s="13"/>
      <c r="Z790" s="13"/>
      <c r="AA790" s="13"/>
      <c r="AB790" s="13"/>
    </row>
    <row r="791" ht="15.75" customHeight="1">
      <c r="A791" s="11"/>
      <c r="B791" s="7"/>
      <c r="C791" s="11"/>
      <c r="D791" s="12"/>
      <c r="E791" s="12"/>
      <c r="F791" s="11"/>
      <c r="G791" s="11"/>
      <c r="H791" s="11"/>
      <c r="I791" s="11"/>
      <c r="J791" s="11"/>
      <c r="K791" s="11"/>
      <c r="L791" s="11"/>
      <c r="M791" s="11"/>
      <c r="N791" s="11"/>
      <c r="O791" s="11"/>
      <c r="R791" s="12"/>
      <c r="S791" s="12"/>
      <c r="T791" s="12"/>
      <c r="U791" s="12"/>
      <c r="V791" s="12"/>
      <c r="X791" s="13"/>
      <c r="Y791" s="13"/>
      <c r="Z791" s="13"/>
      <c r="AA791" s="13"/>
      <c r="AB791" s="13"/>
    </row>
    <row r="792" ht="15.75" customHeight="1">
      <c r="A792" s="11"/>
      <c r="B792" s="7"/>
      <c r="C792" s="11"/>
      <c r="D792" s="12"/>
      <c r="E792" s="12"/>
      <c r="F792" s="11"/>
      <c r="G792" s="11"/>
      <c r="H792" s="11"/>
      <c r="I792" s="11"/>
      <c r="J792" s="11"/>
      <c r="K792" s="11"/>
      <c r="L792" s="11"/>
      <c r="M792" s="11"/>
      <c r="N792" s="11"/>
      <c r="O792" s="11"/>
      <c r="R792" s="12"/>
      <c r="S792" s="12"/>
      <c r="T792" s="12"/>
      <c r="U792" s="12"/>
      <c r="V792" s="12"/>
      <c r="X792" s="13"/>
      <c r="Y792" s="13"/>
      <c r="Z792" s="13"/>
      <c r="AA792" s="13"/>
      <c r="AB792" s="13"/>
    </row>
    <row r="793" ht="15.75" customHeight="1">
      <c r="A793" s="11"/>
      <c r="B793" s="7"/>
      <c r="C793" s="11"/>
      <c r="D793" s="12"/>
      <c r="E793" s="12"/>
      <c r="F793" s="11"/>
      <c r="G793" s="11"/>
      <c r="H793" s="11"/>
      <c r="I793" s="11"/>
      <c r="J793" s="11"/>
      <c r="K793" s="11"/>
      <c r="L793" s="11"/>
      <c r="M793" s="11"/>
      <c r="N793" s="11"/>
      <c r="O793" s="11"/>
      <c r="R793" s="12"/>
      <c r="S793" s="12"/>
      <c r="T793" s="12"/>
      <c r="U793" s="12"/>
      <c r="V793" s="12"/>
      <c r="X793" s="13"/>
      <c r="Y793" s="13"/>
      <c r="Z793" s="13"/>
      <c r="AA793" s="13"/>
      <c r="AB793" s="13"/>
    </row>
    <row r="794" ht="15.75" customHeight="1">
      <c r="A794" s="11"/>
      <c r="B794" s="7"/>
      <c r="C794" s="11"/>
      <c r="D794" s="12"/>
      <c r="E794" s="12"/>
      <c r="F794" s="11"/>
      <c r="G794" s="11"/>
      <c r="H794" s="11"/>
      <c r="I794" s="11"/>
      <c r="J794" s="11"/>
      <c r="K794" s="11"/>
      <c r="L794" s="11"/>
      <c r="M794" s="11"/>
      <c r="N794" s="11"/>
      <c r="O794" s="11"/>
      <c r="R794" s="12"/>
      <c r="S794" s="12"/>
      <c r="T794" s="12"/>
      <c r="U794" s="12"/>
      <c r="V794" s="12"/>
      <c r="X794" s="13"/>
      <c r="Y794" s="13"/>
      <c r="Z794" s="13"/>
      <c r="AA794" s="13"/>
      <c r="AB794" s="13"/>
    </row>
    <row r="795" ht="15.75" customHeight="1">
      <c r="A795" s="11"/>
      <c r="B795" s="7"/>
      <c r="C795" s="11"/>
      <c r="D795" s="12"/>
      <c r="E795" s="12"/>
      <c r="F795" s="11"/>
      <c r="G795" s="11"/>
      <c r="H795" s="11"/>
      <c r="I795" s="11"/>
      <c r="J795" s="11"/>
      <c r="K795" s="11"/>
      <c r="L795" s="11"/>
      <c r="M795" s="11"/>
      <c r="N795" s="11"/>
      <c r="O795" s="11"/>
      <c r="R795" s="12"/>
      <c r="S795" s="12"/>
      <c r="T795" s="12"/>
      <c r="U795" s="12"/>
      <c r="V795" s="12"/>
      <c r="X795" s="13"/>
      <c r="Y795" s="13"/>
      <c r="Z795" s="13"/>
      <c r="AA795" s="13"/>
      <c r="AB795" s="13"/>
    </row>
    <row r="796" ht="15.75" customHeight="1">
      <c r="A796" s="11"/>
      <c r="B796" s="7"/>
      <c r="C796" s="11"/>
      <c r="D796" s="12"/>
      <c r="E796" s="12"/>
      <c r="F796" s="11"/>
      <c r="G796" s="11"/>
      <c r="H796" s="11"/>
      <c r="I796" s="11"/>
      <c r="J796" s="11"/>
      <c r="K796" s="11"/>
      <c r="L796" s="11"/>
      <c r="M796" s="11"/>
      <c r="N796" s="11"/>
      <c r="O796" s="11"/>
      <c r="R796" s="12"/>
      <c r="S796" s="12"/>
      <c r="T796" s="12"/>
      <c r="U796" s="12"/>
      <c r="V796" s="12"/>
      <c r="X796" s="13"/>
      <c r="Y796" s="13"/>
      <c r="Z796" s="13"/>
      <c r="AA796" s="13"/>
      <c r="AB796" s="13"/>
    </row>
    <row r="797" ht="15.75" customHeight="1">
      <c r="A797" s="11"/>
      <c r="B797" s="7"/>
      <c r="C797" s="11"/>
      <c r="D797" s="12"/>
      <c r="E797" s="12"/>
      <c r="F797" s="11"/>
      <c r="G797" s="11"/>
      <c r="H797" s="11"/>
      <c r="I797" s="11"/>
      <c r="J797" s="11"/>
      <c r="K797" s="11"/>
      <c r="L797" s="11"/>
      <c r="M797" s="11"/>
      <c r="N797" s="11"/>
      <c r="O797" s="11"/>
      <c r="R797" s="12"/>
      <c r="S797" s="12"/>
      <c r="T797" s="12"/>
      <c r="U797" s="12"/>
      <c r="V797" s="12"/>
      <c r="X797" s="13"/>
      <c r="Y797" s="13"/>
      <c r="Z797" s="13"/>
      <c r="AA797" s="13"/>
      <c r="AB797" s="13"/>
    </row>
    <row r="798" ht="15.75" customHeight="1">
      <c r="A798" s="11"/>
      <c r="B798" s="7"/>
      <c r="C798" s="11"/>
      <c r="D798" s="12"/>
      <c r="E798" s="12"/>
      <c r="F798" s="11"/>
      <c r="G798" s="11"/>
      <c r="H798" s="11"/>
      <c r="I798" s="11"/>
      <c r="J798" s="11"/>
      <c r="K798" s="11"/>
      <c r="L798" s="11"/>
      <c r="M798" s="11"/>
      <c r="N798" s="11"/>
      <c r="O798" s="11"/>
      <c r="R798" s="12"/>
      <c r="S798" s="12"/>
      <c r="T798" s="12"/>
      <c r="U798" s="12"/>
      <c r="V798" s="12"/>
      <c r="X798" s="13"/>
      <c r="Y798" s="13"/>
      <c r="Z798" s="13"/>
      <c r="AA798" s="13"/>
      <c r="AB798" s="13"/>
    </row>
    <row r="799" ht="15.75" customHeight="1">
      <c r="A799" s="11"/>
      <c r="B799" s="7"/>
      <c r="C799" s="11"/>
      <c r="D799" s="12"/>
      <c r="E799" s="12"/>
      <c r="F799" s="11"/>
      <c r="G799" s="11"/>
      <c r="H799" s="11"/>
      <c r="I799" s="11"/>
      <c r="J799" s="11"/>
      <c r="K799" s="11"/>
      <c r="L799" s="11"/>
      <c r="M799" s="11"/>
      <c r="N799" s="11"/>
      <c r="O799" s="11"/>
      <c r="R799" s="12"/>
      <c r="S799" s="12"/>
      <c r="T799" s="12"/>
      <c r="U799" s="12"/>
      <c r="V799" s="12"/>
      <c r="X799" s="13"/>
      <c r="Y799" s="13"/>
      <c r="Z799" s="13"/>
      <c r="AA799" s="13"/>
      <c r="AB799" s="13"/>
    </row>
    <row r="800" ht="15.75" customHeight="1">
      <c r="A800" s="11"/>
      <c r="B800" s="7"/>
      <c r="C800" s="11"/>
      <c r="D800" s="12"/>
      <c r="E800" s="12"/>
      <c r="F800" s="11"/>
      <c r="G800" s="11"/>
      <c r="H800" s="11"/>
      <c r="I800" s="11"/>
      <c r="J800" s="11"/>
      <c r="K800" s="11"/>
      <c r="L800" s="11"/>
      <c r="M800" s="11"/>
      <c r="N800" s="11"/>
      <c r="O800" s="11"/>
      <c r="R800" s="12"/>
      <c r="S800" s="12"/>
      <c r="T800" s="12"/>
      <c r="U800" s="12"/>
      <c r="V800" s="12"/>
      <c r="X800" s="13"/>
      <c r="Y800" s="13"/>
      <c r="Z800" s="13"/>
      <c r="AA800" s="13"/>
      <c r="AB800" s="13"/>
    </row>
  </sheetData>
  <drawing r:id="rId1"/>
</worksheet>
</file>