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mal Choice" sheetId="1" r:id="rId5"/>
    <sheet state="visible" name="Calculations" sheetId="2" r:id="rId6"/>
  </sheets>
  <definedNames/>
  <calcPr/>
</workbook>
</file>

<file path=xl/sharedStrings.xml><?xml version="1.0" encoding="utf-8"?>
<sst xmlns="http://schemas.openxmlformats.org/spreadsheetml/2006/main" count="39" uniqueCount="27">
  <si>
    <t>This sheet models perfectly optimal gameplay of an idle game with 5 generators. We give players a single instance of Generator 1 to start (though you can modify this on the Calculations tab). At every decision point (i.e. after each purchase) the best next purchase (based on income vs. cost) is selected. We then calculate the time required to afford it at the current income rate, buy it, and repeat. The result is a theoretical maximum performance for the game.
IMPORTANT NOTE: This model simpifies income to be a steady rate per second, when in reality it's a combination of income per cycle and length of cycle. Due to this, the slower generators produce income faster than they would have which will favor them early on instead of having players wait for them to kick in.
The default values below are the real values from AdVenture Capitalist for the first 5 business. And yes, you can indeed go this quickly (I verified for the first minute), though it's very difficult with all of the clicking involved!</t>
  </si>
  <si>
    <t>Generator 1</t>
  </si>
  <si>
    <t>Base Income</t>
  </si>
  <si>
    <t>Starting Cost</t>
  </si>
  <si>
    <t xml:space="preserve">Cost Mult Factor </t>
  </si>
  <si>
    <t>Generator 2</t>
  </si>
  <si>
    <t>Generator 3</t>
  </si>
  <si>
    <t>Generator 4</t>
  </si>
  <si>
    <t>Generator 5</t>
  </si>
  <si>
    <t>Prestige Multiple</t>
  </si>
  <si>
    <t>Minutes</t>
  </si>
  <si>
    <t>Income / Sec</t>
  </si>
  <si>
    <t>Item 1 Score</t>
  </si>
  <si>
    <t>Item 2 Score</t>
  </si>
  <si>
    <t>Item 3 Score</t>
  </si>
  <si>
    <t>Item 4 Score</t>
  </si>
  <si>
    <t>Item 5 Score</t>
  </si>
  <si>
    <t>Generator 1 Count</t>
  </si>
  <si>
    <t>Generator 2 Count</t>
  </si>
  <si>
    <t>Generator 3 Count</t>
  </si>
  <si>
    <t>Generator 4 Count</t>
  </si>
  <si>
    <t>Generator 5 Count</t>
  </si>
  <si>
    <t>Item 1 Cost</t>
  </si>
  <si>
    <t>Item 2 Cost</t>
  </si>
  <si>
    <t>Item 3 Cost</t>
  </si>
  <si>
    <t>Item 4 Cost</t>
  </si>
  <si>
    <t>Item 5 Cost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</si>
</sst>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scheme val="minor"/>
    </font>
    <font>
      <i/>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2" fontId="3" numFmtId="0" xfId="0" applyFill="1" applyFont="1"/>
    <xf borderId="0" fillId="3" fontId="1" numFmtId="0" xfId="0" applyFill="1" applyFont="1"/>
    <xf borderId="0" fillId="0" fontId="3" numFmtId="0" xfId="0" applyFont="1"/>
    <xf borderId="0" fillId="0" fontId="1" numFmtId="0" xfId="0" applyFont="1"/>
    <xf borderId="0" fillId="0" fontId="2" numFmtId="2" xfId="0" applyFont="1" applyNumberFormat="1"/>
    <xf borderId="0" fillId="0" fontId="2" numFmtId="1" xfId="0" applyFont="1" applyNumberFormat="1"/>
    <xf borderId="0" fillId="0" fontId="2" numFmtId="164" xfId="0" applyFont="1" applyNumberFormat="1"/>
    <xf borderId="0" fillId="0" fontId="1" numFmtId="2" xfId="0" applyFont="1" applyNumberFormat="1"/>
    <xf borderId="0" fillId="0" fontId="1" numFmtId="1" xfId="0" applyFont="1" applyNumberForma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Income / Sec vs. Minutes</a:t>
            </a:r>
          </a:p>
        </c:rich>
      </c:tx>
      <c:overlay val="0"/>
    </c:title>
    <c:plotArea>
      <c:layout/>
      <c:lineChart>
        <c:varyColors val="0"/>
        <c:ser>
          <c:idx val="0"/>
          <c:order val="0"/>
          <c:tx>
            <c:strRef>
              <c:f>Calculations!$B$1</c:f>
            </c:strRef>
          </c:tx>
          <c:spPr>
            <a:ln cmpd="sng">
              <a:solidFill>
                <a:srgbClr val="3366CC"/>
              </a:solidFill>
            </a:ln>
          </c:spPr>
          <c:marker>
            <c:symbol val="none"/>
          </c:marker>
          <c:cat>
            <c:strRef>
              <c:f>Calculations!$A$2:$A$200</c:f>
            </c:strRef>
          </c:cat>
          <c:val>
            <c:numRef>
              <c:f>Calculations!$B$2:$B$200</c:f>
              <c:numCache/>
            </c:numRef>
          </c:val>
          <c:smooth val="0"/>
        </c:ser>
        <c:axId val="752469932"/>
        <c:axId val="406995289"/>
      </c:lineChart>
      <c:catAx>
        <c:axId val="752469932"/>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406995289"/>
      </c:catAx>
      <c:valAx>
        <c:axId val="4069952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 / Sec</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752469932"/>
      </c:valAx>
    </c:plotArea>
    <c:legend>
      <c:legendPos val="r"/>
      <c:overlay val="0"/>
      <c:txPr>
        <a:bodyPr/>
        <a:lstStyle/>
        <a:p>
          <a:pPr lvl="0">
            <a:defRPr b="0" i="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Income / Sec vs. Minutes</a:t>
            </a:r>
          </a:p>
        </c:rich>
      </c:tx>
      <c:overlay val="0"/>
    </c:title>
    <c:plotArea>
      <c:layout/>
      <c:lineChart>
        <c:varyColors val="0"/>
        <c:ser>
          <c:idx val="0"/>
          <c:order val="0"/>
          <c:tx>
            <c:strRef>
              <c:f>Calculations!$B$1</c:f>
            </c:strRef>
          </c:tx>
          <c:spPr>
            <a:ln cmpd="sng">
              <a:solidFill>
                <a:srgbClr val="3366CC"/>
              </a:solidFill>
            </a:ln>
          </c:spPr>
          <c:marker>
            <c:symbol val="none"/>
          </c:marker>
          <c:cat>
            <c:strRef>
              <c:f>Calculations!$A$2:$A$400</c:f>
            </c:strRef>
          </c:cat>
          <c:val>
            <c:numRef>
              <c:f>Calculations!$B$2:$B$400</c:f>
              <c:numCache/>
            </c:numRef>
          </c:val>
          <c:smooth val="0"/>
        </c:ser>
        <c:axId val="902930129"/>
        <c:axId val="485442771"/>
      </c:lineChart>
      <c:catAx>
        <c:axId val="902930129"/>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485442771"/>
      </c:catAx>
      <c:valAx>
        <c:axId val="4854427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Income / Sec</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902930129"/>
      </c:valAx>
    </c:plotArea>
    <c:legend>
      <c:legendPos val="r"/>
      <c:overlay val="0"/>
      <c:txPr>
        <a:bodyPr/>
        <a:lstStyle/>
        <a:p>
          <a:pPr lvl="0">
            <a:defRPr b="0" i="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Counts of Items Over Time</a:t>
            </a:r>
          </a:p>
        </c:rich>
      </c:tx>
      <c:overlay val="0"/>
    </c:title>
    <c:plotArea>
      <c:layout/>
      <c:lineChart>
        <c:ser>
          <c:idx val="0"/>
          <c:order val="0"/>
          <c:tx>
            <c:strRef>
              <c:f>Calculations!$I$1</c:f>
            </c:strRef>
          </c:tx>
          <c:spPr>
            <a:ln cmpd="sng">
              <a:solidFill>
                <a:srgbClr val="3366CC"/>
              </a:solidFill>
            </a:ln>
          </c:spPr>
          <c:marker>
            <c:symbol val="none"/>
          </c:marker>
          <c:cat>
            <c:strRef>
              <c:f>Calculations!$A$2:$A$300</c:f>
            </c:strRef>
          </c:cat>
          <c:val>
            <c:numRef>
              <c:f>Calculations!$I$2:$I$300</c:f>
              <c:numCache/>
            </c:numRef>
          </c:val>
          <c:smooth val="0"/>
        </c:ser>
        <c:ser>
          <c:idx val="1"/>
          <c:order val="1"/>
          <c:tx>
            <c:strRef>
              <c:f>Calculations!$J$1</c:f>
            </c:strRef>
          </c:tx>
          <c:spPr>
            <a:ln cmpd="sng">
              <a:solidFill>
                <a:srgbClr val="DC3912"/>
              </a:solidFill>
            </a:ln>
          </c:spPr>
          <c:marker>
            <c:symbol val="none"/>
          </c:marker>
          <c:cat>
            <c:strRef>
              <c:f>Calculations!$A$2:$A$300</c:f>
            </c:strRef>
          </c:cat>
          <c:val>
            <c:numRef>
              <c:f>Calculations!$J$2:$J$300</c:f>
              <c:numCache/>
            </c:numRef>
          </c:val>
          <c:smooth val="0"/>
        </c:ser>
        <c:ser>
          <c:idx val="2"/>
          <c:order val="2"/>
          <c:tx>
            <c:strRef>
              <c:f>Calculations!$K$1</c:f>
            </c:strRef>
          </c:tx>
          <c:spPr>
            <a:ln cmpd="sng">
              <a:solidFill>
                <a:srgbClr val="FF9900"/>
              </a:solidFill>
            </a:ln>
          </c:spPr>
          <c:marker>
            <c:symbol val="none"/>
          </c:marker>
          <c:cat>
            <c:strRef>
              <c:f>Calculations!$A$2:$A$300</c:f>
            </c:strRef>
          </c:cat>
          <c:val>
            <c:numRef>
              <c:f>Calculations!$K$2:$K$300</c:f>
              <c:numCache/>
            </c:numRef>
          </c:val>
          <c:smooth val="0"/>
        </c:ser>
        <c:ser>
          <c:idx val="3"/>
          <c:order val="3"/>
          <c:tx>
            <c:strRef>
              <c:f>Calculations!$L$1</c:f>
            </c:strRef>
          </c:tx>
          <c:spPr>
            <a:ln cmpd="sng">
              <a:solidFill>
                <a:srgbClr val="109618"/>
              </a:solidFill>
            </a:ln>
          </c:spPr>
          <c:marker>
            <c:symbol val="none"/>
          </c:marker>
          <c:cat>
            <c:strRef>
              <c:f>Calculations!$A$2:$A$300</c:f>
            </c:strRef>
          </c:cat>
          <c:val>
            <c:numRef>
              <c:f>Calculations!$L$2:$L$300</c:f>
              <c:numCache/>
            </c:numRef>
          </c:val>
          <c:smooth val="0"/>
        </c:ser>
        <c:ser>
          <c:idx val="4"/>
          <c:order val="4"/>
          <c:tx>
            <c:strRef>
              <c:f>Calculations!$M$1</c:f>
            </c:strRef>
          </c:tx>
          <c:spPr>
            <a:ln cmpd="sng" w="19050">
              <a:solidFill>
                <a:srgbClr val="990099">
                  <a:alpha val="100000"/>
                </a:srgbClr>
              </a:solidFill>
            </a:ln>
          </c:spPr>
          <c:marker>
            <c:symbol val="none"/>
          </c:marker>
          <c:cat>
            <c:strRef>
              <c:f>Calculations!$A$2:$A$300</c:f>
            </c:strRef>
          </c:cat>
          <c:val>
            <c:numRef>
              <c:f>Calculations!$M$2:$M$300</c:f>
              <c:numCache/>
            </c:numRef>
          </c:val>
          <c:smooth val="0"/>
        </c:ser>
        <c:axId val="1728252045"/>
        <c:axId val="69136783"/>
      </c:lineChart>
      <c:catAx>
        <c:axId val="1728252045"/>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69136783"/>
      </c:catAx>
      <c:valAx>
        <c:axId val="69136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728252045"/>
      </c:valAx>
    </c:plotArea>
    <c:legend>
      <c:legendPos val="r"/>
      <c:overlay val="0"/>
      <c:txPr>
        <a:bodyPr/>
        <a:lstStyle/>
        <a:p>
          <a:pPr lvl="0">
            <a:defRPr b="0" i="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Counts of Items Over Time</a:t>
            </a:r>
          </a:p>
        </c:rich>
      </c:tx>
      <c:overlay val="0"/>
    </c:title>
    <c:plotArea>
      <c:layout/>
      <c:lineChart>
        <c:ser>
          <c:idx val="0"/>
          <c:order val="0"/>
          <c:tx>
            <c:strRef>
              <c:f>Calculations!$I$1</c:f>
            </c:strRef>
          </c:tx>
          <c:spPr>
            <a:ln cmpd="sng">
              <a:solidFill>
                <a:srgbClr val="3366CC"/>
              </a:solidFill>
            </a:ln>
          </c:spPr>
          <c:marker>
            <c:symbol val="none"/>
          </c:marker>
          <c:cat>
            <c:strRef>
              <c:f>Calculations!$A$2:$A$120</c:f>
            </c:strRef>
          </c:cat>
          <c:val>
            <c:numRef>
              <c:f>Calculations!$I$2:$I$120</c:f>
              <c:numCache/>
            </c:numRef>
          </c:val>
          <c:smooth val="0"/>
        </c:ser>
        <c:ser>
          <c:idx val="1"/>
          <c:order val="1"/>
          <c:tx>
            <c:strRef>
              <c:f>Calculations!$J$1</c:f>
            </c:strRef>
          </c:tx>
          <c:spPr>
            <a:ln cmpd="sng">
              <a:solidFill>
                <a:srgbClr val="DC3912"/>
              </a:solidFill>
            </a:ln>
          </c:spPr>
          <c:marker>
            <c:symbol val="none"/>
          </c:marker>
          <c:cat>
            <c:strRef>
              <c:f>Calculations!$A$2:$A$120</c:f>
            </c:strRef>
          </c:cat>
          <c:val>
            <c:numRef>
              <c:f>Calculations!$J$2:$J$120</c:f>
              <c:numCache/>
            </c:numRef>
          </c:val>
          <c:smooth val="0"/>
        </c:ser>
        <c:ser>
          <c:idx val="2"/>
          <c:order val="2"/>
          <c:tx>
            <c:strRef>
              <c:f>Calculations!$K$1</c:f>
            </c:strRef>
          </c:tx>
          <c:spPr>
            <a:ln cmpd="sng">
              <a:solidFill>
                <a:srgbClr val="FF9900"/>
              </a:solidFill>
            </a:ln>
          </c:spPr>
          <c:marker>
            <c:symbol val="none"/>
          </c:marker>
          <c:cat>
            <c:strRef>
              <c:f>Calculations!$A$2:$A$120</c:f>
            </c:strRef>
          </c:cat>
          <c:val>
            <c:numRef>
              <c:f>Calculations!$K$2:$K$120</c:f>
              <c:numCache/>
            </c:numRef>
          </c:val>
          <c:smooth val="0"/>
        </c:ser>
        <c:ser>
          <c:idx val="3"/>
          <c:order val="3"/>
          <c:tx>
            <c:strRef>
              <c:f>Calculations!$L$1</c:f>
            </c:strRef>
          </c:tx>
          <c:spPr>
            <a:ln cmpd="sng">
              <a:solidFill>
                <a:srgbClr val="109618"/>
              </a:solidFill>
            </a:ln>
          </c:spPr>
          <c:marker>
            <c:symbol val="none"/>
          </c:marker>
          <c:cat>
            <c:strRef>
              <c:f>Calculations!$A$2:$A$120</c:f>
            </c:strRef>
          </c:cat>
          <c:val>
            <c:numRef>
              <c:f>Calculations!$L$2:$L$120</c:f>
              <c:numCache/>
            </c:numRef>
          </c:val>
          <c:smooth val="0"/>
        </c:ser>
        <c:ser>
          <c:idx val="4"/>
          <c:order val="4"/>
          <c:tx>
            <c:strRef>
              <c:f>Calculations!$M$1</c:f>
            </c:strRef>
          </c:tx>
          <c:spPr>
            <a:ln cmpd="sng">
              <a:solidFill>
                <a:srgbClr val="990099"/>
              </a:solidFill>
            </a:ln>
          </c:spPr>
          <c:marker>
            <c:symbol val="none"/>
          </c:marker>
          <c:cat>
            <c:strRef>
              <c:f>Calculations!$A$2:$A$120</c:f>
            </c:strRef>
          </c:cat>
          <c:val>
            <c:numRef>
              <c:f>Calculations!$M$2:$M$120</c:f>
              <c:numCache/>
            </c:numRef>
          </c:val>
          <c:smooth val="0"/>
        </c:ser>
        <c:axId val="1532432189"/>
        <c:axId val="183702434"/>
      </c:lineChart>
      <c:catAx>
        <c:axId val="1532432189"/>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83702434"/>
      </c:catAx>
      <c:valAx>
        <c:axId val="1837024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Count</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532432189"/>
      </c:valAx>
    </c:plotArea>
    <c:legend>
      <c:legendPos val="r"/>
      <c:overlay val="0"/>
      <c:txPr>
        <a:bodyPr/>
        <a:lstStyle/>
        <a:p>
          <a:pPr lvl="0">
            <a:defRPr b="0" i="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2</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171450</xdr:colOff>
      <xdr:row>2</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228600</xdr:colOff>
      <xdr:row>20</xdr:row>
      <xdr:rowOff>38100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20</xdr:row>
      <xdr:rowOff>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c r="A1" s="1" t="s">
        <v>0</v>
      </c>
    </row>
    <row r="2" ht="15.75" customHeight="1"/>
    <row r="3" ht="15.75" customHeight="1"/>
    <row r="4" ht="15.75" customHeight="1"/>
    <row r="5" ht="15.75" customHeight="1">
      <c r="A5" s="2" t="s">
        <v>1</v>
      </c>
    </row>
    <row r="6" ht="15.75" customHeight="1">
      <c r="A6" s="3" t="s">
        <v>2</v>
      </c>
      <c r="B6" s="4">
        <v>1.67</v>
      </c>
    </row>
    <row r="7" ht="15.75" customHeight="1">
      <c r="A7" s="3" t="s">
        <v>3</v>
      </c>
      <c r="B7" s="4">
        <v>4.0</v>
      </c>
    </row>
    <row r="8" ht="15.75" customHeight="1">
      <c r="A8" s="3" t="s">
        <v>4</v>
      </c>
      <c r="B8" s="4">
        <v>1.07</v>
      </c>
    </row>
    <row r="9" ht="15.75" customHeight="1"/>
    <row r="10" ht="15.75" customHeight="1">
      <c r="A10" s="2" t="s">
        <v>5</v>
      </c>
    </row>
    <row r="11" ht="15.75" customHeight="1">
      <c r="A11" s="5" t="s">
        <v>2</v>
      </c>
      <c r="B11" s="4">
        <v>20.0</v>
      </c>
    </row>
    <row r="12" ht="15.75" customHeight="1">
      <c r="A12" s="5" t="s">
        <v>3</v>
      </c>
      <c r="B12" s="4">
        <v>60.0</v>
      </c>
    </row>
    <row r="13" ht="15.75" customHeight="1">
      <c r="A13" s="5" t="s">
        <v>4</v>
      </c>
      <c r="B13" s="4">
        <v>1.15</v>
      </c>
      <c r="D13" s="6"/>
    </row>
    <row r="14" ht="15.75" customHeight="1"/>
    <row r="15" ht="15.75" customHeight="1">
      <c r="A15" s="2" t="s">
        <v>6</v>
      </c>
    </row>
    <row r="16" ht="15.75" customHeight="1">
      <c r="A16" s="5" t="s">
        <v>2</v>
      </c>
      <c r="B16" s="4">
        <v>90.0</v>
      </c>
    </row>
    <row r="17" ht="15.75" customHeight="1">
      <c r="A17" s="5" t="s">
        <v>3</v>
      </c>
      <c r="B17" s="4">
        <v>720.0</v>
      </c>
    </row>
    <row r="18" ht="15.75" customHeight="1">
      <c r="A18" s="5" t="s">
        <v>4</v>
      </c>
      <c r="B18" s="4">
        <v>1.14</v>
      </c>
    </row>
    <row r="19" ht="15.75" customHeight="1"/>
    <row r="20" ht="15.75" customHeight="1">
      <c r="A20" s="2" t="s">
        <v>7</v>
      </c>
    </row>
    <row r="21" ht="15.75" customHeight="1">
      <c r="A21" s="5" t="s">
        <v>2</v>
      </c>
      <c r="B21" s="4">
        <v>360.0</v>
      </c>
    </row>
    <row r="22" ht="15.75" customHeight="1">
      <c r="A22" s="5" t="s">
        <v>3</v>
      </c>
      <c r="B22" s="4">
        <v>8640.0</v>
      </c>
    </row>
    <row r="23" ht="15.75" customHeight="1">
      <c r="A23" s="5" t="s">
        <v>4</v>
      </c>
      <c r="B23" s="4">
        <v>1.13</v>
      </c>
    </row>
    <row r="24" ht="15.75" customHeight="1"/>
    <row r="25" ht="15.75" customHeight="1">
      <c r="A25" s="2" t="s">
        <v>8</v>
      </c>
    </row>
    <row r="26" ht="15.75" customHeight="1">
      <c r="A26" s="5" t="s">
        <v>2</v>
      </c>
      <c r="B26" s="4">
        <v>2160.0</v>
      </c>
    </row>
    <row r="27" ht="15.75" customHeight="1">
      <c r="A27" s="5" t="s">
        <v>3</v>
      </c>
      <c r="B27" s="4">
        <v>103680.0</v>
      </c>
    </row>
    <row r="28" ht="15.75" customHeight="1">
      <c r="A28" s="5" t="s">
        <v>4</v>
      </c>
      <c r="B28" s="4">
        <v>1.12</v>
      </c>
    </row>
    <row r="29" ht="15.75" customHeight="1"/>
    <row r="30" ht="15.75" customHeight="1">
      <c r="A30" s="3" t="s">
        <v>9</v>
      </c>
      <c r="B30" s="4">
        <v>1.0</v>
      </c>
      <c r="C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7" t="s">
        <v>10</v>
      </c>
      <c r="B1" s="2" t="s">
        <v>11</v>
      </c>
      <c r="C1" s="7" t="s">
        <v>12</v>
      </c>
      <c r="D1" s="7" t="s">
        <v>13</v>
      </c>
      <c r="E1" s="7" t="s">
        <v>14</v>
      </c>
      <c r="F1" s="7" t="s">
        <v>15</v>
      </c>
      <c r="G1" s="7" t="s">
        <v>16</v>
      </c>
      <c r="H1" s="2"/>
      <c r="I1" s="8" t="s">
        <v>17</v>
      </c>
      <c r="J1" s="8" t="s">
        <v>18</v>
      </c>
      <c r="K1" s="8" t="s">
        <v>19</v>
      </c>
      <c r="L1" s="8" t="s">
        <v>20</v>
      </c>
      <c r="M1" s="8" t="s">
        <v>21</v>
      </c>
      <c r="N1" s="2"/>
      <c r="O1" s="9" t="s">
        <v>22</v>
      </c>
      <c r="P1" s="9" t="s">
        <v>23</v>
      </c>
      <c r="Q1" s="9" t="s">
        <v>24</v>
      </c>
      <c r="R1" s="9" t="s">
        <v>25</v>
      </c>
      <c r="S1" s="9" t="s">
        <v>26</v>
      </c>
      <c r="T1" s="2"/>
      <c r="U1" s="2"/>
      <c r="V1" s="2"/>
      <c r="W1" s="2"/>
      <c r="X1" s="2"/>
      <c r="Y1" s="2"/>
      <c r="Z1" s="2"/>
    </row>
    <row r="2" ht="15.75" customHeight="1">
      <c r="A2" s="10">
        <v>0.0</v>
      </c>
      <c r="B2" s="6">
        <f>(I2*'Optimal Choice'!$B$6+J2*'Optimal Choice'!$B$11+K2*'Optimal Choice'!$B$16+L2*'Optimal Choice'!$B$21+M2*'Optimal Choice'!$B$26)*'Optimal Choice'!$B$30</f>
        <v>1.67</v>
      </c>
      <c r="C2" s="10">
        <f>(O2/$B2)+(O2/'Optimal Choice'!$B$6)</f>
        <v>5.484550898</v>
      </c>
      <c r="D2" s="10">
        <f>(P2/$B2)+(P2/'Optimal Choice'!$B$11)</f>
        <v>44.76736527</v>
      </c>
      <c r="E2" s="10">
        <f>(Q2/$B2)+(Q2/'Optimal Choice'!$B$16)</f>
        <v>500.617006</v>
      </c>
      <c r="F2" s="10">
        <f>(R2/$B2)+(R2/'Optimal Choice'!$B$21)</f>
        <v>5873.347545</v>
      </c>
      <c r="G2" s="10">
        <f>(S2/$B2)+(S2/'Optimal Choice'!$B$26)</f>
        <v>69587.65222</v>
      </c>
      <c r="I2" s="11">
        <v>1.0</v>
      </c>
      <c r="J2" s="11">
        <v>0.0</v>
      </c>
      <c r="K2" s="11">
        <v>0.0</v>
      </c>
      <c r="L2" s="11">
        <v>0.0</v>
      </c>
      <c r="M2" s="11">
        <v>0.0</v>
      </c>
      <c r="O2" s="12">
        <f> 'Optimal Choice'!$B$7*'Optimal Choice'!$B$8^(I2+1)</f>
        <v>4.5796</v>
      </c>
      <c r="P2" s="12">
        <f> 'Optimal Choice'!$B$12*'Optimal Choice'!$B$13^(J2+1)</f>
        <v>69</v>
      </c>
      <c r="Q2" s="12">
        <f> 'Optimal Choice'!$B$17*'Optimal Choice'!$B$18^(K2+1)</f>
        <v>820.8</v>
      </c>
      <c r="R2" s="12">
        <f> 'Optimal Choice'!$B$22*'Optimal Choice'!$B$23^(L2+1)</f>
        <v>9763.2</v>
      </c>
      <c r="S2" s="12">
        <f> 'Optimal Choice'!$B$27*'Optimal Choice'!$B$28^(M2+1)</f>
        <v>116121.6</v>
      </c>
    </row>
    <row r="3" ht="15.75" customHeight="1">
      <c r="A3" s="10">
        <f t="shared" ref="A3:A750" si="2">A2+(index(O2:S2,1,match(min(C2:G2),C2:G2,0))/B2)/60</f>
        <v>0.04570459082</v>
      </c>
      <c r="B3" s="6">
        <f>(I3*'Optimal Choice'!$B$6+J3*'Optimal Choice'!$B$11+K3*'Optimal Choice'!$B$16+L3*'Optimal Choice'!$B$21+M3*'Optimal Choice'!$B$26)*'Optimal Choice'!$B$30</f>
        <v>3.34</v>
      </c>
      <c r="C3" s="10">
        <f>(O3/$B3)+(O3/'Optimal Choice'!$B$6)</f>
        <v>4.401352096</v>
      </c>
      <c r="D3" s="10">
        <f>(P3/$B3)+(P3/'Optimal Choice'!$B$11)</f>
        <v>24.10868263</v>
      </c>
      <c r="E3" s="10">
        <f>(Q3/$B3)+(Q3/'Optimal Choice'!$B$16)</f>
        <v>254.868503</v>
      </c>
      <c r="F3" s="10">
        <f>(R3/$B3)+(R3/'Optimal Choice'!$B$21)</f>
        <v>2950.233772</v>
      </c>
      <c r="G3" s="10">
        <f>(S3/$B3)+(S3/'Optimal Choice'!$B$26)</f>
        <v>34820.70611</v>
      </c>
      <c r="I3" s="11">
        <f t="shared" ref="I3:M3" si="1">if(min($C2:$G2)=C2,I2+1,I2)</f>
        <v>2</v>
      </c>
      <c r="J3" s="11">
        <f t="shared" si="1"/>
        <v>0</v>
      </c>
      <c r="K3" s="11">
        <f t="shared" si="1"/>
        <v>0</v>
      </c>
      <c r="L3" s="11">
        <f t="shared" si="1"/>
        <v>0</v>
      </c>
      <c r="M3" s="11">
        <f t="shared" si="1"/>
        <v>0</v>
      </c>
      <c r="O3" s="12">
        <f> 'Optimal Choice'!$B$7*'Optimal Choice'!$B$8^(I3+1)</f>
        <v>4.900172</v>
      </c>
      <c r="P3" s="12">
        <f> 'Optimal Choice'!$B$12*'Optimal Choice'!$B$13^(J3+1)</f>
        <v>69</v>
      </c>
      <c r="Q3" s="12">
        <f> 'Optimal Choice'!$B$17*'Optimal Choice'!$B$18^(K3+1)</f>
        <v>820.8</v>
      </c>
      <c r="R3" s="12">
        <f> 'Optimal Choice'!$B$22*'Optimal Choice'!$B$23^(L3+1)</f>
        <v>9763.2</v>
      </c>
      <c r="S3" s="12">
        <f> 'Optimal Choice'!$B$27*'Optimal Choice'!$B$28^(M3+1)</f>
        <v>116121.6</v>
      </c>
    </row>
    <row r="4" ht="15.75" customHeight="1">
      <c r="A4" s="10">
        <f t="shared" si="2"/>
        <v>0.07015654691</v>
      </c>
      <c r="B4" s="6">
        <f>(I4*'Optimal Choice'!$B$6+J4*'Optimal Choice'!$B$11+K4*'Optimal Choice'!$B$16+L4*'Optimal Choice'!$B$21+M4*'Optimal Choice'!$B$26)*'Optimal Choice'!$B$30</f>
        <v>5.01</v>
      </c>
      <c r="C4" s="10">
        <f>(O4/$B4)+(O4/'Optimal Choice'!$B$6)</f>
        <v>4.186174882</v>
      </c>
      <c r="D4" s="10">
        <f>(P4/$B4)+(P4/'Optimal Choice'!$B$11)</f>
        <v>17.22245509</v>
      </c>
      <c r="E4" s="10">
        <f>(Q4/$B4)+(Q4/'Optimal Choice'!$B$16)</f>
        <v>172.9523353</v>
      </c>
      <c r="F4" s="10">
        <f>(R4/$B4)+(R4/'Optimal Choice'!$B$21)</f>
        <v>1975.862515</v>
      </c>
      <c r="G4" s="10">
        <f>(S4/$B4)+(S4/'Optimal Choice'!$B$26)</f>
        <v>23231.72407</v>
      </c>
      <c r="I4" s="11">
        <f t="shared" ref="I4:M4" si="3">if(min($C3:$G3)=C3,I3+1,I3)</f>
        <v>3</v>
      </c>
      <c r="J4" s="11">
        <f t="shared" si="3"/>
        <v>0</v>
      </c>
      <c r="K4" s="11">
        <f t="shared" si="3"/>
        <v>0</v>
      </c>
      <c r="L4" s="11">
        <f t="shared" si="3"/>
        <v>0</v>
      </c>
      <c r="M4" s="11">
        <f t="shared" si="3"/>
        <v>0</v>
      </c>
      <c r="O4" s="12">
        <f> 'Optimal Choice'!$B$7*'Optimal Choice'!$B$8^(I4+1)</f>
        <v>5.24318404</v>
      </c>
      <c r="P4" s="12">
        <f> 'Optimal Choice'!$B$12*'Optimal Choice'!$B$13^(J4+1)</f>
        <v>69</v>
      </c>
      <c r="Q4" s="12">
        <f> 'Optimal Choice'!$B$17*'Optimal Choice'!$B$18^(K4+1)</f>
        <v>820.8</v>
      </c>
      <c r="R4" s="12">
        <f> 'Optimal Choice'!$B$22*'Optimal Choice'!$B$23^(L4+1)</f>
        <v>9763.2</v>
      </c>
      <c r="S4" s="12">
        <f> 'Optimal Choice'!$B$27*'Optimal Choice'!$B$28^(M4+1)</f>
        <v>116121.6</v>
      </c>
    </row>
    <row r="5" ht="15.75" customHeight="1">
      <c r="A5" s="10">
        <f t="shared" si="2"/>
        <v>0.08759894225</v>
      </c>
      <c r="B5" s="6">
        <f>(I5*'Optimal Choice'!$B$6+J5*'Optimal Choice'!$B$11+K5*'Optimal Choice'!$B$16+L5*'Optimal Choice'!$B$21+M5*'Optimal Choice'!$B$26)*'Optimal Choice'!$B$30</f>
        <v>6.68</v>
      </c>
      <c r="C5" s="10">
        <f>(O5/$B5)+(O5/'Optimal Choice'!$B$6)</f>
        <v>4.199256679</v>
      </c>
      <c r="D5" s="10">
        <f>(P5/$B5)+(P5/'Optimal Choice'!$B$11)</f>
        <v>13.77934132</v>
      </c>
      <c r="E5" s="10">
        <f>(Q5/$B5)+(Q5/'Optimal Choice'!$B$16)</f>
        <v>131.9942515</v>
      </c>
      <c r="F5" s="10">
        <f>(R5/$B5)+(R5/'Optimal Choice'!$B$21)</f>
        <v>1488.676886</v>
      </c>
      <c r="G5" s="10">
        <f>(S5/$B5)+(S5/'Optimal Choice'!$B$26)</f>
        <v>17437.23305</v>
      </c>
      <c r="I5" s="11">
        <f t="shared" ref="I5:M5" si="4">if(min($C4:$G4)=C4,I4+1,I4)</f>
        <v>4</v>
      </c>
      <c r="J5" s="11">
        <f t="shared" si="4"/>
        <v>0</v>
      </c>
      <c r="K5" s="11">
        <f t="shared" si="4"/>
        <v>0</v>
      </c>
      <c r="L5" s="11">
        <f t="shared" si="4"/>
        <v>0</v>
      </c>
      <c r="M5" s="11">
        <f t="shared" si="4"/>
        <v>0</v>
      </c>
      <c r="O5" s="12">
        <f> 'Optimal Choice'!$B$7*'Optimal Choice'!$B$8^(I5+1)</f>
        <v>5.610206923</v>
      </c>
      <c r="P5" s="12">
        <f> 'Optimal Choice'!$B$12*'Optimal Choice'!$B$13^(J5+1)</f>
        <v>69</v>
      </c>
      <c r="Q5" s="12">
        <f> 'Optimal Choice'!$B$17*'Optimal Choice'!$B$18^(K5+1)</f>
        <v>820.8</v>
      </c>
      <c r="R5" s="12">
        <f> 'Optimal Choice'!$B$22*'Optimal Choice'!$B$23^(L5+1)</f>
        <v>9763.2</v>
      </c>
      <c r="S5" s="12">
        <f> 'Optimal Choice'!$B$27*'Optimal Choice'!$B$28^(M5+1)</f>
        <v>116121.6</v>
      </c>
    </row>
    <row r="6" ht="15.75" customHeight="1">
      <c r="A6" s="10">
        <f t="shared" si="2"/>
        <v>0.1015964645</v>
      </c>
      <c r="B6" s="6">
        <f>(I6*'Optimal Choice'!$B$6+J6*'Optimal Choice'!$B$11+K6*'Optimal Choice'!$B$16+L6*'Optimal Choice'!$B$21+M6*'Optimal Choice'!$B$26)*'Optimal Choice'!$B$30</f>
        <v>8.35</v>
      </c>
      <c r="C6" s="10">
        <f>(O6/$B6)+(O6/'Optimal Choice'!$B$6)</f>
        <v>4.31347646</v>
      </c>
      <c r="D6" s="10">
        <f>(P6/$B6)+(P6/'Optimal Choice'!$B$11)</f>
        <v>11.71347305</v>
      </c>
      <c r="E6" s="10">
        <f>(Q6/$B6)+(Q6/'Optimal Choice'!$B$16)</f>
        <v>107.4194012</v>
      </c>
      <c r="F6" s="10">
        <f>(R6/$B6)+(R6/'Optimal Choice'!$B$21)</f>
        <v>1196.365509</v>
      </c>
      <c r="G6" s="10">
        <f>(S6/$B6)+(S6/'Optimal Choice'!$B$26)</f>
        <v>13960.53844</v>
      </c>
      <c r="I6" s="11">
        <f t="shared" ref="I6:M6" si="5">if(min($C5:$G5)=C5,I5+1,I5)</f>
        <v>5</v>
      </c>
      <c r="J6" s="11">
        <f t="shared" si="5"/>
        <v>0</v>
      </c>
      <c r="K6" s="11">
        <f t="shared" si="5"/>
        <v>0</v>
      </c>
      <c r="L6" s="11">
        <f t="shared" si="5"/>
        <v>0</v>
      </c>
      <c r="M6" s="11">
        <f t="shared" si="5"/>
        <v>0</v>
      </c>
      <c r="O6" s="12">
        <f> 'Optimal Choice'!$B$7*'Optimal Choice'!$B$8^(I6+1)</f>
        <v>6.002921407</v>
      </c>
      <c r="P6" s="12">
        <f> 'Optimal Choice'!$B$12*'Optimal Choice'!$B$13^(J6+1)</f>
        <v>69</v>
      </c>
      <c r="Q6" s="12">
        <f> 'Optimal Choice'!$B$17*'Optimal Choice'!$B$18^(K6+1)</f>
        <v>820.8</v>
      </c>
      <c r="R6" s="12">
        <f> 'Optimal Choice'!$B$22*'Optimal Choice'!$B$23^(L6+1)</f>
        <v>9763.2</v>
      </c>
      <c r="S6" s="12">
        <f> 'Optimal Choice'!$B$27*'Optimal Choice'!$B$28^(M6+1)</f>
        <v>116121.6</v>
      </c>
    </row>
    <row r="7" ht="15.75" customHeight="1">
      <c r="A7" s="10">
        <f t="shared" si="2"/>
        <v>0.1135783436</v>
      </c>
      <c r="B7" s="6">
        <f>(I7*'Optimal Choice'!$B$6+J7*'Optimal Choice'!$B$11+K7*'Optimal Choice'!$B$16+L7*'Optimal Choice'!$B$21+M7*'Optimal Choice'!$B$26)*'Optimal Choice'!$B$30</f>
        <v>10.02</v>
      </c>
      <c r="C7" s="10">
        <f>(O7/$B7)+(O7/'Optimal Choice'!$B$6)</f>
        <v>4.487213707</v>
      </c>
      <c r="D7" s="10">
        <f>(P7/$B7)+(P7/'Optimal Choice'!$B$11)</f>
        <v>10.33622754</v>
      </c>
      <c r="E7" s="10">
        <f>(Q7/$B7)+(Q7/'Optimal Choice'!$B$16)</f>
        <v>91.03616766</v>
      </c>
      <c r="F7" s="10">
        <f>(R7/$B7)+(R7/'Optimal Choice'!$B$21)</f>
        <v>1001.491257</v>
      </c>
      <c r="G7" s="10">
        <f>(S7/$B7)+(S7/'Optimal Choice'!$B$26)</f>
        <v>11642.74204</v>
      </c>
      <c r="I7" s="11">
        <f t="shared" ref="I7:M7" si="6">if(min($C6:$G6)=C6,I6+1,I6)</f>
        <v>6</v>
      </c>
      <c r="J7" s="11">
        <f t="shared" si="6"/>
        <v>0</v>
      </c>
      <c r="K7" s="11">
        <f t="shared" si="6"/>
        <v>0</v>
      </c>
      <c r="L7" s="11">
        <f t="shared" si="6"/>
        <v>0</v>
      </c>
      <c r="M7" s="11">
        <f t="shared" si="6"/>
        <v>0</v>
      </c>
      <c r="O7" s="12">
        <f> 'Optimal Choice'!$B$7*'Optimal Choice'!$B$8^(I7+1)</f>
        <v>6.423125906</v>
      </c>
      <c r="P7" s="12">
        <f> 'Optimal Choice'!$B$12*'Optimal Choice'!$B$13^(J7+1)</f>
        <v>69</v>
      </c>
      <c r="Q7" s="12">
        <f> 'Optimal Choice'!$B$17*'Optimal Choice'!$B$18^(K7+1)</f>
        <v>820.8</v>
      </c>
      <c r="R7" s="12">
        <f> 'Optimal Choice'!$B$22*'Optimal Choice'!$B$23^(L7+1)</f>
        <v>9763.2</v>
      </c>
      <c r="S7" s="12">
        <f> 'Optimal Choice'!$B$27*'Optimal Choice'!$B$28^(M7+1)</f>
        <v>116121.6</v>
      </c>
    </row>
    <row r="8" ht="15.75" customHeight="1">
      <c r="A8" s="10">
        <f t="shared" si="2"/>
        <v>0.1242621857</v>
      </c>
      <c r="B8" s="6">
        <f>(I8*'Optimal Choice'!$B$6+J8*'Optimal Choice'!$B$11+K8*'Optimal Choice'!$B$16+L8*'Optimal Choice'!$B$21+M8*'Optimal Choice'!$B$26)*'Optimal Choice'!$B$30</f>
        <v>11.69</v>
      </c>
      <c r="C8" s="10">
        <f>(O8/$B8)+(O8/'Optimal Choice'!$B$6)</f>
        <v>4.703332571</v>
      </c>
      <c r="D8" s="10">
        <f>(P8/$B8)+(P8/'Optimal Choice'!$B$11)</f>
        <v>9.352480753</v>
      </c>
      <c r="E8" s="10">
        <f>(Q8/$B8)+(Q8/'Optimal Choice'!$B$16)</f>
        <v>79.333858</v>
      </c>
      <c r="F8" s="10">
        <f>(R8/$B8)+(R8/'Optimal Choice'!$B$21)</f>
        <v>862.2953636</v>
      </c>
      <c r="G8" s="10">
        <f>(S8/$B8)+(S8/'Optimal Choice'!$B$26)</f>
        <v>9987.173174</v>
      </c>
      <c r="I8" s="11">
        <f t="shared" ref="I8:M8" si="7">if(min($C7:$G7)=C7,I7+1,I7)</f>
        <v>7</v>
      </c>
      <c r="J8" s="11">
        <f t="shared" si="7"/>
        <v>0</v>
      </c>
      <c r="K8" s="11">
        <f t="shared" si="7"/>
        <v>0</v>
      </c>
      <c r="L8" s="11">
        <f t="shared" si="7"/>
        <v>0</v>
      </c>
      <c r="M8" s="11">
        <f t="shared" si="7"/>
        <v>0</v>
      </c>
      <c r="O8" s="12">
        <f> 'Optimal Choice'!$B$7*'Optimal Choice'!$B$8^(I8+1)</f>
        <v>6.872744719</v>
      </c>
      <c r="P8" s="12">
        <f> 'Optimal Choice'!$B$12*'Optimal Choice'!$B$13^(J8+1)</f>
        <v>69</v>
      </c>
      <c r="Q8" s="12">
        <f> 'Optimal Choice'!$B$17*'Optimal Choice'!$B$18^(K8+1)</f>
        <v>820.8</v>
      </c>
      <c r="R8" s="12">
        <f> 'Optimal Choice'!$B$22*'Optimal Choice'!$B$23^(L8+1)</f>
        <v>9763.2</v>
      </c>
      <c r="S8" s="12">
        <f> 'Optimal Choice'!$B$27*'Optimal Choice'!$B$28^(M8+1)</f>
        <v>116121.6</v>
      </c>
    </row>
    <row r="9" ht="15.75" customHeight="1">
      <c r="A9" s="10">
        <f t="shared" si="2"/>
        <v>0.1340607952</v>
      </c>
      <c r="B9" s="6">
        <f>(I9*'Optimal Choice'!$B$6+J9*'Optimal Choice'!$B$11+K9*'Optimal Choice'!$B$16+L9*'Optimal Choice'!$B$21+M9*'Optimal Choice'!$B$26)*'Optimal Choice'!$B$30</f>
        <v>13.36</v>
      </c>
      <c r="C9" s="10">
        <f>(O9/$B9)+(O9/'Optimal Choice'!$B$6)</f>
        <v>4.95393201</v>
      </c>
      <c r="D9" s="10">
        <f>(P9/$B9)+(P9/'Optimal Choice'!$B$11)</f>
        <v>8.614670659</v>
      </c>
      <c r="E9" s="10">
        <f>(Q9/$B9)+(Q9/'Optimal Choice'!$B$16)</f>
        <v>70.55712575</v>
      </c>
      <c r="F9" s="10">
        <f>(R9/$B9)+(R9/'Optimal Choice'!$B$21)</f>
        <v>757.8984431</v>
      </c>
      <c r="G9" s="10">
        <f>(S9/$B9)+(S9/'Optimal Choice'!$B$26)</f>
        <v>8745.496527</v>
      </c>
      <c r="I9" s="11">
        <f t="shared" ref="I9:M9" si="8">if(min($C8:$G8)=C8,I8+1,I8)</f>
        <v>8</v>
      </c>
      <c r="J9" s="11">
        <f t="shared" si="8"/>
        <v>0</v>
      </c>
      <c r="K9" s="11">
        <f t="shared" si="8"/>
        <v>0</v>
      </c>
      <c r="L9" s="11">
        <f t="shared" si="8"/>
        <v>0</v>
      </c>
      <c r="M9" s="11">
        <f t="shared" si="8"/>
        <v>0</v>
      </c>
      <c r="O9" s="12">
        <f> 'Optimal Choice'!$B$7*'Optimal Choice'!$B$8^(I9+1)</f>
        <v>7.35383685</v>
      </c>
      <c r="P9" s="12">
        <f> 'Optimal Choice'!$B$12*'Optimal Choice'!$B$13^(J9+1)</f>
        <v>69</v>
      </c>
      <c r="Q9" s="12">
        <f> 'Optimal Choice'!$B$17*'Optimal Choice'!$B$18^(K9+1)</f>
        <v>820.8</v>
      </c>
      <c r="R9" s="12">
        <f> 'Optimal Choice'!$B$22*'Optimal Choice'!$B$23^(L9+1)</f>
        <v>9763.2</v>
      </c>
      <c r="S9" s="12">
        <f> 'Optimal Choice'!$B$27*'Optimal Choice'!$B$28^(M9+1)</f>
        <v>116121.6</v>
      </c>
    </row>
    <row r="10" ht="15.75" customHeight="1">
      <c r="A10" s="10">
        <f t="shared" si="2"/>
        <v>0.1432347434</v>
      </c>
      <c r="B10" s="6">
        <f>(I10*'Optimal Choice'!$B$6+J10*'Optimal Choice'!$B$11+K10*'Optimal Choice'!$B$16+L10*'Optimal Choice'!$B$21+M10*'Optimal Choice'!$B$26)*'Optimal Choice'!$B$30</f>
        <v>15.03</v>
      </c>
      <c r="C10" s="10">
        <f>(O10/$B10)+(O10/'Optimal Choice'!$B$6)</f>
        <v>5.23526642</v>
      </c>
      <c r="D10" s="10">
        <f>(P10/$B10)+(P10/'Optimal Choice'!$B$11)</f>
        <v>8.040818363</v>
      </c>
      <c r="E10" s="10">
        <f>(Q10/$B10)+(Q10/'Optimal Choice'!$B$16)</f>
        <v>63.73077844</v>
      </c>
      <c r="F10" s="10">
        <f>(R10/$B10)+(R10/'Optimal Choice'!$B$21)</f>
        <v>676.7008383</v>
      </c>
      <c r="G10" s="10">
        <f>(S10/$B10)+(S10/'Optimal Choice'!$B$26)</f>
        <v>7779.748024</v>
      </c>
      <c r="I10" s="11">
        <f t="shared" ref="I10:M10" si="9">if(min($C9:$G9)=C9,I9+1,I9)</f>
        <v>9</v>
      </c>
      <c r="J10" s="11">
        <f t="shared" si="9"/>
        <v>0</v>
      </c>
      <c r="K10" s="11">
        <f t="shared" si="9"/>
        <v>0</v>
      </c>
      <c r="L10" s="11">
        <f t="shared" si="9"/>
        <v>0</v>
      </c>
      <c r="M10" s="11">
        <f t="shared" si="9"/>
        <v>0</v>
      </c>
      <c r="O10" s="12">
        <f> 'Optimal Choice'!$B$7*'Optimal Choice'!$B$8^(I10+1)</f>
        <v>7.868605429</v>
      </c>
      <c r="P10" s="12">
        <f> 'Optimal Choice'!$B$12*'Optimal Choice'!$B$13^(J10+1)</f>
        <v>69</v>
      </c>
      <c r="Q10" s="12">
        <f> 'Optimal Choice'!$B$17*'Optimal Choice'!$B$18^(K10+1)</f>
        <v>820.8</v>
      </c>
      <c r="R10" s="12">
        <f> 'Optimal Choice'!$B$22*'Optimal Choice'!$B$23^(L10+1)</f>
        <v>9763.2</v>
      </c>
      <c r="S10" s="12">
        <f> 'Optimal Choice'!$B$27*'Optimal Choice'!$B$28^(M10+1)</f>
        <v>116121.6</v>
      </c>
    </row>
    <row r="11" ht="15.75" customHeight="1">
      <c r="A11" s="10">
        <f t="shared" si="2"/>
        <v>0.1519601874</v>
      </c>
      <c r="B11" s="6">
        <f>(I11*'Optimal Choice'!$B$6+J11*'Optimal Choice'!$B$11+K11*'Optimal Choice'!$B$16+L11*'Optimal Choice'!$B$21+M11*'Optimal Choice'!$B$26)*'Optimal Choice'!$B$30</f>
        <v>16.7</v>
      </c>
      <c r="C11" s="10">
        <f>(O11/$B11)+(O11/'Optimal Choice'!$B$6)</f>
        <v>5.545717719</v>
      </c>
      <c r="D11" s="10">
        <f>(P11/$B11)+(P11/'Optimal Choice'!$B$11)</f>
        <v>7.581736527</v>
      </c>
      <c r="E11" s="10">
        <f>(Q11/$B11)+(Q11/'Optimal Choice'!$B$16)</f>
        <v>58.2697006</v>
      </c>
      <c r="F11" s="10">
        <f>(R11/$B11)+(R11/'Optimal Choice'!$B$21)</f>
        <v>611.7427545</v>
      </c>
      <c r="G11" s="10">
        <f>(S11/$B11)+(S11/'Optimal Choice'!$B$26)</f>
        <v>7007.149222</v>
      </c>
      <c r="I11" s="11">
        <f t="shared" ref="I11:M11" si="10">if(min($C10:$G10)=C10,I10+1,I10)</f>
        <v>10</v>
      </c>
      <c r="J11" s="11">
        <f t="shared" si="10"/>
        <v>0</v>
      </c>
      <c r="K11" s="11">
        <f t="shared" si="10"/>
        <v>0</v>
      </c>
      <c r="L11" s="11">
        <f t="shared" si="10"/>
        <v>0</v>
      </c>
      <c r="M11" s="11">
        <f t="shared" si="10"/>
        <v>0</v>
      </c>
      <c r="O11" s="12">
        <f> 'Optimal Choice'!$B$7*'Optimal Choice'!$B$8^(I11+1)</f>
        <v>8.419407809</v>
      </c>
      <c r="P11" s="12">
        <f> 'Optimal Choice'!$B$12*'Optimal Choice'!$B$13^(J11+1)</f>
        <v>69</v>
      </c>
      <c r="Q11" s="12">
        <f> 'Optimal Choice'!$B$17*'Optimal Choice'!$B$18^(K11+1)</f>
        <v>820.8</v>
      </c>
      <c r="R11" s="12">
        <f> 'Optimal Choice'!$B$22*'Optimal Choice'!$B$23^(L11+1)</f>
        <v>9763.2</v>
      </c>
      <c r="S11" s="12">
        <f> 'Optimal Choice'!$B$27*'Optimal Choice'!$B$28^(M11+1)</f>
        <v>116121.6</v>
      </c>
    </row>
    <row r="12" ht="15.75" customHeight="1">
      <c r="A12" s="10">
        <f t="shared" si="2"/>
        <v>0.1603627901</v>
      </c>
      <c r="B12" s="6">
        <f>(I12*'Optimal Choice'!$B$6+J12*'Optimal Choice'!$B$11+K12*'Optimal Choice'!$B$16+L12*'Optimal Choice'!$B$21+M12*'Optimal Choice'!$B$26)*'Optimal Choice'!$B$30</f>
        <v>18.37</v>
      </c>
      <c r="C12" s="10">
        <f>(O12/$B12)+(O12/'Optimal Choice'!$B$6)</f>
        <v>5.884877315</v>
      </c>
      <c r="D12" s="10">
        <f>(P12/$B12)+(P12/'Optimal Choice'!$B$11)</f>
        <v>7.206124115</v>
      </c>
      <c r="E12" s="10">
        <f>(Q12/$B12)+(Q12/'Optimal Choice'!$B$16)</f>
        <v>53.801546</v>
      </c>
      <c r="F12" s="10">
        <f>(R12/$B12)+(R12/'Optimal Choice'!$B$21)</f>
        <v>558.5952314</v>
      </c>
      <c r="G12" s="10">
        <f>(S12/$B12)+(S12/'Optimal Choice'!$B$26)</f>
        <v>6375.022929</v>
      </c>
      <c r="I12" s="11">
        <f t="shared" ref="I12:M12" si="11">if(min($C11:$G11)=C11,I11+1,I11)</f>
        <v>11</v>
      </c>
      <c r="J12" s="11">
        <f t="shared" si="11"/>
        <v>0</v>
      </c>
      <c r="K12" s="11">
        <f t="shared" si="11"/>
        <v>0</v>
      </c>
      <c r="L12" s="11">
        <f t="shared" si="11"/>
        <v>0</v>
      </c>
      <c r="M12" s="11">
        <f t="shared" si="11"/>
        <v>0</v>
      </c>
      <c r="O12" s="12">
        <f> 'Optimal Choice'!$B$7*'Optimal Choice'!$B$8^(I12+1)</f>
        <v>9.008766356</v>
      </c>
      <c r="P12" s="12">
        <f> 'Optimal Choice'!$B$12*'Optimal Choice'!$B$13^(J12+1)</f>
        <v>69</v>
      </c>
      <c r="Q12" s="12">
        <f> 'Optimal Choice'!$B$17*'Optimal Choice'!$B$18^(K12+1)</f>
        <v>820.8</v>
      </c>
      <c r="R12" s="12">
        <f> 'Optimal Choice'!$B$22*'Optimal Choice'!$B$23^(L12+1)</f>
        <v>9763.2</v>
      </c>
      <c r="S12" s="12">
        <f> 'Optimal Choice'!$B$27*'Optimal Choice'!$B$28^(M12+1)</f>
        <v>116121.6</v>
      </c>
    </row>
    <row r="13" ht="15.75" customHeight="1">
      <c r="A13" s="10">
        <f t="shared" si="2"/>
        <v>0.1685362308</v>
      </c>
      <c r="B13" s="6">
        <f>(I13*'Optimal Choice'!$B$6+J13*'Optimal Choice'!$B$11+K13*'Optimal Choice'!$B$16+L13*'Optimal Choice'!$B$21+M13*'Optimal Choice'!$B$26)*'Optimal Choice'!$B$30</f>
        <v>20.04</v>
      </c>
      <c r="C13" s="10">
        <f>(O13/$B13)+(O13/'Optimal Choice'!$B$6)</f>
        <v>6.253090819</v>
      </c>
      <c r="D13" s="10">
        <f>(P13/$B13)+(P13/'Optimal Choice'!$B$11)</f>
        <v>6.893113772</v>
      </c>
      <c r="E13" s="10">
        <f>(Q13/$B13)+(Q13/'Optimal Choice'!$B$16)</f>
        <v>50.07808383</v>
      </c>
      <c r="F13" s="10">
        <f>(R13/$B13)+(R13/'Optimal Choice'!$B$21)</f>
        <v>514.3056287</v>
      </c>
      <c r="G13" s="10">
        <f>(S13/$B13)+(S13/'Optimal Choice'!$B$26)</f>
        <v>5848.251018</v>
      </c>
      <c r="I13" s="11">
        <f t="shared" ref="I13:M13" si="12">if(min($C12:$G12)=C12,I12+1,I12)</f>
        <v>12</v>
      </c>
      <c r="J13" s="11">
        <f t="shared" si="12"/>
        <v>0</v>
      </c>
      <c r="K13" s="11">
        <f t="shared" si="12"/>
        <v>0</v>
      </c>
      <c r="L13" s="11">
        <f t="shared" si="12"/>
        <v>0</v>
      </c>
      <c r="M13" s="11">
        <f t="shared" si="12"/>
        <v>0</v>
      </c>
      <c r="O13" s="12">
        <f> 'Optimal Choice'!$B$7*'Optimal Choice'!$B$8^(I13+1)</f>
        <v>9.639380001</v>
      </c>
      <c r="P13" s="12">
        <f> 'Optimal Choice'!$B$12*'Optimal Choice'!$B$13^(J13+1)</f>
        <v>69</v>
      </c>
      <c r="Q13" s="12">
        <f> 'Optimal Choice'!$B$17*'Optimal Choice'!$B$18^(K13+1)</f>
        <v>820.8</v>
      </c>
      <c r="R13" s="12">
        <f> 'Optimal Choice'!$B$22*'Optimal Choice'!$B$23^(L13+1)</f>
        <v>9763.2</v>
      </c>
      <c r="S13" s="12">
        <f> 'Optimal Choice'!$B$27*'Optimal Choice'!$B$28^(M13+1)</f>
        <v>116121.6</v>
      </c>
    </row>
    <row r="14" ht="15.75" customHeight="1">
      <c r="A14" s="10">
        <f t="shared" si="2"/>
        <v>0.1765530139</v>
      </c>
      <c r="B14" s="6">
        <f>(I14*'Optimal Choice'!$B$6+J14*'Optimal Choice'!$B$11+K14*'Optimal Choice'!$B$16+L14*'Optimal Choice'!$B$21+M14*'Optimal Choice'!$B$26)*'Optimal Choice'!$B$30</f>
        <v>21.71</v>
      </c>
      <c r="C14" s="10">
        <f>(O14/$B14)+(O14/'Optimal Choice'!$B$6)</f>
        <v>6.651216601</v>
      </c>
      <c r="D14" s="10">
        <f>(P14/$B14)+(P14/'Optimal Choice'!$B$11)</f>
        <v>6.628258867</v>
      </c>
      <c r="E14" s="10">
        <f>(Q14/$B14)+(Q14/'Optimal Choice'!$B$16)</f>
        <v>46.927462</v>
      </c>
      <c r="F14" s="10">
        <f>(R14/$B14)+(R14/'Optimal Choice'!$B$21)</f>
        <v>476.8298111</v>
      </c>
      <c r="G14" s="10">
        <f>(S14/$B14)+(S14/'Optimal Choice'!$B$26)</f>
        <v>5402.52094</v>
      </c>
      <c r="I14" s="11">
        <f t="shared" ref="I14:M14" si="13">if(min($C13:$G13)=C13,I13+1,I13)</f>
        <v>13</v>
      </c>
      <c r="J14" s="11">
        <f t="shared" si="13"/>
        <v>0</v>
      </c>
      <c r="K14" s="11">
        <f t="shared" si="13"/>
        <v>0</v>
      </c>
      <c r="L14" s="11">
        <f t="shared" si="13"/>
        <v>0</v>
      </c>
      <c r="M14" s="11">
        <f t="shared" si="13"/>
        <v>0</v>
      </c>
      <c r="O14" s="12">
        <f> 'Optimal Choice'!$B$7*'Optimal Choice'!$B$8^(I14+1)</f>
        <v>10.3141366</v>
      </c>
      <c r="P14" s="12">
        <f> 'Optimal Choice'!$B$12*'Optimal Choice'!$B$13^(J14+1)</f>
        <v>69</v>
      </c>
      <c r="Q14" s="12">
        <f> 'Optimal Choice'!$B$17*'Optimal Choice'!$B$18^(K14+1)</f>
        <v>820.8</v>
      </c>
      <c r="R14" s="12">
        <f> 'Optimal Choice'!$B$22*'Optimal Choice'!$B$23^(L14+1)</f>
        <v>9763.2</v>
      </c>
      <c r="S14" s="12">
        <f> 'Optimal Choice'!$B$27*'Optimal Choice'!$B$28^(M14+1)</f>
        <v>116121.6</v>
      </c>
    </row>
    <row r="15" ht="15.75" customHeight="1">
      <c r="A15" s="10">
        <f t="shared" si="2"/>
        <v>0.229523995</v>
      </c>
      <c r="B15" s="6">
        <f>(I15*'Optimal Choice'!$B$6+J15*'Optimal Choice'!$B$11+K15*'Optimal Choice'!$B$16+L15*'Optimal Choice'!$B$21+M15*'Optimal Choice'!$B$26)*'Optimal Choice'!$B$30</f>
        <v>41.71</v>
      </c>
      <c r="C15" s="10">
        <f>(O15/$B15)+(O15/'Optimal Choice'!$B$6)</f>
        <v>6.423411806</v>
      </c>
      <c r="D15" s="10">
        <f>(P15/$B15)+(P15/'Optimal Choice'!$B$11)</f>
        <v>5.869921482</v>
      </c>
      <c r="E15" s="10">
        <f>(Q15/$B15)+(Q15/'Optimal Choice'!$B$16)</f>
        <v>28.79873412</v>
      </c>
      <c r="F15" s="10">
        <f>(R15/$B15)+(R15/'Optimal Choice'!$B$21)</f>
        <v>261.1933637</v>
      </c>
      <c r="G15" s="10">
        <f>(S15/$B15)+(S15/'Optimal Choice'!$B$26)</f>
        <v>2837.783016</v>
      </c>
      <c r="I15" s="11">
        <f t="shared" ref="I15:M15" si="14">if(min($C14:$G14)=C14,I14+1,I14)</f>
        <v>13</v>
      </c>
      <c r="J15" s="11">
        <f t="shared" si="14"/>
        <v>1</v>
      </c>
      <c r="K15" s="11">
        <f t="shared" si="14"/>
        <v>0</v>
      </c>
      <c r="L15" s="11">
        <f t="shared" si="14"/>
        <v>0</v>
      </c>
      <c r="M15" s="11">
        <f t="shared" si="14"/>
        <v>0</v>
      </c>
      <c r="O15" s="12">
        <f> 'Optimal Choice'!$B$7*'Optimal Choice'!$B$8^(I15+1)</f>
        <v>10.3141366</v>
      </c>
      <c r="P15" s="12">
        <f> 'Optimal Choice'!$B$12*'Optimal Choice'!$B$13^(J15+1)</f>
        <v>79.35</v>
      </c>
      <c r="Q15" s="12">
        <f> 'Optimal Choice'!$B$17*'Optimal Choice'!$B$18^(K15+1)</f>
        <v>820.8</v>
      </c>
      <c r="R15" s="12">
        <f> 'Optimal Choice'!$B$22*'Optimal Choice'!$B$23^(L15+1)</f>
        <v>9763.2</v>
      </c>
      <c r="S15" s="12">
        <f> 'Optimal Choice'!$B$27*'Optimal Choice'!$B$28^(M15+1)</f>
        <v>116121.6</v>
      </c>
    </row>
    <row r="16" ht="15.75" customHeight="1">
      <c r="A16" s="10">
        <f t="shared" si="2"/>
        <v>0.2612310197</v>
      </c>
      <c r="B16" s="6">
        <f>(I16*'Optimal Choice'!$B$6+J16*'Optimal Choice'!$B$11+K16*'Optimal Choice'!$B$16+L16*'Optimal Choice'!$B$21+M16*'Optimal Choice'!$B$26)*'Optimal Choice'!$B$30</f>
        <v>61.71</v>
      </c>
      <c r="C16" s="10">
        <f>(O16/$B16)+(O16/'Optimal Choice'!$B$6)</f>
        <v>6.343268521</v>
      </c>
      <c r="D16" s="10">
        <f>(P16/$B16)+(P16/'Optimal Choice'!$B$11)</f>
        <v>6.041356162</v>
      </c>
      <c r="E16" s="10">
        <f>(Q16/$B16)+(Q16/'Optimal Choice'!$B$16)</f>
        <v>22.42092368</v>
      </c>
      <c r="F16" s="10">
        <f>(R16/$B16)+(R16/'Optimal Choice'!$B$21)</f>
        <v>185.3309869</v>
      </c>
      <c r="G16" s="10">
        <f>(S16/$B16)+(S16/'Optimal Choice'!$B$26)</f>
        <v>1935.490676</v>
      </c>
      <c r="I16" s="11">
        <f t="shared" ref="I16:M16" si="15">if(min($C15:$G15)=C15,I15+1,I15)</f>
        <v>13</v>
      </c>
      <c r="J16" s="11">
        <f t="shared" si="15"/>
        <v>2</v>
      </c>
      <c r="K16" s="11">
        <f t="shared" si="15"/>
        <v>0</v>
      </c>
      <c r="L16" s="11">
        <f t="shared" si="15"/>
        <v>0</v>
      </c>
      <c r="M16" s="11">
        <f t="shared" si="15"/>
        <v>0</v>
      </c>
      <c r="O16" s="12">
        <f> 'Optimal Choice'!$B$7*'Optimal Choice'!$B$8^(I16+1)</f>
        <v>10.3141366</v>
      </c>
      <c r="P16" s="12">
        <f> 'Optimal Choice'!$B$12*'Optimal Choice'!$B$13^(J16+1)</f>
        <v>91.2525</v>
      </c>
      <c r="Q16" s="12">
        <f> 'Optimal Choice'!$B$17*'Optimal Choice'!$B$18^(K16+1)</f>
        <v>820.8</v>
      </c>
      <c r="R16" s="12">
        <f> 'Optimal Choice'!$B$22*'Optimal Choice'!$B$23^(L16+1)</f>
        <v>9763.2</v>
      </c>
      <c r="S16" s="12">
        <f> 'Optimal Choice'!$B$27*'Optimal Choice'!$B$28^(M16+1)</f>
        <v>116121.6</v>
      </c>
    </row>
    <row r="17" ht="15.75" customHeight="1">
      <c r="A17" s="10">
        <f t="shared" si="2"/>
        <v>0.285876539</v>
      </c>
      <c r="B17" s="6">
        <f>(I17*'Optimal Choice'!$B$6+J17*'Optimal Choice'!$B$11+K17*'Optimal Choice'!$B$16+L17*'Optimal Choice'!$B$21+M17*'Optimal Choice'!$B$26)*'Optimal Choice'!$B$30</f>
        <v>81.71</v>
      </c>
      <c r="C17" s="10">
        <f>(O17/$B17)+(O17/'Optimal Choice'!$B$6)</f>
        <v>6.302358273</v>
      </c>
      <c r="D17" s="10">
        <f>(P17/$B17)+(P17/'Optimal Choice'!$B$11)</f>
        <v>6.531321467</v>
      </c>
      <c r="E17" s="10">
        <f>(Q17/$B17)+(Q17/'Optimal Choice'!$B$16)</f>
        <v>19.1652821</v>
      </c>
      <c r="F17" s="10">
        <f>(R17/$B17)+(R17/'Optimal Choice'!$B$21)</f>
        <v>146.605987</v>
      </c>
      <c r="G17" s="10">
        <f>(S17/$B17)+(S17/'Optimal Choice'!$B$26)</f>
        <v>1474.903067</v>
      </c>
      <c r="I17" s="11">
        <f t="shared" ref="I17:M17" si="16">if(min($C16:$G16)=C16,I16+1,I16)</f>
        <v>13</v>
      </c>
      <c r="J17" s="11">
        <f t="shared" si="16"/>
        <v>3</v>
      </c>
      <c r="K17" s="11">
        <f t="shared" si="16"/>
        <v>0</v>
      </c>
      <c r="L17" s="11">
        <f t="shared" si="16"/>
        <v>0</v>
      </c>
      <c r="M17" s="11">
        <f t="shared" si="16"/>
        <v>0</v>
      </c>
      <c r="O17" s="12">
        <f> 'Optimal Choice'!$B$7*'Optimal Choice'!$B$8^(I17+1)</f>
        <v>10.3141366</v>
      </c>
      <c r="P17" s="12">
        <f> 'Optimal Choice'!$B$12*'Optimal Choice'!$B$13^(J17+1)</f>
        <v>104.940375</v>
      </c>
      <c r="Q17" s="12">
        <f> 'Optimal Choice'!$B$17*'Optimal Choice'!$B$18^(K17+1)</f>
        <v>820.8</v>
      </c>
      <c r="R17" s="12">
        <f> 'Optimal Choice'!$B$22*'Optimal Choice'!$B$23^(L17+1)</f>
        <v>9763.2</v>
      </c>
      <c r="S17" s="12">
        <f> 'Optimal Choice'!$B$27*'Optimal Choice'!$B$28^(M17+1)</f>
        <v>116121.6</v>
      </c>
    </row>
    <row r="18" ht="15.75" customHeight="1">
      <c r="A18" s="10">
        <f t="shared" si="2"/>
        <v>0.2879803486</v>
      </c>
      <c r="B18" s="6">
        <f>(I18*'Optimal Choice'!$B$6+J18*'Optimal Choice'!$B$11+K18*'Optimal Choice'!$B$16+L18*'Optimal Choice'!$B$21+M18*'Optimal Choice'!$B$26)*'Optimal Choice'!$B$30</f>
        <v>83.38</v>
      </c>
      <c r="C18" s="10">
        <f>(O18/$B18)+(O18/'Optimal Choice'!$B$6)</f>
        <v>6.740818173</v>
      </c>
      <c r="D18" s="10">
        <f>(P18/$B18)+(P18/'Optimal Choice'!$B$11)</f>
        <v>6.505598445</v>
      </c>
      <c r="E18" s="10">
        <f>(Q18/$B18)+(Q18/'Optimal Choice'!$B$16)</f>
        <v>18.96408731</v>
      </c>
      <c r="F18" s="10">
        <f>(R18/$B18)+(R18/'Optimal Choice'!$B$21)</f>
        <v>144.212828</v>
      </c>
      <c r="G18" s="10">
        <f>(S18/$B18)+(S18/'Optimal Choice'!$B$26)</f>
        <v>1446.4393</v>
      </c>
      <c r="I18" s="11">
        <f t="shared" ref="I18:M18" si="17">if(min($C17:$G17)=C17,I17+1,I17)</f>
        <v>14</v>
      </c>
      <c r="J18" s="11">
        <f t="shared" si="17"/>
        <v>3</v>
      </c>
      <c r="K18" s="11">
        <f t="shared" si="17"/>
        <v>0</v>
      </c>
      <c r="L18" s="11">
        <f t="shared" si="17"/>
        <v>0</v>
      </c>
      <c r="M18" s="11">
        <f t="shared" si="17"/>
        <v>0</v>
      </c>
      <c r="O18" s="12">
        <f> 'Optimal Choice'!$B$7*'Optimal Choice'!$B$8^(I18+1)</f>
        <v>11.03612616</v>
      </c>
      <c r="P18" s="12">
        <f> 'Optimal Choice'!$B$12*'Optimal Choice'!$B$13^(J18+1)</f>
        <v>104.940375</v>
      </c>
      <c r="Q18" s="12">
        <f> 'Optimal Choice'!$B$17*'Optimal Choice'!$B$18^(K18+1)</f>
        <v>820.8</v>
      </c>
      <c r="R18" s="12">
        <f> 'Optimal Choice'!$B$22*'Optimal Choice'!$B$23^(L18+1)</f>
        <v>9763.2</v>
      </c>
      <c r="S18" s="12">
        <f> 'Optimal Choice'!$B$27*'Optimal Choice'!$B$28^(M18+1)</f>
        <v>116121.6</v>
      </c>
    </row>
    <row r="19" ht="15.75" customHeight="1">
      <c r="A19" s="10">
        <f t="shared" si="2"/>
        <v>0.3089566768</v>
      </c>
      <c r="B19" s="6">
        <f>(I19*'Optimal Choice'!$B$6+J19*'Optimal Choice'!$B$11+K19*'Optimal Choice'!$B$16+L19*'Optimal Choice'!$B$21+M19*'Optimal Choice'!$B$26)*'Optimal Choice'!$B$30</f>
        <v>103.38</v>
      </c>
      <c r="C19" s="10">
        <f>(O19/$B19)+(O19/'Optimal Choice'!$B$6)</f>
        <v>6.71521179</v>
      </c>
      <c r="D19" s="10">
        <f>(P19/$B19)+(P19/'Optimal Choice'!$B$11)</f>
        <v>7.201429187</v>
      </c>
      <c r="E19" s="10">
        <f>(Q19/$B19)+(Q19/'Optimal Choice'!$B$16)</f>
        <v>17.05964016</v>
      </c>
      <c r="F19" s="10">
        <f>(R19/$B19)+(R19/'Optimal Choice'!$B$21)</f>
        <v>121.5599304</v>
      </c>
      <c r="G19" s="10">
        <f>(S19/$B19)+(S19/'Optimal Choice'!$B$26)</f>
        <v>1177.010145</v>
      </c>
      <c r="I19" s="11">
        <f t="shared" ref="I19:M19" si="18">if(min($C18:$G18)=C18,I18+1,I18)</f>
        <v>14</v>
      </c>
      <c r="J19" s="11">
        <f t="shared" si="18"/>
        <v>4</v>
      </c>
      <c r="K19" s="11">
        <f t="shared" si="18"/>
        <v>0</v>
      </c>
      <c r="L19" s="11">
        <f t="shared" si="18"/>
        <v>0</v>
      </c>
      <c r="M19" s="11">
        <f t="shared" si="18"/>
        <v>0</v>
      </c>
      <c r="O19" s="12">
        <f> 'Optimal Choice'!$B$7*'Optimal Choice'!$B$8^(I19+1)</f>
        <v>11.03612616</v>
      </c>
      <c r="P19" s="12">
        <f> 'Optimal Choice'!$B$12*'Optimal Choice'!$B$13^(J19+1)</f>
        <v>120.6814313</v>
      </c>
      <c r="Q19" s="12">
        <f> 'Optimal Choice'!$B$17*'Optimal Choice'!$B$18^(K19+1)</f>
        <v>820.8</v>
      </c>
      <c r="R19" s="12">
        <f> 'Optimal Choice'!$B$22*'Optimal Choice'!$B$23^(L19+1)</f>
        <v>9763.2</v>
      </c>
      <c r="S19" s="12">
        <f> 'Optimal Choice'!$B$27*'Optimal Choice'!$B$28^(M19+1)</f>
        <v>116121.6</v>
      </c>
    </row>
    <row r="20" ht="15.75" customHeight="1">
      <c r="A20" s="10">
        <f t="shared" si="2"/>
        <v>0.3107358937</v>
      </c>
      <c r="B20" s="6">
        <f>(I20*'Optimal Choice'!$B$6+J20*'Optimal Choice'!$B$11+K20*'Optimal Choice'!$B$16+L20*'Optimal Choice'!$B$21+M20*'Optimal Choice'!$B$26)*'Optimal Choice'!$B$30</f>
        <v>105.05</v>
      </c>
      <c r="C20" s="10">
        <f>(O20/$B20)+(O20/'Optimal Choice'!$B$6)</f>
        <v>7.183460747</v>
      </c>
      <c r="D20" s="10">
        <f>(P20/$B20)+(P20/'Optimal Choice'!$B$11)</f>
        <v>7.182871479</v>
      </c>
      <c r="E20" s="10">
        <f>(Q20/$B20)+(Q20/'Optimal Choice'!$B$16)</f>
        <v>16.93342218</v>
      </c>
      <c r="F20" s="10">
        <f>(R20/$B20)+(R20/'Optimal Choice'!$B$21)</f>
        <v>120.0586007</v>
      </c>
      <c r="G20" s="10">
        <f>(S20/$B20)+(S20/'Optimal Choice'!$B$26)</f>
        <v>1159.153622</v>
      </c>
      <c r="I20" s="11">
        <f t="shared" ref="I20:M20" si="19">if(min($C19:$G19)=C19,I19+1,I19)</f>
        <v>15</v>
      </c>
      <c r="J20" s="11">
        <f t="shared" si="19"/>
        <v>4</v>
      </c>
      <c r="K20" s="11">
        <f t="shared" si="19"/>
        <v>0</v>
      </c>
      <c r="L20" s="11">
        <f t="shared" si="19"/>
        <v>0</v>
      </c>
      <c r="M20" s="11">
        <f t="shared" si="19"/>
        <v>0</v>
      </c>
      <c r="O20" s="12">
        <f> 'Optimal Choice'!$B$7*'Optimal Choice'!$B$8^(I20+1)</f>
        <v>11.80865499</v>
      </c>
      <c r="P20" s="12">
        <f> 'Optimal Choice'!$B$12*'Optimal Choice'!$B$13^(J20+1)</f>
        <v>120.6814313</v>
      </c>
      <c r="Q20" s="12">
        <f> 'Optimal Choice'!$B$17*'Optimal Choice'!$B$18^(K20+1)</f>
        <v>820.8</v>
      </c>
      <c r="R20" s="12">
        <f> 'Optimal Choice'!$B$22*'Optimal Choice'!$B$23^(L20+1)</f>
        <v>9763.2</v>
      </c>
      <c r="S20" s="12">
        <f> 'Optimal Choice'!$B$27*'Optimal Choice'!$B$28^(M20+1)</f>
        <v>116121.6</v>
      </c>
    </row>
    <row r="21" ht="15.75" customHeight="1">
      <c r="A21" s="10">
        <f t="shared" si="2"/>
        <v>0.3298825589</v>
      </c>
      <c r="B21" s="6">
        <f>(I21*'Optimal Choice'!$B$6+J21*'Optimal Choice'!$B$11+K21*'Optimal Choice'!$B$16+L21*'Optimal Choice'!$B$21+M21*'Optimal Choice'!$B$26)*'Optimal Choice'!$B$30</f>
        <v>125.05</v>
      </c>
      <c r="C21" s="10">
        <f>(O21/$B21)+(O21/'Optimal Choice'!$B$6)</f>
        <v>7.165482362</v>
      </c>
      <c r="D21" s="10">
        <f>(P21/$B21)+(P21/'Optimal Choice'!$B$11)</f>
        <v>8.049007534</v>
      </c>
      <c r="E21" s="10">
        <f>(Q21/$B21)+(Q21/'Optimal Choice'!$B$16)</f>
        <v>15.68377449</v>
      </c>
      <c r="F21" s="10">
        <f>(R21/$B21)+(R21/'Optimal Choice'!$B$21)</f>
        <v>105.1943703</v>
      </c>
      <c r="G21" s="10">
        <f>(S21/$B21)+(S21/'Optimal Choice'!$B$26)</f>
        <v>982.3613595</v>
      </c>
      <c r="I21" s="11">
        <f t="shared" ref="I21:M21" si="20">if(min($C20:$G20)=C20,I20+1,I20)</f>
        <v>15</v>
      </c>
      <c r="J21" s="11">
        <f t="shared" si="20"/>
        <v>5</v>
      </c>
      <c r="K21" s="11">
        <f t="shared" si="20"/>
        <v>0</v>
      </c>
      <c r="L21" s="11">
        <f t="shared" si="20"/>
        <v>0</v>
      </c>
      <c r="M21" s="11">
        <f t="shared" si="20"/>
        <v>0</v>
      </c>
      <c r="O21" s="12">
        <f> 'Optimal Choice'!$B$7*'Optimal Choice'!$B$8^(I21+1)</f>
        <v>11.80865499</v>
      </c>
      <c r="P21" s="12">
        <f> 'Optimal Choice'!$B$12*'Optimal Choice'!$B$13^(J21+1)</f>
        <v>138.7836459</v>
      </c>
      <c r="Q21" s="12">
        <f> 'Optimal Choice'!$B$17*'Optimal Choice'!$B$18^(K21+1)</f>
        <v>820.8</v>
      </c>
      <c r="R21" s="12">
        <f> 'Optimal Choice'!$B$22*'Optimal Choice'!$B$23^(L21+1)</f>
        <v>9763.2</v>
      </c>
      <c r="S21" s="12">
        <f> 'Optimal Choice'!$B$27*'Optimal Choice'!$B$28^(M21+1)</f>
        <v>116121.6</v>
      </c>
    </row>
    <row r="22" ht="15.75" customHeight="1">
      <c r="A22" s="10">
        <f t="shared" si="2"/>
        <v>0.3314564167</v>
      </c>
      <c r="B22" s="6">
        <f>(I22*'Optimal Choice'!$B$6+J22*'Optimal Choice'!$B$11+K22*'Optimal Choice'!$B$16+L22*'Optimal Choice'!$B$21+M22*'Optimal Choice'!$B$26)*'Optimal Choice'!$B$30</f>
        <v>126.72</v>
      </c>
      <c r="C22" s="10">
        <f>(O22/$B22)+(O22/'Optimal Choice'!$B$6)</f>
        <v>7.665734534</v>
      </c>
      <c r="D22" s="10">
        <f>(P22/$B22)+(P22/'Optimal Choice'!$B$11)</f>
        <v>8.034381523</v>
      </c>
      <c r="E22" s="10">
        <f>(Q22/$B22)+(Q22/'Optimal Choice'!$B$16)</f>
        <v>15.59727273</v>
      </c>
      <c r="F22" s="10">
        <f>(R22/$B22)+(R22/'Optimal Choice'!$B$21)</f>
        <v>104.1654545</v>
      </c>
      <c r="G22" s="10">
        <f>(S22/$B22)+(S22/'Optimal Choice'!$B$26)</f>
        <v>970.1236364</v>
      </c>
      <c r="I22" s="11">
        <f t="shared" ref="I22:M22" si="21">if(min($C21:$G21)=C21,I21+1,I21)</f>
        <v>16</v>
      </c>
      <c r="J22" s="11">
        <f t="shared" si="21"/>
        <v>5</v>
      </c>
      <c r="K22" s="11">
        <f t="shared" si="21"/>
        <v>0</v>
      </c>
      <c r="L22" s="11">
        <f t="shared" si="21"/>
        <v>0</v>
      </c>
      <c r="M22" s="11">
        <f t="shared" si="21"/>
        <v>0</v>
      </c>
      <c r="O22" s="12">
        <f> 'Optimal Choice'!$B$7*'Optimal Choice'!$B$8^(I22+1)</f>
        <v>12.63526084</v>
      </c>
      <c r="P22" s="12">
        <f> 'Optimal Choice'!$B$12*'Optimal Choice'!$B$13^(J22+1)</f>
        <v>138.7836459</v>
      </c>
      <c r="Q22" s="12">
        <f> 'Optimal Choice'!$B$17*'Optimal Choice'!$B$18^(K22+1)</f>
        <v>820.8</v>
      </c>
      <c r="R22" s="12">
        <f> 'Optimal Choice'!$B$22*'Optimal Choice'!$B$23^(L22+1)</f>
        <v>9763.2</v>
      </c>
      <c r="S22" s="12">
        <f> 'Optimal Choice'!$B$27*'Optimal Choice'!$B$28^(M22+1)</f>
        <v>116121.6</v>
      </c>
    </row>
    <row r="23" ht="15.75" customHeight="1">
      <c r="A23" s="10">
        <f t="shared" si="2"/>
        <v>0.3331182513</v>
      </c>
      <c r="B23" s="6">
        <f>(I23*'Optimal Choice'!$B$6+J23*'Optimal Choice'!$B$11+K23*'Optimal Choice'!$B$16+L23*'Optimal Choice'!$B$21+M23*'Optimal Choice'!$B$26)*'Optimal Choice'!$B$30</f>
        <v>128.39</v>
      </c>
      <c r="C23" s="10">
        <f>(O23/$B23)+(O23/'Optimal Choice'!$B$6)</f>
        <v>8.200948211</v>
      </c>
      <c r="D23" s="10">
        <f>(P23/$B23)+(P23/'Optimal Choice'!$B$11)</f>
        <v>8.020136</v>
      </c>
      <c r="E23" s="10">
        <f>(Q23/$B23)+(Q23/'Optimal Choice'!$B$16)</f>
        <v>15.51302126</v>
      </c>
      <c r="F23" s="10">
        <f>(R23/$B23)+(R23/'Optimal Choice'!$B$21)</f>
        <v>103.1633056</v>
      </c>
      <c r="G23" s="10">
        <f>(S23/$B23)+(S23/'Optimal Choice'!$B$26)</f>
        <v>958.2042714</v>
      </c>
      <c r="I23" s="11">
        <f t="shared" ref="I23:M23" si="22">if(min($C22:$G22)=C22,I22+1,I22)</f>
        <v>17</v>
      </c>
      <c r="J23" s="11">
        <f t="shared" si="22"/>
        <v>5</v>
      </c>
      <c r="K23" s="11">
        <f t="shared" si="22"/>
        <v>0</v>
      </c>
      <c r="L23" s="11">
        <f t="shared" si="22"/>
        <v>0</v>
      </c>
      <c r="M23" s="11">
        <f t="shared" si="22"/>
        <v>0</v>
      </c>
      <c r="O23" s="12">
        <f> 'Optimal Choice'!$B$7*'Optimal Choice'!$B$8^(I23+1)</f>
        <v>13.5197291</v>
      </c>
      <c r="P23" s="12">
        <f> 'Optimal Choice'!$B$12*'Optimal Choice'!$B$13^(J23+1)</f>
        <v>138.7836459</v>
      </c>
      <c r="Q23" s="12">
        <f> 'Optimal Choice'!$B$17*'Optimal Choice'!$B$18^(K23+1)</f>
        <v>820.8</v>
      </c>
      <c r="R23" s="12">
        <f> 'Optimal Choice'!$B$22*'Optimal Choice'!$B$23^(L23+1)</f>
        <v>9763.2</v>
      </c>
      <c r="S23" s="12">
        <f> 'Optimal Choice'!$B$27*'Optimal Choice'!$B$28^(M23+1)</f>
        <v>116121.6</v>
      </c>
    </row>
    <row r="24" ht="15.75" customHeight="1">
      <c r="A24" s="10">
        <f t="shared" si="2"/>
        <v>0.3511341464</v>
      </c>
      <c r="B24" s="6">
        <f>(I24*'Optimal Choice'!$B$6+J24*'Optimal Choice'!$B$11+K24*'Optimal Choice'!$B$16+L24*'Optimal Choice'!$B$21+M24*'Optimal Choice'!$B$26)*'Optimal Choice'!$B$30</f>
        <v>148.39</v>
      </c>
      <c r="C24" s="10">
        <f>(O24/$B24)+(O24/'Optimal Choice'!$B$6)</f>
        <v>8.186755605</v>
      </c>
      <c r="D24" s="10">
        <f>(P24/$B24)+(P24/'Optimal Choice'!$B$11)</f>
        <v>9.055611854</v>
      </c>
      <c r="E24" s="10">
        <f>(Q24/$B24)+(Q24/'Optimal Choice'!$B$16)</f>
        <v>14.65137004</v>
      </c>
      <c r="F24" s="10">
        <f>(R24/$B24)+(R24/'Optimal Choice'!$B$21)</f>
        <v>92.91419098</v>
      </c>
      <c r="G24" s="10">
        <f>(S24/$B24)+(S24/'Optimal Choice'!$B$26)</f>
        <v>836.3032981</v>
      </c>
      <c r="I24" s="11">
        <f t="shared" ref="I24:M24" si="23">if(min($C23:$G23)=C23,I23+1,I23)</f>
        <v>17</v>
      </c>
      <c r="J24" s="11">
        <f t="shared" si="23"/>
        <v>6</v>
      </c>
      <c r="K24" s="11">
        <f t="shared" si="23"/>
        <v>0</v>
      </c>
      <c r="L24" s="11">
        <f t="shared" si="23"/>
        <v>0</v>
      </c>
      <c r="M24" s="11">
        <f t="shared" si="23"/>
        <v>0</v>
      </c>
      <c r="O24" s="12">
        <f> 'Optimal Choice'!$B$7*'Optimal Choice'!$B$8^(I24+1)</f>
        <v>13.5197291</v>
      </c>
      <c r="P24" s="12">
        <f> 'Optimal Choice'!$B$12*'Optimal Choice'!$B$13^(J24+1)</f>
        <v>159.6011928</v>
      </c>
      <c r="Q24" s="12">
        <f> 'Optimal Choice'!$B$17*'Optimal Choice'!$B$18^(K24+1)</f>
        <v>820.8</v>
      </c>
      <c r="R24" s="12">
        <f> 'Optimal Choice'!$B$22*'Optimal Choice'!$B$23^(L24+1)</f>
        <v>9763.2</v>
      </c>
      <c r="S24" s="12">
        <f> 'Optimal Choice'!$B$27*'Optimal Choice'!$B$28^(M24+1)</f>
        <v>116121.6</v>
      </c>
    </row>
    <row r="25" ht="15.75" customHeight="1">
      <c r="A25" s="10">
        <f t="shared" si="2"/>
        <v>0.352652637</v>
      </c>
      <c r="B25" s="6">
        <f>(I25*'Optimal Choice'!$B$6+J25*'Optimal Choice'!$B$11+K25*'Optimal Choice'!$B$16+L25*'Optimal Choice'!$B$21+M25*'Optimal Choice'!$B$26)*'Optimal Choice'!$B$30</f>
        <v>150.06</v>
      </c>
      <c r="C25" s="10">
        <f>(O25/$B25)+(O25/'Optimal Choice'!$B$6)</f>
        <v>8.758743575</v>
      </c>
      <c r="D25" s="10">
        <f>(P25/$B25)+(P25/'Optimal Choice'!$B$11)</f>
        <v>9.043642161</v>
      </c>
      <c r="E25" s="10">
        <f>(Q25/$B25)+(Q25/'Optimal Choice'!$B$16)</f>
        <v>14.58981208</v>
      </c>
      <c r="F25" s="10">
        <f>(R25/$B25)+(R25/'Optimal Choice'!$B$21)</f>
        <v>92.18197521</v>
      </c>
      <c r="G25" s="10">
        <f>(S25/$B25)+(S25/'Optimal Choice'!$B$26)</f>
        <v>827.5944662</v>
      </c>
      <c r="I25" s="11">
        <f t="shared" ref="I25:M25" si="24">if(min($C24:$G24)=C24,I24+1,I24)</f>
        <v>18</v>
      </c>
      <c r="J25" s="11">
        <f t="shared" si="24"/>
        <v>6</v>
      </c>
      <c r="K25" s="11">
        <f t="shared" si="24"/>
        <v>0</v>
      </c>
      <c r="L25" s="11">
        <f t="shared" si="24"/>
        <v>0</v>
      </c>
      <c r="M25" s="11">
        <f t="shared" si="24"/>
        <v>0</v>
      </c>
      <c r="O25" s="12">
        <f> 'Optimal Choice'!$B$7*'Optimal Choice'!$B$8^(I25+1)</f>
        <v>14.46611014</v>
      </c>
      <c r="P25" s="12">
        <f> 'Optimal Choice'!$B$12*'Optimal Choice'!$B$13^(J25+1)</f>
        <v>159.6011928</v>
      </c>
      <c r="Q25" s="12">
        <f> 'Optimal Choice'!$B$17*'Optimal Choice'!$B$18^(K25+1)</f>
        <v>820.8</v>
      </c>
      <c r="R25" s="12">
        <f> 'Optimal Choice'!$B$22*'Optimal Choice'!$B$23^(L25+1)</f>
        <v>9763.2</v>
      </c>
      <c r="S25" s="12">
        <f> 'Optimal Choice'!$B$27*'Optimal Choice'!$B$28^(M25+1)</f>
        <v>116121.6</v>
      </c>
    </row>
    <row r="26" ht="15.75" customHeight="1">
      <c r="A26" s="10">
        <f t="shared" si="2"/>
        <v>0.3542593399</v>
      </c>
      <c r="B26" s="6">
        <f>(I26*'Optimal Choice'!$B$6+J26*'Optimal Choice'!$B$11+K26*'Optimal Choice'!$B$16+L26*'Optimal Choice'!$B$21+M26*'Optimal Choice'!$B$26)*'Optimal Choice'!$B$30</f>
        <v>151.73</v>
      </c>
      <c r="C26" s="10">
        <f>(O26/$B26)+(O26/'Optimal Choice'!$B$6)</f>
        <v>9.370720312</v>
      </c>
      <c r="D26" s="10">
        <f>(P26/$B26)+(P26/'Optimal Choice'!$B$11)</f>
        <v>9.031935953</v>
      </c>
      <c r="E26" s="10">
        <f>(Q26/$B26)+(Q26/'Optimal Choice'!$B$16)</f>
        <v>14.52960917</v>
      </c>
      <c r="F26" s="10">
        <f>(R26/$B26)+(R26/'Optimal Choice'!$B$21)</f>
        <v>91.46587755</v>
      </c>
      <c r="G26" s="10">
        <f>(S26/$B26)+(S26/'Optimal Choice'!$B$26)</f>
        <v>819.07734</v>
      </c>
      <c r="I26" s="11">
        <f t="shared" ref="I26:M26" si="25">if(min($C25:$G25)=C25,I25+1,I25)</f>
        <v>19</v>
      </c>
      <c r="J26" s="11">
        <f t="shared" si="25"/>
        <v>6</v>
      </c>
      <c r="K26" s="11">
        <f t="shared" si="25"/>
        <v>0</v>
      </c>
      <c r="L26" s="11">
        <f t="shared" si="25"/>
        <v>0</v>
      </c>
      <c r="M26" s="11">
        <f t="shared" si="25"/>
        <v>0</v>
      </c>
      <c r="O26" s="12">
        <f> 'Optimal Choice'!$B$7*'Optimal Choice'!$B$8^(I26+1)</f>
        <v>15.47873785</v>
      </c>
      <c r="P26" s="12">
        <f> 'Optimal Choice'!$B$12*'Optimal Choice'!$B$13^(J26+1)</f>
        <v>159.6011928</v>
      </c>
      <c r="Q26" s="12">
        <f> 'Optimal Choice'!$B$17*'Optimal Choice'!$B$18^(K26+1)</f>
        <v>820.8</v>
      </c>
      <c r="R26" s="12">
        <f> 'Optimal Choice'!$B$22*'Optimal Choice'!$B$23^(L26+1)</f>
        <v>9763.2</v>
      </c>
      <c r="S26" s="12">
        <f> 'Optimal Choice'!$B$27*'Optimal Choice'!$B$28^(M26+1)</f>
        <v>116121.6</v>
      </c>
    </row>
    <row r="27" ht="15.75" customHeight="1">
      <c r="A27" s="10">
        <f t="shared" si="2"/>
        <v>0.3717906117</v>
      </c>
      <c r="B27" s="6">
        <f>(I27*'Optimal Choice'!$B$6+J27*'Optimal Choice'!$B$11+K27*'Optimal Choice'!$B$16+L27*'Optimal Choice'!$B$21+M27*'Optimal Choice'!$B$26)*'Optimal Choice'!$B$30</f>
        <v>171.73</v>
      </c>
      <c r="C27" s="10">
        <f>(O27/$B27)+(O27/'Optimal Choice'!$B$6)</f>
        <v>9.358839451</v>
      </c>
      <c r="D27" s="10">
        <f>(P27/$B27)+(P27/'Optimal Choice'!$B$11)</f>
        <v>10.24584732</v>
      </c>
      <c r="E27" s="10">
        <f>(Q27/$B27)+(Q27/'Optimal Choice'!$B$16)</f>
        <v>13.89959588</v>
      </c>
      <c r="F27" s="10">
        <f>(R27/$B27)+(R27/'Optimal Choice'!$B$21)</f>
        <v>83.97203517</v>
      </c>
      <c r="G27" s="10">
        <f>(S27/$B27)+(S27/'Optimal Choice'!$B$26)</f>
        <v>729.9470378</v>
      </c>
      <c r="I27" s="11">
        <f t="shared" ref="I27:M27" si="26">if(min($C26:$G26)=C26,I26+1,I26)</f>
        <v>19</v>
      </c>
      <c r="J27" s="11">
        <f t="shared" si="26"/>
        <v>7</v>
      </c>
      <c r="K27" s="11">
        <f t="shared" si="26"/>
        <v>0</v>
      </c>
      <c r="L27" s="11">
        <f t="shared" si="26"/>
        <v>0</v>
      </c>
      <c r="M27" s="11">
        <f t="shared" si="26"/>
        <v>0</v>
      </c>
      <c r="O27" s="12">
        <f> 'Optimal Choice'!$B$7*'Optimal Choice'!$B$8^(I27+1)</f>
        <v>15.47873785</v>
      </c>
      <c r="P27" s="12">
        <f> 'Optimal Choice'!$B$12*'Optimal Choice'!$B$13^(J27+1)</f>
        <v>183.5413718</v>
      </c>
      <c r="Q27" s="12">
        <f> 'Optimal Choice'!$B$17*'Optimal Choice'!$B$18^(K27+1)</f>
        <v>820.8</v>
      </c>
      <c r="R27" s="12">
        <f> 'Optimal Choice'!$B$22*'Optimal Choice'!$B$23^(L27+1)</f>
        <v>9763.2</v>
      </c>
      <c r="S27" s="12">
        <f> 'Optimal Choice'!$B$27*'Optimal Choice'!$B$28^(M27+1)</f>
        <v>116121.6</v>
      </c>
    </row>
    <row r="28" ht="15.75" customHeight="1">
      <c r="A28" s="10">
        <f t="shared" si="2"/>
        <v>0.3732928476</v>
      </c>
      <c r="B28" s="6">
        <f>(I28*'Optimal Choice'!$B$6+J28*'Optimal Choice'!$B$11+K28*'Optimal Choice'!$B$16+L28*'Optimal Choice'!$B$21+M28*'Optimal Choice'!$B$26)*'Optimal Choice'!$B$30</f>
        <v>173.4</v>
      </c>
      <c r="C28" s="10">
        <f>(O28/$B28)+(O28/'Optimal Choice'!$B$6)</f>
        <v>10.01302937</v>
      </c>
      <c r="D28" s="10">
        <f>(P28/$B28)+(P28/'Optimal Choice'!$B$11)</f>
        <v>10.23555401</v>
      </c>
      <c r="E28" s="10">
        <f>(Q28/$B28)+(Q28/'Optimal Choice'!$B$16)</f>
        <v>13.85356401</v>
      </c>
      <c r="F28" s="10">
        <f>(R28/$B28)+(R28/'Optimal Choice'!$B$21)</f>
        <v>83.42449827</v>
      </c>
      <c r="G28" s="10">
        <f>(S28/$B28)+(S28/'Optimal Choice'!$B$26)</f>
        <v>723.4347405</v>
      </c>
      <c r="I28" s="11">
        <f t="shared" ref="I28:M28" si="27">if(min($C27:$G27)=C27,I27+1,I27)</f>
        <v>20</v>
      </c>
      <c r="J28" s="11">
        <f t="shared" si="27"/>
        <v>7</v>
      </c>
      <c r="K28" s="11">
        <f t="shared" si="27"/>
        <v>0</v>
      </c>
      <c r="L28" s="11">
        <f t="shared" si="27"/>
        <v>0</v>
      </c>
      <c r="M28" s="11">
        <f t="shared" si="27"/>
        <v>0</v>
      </c>
      <c r="O28" s="12">
        <f> 'Optimal Choice'!$B$7*'Optimal Choice'!$B$8^(I28+1)</f>
        <v>16.5622495</v>
      </c>
      <c r="P28" s="12">
        <f> 'Optimal Choice'!$B$12*'Optimal Choice'!$B$13^(J28+1)</f>
        <v>183.5413718</v>
      </c>
      <c r="Q28" s="12">
        <f> 'Optimal Choice'!$B$17*'Optimal Choice'!$B$18^(K28+1)</f>
        <v>820.8</v>
      </c>
      <c r="R28" s="12">
        <f> 'Optimal Choice'!$B$22*'Optimal Choice'!$B$23^(L28+1)</f>
        <v>9763.2</v>
      </c>
      <c r="S28" s="12">
        <f> 'Optimal Choice'!$B$27*'Optimal Choice'!$B$28^(M28+1)</f>
        <v>116121.6</v>
      </c>
    </row>
    <row r="29" ht="15.75" customHeight="1">
      <c r="A29" s="10">
        <f t="shared" si="2"/>
        <v>0.3748847593</v>
      </c>
      <c r="B29" s="6">
        <f>(I29*'Optimal Choice'!$B$6+J29*'Optimal Choice'!$B$11+K29*'Optimal Choice'!$B$16+L29*'Optimal Choice'!$B$21+M29*'Optimal Choice'!$B$26)*'Optimal Choice'!$B$30</f>
        <v>175.07</v>
      </c>
      <c r="C29" s="10">
        <f>(O29/$B29)+(O29/'Optimal Choice'!$B$6)</f>
        <v>10.71296653</v>
      </c>
      <c r="D29" s="10">
        <f>(P29/$B29)+(P29/'Optimal Choice'!$B$11)</f>
        <v>10.22545707</v>
      </c>
      <c r="E29" s="10">
        <f>(Q29/$B29)+(Q29/'Optimal Choice'!$B$16)</f>
        <v>13.80841035</v>
      </c>
      <c r="F29" s="10">
        <f>(R29/$B29)+(R29/'Optimal Choice'!$B$21)</f>
        <v>82.88740732</v>
      </c>
      <c r="G29" s="10">
        <f>(S29/$B29)+(S29/'Optimal Choice'!$B$26)</f>
        <v>717.0466853</v>
      </c>
      <c r="I29" s="11">
        <f t="shared" ref="I29:M29" si="28">if(min($C28:$G28)=C28,I28+1,I28)</f>
        <v>21</v>
      </c>
      <c r="J29" s="11">
        <f t="shared" si="28"/>
        <v>7</v>
      </c>
      <c r="K29" s="11">
        <f t="shared" si="28"/>
        <v>0</v>
      </c>
      <c r="L29" s="11">
        <f t="shared" si="28"/>
        <v>0</v>
      </c>
      <c r="M29" s="11">
        <f t="shared" si="28"/>
        <v>0</v>
      </c>
      <c r="O29" s="12">
        <f> 'Optimal Choice'!$B$7*'Optimal Choice'!$B$8^(I29+1)</f>
        <v>17.72160696</v>
      </c>
      <c r="P29" s="12">
        <f> 'Optimal Choice'!$B$12*'Optimal Choice'!$B$13^(J29+1)</f>
        <v>183.5413718</v>
      </c>
      <c r="Q29" s="12">
        <f> 'Optimal Choice'!$B$17*'Optimal Choice'!$B$18^(K29+1)</f>
        <v>820.8</v>
      </c>
      <c r="R29" s="12">
        <f> 'Optimal Choice'!$B$22*'Optimal Choice'!$B$23^(L29+1)</f>
        <v>9763.2</v>
      </c>
      <c r="S29" s="12">
        <f> 'Optimal Choice'!$B$27*'Optimal Choice'!$B$28^(M29+1)</f>
        <v>116121.6</v>
      </c>
    </row>
    <row r="30" ht="15.75" customHeight="1">
      <c r="A30" s="10">
        <f t="shared" si="2"/>
        <v>0.3923579007</v>
      </c>
      <c r="B30" s="6">
        <f>(I30*'Optimal Choice'!$B$6+J30*'Optimal Choice'!$B$11+K30*'Optimal Choice'!$B$16+L30*'Optimal Choice'!$B$21+M30*'Optimal Choice'!$B$26)*'Optimal Choice'!$B$30</f>
        <v>195.07</v>
      </c>
      <c r="C30" s="10">
        <f>(O30/$B30)+(O30/'Optimal Choice'!$B$6)</f>
        <v>10.70258812</v>
      </c>
      <c r="D30" s="10">
        <f>(P30/$B30)+(P30/'Optimal Choice'!$B$11)</f>
        <v>11.63566393</v>
      </c>
      <c r="E30" s="10">
        <f>(Q30/$B30)+(Q30/'Optimal Choice'!$B$16)</f>
        <v>13.32772031</v>
      </c>
      <c r="F30" s="10">
        <f>(R30/$B30)+(R30/'Optimal Choice'!$B$21)</f>
        <v>77.16972574</v>
      </c>
      <c r="G30" s="10">
        <f>(S30/$B30)+(S30/'Optimal Choice'!$B$26)</f>
        <v>649.0416938</v>
      </c>
      <c r="I30" s="11">
        <f t="shared" ref="I30:M30" si="29">if(min($C29:$G29)=C29,I29+1,I29)</f>
        <v>21</v>
      </c>
      <c r="J30" s="11">
        <f t="shared" si="29"/>
        <v>8</v>
      </c>
      <c r="K30" s="11">
        <f t="shared" si="29"/>
        <v>0</v>
      </c>
      <c r="L30" s="11">
        <f t="shared" si="29"/>
        <v>0</v>
      </c>
      <c r="M30" s="11">
        <f t="shared" si="29"/>
        <v>0</v>
      </c>
      <c r="O30" s="12">
        <f> 'Optimal Choice'!$B$7*'Optimal Choice'!$B$8^(I30+1)</f>
        <v>17.72160696</v>
      </c>
      <c r="P30" s="12">
        <f> 'Optimal Choice'!$B$12*'Optimal Choice'!$B$13^(J30+1)</f>
        <v>211.0725775</v>
      </c>
      <c r="Q30" s="12">
        <f> 'Optimal Choice'!$B$17*'Optimal Choice'!$B$18^(K30+1)</f>
        <v>820.8</v>
      </c>
      <c r="R30" s="12">
        <f> 'Optimal Choice'!$B$22*'Optimal Choice'!$B$23^(L30+1)</f>
        <v>9763.2</v>
      </c>
      <c r="S30" s="12">
        <f> 'Optimal Choice'!$B$27*'Optimal Choice'!$B$28^(M30+1)</f>
        <v>116121.6</v>
      </c>
    </row>
    <row r="31" ht="15.75" customHeight="1">
      <c r="A31" s="10">
        <f t="shared" si="2"/>
        <v>0.3938720244</v>
      </c>
      <c r="B31" s="6">
        <f>(I31*'Optimal Choice'!$B$6+J31*'Optimal Choice'!$B$11+K31*'Optimal Choice'!$B$16+L31*'Optimal Choice'!$B$21+M31*'Optimal Choice'!$B$26)*'Optimal Choice'!$B$30</f>
        <v>196.74</v>
      </c>
      <c r="C31" s="10">
        <f>(O31/$B31)+(O31/'Optimal Choice'!$B$6)</f>
        <v>11.45094416</v>
      </c>
      <c r="D31" s="10">
        <f>(P31/$B31)+(P31/'Optimal Choice'!$B$11)</f>
        <v>11.62647922</v>
      </c>
      <c r="E31" s="10">
        <f>(Q31/$B31)+(Q31/'Optimal Choice'!$B$16)</f>
        <v>13.29200366</v>
      </c>
      <c r="F31" s="10">
        <f>(R31/$B31)+(R31/'Optimal Choice'!$B$21)</f>
        <v>76.74488564</v>
      </c>
      <c r="G31" s="10">
        <f>(S31/$B31)+(S31/'Optimal Choice'!$B$26)</f>
        <v>643.9887283</v>
      </c>
      <c r="I31" s="11">
        <f t="shared" ref="I31:M31" si="30">if(min($C30:$G30)=C30,I30+1,I30)</f>
        <v>22</v>
      </c>
      <c r="J31" s="11">
        <f t="shared" si="30"/>
        <v>8</v>
      </c>
      <c r="K31" s="11">
        <f t="shared" si="30"/>
        <v>0</v>
      </c>
      <c r="L31" s="11">
        <f t="shared" si="30"/>
        <v>0</v>
      </c>
      <c r="M31" s="11">
        <f t="shared" si="30"/>
        <v>0</v>
      </c>
      <c r="O31" s="12">
        <f> 'Optimal Choice'!$B$7*'Optimal Choice'!$B$8^(I31+1)</f>
        <v>18.96211945</v>
      </c>
      <c r="P31" s="12">
        <f> 'Optimal Choice'!$B$12*'Optimal Choice'!$B$13^(J31+1)</f>
        <v>211.0725775</v>
      </c>
      <c r="Q31" s="12">
        <f> 'Optimal Choice'!$B$17*'Optimal Choice'!$B$18^(K31+1)</f>
        <v>820.8</v>
      </c>
      <c r="R31" s="12">
        <f> 'Optimal Choice'!$B$22*'Optimal Choice'!$B$23^(L31+1)</f>
        <v>9763.2</v>
      </c>
      <c r="S31" s="12">
        <f> 'Optimal Choice'!$B$27*'Optimal Choice'!$B$28^(M31+1)</f>
        <v>116121.6</v>
      </c>
    </row>
    <row r="32" ht="15.75" customHeight="1">
      <c r="A32" s="10">
        <f t="shared" si="2"/>
        <v>0.3954783847</v>
      </c>
      <c r="B32" s="6">
        <f>(I32*'Optimal Choice'!$B$6+J32*'Optimal Choice'!$B$11+K32*'Optimal Choice'!$B$16+L32*'Optimal Choice'!$B$21+M32*'Optimal Choice'!$B$26)*'Optimal Choice'!$B$30</f>
        <v>198.41</v>
      </c>
      <c r="C32" s="10">
        <f>(O32/$B32)+(O32/'Optimal Choice'!$B$6)</f>
        <v>12.25164223</v>
      </c>
      <c r="D32" s="10">
        <f>(P32/$B32)+(P32/'Optimal Choice'!$B$11)</f>
        <v>11.61744913</v>
      </c>
      <c r="E32" s="10">
        <f>(Q32/$B32)+(Q32/'Optimal Choice'!$B$16)</f>
        <v>13.25688826</v>
      </c>
      <c r="F32" s="10">
        <f>(R32/$B32)+(R32/'Optimal Choice'!$B$21)</f>
        <v>76.32719722</v>
      </c>
      <c r="G32" s="10">
        <f>(S32/$B32)+(S32/'Optimal Choice'!$B$26)</f>
        <v>639.0208235</v>
      </c>
      <c r="I32" s="11">
        <f t="shared" ref="I32:M32" si="31">if(min($C31:$G31)=C31,I31+1,I31)</f>
        <v>23</v>
      </c>
      <c r="J32" s="11">
        <f t="shared" si="31"/>
        <v>8</v>
      </c>
      <c r="K32" s="11">
        <f t="shared" si="31"/>
        <v>0</v>
      </c>
      <c r="L32" s="11">
        <f t="shared" si="31"/>
        <v>0</v>
      </c>
      <c r="M32" s="11">
        <f t="shared" si="31"/>
        <v>0</v>
      </c>
      <c r="O32" s="12">
        <f> 'Optimal Choice'!$B$7*'Optimal Choice'!$B$8^(I32+1)</f>
        <v>20.28946781</v>
      </c>
      <c r="P32" s="12">
        <f> 'Optimal Choice'!$B$12*'Optimal Choice'!$B$13^(J32+1)</f>
        <v>211.0725775</v>
      </c>
      <c r="Q32" s="12">
        <f> 'Optimal Choice'!$B$17*'Optimal Choice'!$B$18^(K32+1)</f>
        <v>820.8</v>
      </c>
      <c r="R32" s="12">
        <f> 'Optimal Choice'!$B$22*'Optimal Choice'!$B$23^(L32+1)</f>
        <v>9763.2</v>
      </c>
      <c r="S32" s="12">
        <f> 'Optimal Choice'!$B$27*'Optimal Choice'!$B$28^(M32+1)</f>
        <v>116121.6</v>
      </c>
    </row>
    <row r="33" ht="15.75" customHeight="1">
      <c r="A33" s="10">
        <f t="shared" si="2"/>
        <v>0.4132087224</v>
      </c>
      <c r="B33" s="6">
        <f>(I33*'Optimal Choice'!$B$6+J33*'Optimal Choice'!$B$11+K33*'Optimal Choice'!$B$16+L33*'Optimal Choice'!$B$21+M33*'Optimal Choice'!$B$26)*'Optimal Choice'!$B$30</f>
        <v>218.41</v>
      </c>
      <c r="C33" s="10">
        <f>(O33/$B33)+(O33/'Optimal Choice'!$B$6)</f>
        <v>12.24227816</v>
      </c>
      <c r="D33" s="10">
        <f>(P33/$B33)+(P33/'Optimal Choice'!$B$11)</f>
        <v>13.24803928</v>
      </c>
      <c r="E33" s="10">
        <f>(Q33/$B33)+(Q33/'Optimal Choice'!$B$16)</f>
        <v>12.87806969</v>
      </c>
      <c r="F33" s="10">
        <f>(R33/$B33)+(R33/'Optimal Choice'!$B$21)</f>
        <v>71.82124994</v>
      </c>
      <c r="G33" s="10">
        <f>(S33/$B33)+(S33/'Optimal Choice'!$B$26)</f>
        <v>585.4279639</v>
      </c>
      <c r="I33" s="11">
        <f t="shared" ref="I33:M33" si="32">if(min($C32:$G32)=C32,I32+1,I32)</f>
        <v>23</v>
      </c>
      <c r="J33" s="11">
        <f t="shared" si="32"/>
        <v>9</v>
      </c>
      <c r="K33" s="11">
        <f t="shared" si="32"/>
        <v>0</v>
      </c>
      <c r="L33" s="11">
        <f t="shared" si="32"/>
        <v>0</v>
      </c>
      <c r="M33" s="11">
        <f t="shared" si="32"/>
        <v>0</v>
      </c>
      <c r="O33" s="12">
        <f> 'Optimal Choice'!$B$7*'Optimal Choice'!$B$8^(I33+1)</f>
        <v>20.28946781</v>
      </c>
      <c r="P33" s="12">
        <f> 'Optimal Choice'!$B$12*'Optimal Choice'!$B$13^(J33+1)</f>
        <v>242.7334641</v>
      </c>
      <c r="Q33" s="12">
        <f> 'Optimal Choice'!$B$17*'Optimal Choice'!$B$18^(K33+1)</f>
        <v>820.8</v>
      </c>
      <c r="R33" s="12">
        <f> 'Optimal Choice'!$B$22*'Optimal Choice'!$B$23^(L33+1)</f>
        <v>9763.2</v>
      </c>
      <c r="S33" s="12">
        <f> 'Optimal Choice'!$B$27*'Optimal Choice'!$B$28^(M33+1)</f>
        <v>116121.6</v>
      </c>
    </row>
    <row r="34" ht="15.75" customHeight="1">
      <c r="A34" s="10">
        <f t="shared" si="2"/>
        <v>0.414756993</v>
      </c>
      <c r="B34" s="6">
        <f>(I34*'Optimal Choice'!$B$6+J34*'Optimal Choice'!$B$11+K34*'Optimal Choice'!$B$16+L34*'Optimal Choice'!$B$21+M34*'Optimal Choice'!$B$26)*'Optimal Choice'!$B$30</f>
        <v>220.08</v>
      </c>
      <c r="C34" s="10">
        <f>(O34/$B34)+(O34/'Optimal Choice'!$B$6)</f>
        <v>13.09848338</v>
      </c>
      <c r="D34" s="10">
        <f>(P34/$B34)+(P34/'Optimal Choice'!$B$11)</f>
        <v>13.23960607</v>
      </c>
      <c r="E34" s="10">
        <f>(Q34/$B34)+(Q34/'Optimal Choice'!$B$16)</f>
        <v>12.84955289</v>
      </c>
      <c r="F34" s="10">
        <f>(R34/$B34)+(R34/'Optimal Choice'!$B$21)</f>
        <v>71.48205016</v>
      </c>
      <c r="G34" s="10">
        <f>(S34/$B34)+(S34/'Optimal Choice'!$B$26)</f>
        <v>581.3935878</v>
      </c>
      <c r="I34" s="11">
        <f t="shared" ref="I34:M34" si="33">if(min($C33:$G33)=C33,I33+1,I33)</f>
        <v>24</v>
      </c>
      <c r="J34" s="11">
        <f t="shared" si="33"/>
        <v>9</v>
      </c>
      <c r="K34" s="11">
        <f t="shared" si="33"/>
        <v>0</v>
      </c>
      <c r="L34" s="11">
        <f t="shared" si="33"/>
        <v>0</v>
      </c>
      <c r="M34" s="11">
        <f t="shared" si="33"/>
        <v>0</v>
      </c>
      <c r="O34" s="12">
        <f> 'Optimal Choice'!$B$7*'Optimal Choice'!$B$8^(I34+1)</f>
        <v>21.70973056</v>
      </c>
      <c r="P34" s="12">
        <f> 'Optimal Choice'!$B$12*'Optimal Choice'!$B$13^(J34+1)</f>
        <v>242.7334641</v>
      </c>
      <c r="Q34" s="12">
        <f> 'Optimal Choice'!$B$17*'Optimal Choice'!$B$18^(K34+1)</f>
        <v>820.8</v>
      </c>
      <c r="R34" s="12">
        <f> 'Optimal Choice'!$B$22*'Optimal Choice'!$B$23^(L34+1)</f>
        <v>9763.2</v>
      </c>
      <c r="S34" s="12">
        <f> 'Optimal Choice'!$B$27*'Optimal Choice'!$B$28^(M34+1)</f>
        <v>116121.6</v>
      </c>
    </row>
    <row r="35" ht="15.75" customHeight="1">
      <c r="A35" s="10">
        <f t="shared" si="2"/>
        <v>0.4769162079</v>
      </c>
      <c r="B35" s="6">
        <f>(I35*'Optimal Choice'!$B$6+J35*'Optimal Choice'!$B$11+K35*'Optimal Choice'!$B$16+L35*'Optimal Choice'!$B$21+M35*'Optimal Choice'!$B$26)*'Optimal Choice'!$B$30</f>
        <v>310.08</v>
      </c>
      <c r="C35" s="10">
        <f>(O35/$B35)+(O35/'Optimal Choice'!$B$6)</f>
        <v>13.06985198</v>
      </c>
      <c r="D35" s="10">
        <f>(P35/$B35)+(P35/'Optimal Choice'!$B$11)</f>
        <v>12.91948237</v>
      </c>
      <c r="E35" s="10">
        <f>(Q35/$B35)+(Q35/'Optimal Choice'!$B$16)</f>
        <v>13.41444706</v>
      </c>
      <c r="F35" s="10">
        <f>(R35/$B35)+(R35/'Optimal Choice'!$B$21)</f>
        <v>58.60606811</v>
      </c>
      <c r="G35" s="10">
        <f>(S35/$B35)+(S35/'Optimal Choice'!$B$26)</f>
        <v>428.2491641</v>
      </c>
      <c r="I35" s="11">
        <f t="shared" ref="I35:M35" si="34">if(min($C34:$G34)=C34,I34+1,I34)</f>
        <v>24</v>
      </c>
      <c r="J35" s="11">
        <f t="shared" si="34"/>
        <v>9</v>
      </c>
      <c r="K35" s="11">
        <f t="shared" si="34"/>
        <v>1</v>
      </c>
      <c r="L35" s="11">
        <f t="shared" si="34"/>
        <v>0</v>
      </c>
      <c r="M35" s="11">
        <f t="shared" si="34"/>
        <v>0</v>
      </c>
      <c r="O35" s="12">
        <f> 'Optimal Choice'!$B$7*'Optimal Choice'!$B$8^(I35+1)</f>
        <v>21.70973056</v>
      </c>
      <c r="P35" s="12">
        <f> 'Optimal Choice'!$B$12*'Optimal Choice'!$B$13^(J35+1)</f>
        <v>242.7334641</v>
      </c>
      <c r="Q35" s="12">
        <f> 'Optimal Choice'!$B$17*'Optimal Choice'!$B$18^(K35+1)</f>
        <v>935.712</v>
      </c>
      <c r="R35" s="12">
        <f> 'Optimal Choice'!$B$22*'Optimal Choice'!$B$23^(L35+1)</f>
        <v>9763.2</v>
      </c>
      <c r="S35" s="12">
        <f> 'Optimal Choice'!$B$27*'Optimal Choice'!$B$28^(M35+1)</f>
        <v>116121.6</v>
      </c>
    </row>
    <row r="36" ht="15.75" customHeight="1">
      <c r="A36" s="10">
        <f t="shared" si="2"/>
        <v>0.4899630272</v>
      </c>
      <c r="B36" s="6">
        <f>(I36*'Optimal Choice'!$B$6+J36*'Optimal Choice'!$B$11+K36*'Optimal Choice'!$B$16+L36*'Optimal Choice'!$B$21+M36*'Optimal Choice'!$B$26)*'Optimal Choice'!$B$30</f>
        <v>330.08</v>
      </c>
      <c r="C36" s="10">
        <f>(O36/$B36)+(O36/'Optimal Choice'!$B$6)</f>
        <v>13.06560978</v>
      </c>
      <c r="D36" s="10">
        <f>(P36/$B36)+(P36/'Optimal Choice'!$B$11)</f>
        <v>14.80285852</v>
      </c>
      <c r="E36" s="10">
        <f>(Q36/$B36)+(Q36/'Optimal Choice'!$B$16)</f>
        <v>13.23160368</v>
      </c>
      <c r="F36" s="10">
        <f>(R36/$B36)+(R36/'Optimal Choice'!$B$21)</f>
        <v>56.69828405</v>
      </c>
      <c r="G36" s="10">
        <f>(S36/$B36)+(S36/'Optimal Choice'!$B$26)</f>
        <v>405.5583519</v>
      </c>
      <c r="I36" s="11">
        <f t="shared" ref="I36:M36" si="35">if(min($C35:$G35)=C35,I35+1,I35)</f>
        <v>24</v>
      </c>
      <c r="J36" s="11">
        <f t="shared" si="35"/>
        <v>10</v>
      </c>
      <c r="K36" s="11">
        <f t="shared" si="35"/>
        <v>1</v>
      </c>
      <c r="L36" s="11">
        <f t="shared" si="35"/>
        <v>0</v>
      </c>
      <c r="M36" s="11">
        <f t="shared" si="35"/>
        <v>0</v>
      </c>
      <c r="O36" s="12">
        <f> 'Optimal Choice'!$B$7*'Optimal Choice'!$B$8^(I36+1)</f>
        <v>21.70973056</v>
      </c>
      <c r="P36" s="12">
        <f> 'Optimal Choice'!$B$12*'Optimal Choice'!$B$13^(J36+1)</f>
        <v>279.1434838</v>
      </c>
      <c r="Q36" s="12">
        <f> 'Optimal Choice'!$B$17*'Optimal Choice'!$B$18^(K36+1)</f>
        <v>935.712</v>
      </c>
      <c r="R36" s="12">
        <f> 'Optimal Choice'!$B$22*'Optimal Choice'!$B$23^(L36+1)</f>
        <v>9763.2</v>
      </c>
      <c r="S36" s="12">
        <f> 'Optimal Choice'!$B$27*'Optimal Choice'!$B$28^(M36+1)</f>
        <v>116121.6</v>
      </c>
    </row>
    <row r="37" ht="15.75" customHeight="1">
      <c r="A37" s="10">
        <f t="shared" si="2"/>
        <v>0.4910592125</v>
      </c>
      <c r="B37" s="6">
        <f>(I37*'Optimal Choice'!$B$6+J37*'Optimal Choice'!$B$11+K37*'Optimal Choice'!$B$16+L37*'Optimal Choice'!$B$21+M37*'Optimal Choice'!$B$26)*'Optimal Choice'!$B$30</f>
        <v>331.75</v>
      </c>
      <c r="C37" s="10">
        <f>(O37/$B37)+(O37/'Optimal Choice'!$B$6)</f>
        <v>13.9798482</v>
      </c>
      <c r="D37" s="10">
        <f>(P37/$B37)+(P37/'Optimal Choice'!$B$11)</f>
        <v>14.79860142</v>
      </c>
      <c r="E37" s="10">
        <f>(Q37/$B37)+(Q37/'Optimal Choice'!$B$16)</f>
        <v>13.21733353</v>
      </c>
      <c r="F37" s="10">
        <f>(R37/$B37)+(R37/'Optimal Choice'!$B$21)</f>
        <v>56.5493896</v>
      </c>
      <c r="G37" s="10">
        <f>(S37/$B37)+(S37/'Optimal Choice'!$B$26)</f>
        <v>403.7874303</v>
      </c>
      <c r="I37" s="11">
        <f t="shared" ref="I37:M37" si="36">if(min($C36:$G36)=C36,I36+1,I36)</f>
        <v>25</v>
      </c>
      <c r="J37" s="11">
        <f t="shared" si="36"/>
        <v>10</v>
      </c>
      <c r="K37" s="11">
        <f t="shared" si="36"/>
        <v>1</v>
      </c>
      <c r="L37" s="11">
        <f t="shared" si="36"/>
        <v>0</v>
      </c>
      <c r="M37" s="11">
        <f t="shared" si="36"/>
        <v>0</v>
      </c>
      <c r="O37" s="12">
        <f> 'Optimal Choice'!$B$7*'Optimal Choice'!$B$8^(I37+1)</f>
        <v>23.2294117</v>
      </c>
      <c r="P37" s="12">
        <f> 'Optimal Choice'!$B$12*'Optimal Choice'!$B$13^(J37+1)</f>
        <v>279.1434838</v>
      </c>
      <c r="Q37" s="12">
        <f> 'Optimal Choice'!$B$17*'Optimal Choice'!$B$18^(K37+1)</f>
        <v>935.712</v>
      </c>
      <c r="R37" s="12">
        <f> 'Optimal Choice'!$B$22*'Optimal Choice'!$B$23^(L37+1)</f>
        <v>9763.2</v>
      </c>
      <c r="S37" s="12">
        <f> 'Optimal Choice'!$B$27*'Optimal Choice'!$B$28^(M37+1)</f>
        <v>116121.6</v>
      </c>
    </row>
    <row r="38" ht="15.75" customHeight="1">
      <c r="A38" s="10">
        <f t="shared" si="2"/>
        <v>0.5380681047</v>
      </c>
      <c r="B38" s="6">
        <f>(I38*'Optimal Choice'!$B$6+J38*'Optimal Choice'!$B$11+K38*'Optimal Choice'!$B$16+L38*'Optimal Choice'!$B$21+M38*'Optimal Choice'!$B$26)*'Optimal Choice'!$B$30</f>
        <v>421.75</v>
      </c>
      <c r="C38" s="10">
        <f>(O38/$B38)+(O38/'Optimal Choice'!$B$6)</f>
        <v>13.96490599</v>
      </c>
      <c r="D38" s="10">
        <f>(P38/$B38)+(P38/'Optimal Choice'!$B$11)</f>
        <v>14.61904374</v>
      </c>
      <c r="E38" s="10">
        <f>(Q38/$B38)+(Q38/'Optimal Choice'!$B$16)</f>
        <v>14.38160317</v>
      </c>
      <c r="F38" s="10">
        <f>(R38/$B38)+(R38/'Optimal Choice'!$B$21)</f>
        <v>50.26925904</v>
      </c>
      <c r="G38" s="10">
        <f>(S38/$B38)+(S38/'Optimal Choice'!$B$26)</f>
        <v>329.0927801</v>
      </c>
      <c r="I38" s="11">
        <f t="shared" ref="I38:M38" si="37">if(min($C37:$G37)=C37,I37+1,I37)</f>
        <v>25</v>
      </c>
      <c r="J38" s="11">
        <f t="shared" si="37"/>
        <v>10</v>
      </c>
      <c r="K38" s="11">
        <f t="shared" si="37"/>
        <v>2</v>
      </c>
      <c r="L38" s="11">
        <f t="shared" si="37"/>
        <v>0</v>
      </c>
      <c r="M38" s="11">
        <f t="shared" si="37"/>
        <v>0</v>
      </c>
      <c r="O38" s="12">
        <f> 'Optimal Choice'!$B$7*'Optimal Choice'!$B$8^(I38+1)</f>
        <v>23.2294117</v>
      </c>
      <c r="P38" s="12">
        <f> 'Optimal Choice'!$B$12*'Optimal Choice'!$B$13^(J38+1)</f>
        <v>279.1434838</v>
      </c>
      <c r="Q38" s="12">
        <f> 'Optimal Choice'!$B$17*'Optimal Choice'!$B$18^(K38+1)</f>
        <v>1066.71168</v>
      </c>
      <c r="R38" s="12">
        <f> 'Optimal Choice'!$B$22*'Optimal Choice'!$B$23^(L38+1)</f>
        <v>9763.2</v>
      </c>
      <c r="S38" s="12">
        <f> 'Optimal Choice'!$B$27*'Optimal Choice'!$B$28^(M38+1)</f>
        <v>116121.6</v>
      </c>
    </row>
    <row r="39" ht="15.75" customHeight="1">
      <c r="A39" s="10">
        <f t="shared" si="2"/>
        <v>0.5389860819</v>
      </c>
      <c r="B39" s="6">
        <f>(I39*'Optimal Choice'!$B$6+J39*'Optimal Choice'!$B$11+K39*'Optimal Choice'!$B$16+L39*'Optimal Choice'!$B$21+M39*'Optimal Choice'!$B$26)*'Optimal Choice'!$B$30</f>
        <v>423.42</v>
      </c>
      <c r="C39" s="10">
        <f>(O39/$B39)+(O39/'Optimal Choice'!$B$6)</f>
        <v>14.94221697</v>
      </c>
      <c r="D39" s="10">
        <f>(P39/$B39)+(P39/'Optimal Choice'!$B$11)</f>
        <v>14.61643328</v>
      </c>
      <c r="E39" s="10">
        <f>(Q39/$B39)+(Q39/'Optimal Choice'!$B$16)</f>
        <v>14.37162761</v>
      </c>
      <c r="F39" s="10">
        <f>(R39/$B39)+(R39/'Optimal Choice'!$B$21)</f>
        <v>50.17795664</v>
      </c>
      <c r="G39" s="10">
        <f>(S39/$B39)+(S39/'Optimal Choice'!$B$26)</f>
        <v>328.0068471</v>
      </c>
      <c r="I39" s="11">
        <f t="shared" ref="I39:M39" si="38">if(min($C38:$G38)=C38,I38+1,I38)</f>
        <v>26</v>
      </c>
      <c r="J39" s="11">
        <f t="shared" si="38"/>
        <v>10</v>
      </c>
      <c r="K39" s="11">
        <f t="shared" si="38"/>
        <v>2</v>
      </c>
      <c r="L39" s="11">
        <f t="shared" si="38"/>
        <v>0</v>
      </c>
      <c r="M39" s="11">
        <f t="shared" si="38"/>
        <v>0</v>
      </c>
      <c r="O39" s="12">
        <f> 'Optimal Choice'!$B$7*'Optimal Choice'!$B$8^(I39+1)</f>
        <v>24.85547052</v>
      </c>
      <c r="P39" s="12">
        <f> 'Optimal Choice'!$B$12*'Optimal Choice'!$B$13^(J39+1)</f>
        <v>279.1434838</v>
      </c>
      <c r="Q39" s="12">
        <f> 'Optimal Choice'!$B$17*'Optimal Choice'!$B$18^(K39+1)</f>
        <v>1066.71168</v>
      </c>
      <c r="R39" s="12">
        <f> 'Optimal Choice'!$B$22*'Optimal Choice'!$B$23^(L39+1)</f>
        <v>9763.2</v>
      </c>
      <c r="S39" s="12">
        <f> 'Optimal Choice'!$B$27*'Optimal Choice'!$B$28^(M39+1)</f>
        <v>116121.6</v>
      </c>
    </row>
    <row r="40" ht="15.75" customHeight="1">
      <c r="A40" s="10">
        <f t="shared" si="2"/>
        <v>0.5809740087</v>
      </c>
      <c r="B40" s="6">
        <f>(I40*'Optimal Choice'!$B$6+J40*'Optimal Choice'!$B$11+K40*'Optimal Choice'!$B$16+L40*'Optimal Choice'!$B$21+M40*'Optimal Choice'!$B$26)*'Optimal Choice'!$B$30</f>
        <v>513.42</v>
      </c>
      <c r="C40" s="10">
        <f>(O40/$B40)+(O40/'Optimal Choice'!$B$6)</f>
        <v>14.93192686</v>
      </c>
      <c r="D40" s="10">
        <f>(P40/$B40)+(P40/'Optimal Choice'!$B$11)</f>
        <v>14.5008684</v>
      </c>
      <c r="E40" s="10">
        <f>(Q40/$B40)+(Q40/'Optimal Choice'!$B$16)</f>
        <v>15.88021253</v>
      </c>
      <c r="F40" s="10">
        <f>(R40/$B40)+(R40/'Optimal Choice'!$B$21)</f>
        <v>46.13601028</v>
      </c>
      <c r="G40" s="10">
        <f>(S40/$B40)+(S40/'Optimal Choice'!$B$26)</f>
        <v>279.9327241</v>
      </c>
      <c r="I40" s="11">
        <f t="shared" ref="I40:M40" si="39">if(min($C39:$G39)=C39,I39+1,I39)</f>
        <v>26</v>
      </c>
      <c r="J40" s="11">
        <f t="shared" si="39"/>
        <v>10</v>
      </c>
      <c r="K40" s="11">
        <f t="shared" si="39"/>
        <v>3</v>
      </c>
      <c r="L40" s="11">
        <f t="shared" si="39"/>
        <v>0</v>
      </c>
      <c r="M40" s="11">
        <f t="shared" si="39"/>
        <v>0</v>
      </c>
      <c r="O40" s="12">
        <f> 'Optimal Choice'!$B$7*'Optimal Choice'!$B$8^(I40+1)</f>
        <v>24.85547052</v>
      </c>
      <c r="P40" s="12">
        <f> 'Optimal Choice'!$B$12*'Optimal Choice'!$B$13^(J40+1)</f>
        <v>279.1434838</v>
      </c>
      <c r="Q40" s="12">
        <f> 'Optimal Choice'!$B$17*'Optimal Choice'!$B$18^(K40+1)</f>
        <v>1216.051315</v>
      </c>
      <c r="R40" s="12">
        <f> 'Optimal Choice'!$B$22*'Optimal Choice'!$B$23^(L40+1)</f>
        <v>9763.2</v>
      </c>
      <c r="S40" s="12">
        <f> 'Optimal Choice'!$B$27*'Optimal Choice'!$B$28^(M40+1)</f>
        <v>116121.6</v>
      </c>
    </row>
    <row r="41" ht="15.75" customHeight="1">
      <c r="A41" s="10">
        <f t="shared" si="2"/>
        <v>0.590035579</v>
      </c>
      <c r="B41" s="6">
        <f>(I41*'Optimal Choice'!$B$6+J41*'Optimal Choice'!$B$11+K41*'Optimal Choice'!$B$16+L41*'Optimal Choice'!$B$21+M41*'Optimal Choice'!$B$26)*'Optimal Choice'!$B$30</f>
        <v>533.42</v>
      </c>
      <c r="C41" s="10">
        <f>(O41/$B41)+(O41/'Optimal Choice'!$B$6)</f>
        <v>14.93011172</v>
      </c>
      <c r="D41" s="10">
        <f>(P41/$B41)+(P41/'Optimal Choice'!$B$11)</f>
        <v>16.65255566</v>
      </c>
      <c r="E41" s="10">
        <f>(Q41/$B41)+(Q41/'Optimal Choice'!$B$16)</f>
        <v>15.79140704</v>
      </c>
      <c r="F41" s="10">
        <f>(R41/$B41)+(R41/'Optimal Choice'!$B$21)</f>
        <v>45.42302576</v>
      </c>
      <c r="G41" s="10">
        <f>(S41/$B41)+(S41/'Optimal Choice'!$B$26)</f>
        <v>271.4526249</v>
      </c>
      <c r="I41" s="11">
        <f t="shared" ref="I41:M41" si="40">if(min($C40:$G40)=C40,I40+1,I40)</f>
        <v>26</v>
      </c>
      <c r="J41" s="11">
        <f t="shared" si="40"/>
        <v>11</v>
      </c>
      <c r="K41" s="11">
        <f t="shared" si="40"/>
        <v>3</v>
      </c>
      <c r="L41" s="11">
        <f t="shared" si="40"/>
        <v>0</v>
      </c>
      <c r="M41" s="11">
        <f t="shared" si="40"/>
        <v>0</v>
      </c>
      <c r="O41" s="12">
        <f> 'Optimal Choice'!$B$7*'Optimal Choice'!$B$8^(I41+1)</f>
        <v>24.85547052</v>
      </c>
      <c r="P41" s="12">
        <f> 'Optimal Choice'!$B$12*'Optimal Choice'!$B$13^(J41+1)</f>
        <v>321.0150063</v>
      </c>
      <c r="Q41" s="12">
        <f> 'Optimal Choice'!$B$17*'Optimal Choice'!$B$18^(K41+1)</f>
        <v>1216.051315</v>
      </c>
      <c r="R41" s="12">
        <f> 'Optimal Choice'!$B$22*'Optimal Choice'!$B$23^(L41+1)</f>
        <v>9763.2</v>
      </c>
      <c r="S41" s="12">
        <f> 'Optimal Choice'!$B$27*'Optimal Choice'!$B$28^(M41+1)</f>
        <v>116121.6</v>
      </c>
    </row>
    <row r="42" ht="15.75" customHeight="1">
      <c r="A42" s="10">
        <f t="shared" si="2"/>
        <v>0.5908121862</v>
      </c>
      <c r="B42" s="6">
        <f>(I42*'Optimal Choice'!$B$6+J42*'Optimal Choice'!$B$11+K42*'Optimal Choice'!$B$16+L42*'Optimal Choice'!$B$21+M42*'Optimal Choice'!$B$26)*'Optimal Choice'!$B$30</f>
        <v>535.09</v>
      </c>
      <c r="C42" s="10">
        <f>(O42/$B42)+(O42/'Optimal Choice'!$B$6)</f>
        <v>15.97506393</v>
      </c>
      <c r="D42" s="10">
        <f>(P42/$B42)+(P42/'Optimal Choice'!$B$11)</f>
        <v>16.65067744</v>
      </c>
      <c r="E42" s="10">
        <f>(Q42/$B42)+(Q42/'Optimal Choice'!$B$16)</f>
        <v>15.78429208</v>
      </c>
      <c r="F42" s="10">
        <f>(R42/$B42)+(R42/'Optimal Choice'!$B$21)</f>
        <v>45.36590256</v>
      </c>
      <c r="G42" s="10">
        <f>(S42/$B42)+(S42/'Optimal Choice'!$B$26)</f>
        <v>270.7732127</v>
      </c>
      <c r="I42" s="11">
        <f t="shared" ref="I42:M42" si="41">if(min($C41:$G41)=C41,I41+1,I41)</f>
        <v>27</v>
      </c>
      <c r="J42" s="11">
        <f t="shared" si="41"/>
        <v>11</v>
      </c>
      <c r="K42" s="11">
        <f t="shared" si="41"/>
        <v>3</v>
      </c>
      <c r="L42" s="11">
        <f t="shared" si="41"/>
        <v>0</v>
      </c>
      <c r="M42" s="11">
        <f t="shared" si="41"/>
        <v>0</v>
      </c>
      <c r="O42" s="12">
        <f> 'Optimal Choice'!$B$7*'Optimal Choice'!$B$8^(I42+1)</f>
        <v>26.59535346</v>
      </c>
      <c r="P42" s="12">
        <f> 'Optimal Choice'!$B$12*'Optimal Choice'!$B$13^(J42+1)</f>
        <v>321.0150063</v>
      </c>
      <c r="Q42" s="12">
        <f> 'Optimal Choice'!$B$17*'Optimal Choice'!$B$18^(K42+1)</f>
        <v>1216.051315</v>
      </c>
      <c r="R42" s="12">
        <f> 'Optimal Choice'!$B$22*'Optimal Choice'!$B$23^(L42+1)</f>
        <v>9763.2</v>
      </c>
      <c r="S42" s="12">
        <f> 'Optimal Choice'!$B$27*'Optimal Choice'!$B$28^(M42+1)</f>
        <v>116121.6</v>
      </c>
    </row>
    <row r="43" ht="15.75" customHeight="1">
      <c r="A43" s="10">
        <f t="shared" si="2"/>
        <v>0.628689033</v>
      </c>
      <c r="B43" s="6">
        <f>(I43*'Optimal Choice'!$B$6+J43*'Optimal Choice'!$B$11+K43*'Optimal Choice'!$B$16+L43*'Optimal Choice'!$B$21+M43*'Optimal Choice'!$B$26)*'Optimal Choice'!$B$30</f>
        <v>625.09</v>
      </c>
      <c r="C43" s="10">
        <f>(O43/$B43)+(O43/'Optimal Choice'!$B$6)</f>
        <v>15.96790779</v>
      </c>
      <c r="D43" s="10">
        <f>(P43/$B43)+(P43/'Optimal Choice'!$B$11)</f>
        <v>16.56430038</v>
      </c>
      <c r="E43" s="10">
        <f>(Q43/$B43)+(Q43/'Optimal Choice'!$B$16)</f>
        <v>17.6210749</v>
      </c>
      <c r="F43" s="10">
        <f>(R43/$B43)+(R43/'Optimal Choice'!$B$21)</f>
        <v>42.73887088</v>
      </c>
      <c r="G43" s="10">
        <f>(S43/$B43)+(S43/'Optimal Choice'!$B$26)</f>
        <v>239.5278094</v>
      </c>
      <c r="I43" s="11">
        <f t="shared" ref="I43:M43" si="42">if(min($C42:$G42)=C42,I42+1,I42)</f>
        <v>27</v>
      </c>
      <c r="J43" s="11">
        <f t="shared" si="42"/>
        <v>11</v>
      </c>
      <c r="K43" s="11">
        <f t="shared" si="42"/>
        <v>4</v>
      </c>
      <c r="L43" s="11">
        <f t="shared" si="42"/>
        <v>0</v>
      </c>
      <c r="M43" s="11">
        <f t="shared" si="42"/>
        <v>0</v>
      </c>
      <c r="O43" s="12">
        <f> 'Optimal Choice'!$B$7*'Optimal Choice'!$B$8^(I43+1)</f>
        <v>26.59535346</v>
      </c>
      <c r="P43" s="12">
        <f> 'Optimal Choice'!$B$12*'Optimal Choice'!$B$13^(J43+1)</f>
        <v>321.0150063</v>
      </c>
      <c r="Q43" s="12">
        <f> 'Optimal Choice'!$B$17*'Optimal Choice'!$B$18^(K43+1)</f>
        <v>1386.298499</v>
      </c>
      <c r="R43" s="12">
        <f> 'Optimal Choice'!$B$22*'Optimal Choice'!$B$23^(L43+1)</f>
        <v>9763.2</v>
      </c>
      <c r="S43" s="12">
        <f> 'Optimal Choice'!$B$27*'Optimal Choice'!$B$28^(M43+1)</f>
        <v>116121.6</v>
      </c>
    </row>
    <row r="44" ht="15.75" customHeight="1">
      <c r="A44" s="10">
        <f t="shared" si="2"/>
        <v>0.6293981403</v>
      </c>
      <c r="B44" s="6">
        <f>(I44*'Optimal Choice'!$B$6+J44*'Optimal Choice'!$B$11+K44*'Optimal Choice'!$B$16+L44*'Optimal Choice'!$B$21+M44*'Optimal Choice'!$B$26)*'Optimal Choice'!$B$30</f>
        <v>626.76</v>
      </c>
      <c r="C44" s="10">
        <f>(O44/$B44)+(O44/'Optimal Choice'!$B$6)</f>
        <v>17.08554003</v>
      </c>
      <c r="D44" s="10">
        <f>(P44/$B44)+(P44/'Optimal Choice'!$B$11)</f>
        <v>16.56293202</v>
      </c>
      <c r="E44" s="10">
        <f>(Q44/$B44)+(Q44/'Optimal Choice'!$B$16)</f>
        <v>17.61516569</v>
      </c>
      <c r="F44" s="10">
        <f>(R44/$B44)+(R44/'Optimal Choice'!$B$21)</f>
        <v>42.69725445</v>
      </c>
      <c r="G44" s="10">
        <f>(S44/$B44)+(S44/'Optimal Choice'!$B$26)</f>
        <v>239.0328317</v>
      </c>
      <c r="I44" s="11">
        <f t="shared" ref="I44:M44" si="43">if(min($C43:$G43)=C43,I43+1,I43)</f>
        <v>28</v>
      </c>
      <c r="J44" s="11">
        <f t="shared" si="43"/>
        <v>11</v>
      </c>
      <c r="K44" s="11">
        <f t="shared" si="43"/>
        <v>4</v>
      </c>
      <c r="L44" s="11">
        <f t="shared" si="43"/>
        <v>0</v>
      </c>
      <c r="M44" s="11">
        <f t="shared" si="43"/>
        <v>0</v>
      </c>
      <c r="O44" s="12">
        <f> 'Optimal Choice'!$B$7*'Optimal Choice'!$B$8^(I44+1)</f>
        <v>28.4570282</v>
      </c>
      <c r="P44" s="12">
        <f> 'Optimal Choice'!$B$12*'Optimal Choice'!$B$13^(J44+1)</f>
        <v>321.0150063</v>
      </c>
      <c r="Q44" s="12">
        <f> 'Optimal Choice'!$B$17*'Optimal Choice'!$B$18^(K44+1)</f>
        <v>1386.298499</v>
      </c>
      <c r="R44" s="12">
        <f> 'Optimal Choice'!$B$22*'Optimal Choice'!$B$23^(L44+1)</f>
        <v>9763.2</v>
      </c>
      <c r="S44" s="12">
        <f> 'Optimal Choice'!$B$27*'Optimal Choice'!$B$28^(M44+1)</f>
        <v>116121.6</v>
      </c>
    </row>
    <row r="45" ht="15.75" customHeight="1">
      <c r="A45" s="10">
        <f t="shared" si="2"/>
        <v>0.6379345021</v>
      </c>
      <c r="B45" s="6">
        <f>(I45*'Optimal Choice'!$B$6+J45*'Optimal Choice'!$B$11+K45*'Optimal Choice'!$B$16+L45*'Optimal Choice'!$B$21+M45*'Optimal Choice'!$B$26)*'Optimal Choice'!$B$30</f>
        <v>646.76</v>
      </c>
      <c r="C45" s="10">
        <f>(O45/$B45)+(O45/'Optimal Choice'!$B$6)</f>
        <v>17.08413601</v>
      </c>
      <c r="D45" s="10">
        <f>(P45/$B45)+(P45/'Optimal Choice'!$B$11)</f>
        <v>19.02915768</v>
      </c>
      <c r="E45" s="10">
        <f>(Q45/$B45)+(Q45/'Optimal Choice'!$B$16)</f>
        <v>17.54676786</v>
      </c>
      <c r="F45" s="10">
        <f>(R45/$B45)+(R45/'Optimal Choice'!$B$21)</f>
        <v>42.21555322</v>
      </c>
      <c r="G45" s="10">
        <f>(S45/$B45)+(S45/'Optimal Choice'!$B$26)</f>
        <v>233.303571</v>
      </c>
      <c r="I45" s="11">
        <f t="shared" ref="I45:M45" si="44">if(min($C44:$G44)=C44,I44+1,I44)</f>
        <v>28</v>
      </c>
      <c r="J45" s="11">
        <f t="shared" si="44"/>
        <v>12</v>
      </c>
      <c r="K45" s="11">
        <f t="shared" si="44"/>
        <v>4</v>
      </c>
      <c r="L45" s="11">
        <f t="shared" si="44"/>
        <v>0</v>
      </c>
      <c r="M45" s="11">
        <f t="shared" si="44"/>
        <v>0</v>
      </c>
      <c r="O45" s="12">
        <f> 'Optimal Choice'!$B$7*'Optimal Choice'!$B$8^(I45+1)</f>
        <v>28.4570282</v>
      </c>
      <c r="P45" s="12">
        <f> 'Optimal Choice'!$B$12*'Optimal Choice'!$B$13^(J45+1)</f>
        <v>369.1672573</v>
      </c>
      <c r="Q45" s="12">
        <f> 'Optimal Choice'!$B$17*'Optimal Choice'!$B$18^(K45+1)</f>
        <v>1386.298499</v>
      </c>
      <c r="R45" s="12">
        <f> 'Optimal Choice'!$B$22*'Optimal Choice'!$B$23^(L45+1)</f>
        <v>9763.2</v>
      </c>
      <c r="S45" s="12">
        <f> 'Optimal Choice'!$B$27*'Optimal Choice'!$B$28^(M45+1)</f>
        <v>116121.6</v>
      </c>
    </row>
    <row r="46" ht="15.75" customHeight="1">
      <c r="A46" s="10">
        <f t="shared" si="2"/>
        <v>0.6386678248</v>
      </c>
      <c r="B46" s="6">
        <f>(I46*'Optimal Choice'!$B$6+J46*'Optimal Choice'!$B$11+K46*'Optimal Choice'!$B$16+L46*'Optimal Choice'!$B$21+M46*'Optimal Choice'!$B$26)*'Optimal Choice'!$B$30</f>
        <v>648.43</v>
      </c>
      <c r="C46" s="10">
        <f>(O46/$B46)+(O46/'Optimal Choice'!$B$6)</f>
        <v>18.27990428</v>
      </c>
      <c r="D46" s="10">
        <f>(P46/$B46)+(P46/'Optimal Choice'!$B$11)</f>
        <v>19.02768763</v>
      </c>
      <c r="E46" s="10">
        <f>(Q46/$B46)+(Q46/'Optimal Choice'!$B$16)</f>
        <v>17.54124751</v>
      </c>
      <c r="F46" s="10">
        <f>(R46/$B46)+(R46/'Optimal Choice'!$B$21)</f>
        <v>42.17667535</v>
      </c>
      <c r="G46" s="10">
        <f>(S46/$B46)+(S46/'Optimal Choice'!$B$26)</f>
        <v>232.8411653</v>
      </c>
      <c r="I46" s="11">
        <f t="shared" ref="I46:M46" si="45">if(min($C45:$G45)=C45,I45+1,I45)</f>
        <v>29</v>
      </c>
      <c r="J46" s="11">
        <f t="shared" si="45"/>
        <v>12</v>
      </c>
      <c r="K46" s="11">
        <f t="shared" si="45"/>
        <v>4</v>
      </c>
      <c r="L46" s="11">
        <f t="shared" si="45"/>
        <v>0</v>
      </c>
      <c r="M46" s="11">
        <f t="shared" si="45"/>
        <v>0</v>
      </c>
      <c r="O46" s="12">
        <f> 'Optimal Choice'!$B$7*'Optimal Choice'!$B$8^(I46+1)</f>
        <v>30.44902017</v>
      </c>
      <c r="P46" s="12">
        <f> 'Optimal Choice'!$B$12*'Optimal Choice'!$B$13^(J46+1)</f>
        <v>369.1672573</v>
      </c>
      <c r="Q46" s="12">
        <f> 'Optimal Choice'!$B$17*'Optimal Choice'!$B$18^(K46+1)</f>
        <v>1386.298499</v>
      </c>
      <c r="R46" s="12">
        <f> 'Optimal Choice'!$B$22*'Optimal Choice'!$B$23^(L46+1)</f>
        <v>9763.2</v>
      </c>
      <c r="S46" s="12">
        <f> 'Optimal Choice'!$B$27*'Optimal Choice'!$B$28^(M46+1)</f>
        <v>116121.6</v>
      </c>
    </row>
    <row r="47" ht="15.75" customHeight="1">
      <c r="A47" s="10">
        <f t="shared" si="2"/>
        <v>0.6743000056</v>
      </c>
      <c r="B47" s="6">
        <f>(I47*'Optimal Choice'!$B$6+J47*'Optimal Choice'!$B$11+K47*'Optimal Choice'!$B$16+L47*'Optimal Choice'!$B$21+M47*'Optimal Choice'!$B$26)*'Optimal Choice'!$B$30</f>
        <v>738.43</v>
      </c>
      <c r="C47" s="10">
        <f>(O47/$B47)+(O47/'Optimal Choice'!$B$6)</f>
        <v>18.27418102</v>
      </c>
      <c r="D47" s="10">
        <f>(P47/$B47)+(P47/'Optimal Choice'!$B$11)</f>
        <v>18.95829821</v>
      </c>
      <c r="E47" s="10">
        <f>(Q47/$B47)+(Q47/'Optimal Choice'!$B$16)</f>
        <v>19.6999707</v>
      </c>
      <c r="F47" s="10">
        <f>(R47/$B47)+(R47/'Optimal Choice'!$B$21)</f>
        <v>40.34156467</v>
      </c>
      <c r="G47" s="10">
        <f>(S47/$B47)+(S47/'Optimal Choice'!$B$26)</f>
        <v>211.0147161</v>
      </c>
      <c r="I47" s="11">
        <f t="shared" ref="I47:M47" si="46">if(min($C46:$G46)=C46,I46+1,I46)</f>
        <v>29</v>
      </c>
      <c r="J47" s="11">
        <f t="shared" si="46"/>
        <v>12</v>
      </c>
      <c r="K47" s="11">
        <f t="shared" si="46"/>
        <v>5</v>
      </c>
      <c r="L47" s="11">
        <f t="shared" si="46"/>
        <v>0</v>
      </c>
      <c r="M47" s="11">
        <f t="shared" si="46"/>
        <v>0</v>
      </c>
      <c r="O47" s="12">
        <f> 'Optimal Choice'!$B$7*'Optimal Choice'!$B$8^(I47+1)</f>
        <v>30.44902017</v>
      </c>
      <c r="P47" s="12">
        <f> 'Optimal Choice'!$B$12*'Optimal Choice'!$B$13^(J47+1)</f>
        <v>369.1672573</v>
      </c>
      <c r="Q47" s="12">
        <f> 'Optimal Choice'!$B$17*'Optimal Choice'!$B$18^(K47+1)</f>
        <v>1580.380289</v>
      </c>
      <c r="R47" s="12">
        <f> 'Optimal Choice'!$B$22*'Optimal Choice'!$B$23^(L47+1)</f>
        <v>9763.2</v>
      </c>
      <c r="S47" s="12">
        <f> 'Optimal Choice'!$B$27*'Optimal Choice'!$B$28^(M47+1)</f>
        <v>116121.6</v>
      </c>
    </row>
    <row r="48" ht="15.75" customHeight="1">
      <c r="A48" s="10">
        <f t="shared" si="2"/>
        <v>0.6749872524</v>
      </c>
      <c r="B48" s="6">
        <f>(I48*'Optimal Choice'!$B$6+J48*'Optimal Choice'!$B$11+K48*'Optimal Choice'!$B$16+L48*'Optimal Choice'!$B$21+M48*'Optimal Choice'!$B$26)*'Optimal Choice'!$B$30</f>
        <v>740.1</v>
      </c>
      <c r="C48" s="10">
        <f>(O48/$B48)+(O48/'Optimal Choice'!$B$6)</f>
        <v>19.55327413</v>
      </c>
      <c r="D48" s="10">
        <f>(P48/$B48)+(P48/'Optimal Choice'!$B$11)</f>
        <v>18.95717013</v>
      </c>
      <c r="E48" s="10">
        <f>(Q48/$B48)+(Q48/'Optimal Choice'!$B$16)</f>
        <v>19.69514147</v>
      </c>
      <c r="F48" s="10">
        <f>(R48/$B48)+(R48/'Optimal Choice'!$B$21)</f>
        <v>40.31173085</v>
      </c>
      <c r="G48" s="10">
        <f>(S48/$B48)+(S48/'Optimal Choice'!$B$26)</f>
        <v>210.6598784</v>
      </c>
      <c r="I48" s="11">
        <f t="shared" ref="I48:M48" si="47">if(min($C47:$G47)=C47,I47+1,I47)</f>
        <v>30</v>
      </c>
      <c r="J48" s="11">
        <f t="shared" si="47"/>
        <v>12</v>
      </c>
      <c r="K48" s="11">
        <f t="shared" si="47"/>
        <v>5</v>
      </c>
      <c r="L48" s="11">
        <f t="shared" si="47"/>
        <v>0</v>
      </c>
      <c r="M48" s="11">
        <f t="shared" si="47"/>
        <v>0</v>
      </c>
      <c r="O48" s="12">
        <f> 'Optimal Choice'!$B$7*'Optimal Choice'!$B$8^(I48+1)</f>
        <v>32.58045158</v>
      </c>
      <c r="P48" s="12">
        <f> 'Optimal Choice'!$B$12*'Optimal Choice'!$B$13^(J48+1)</f>
        <v>369.1672573</v>
      </c>
      <c r="Q48" s="12">
        <f> 'Optimal Choice'!$B$17*'Optimal Choice'!$B$18^(K48+1)</f>
        <v>1580.380289</v>
      </c>
      <c r="R48" s="12">
        <f> 'Optimal Choice'!$B$22*'Optimal Choice'!$B$23^(L48+1)</f>
        <v>9763.2</v>
      </c>
      <c r="S48" s="12">
        <f> 'Optimal Choice'!$B$27*'Optimal Choice'!$B$28^(M48+1)</f>
        <v>116121.6</v>
      </c>
    </row>
    <row r="49" ht="15.75" customHeight="1">
      <c r="A49" s="10">
        <f t="shared" si="2"/>
        <v>0.6833007068</v>
      </c>
      <c r="B49" s="6">
        <f>(I49*'Optimal Choice'!$B$6+J49*'Optimal Choice'!$B$11+K49*'Optimal Choice'!$B$16+L49*'Optimal Choice'!$B$21+M49*'Optimal Choice'!$B$26)*'Optimal Choice'!$B$30</f>
        <v>760.1</v>
      </c>
      <c r="C49" s="10">
        <f>(O49/$B49)+(O49/'Optimal Choice'!$B$6)</f>
        <v>19.55211582</v>
      </c>
      <c r="D49" s="10">
        <f>(P49/$B49)+(P49/'Optimal Choice'!$B$11)</f>
        <v>21.78565215</v>
      </c>
      <c r="E49" s="10">
        <f>(Q49/$B49)+(Q49/'Optimal Choice'!$B$16)</f>
        <v>19.63895516</v>
      </c>
      <c r="F49" s="10">
        <f>(R49/$B49)+(R49/'Optimal Choice'!$B$21)</f>
        <v>39.96462571</v>
      </c>
      <c r="G49" s="10">
        <f>(S49/$B49)+(S49/'Optimal Choice'!$B$26)</f>
        <v>206.5314774</v>
      </c>
      <c r="I49" s="11">
        <f t="shared" ref="I49:M49" si="48">if(min($C48:$G48)=C48,I48+1,I48)</f>
        <v>30</v>
      </c>
      <c r="J49" s="11">
        <f t="shared" si="48"/>
        <v>13</v>
      </c>
      <c r="K49" s="11">
        <f t="shared" si="48"/>
        <v>5</v>
      </c>
      <c r="L49" s="11">
        <f t="shared" si="48"/>
        <v>0</v>
      </c>
      <c r="M49" s="11">
        <f t="shared" si="48"/>
        <v>0</v>
      </c>
      <c r="O49" s="12">
        <f> 'Optimal Choice'!$B$7*'Optimal Choice'!$B$8^(I49+1)</f>
        <v>32.58045158</v>
      </c>
      <c r="P49" s="12">
        <f> 'Optimal Choice'!$B$12*'Optimal Choice'!$B$13^(J49+1)</f>
        <v>424.5423459</v>
      </c>
      <c r="Q49" s="12">
        <f> 'Optimal Choice'!$B$17*'Optimal Choice'!$B$18^(K49+1)</f>
        <v>1580.380289</v>
      </c>
      <c r="R49" s="12">
        <f> 'Optimal Choice'!$B$22*'Optimal Choice'!$B$23^(L49+1)</f>
        <v>9763.2</v>
      </c>
      <c r="S49" s="12">
        <f> 'Optimal Choice'!$B$27*'Optimal Choice'!$B$28^(M49+1)</f>
        <v>116121.6</v>
      </c>
    </row>
    <row r="50" ht="15.75" customHeight="1">
      <c r="A50" s="10">
        <f t="shared" si="2"/>
        <v>0.6840150964</v>
      </c>
      <c r="B50" s="6">
        <f>(I50*'Optimal Choice'!$B$6+J50*'Optimal Choice'!$B$11+K50*'Optimal Choice'!$B$16+L50*'Optimal Choice'!$B$21+M50*'Optimal Choice'!$B$26)*'Optimal Choice'!$B$30</f>
        <v>761.77</v>
      </c>
      <c r="C50" s="10">
        <f>(O50/$B50)+(O50/'Optimal Choice'!$B$6)</f>
        <v>20.92066338</v>
      </c>
      <c r="D50" s="10">
        <f>(P50/$B50)+(P50/'Optimal Choice'!$B$11)</f>
        <v>21.7844277</v>
      </c>
      <c r="E50" s="10">
        <f>(Q50/$B50)+(Q50/'Optimal Choice'!$B$16)</f>
        <v>19.63439707</v>
      </c>
      <c r="F50" s="10">
        <f>(R50/$B50)+(R50/'Optimal Choice'!$B$21)</f>
        <v>39.93646691</v>
      </c>
      <c r="G50" s="10">
        <f>(S50/$B50)+(S50/'Optimal Choice'!$B$26)</f>
        <v>206.1965622</v>
      </c>
      <c r="I50" s="11">
        <f t="shared" ref="I50:M50" si="49">if(min($C49:$G49)=C49,I49+1,I49)</f>
        <v>31</v>
      </c>
      <c r="J50" s="11">
        <f t="shared" si="49"/>
        <v>13</v>
      </c>
      <c r="K50" s="11">
        <f t="shared" si="49"/>
        <v>5</v>
      </c>
      <c r="L50" s="11">
        <f t="shared" si="49"/>
        <v>0</v>
      </c>
      <c r="M50" s="11">
        <f t="shared" si="49"/>
        <v>0</v>
      </c>
      <c r="O50" s="12">
        <f> 'Optimal Choice'!$B$7*'Optimal Choice'!$B$8^(I50+1)</f>
        <v>34.86108319</v>
      </c>
      <c r="P50" s="12">
        <f> 'Optimal Choice'!$B$12*'Optimal Choice'!$B$13^(J50+1)</f>
        <v>424.5423459</v>
      </c>
      <c r="Q50" s="12">
        <f> 'Optimal Choice'!$B$17*'Optimal Choice'!$B$18^(K50+1)</f>
        <v>1580.380289</v>
      </c>
      <c r="R50" s="12">
        <f> 'Optimal Choice'!$B$22*'Optimal Choice'!$B$23^(L50+1)</f>
        <v>9763.2</v>
      </c>
      <c r="S50" s="12">
        <f> 'Optimal Choice'!$B$27*'Optimal Choice'!$B$28^(M50+1)</f>
        <v>116121.6</v>
      </c>
    </row>
    <row r="51" ht="15.75" customHeight="1">
      <c r="A51" s="10">
        <f t="shared" si="2"/>
        <v>0.718592031</v>
      </c>
      <c r="B51" s="6">
        <f>(I51*'Optimal Choice'!$B$6+J51*'Optimal Choice'!$B$11+K51*'Optimal Choice'!$B$16+L51*'Optimal Choice'!$B$21+M51*'Optimal Choice'!$B$26)*'Optimal Choice'!$B$30</f>
        <v>851.77</v>
      </c>
      <c r="C51" s="10">
        <f>(O51/$B51)+(O51/'Optimal Choice'!$B$6)</f>
        <v>20.91582793</v>
      </c>
      <c r="D51" s="10">
        <f>(P51/$B51)+(P51/'Optimal Choice'!$B$11)</f>
        <v>21.72554098</v>
      </c>
      <c r="E51" s="10">
        <f>(Q51/$B51)+(Q51/'Optimal Choice'!$B$16)</f>
        <v>22.13331467</v>
      </c>
      <c r="F51" s="10">
        <f>(R51/$B51)+(R51/'Optimal Choice'!$B$21)</f>
        <v>38.5822492</v>
      </c>
      <c r="G51" s="10">
        <f>(S51/$B51)+(S51/'Optimal Choice'!$B$26)</f>
        <v>190.0897604</v>
      </c>
      <c r="I51" s="11">
        <f t="shared" ref="I51:M51" si="50">if(min($C50:$G50)=C50,I50+1,I50)</f>
        <v>31</v>
      </c>
      <c r="J51" s="11">
        <f t="shared" si="50"/>
        <v>13</v>
      </c>
      <c r="K51" s="11">
        <f t="shared" si="50"/>
        <v>6</v>
      </c>
      <c r="L51" s="11">
        <f t="shared" si="50"/>
        <v>0</v>
      </c>
      <c r="M51" s="11">
        <f t="shared" si="50"/>
        <v>0</v>
      </c>
      <c r="O51" s="12">
        <f> 'Optimal Choice'!$B$7*'Optimal Choice'!$B$8^(I51+1)</f>
        <v>34.86108319</v>
      </c>
      <c r="P51" s="12">
        <f> 'Optimal Choice'!$B$12*'Optimal Choice'!$B$13^(J51+1)</f>
        <v>424.5423459</v>
      </c>
      <c r="Q51" s="12">
        <f> 'Optimal Choice'!$B$17*'Optimal Choice'!$B$18^(K51+1)</f>
        <v>1801.63353</v>
      </c>
      <c r="R51" s="12">
        <f> 'Optimal Choice'!$B$22*'Optimal Choice'!$B$23^(L51+1)</f>
        <v>9763.2</v>
      </c>
      <c r="S51" s="12">
        <f> 'Optimal Choice'!$B$27*'Optimal Choice'!$B$28^(M51+1)</f>
        <v>116121.6</v>
      </c>
    </row>
    <row r="52" ht="15.75" customHeight="1">
      <c r="A52" s="10">
        <f t="shared" si="2"/>
        <v>0.7192741613</v>
      </c>
      <c r="B52" s="6">
        <f>(I52*'Optimal Choice'!$B$6+J52*'Optimal Choice'!$B$11+K52*'Optimal Choice'!$B$16+L52*'Optimal Choice'!$B$21+M52*'Optimal Choice'!$B$26)*'Optimal Choice'!$B$30</f>
        <v>853.44</v>
      </c>
      <c r="C52" s="10">
        <f>(O52/$B52)+(O52/'Optimal Choice'!$B$6)</f>
        <v>22.37985019</v>
      </c>
      <c r="D52" s="10">
        <f>(P52/$B52)+(P52/'Optimal Choice'!$B$11)</f>
        <v>21.72456567</v>
      </c>
      <c r="E52" s="10">
        <f>(Q52/$B52)+(Q52/'Optimal Choice'!$B$16)</f>
        <v>22.12917574</v>
      </c>
      <c r="F52" s="10">
        <f>(R52/$B52)+(R52/'Optimal Choice'!$B$21)</f>
        <v>38.55982002</v>
      </c>
      <c r="G52" s="10">
        <f>(S52/$B52)+(S52/'Optimal Choice'!$B$26)</f>
        <v>189.8229921</v>
      </c>
      <c r="I52" s="11">
        <f t="shared" ref="I52:M52" si="51">if(min($C51:$G51)=C51,I51+1,I51)</f>
        <v>32</v>
      </c>
      <c r="J52" s="11">
        <f t="shared" si="51"/>
        <v>13</v>
      </c>
      <c r="K52" s="11">
        <f t="shared" si="51"/>
        <v>6</v>
      </c>
      <c r="L52" s="11">
        <f t="shared" si="51"/>
        <v>0</v>
      </c>
      <c r="M52" s="11">
        <f t="shared" si="51"/>
        <v>0</v>
      </c>
      <c r="O52" s="12">
        <f> 'Optimal Choice'!$B$7*'Optimal Choice'!$B$8^(I52+1)</f>
        <v>37.30135902</v>
      </c>
      <c r="P52" s="12">
        <f> 'Optimal Choice'!$B$12*'Optimal Choice'!$B$13^(J52+1)</f>
        <v>424.5423459</v>
      </c>
      <c r="Q52" s="12">
        <f> 'Optimal Choice'!$B$17*'Optimal Choice'!$B$18^(K52+1)</f>
        <v>1801.63353</v>
      </c>
      <c r="R52" s="12">
        <f> 'Optimal Choice'!$B$22*'Optimal Choice'!$B$23^(L52+1)</f>
        <v>9763.2</v>
      </c>
      <c r="S52" s="12">
        <f> 'Optimal Choice'!$B$27*'Optimal Choice'!$B$28^(M52+1)</f>
        <v>116121.6</v>
      </c>
    </row>
    <row r="53" ht="15.75" customHeight="1">
      <c r="A53" s="10">
        <f t="shared" si="2"/>
        <v>0.7275649676</v>
      </c>
      <c r="B53" s="6">
        <f>(I53*'Optimal Choice'!$B$6+J53*'Optimal Choice'!$B$11+K53*'Optimal Choice'!$B$16+L53*'Optimal Choice'!$B$21+M53*'Optimal Choice'!$B$26)*'Optimal Choice'!$B$30</f>
        <v>873.44</v>
      </c>
      <c r="C53" s="10">
        <f>(O53/$B53)+(O53/'Optimal Choice'!$B$6)</f>
        <v>22.37884939</v>
      </c>
      <c r="D53" s="10">
        <f>(P53/$B53)+(P53/'Optimal Choice'!$B$11)</f>
        <v>24.97015139</v>
      </c>
      <c r="E53" s="10">
        <f>(Q53/$B53)+(Q53/'Optimal Choice'!$B$16)</f>
        <v>22.08083756</v>
      </c>
      <c r="F53" s="10">
        <f>(R53/$B53)+(R53/'Optimal Choice'!$B$21)</f>
        <v>38.29787141</v>
      </c>
      <c r="G53" s="10">
        <f>(S53/$B53)+(S53/'Optimal Choice'!$B$26)</f>
        <v>186.7074263</v>
      </c>
      <c r="I53" s="11">
        <f t="shared" ref="I53:M53" si="52">if(min($C52:$G52)=C52,I52+1,I52)</f>
        <v>32</v>
      </c>
      <c r="J53" s="11">
        <f t="shared" si="52"/>
        <v>14</v>
      </c>
      <c r="K53" s="11">
        <f t="shared" si="52"/>
        <v>6</v>
      </c>
      <c r="L53" s="11">
        <f t="shared" si="52"/>
        <v>0</v>
      </c>
      <c r="M53" s="11">
        <f t="shared" si="52"/>
        <v>0</v>
      </c>
      <c r="O53" s="12">
        <f> 'Optimal Choice'!$B$7*'Optimal Choice'!$B$8^(I53+1)</f>
        <v>37.30135902</v>
      </c>
      <c r="P53" s="12">
        <f> 'Optimal Choice'!$B$12*'Optimal Choice'!$B$13^(J53+1)</f>
        <v>488.2236977</v>
      </c>
      <c r="Q53" s="12">
        <f> 'Optimal Choice'!$B$17*'Optimal Choice'!$B$18^(K53+1)</f>
        <v>1801.63353</v>
      </c>
      <c r="R53" s="12">
        <f> 'Optimal Choice'!$B$22*'Optimal Choice'!$B$23^(L53+1)</f>
        <v>9763.2</v>
      </c>
      <c r="S53" s="12">
        <f> 'Optimal Choice'!$B$27*'Optimal Choice'!$B$28^(M53+1)</f>
        <v>116121.6</v>
      </c>
    </row>
    <row r="54" ht="15.75" customHeight="1">
      <c r="A54" s="10">
        <f t="shared" si="2"/>
        <v>0.761943088</v>
      </c>
      <c r="B54" s="6">
        <f>(I54*'Optimal Choice'!$B$6+J54*'Optimal Choice'!$B$11+K54*'Optimal Choice'!$B$16+L54*'Optimal Choice'!$B$21+M54*'Optimal Choice'!$B$26)*'Optimal Choice'!$B$30</f>
        <v>963.44</v>
      </c>
      <c r="C54" s="10">
        <f>(O54/$B54)+(O54/'Optimal Choice'!$B$6)</f>
        <v>22.37485997</v>
      </c>
      <c r="D54" s="10">
        <f>(P54/$B54)+(P54/'Optimal Choice'!$B$11)</f>
        <v>24.91793538</v>
      </c>
      <c r="E54" s="10">
        <f>(Q54/$B54)+(Q54/'Optimal Choice'!$B$16)</f>
        <v>24.95249224</v>
      </c>
      <c r="F54" s="10">
        <f>(R54/$B54)+(R54/'Optimal Choice'!$B$21)</f>
        <v>37.25368762</v>
      </c>
      <c r="G54" s="10">
        <f>(S54/$B54)+(S54/'Optimal Choice'!$B$26)</f>
        <v>174.2881076</v>
      </c>
      <c r="I54" s="11">
        <f t="shared" ref="I54:M54" si="53">if(min($C53:$G53)=C53,I53+1,I53)</f>
        <v>32</v>
      </c>
      <c r="J54" s="11">
        <f t="shared" si="53"/>
        <v>14</v>
      </c>
      <c r="K54" s="11">
        <f t="shared" si="53"/>
        <v>7</v>
      </c>
      <c r="L54" s="11">
        <f t="shared" si="53"/>
        <v>0</v>
      </c>
      <c r="M54" s="11">
        <f t="shared" si="53"/>
        <v>0</v>
      </c>
      <c r="O54" s="12">
        <f> 'Optimal Choice'!$B$7*'Optimal Choice'!$B$8^(I54+1)</f>
        <v>37.30135902</v>
      </c>
      <c r="P54" s="12">
        <f> 'Optimal Choice'!$B$12*'Optimal Choice'!$B$13^(J54+1)</f>
        <v>488.2236977</v>
      </c>
      <c r="Q54" s="12">
        <f> 'Optimal Choice'!$B$17*'Optimal Choice'!$B$18^(K54+1)</f>
        <v>2053.862224</v>
      </c>
      <c r="R54" s="12">
        <f> 'Optimal Choice'!$B$22*'Optimal Choice'!$B$23^(L54+1)</f>
        <v>9763.2</v>
      </c>
      <c r="S54" s="12">
        <f> 'Optimal Choice'!$B$27*'Optimal Choice'!$B$28^(M54+1)</f>
        <v>116121.6</v>
      </c>
    </row>
    <row r="55" ht="15.75" customHeight="1">
      <c r="A55" s="10">
        <f t="shared" si="2"/>
        <v>0.7625883688</v>
      </c>
      <c r="B55" s="6">
        <f>(I55*'Optimal Choice'!$B$6+J55*'Optimal Choice'!$B$11+K55*'Optimal Choice'!$B$16+L55*'Optimal Choice'!$B$21+M55*'Optimal Choice'!$B$26)*'Optimal Choice'!$B$30</f>
        <v>965.11</v>
      </c>
      <c r="C55" s="10">
        <f>(O55/$B55)+(O55/'Optimal Choice'!$B$6)</f>
        <v>23.94102848</v>
      </c>
      <c r="D55" s="10">
        <f>(P55/$B55)+(P55/'Optimal Choice'!$B$11)</f>
        <v>24.91705852</v>
      </c>
      <c r="E55" s="10">
        <f>(Q55/$B55)+(Q55/'Optimal Choice'!$B$16)</f>
        <v>24.94880343</v>
      </c>
      <c r="F55" s="10">
        <f>(R55/$B55)+(R55/'Optimal Choice'!$B$21)</f>
        <v>37.23615256</v>
      </c>
      <c r="G55" s="10">
        <f>(S55/$B55)+(S55/'Optimal Choice'!$B$26)</f>
        <v>174.0795491</v>
      </c>
      <c r="I55" s="11">
        <f t="shared" ref="I55:M55" si="54">if(min($C54:$G54)=C54,I54+1,I54)</f>
        <v>33</v>
      </c>
      <c r="J55" s="11">
        <f t="shared" si="54"/>
        <v>14</v>
      </c>
      <c r="K55" s="11">
        <f t="shared" si="54"/>
        <v>7</v>
      </c>
      <c r="L55" s="11">
        <f t="shared" si="54"/>
        <v>0</v>
      </c>
      <c r="M55" s="11">
        <f t="shared" si="54"/>
        <v>0</v>
      </c>
      <c r="O55" s="12">
        <f> 'Optimal Choice'!$B$7*'Optimal Choice'!$B$8^(I55+1)</f>
        <v>39.91245415</v>
      </c>
      <c r="P55" s="12">
        <f> 'Optimal Choice'!$B$12*'Optimal Choice'!$B$13^(J55+1)</f>
        <v>488.2236977</v>
      </c>
      <c r="Q55" s="12">
        <f> 'Optimal Choice'!$B$17*'Optimal Choice'!$B$18^(K55+1)</f>
        <v>2053.862224</v>
      </c>
      <c r="R55" s="12">
        <f> 'Optimal Choice'!$B$22*'Optimal Choice'!$B$23^(L55+1)</f>
        <v>9763.2</v>
      </c>
      <c r="S55" s="12">
        <f> 'Optimal Choice'!$B$27*'Optimal Choice'!$B$28^(M55+1)</f>
        <v>116121.6</v>
      </c>
    </row>
    <row r="56" ht="15.75" customHeight="1">
      <c r="A56" s="10">
        <f t="shared" si="2"/>
        <v>0.7632776245</v>
      </c>
      <c r="B56" s="6">
        <f>(I56*'Optimal Choice'!$B$6+J56*'Optimal Choice'!$B$11+K56*'Optimal Choice'!$B$16+L56*'Optimal Choice'!$B$21+M56*'Optimal Choice'!$B$26)*'Optimal Choice'!$B$30</f>
        <v>966.78</v>
      </c>
      <c r="C56" s="10">
        <f>(O56/$B56)+(O56/'Optimal Choice'!$B$6)</f>
        <v>25.61682404</v>
      </c>
      <c r="D56" s="10">
        <f>(P56/$B56)+(P56/'Optimal Choice'!$B$11)</f>
        <v>24.91618468</v>
      </c>
      <c r="E56" s="10">
        <f>(Q56/$B56)+(Q56/'Optimal Choice'!$B$16)</f>
        <v>24.94512736</v>
      </c>
      <c r="F56" s="10">
        <f>(R56/$B56)+(R56/'Optimal Choice'!$B$21)</f>
        <v>37.21867809</v>
      </c>
      <c r="G56" s="10">
        <f>(S56/$B56)+(S56/'Optimal Choice'!$B$26)</f>
        <v>173.871711</v>
      </c>
      <c r="I56" s="11">
        <f t="shared" ref="I56:M56" si="55">if(min($C55:$G55)=C55,I55+1,I55)</f>
        <v>34</v>
      </c>
      <c r="J56" s="11">
        <f t="shared" si="55"/>
        <v>14</v>
      </c>
      <c r="K56" s="11">
        <f t="shared" si="55"/>
        <v>7</v>
      </c>
      <c r="L56" s="11">
        <f t="shared" si="55"/>
        <v>0</v>
      </c>
      <c r="M56" s="11">
        <f t="shared" si="55"/>
        <v>0</v>
      </c>
      <c r="O56" s="12">
        <f> 'Optimal Choice'!$B$7*'Optimal Choice'!$B$8^(I56+1)</f>
        <v>42.70632594</v>
      </c>
      <c r="P56" s="12">
        <f> 'Optimal Choice'!$B$12*'Optimal Choice'!$B$13^(J56+1)</f>
        <v>488.2236977</v>
      </c>
      <c r="Q56" s="12">
        <f> 'Optimal Choice'!$B$17*'Optimal Choice'!$B$18^(K56+1)</f>
        <v>2053.862224</v>
      </c>
      <c r="R56" s="12">
        <f> 'Optimal Choice'!$B$22*'Optimal Choice'!$B$23^(L56+1)</f>
        <v>9763.2</v>
      </c>
      <c r="S56" s="12">
        <f> 'Optimal Choice'!$B$27*'Optimal Choice'!$B$28^(M56+1)</f>
        <v>116121.6</v>
      </c>
    </row>
    <row r="57" ht="15.75" customHeight="1">
      <c r="A57" s="10">
        <f t="shared" si="2"/>
        <v>0.7716942877</v>
      </c>
      <c r="B57" s="6">
        <f>(I57*'Optimal Choice'!$B$6+J57*'Optimal Choice'!$B$11+K57*'Optimal Choice'!$B$16+L57*'Optimal Choice'!$B$21+M57*'Optimal Choice'!$B$26)*'Optimal Choice'!$B$30</f>
        <v>986.78</v>
      </c>
      <c r="C57" s="10">
        <f>(O57/$B57)+(O57/'Optimal Choice'!$B$6)</f>
        <v>25.61592873</v>
      </c>
      <c r="D57" s="10">
        <f>(P57/$B57)+(P57/'Optimal Choice'!$B$11)</f>
        <v>28.64184178</v>
      </c>
      <c r="E57" s="10">
        <f>(Q57/$B57)+(Q57/'Optimal Choice'!$B$16)</f>
        <v>24.90206942</v>
      </c>
      <c r="F57" s="10">
        <f>(R57/$B57)+(R57/'Optimal Choice'!$B$21)</f>
        <v>37.01399866</v>
      </c>
      <c r="G57" s="10">
        <f>(S57/$B57)+(S57/'Optimal Choice'!$B$26)</f>
        <v>171.4372938</v>
      </c>
      <c r="I57" s="11">
        <f t="shared" ref="I57:M57" si="56">if(min($C56:$G56)=C56,I56+1,I56)</f>
        <v>34</v>
      </c>
      <c r="J57" s="11">
        <f t="shared" si="56"/>
        <v>15</v>
      </c>
      <c r="K57" s="11">
        <f t="shared" si="56"/>
        <v>7</v>
      </c>
      <c r="L57" s="11">
        <f t="shared" si="56"/>
        <v>0</v>
      </c>
      <c r="M57" s="11">
        <f t="shared" si="56"/>
        <v>0</v>
      </c>
      <c r="O57" s="12">
        <f> 'Optimal Choice'!$B$7*'Optimal Choice'!$B$8^(I57+1)</f>
        <v>42.70632594</v>
      </c>
      <c r="P57" s="12">
        <f> 'Optimal Choice'!$B$12*'Optimal Choice'!$B$13^(J57+1)</f>
        <v>561.4572524</v>
      </c>
      <c r="Q57" s="12">
        <f> 'Optimal Choice'!$B$17*'Optimal Choice'!$B$18^(K57+1)</f>
        <v>2053.862224</v>
      </c>
      <c r="R57" s="12">
        <f> 'Optimal Choice'!$B$22*'Optimal Choice'!$B$23^(L57+1)</f>
        <v>9763.2</v>
      </c>
      <c r="S57" s="12">
        <f> 'Optimal Choice'!$B$27*'Optimal Choice'!$B$28^(M57+1)</f>
        <v>116121.6</v>
      </c>
    </row>
    <row r="58" ht="15.75" customHeight="1">
      <c r="A58" s="10">
        <f t="shared" si="2"/>
        <v>0.8063839217</v>
      </c>
      <c r="B58" s="6">
        <f>(I58*'Optimal Choice'!$B$6+J58*'Optimal Choice'!$B$11+K58*'Optimal Choice'!$B$16+L58*'Optimal Choice'!$B$21+M58*'Optimal Choice'!$B$26)*'Optimal Choice'!$B$30</f>
        <v>1076.78</v>
      </c>
      <c r="C58" s="10">
        <f>(O58/$B58)+(O58/'Optimal Choice'!$B$6)</f>
        <v>25.61231141</v>
      </c>
      <c r="D58" s="10">
        <f>(P58/$B58)+(P58/'Optimal Choice'!$B$11)</f>
        <v>28.59428506</v>
      </c>
      <c r="E58" s="10">
        <f>(Q58/$B58)+(Q58/'Optimal Choice'!$B$16)</f>
        <v>28.19003693</v>
      </c>
      <c r="F58" s="10">
        <f>(R58/$B58)+(R58/'Optimal Choice'!$B$21)</f>
        <v>36.18703319</v>
      </c>
      <c r="G58" s="10">
        <f>(S58/$B58)+(S58/'Optimal Choice'!$B$26)</f>
        <v>161.6015275</v>
      </c>
      <c r="I58" s="11">
        <f t="shared" ref="I58:M58" si="57">if(min($C57:$G57)=C57,I57+1,I57)</f>
        <v>34</v>
      </c>
      <c r="J58" s="11">
        <f t="shared" si="57"/>
        <v>15</v>
      </c>
      <c r="K58" s="11">
        <f t="shared" si="57"/>
        <v>8</v>
      </c>
      <c r="L58" s="11">
        <f t="shared" si="57"/>
        <v>0</v>
      </c>
      <c r="M58" s="11">
        <f t="shared" si="57"/>
        <v>0</v>
      </c>
      <c r="O58" s="12">
        <f> 'Optimal Choice'!$B$7*'Optimal Choice'!$B$8^(I58+1)</f>
        <v>42.70632594</v>
      </c>
      <c r="P58" s="12">
        <f> 'Optimal Choice'!$B$12*'Optimal Choice'!$B$13^(J58+1)</f>
        <v>561.4572524</v>
      </c>
      <c r="Q58" s="12">
        <f> 'Optimal Choice'!$B$17*'Optimal Choice'!$B$18^(K58+1)</f>
        <v>2341.402935</v>
      </c>
      <c r="R58" s="12">
        <f> 'Optimal Choice'!$B$22*'Optimal Choice'!$B$23^(L58+1)</f>
        <v>9763.2</v>
      </c>
      <c r="S58" s="12">
        <f> 'Optimal Choice'!$B$27*'Optimal Choice'!$B$28^(M58+1)</f>
        <v>116121.6</v>
      </c>
    </row>
    <row r="59" ht="15.75" customHeight="1">
      <c r="A59" s="10">
        <f t="shared" si="2"/>
        <v>0.8070449408</v>
      </c>
      <c r="B59" s="6">
        <f>(I59*'Optimal Choice'!$B$6+J59*'Optimal Choice'!$B$11+K59*'Optimal Choice'!$B$16+L59*'Optimal Choice'!$B$21+M59*'Optimal Choice'!$B$26)*'Optimal Choice'!$B$30</f>
        <v>1078.45</v>
      </c>
      <c r="C59" s="10">
        <f>(O59/$B59)+(O59/'Optimal Choice'!$B$6)</f>
        <v>27.40510749</v>
      </c>
      <c r="D59" s="10">
        <f>(P59/$B59)+(P59/'Optimal Choice'!$B$11)</f>
        <v>28.59347763</v>
      </c>
      <c r="E59" s="10">
        <f>(Q59/$B59)+(Q59/'Optimal Choice'!$B$16)</f>
        <v>28.18666975</v>
      </c>
      <c r="F59" s="10">
        <f>(R59/$B59)+(R59/'Optimal Choice'!$B$21)</f>
        <v>36.17299272</v>
      </c>
      <c r="G59" s="10">
        <f>(S59/$B59)+(S59/'Optimal Choice'!$B$26)</f>
        <v>161.4345329</v>
      </c>
      <c r="I59" s="11">
        <f t="shared" ref="I59:M59" si="58">if(min($C58:$G58)=C58,I58+1,I58)</f>
        <v>35</v>
      </c>
      <c r="J59" s="11">
        <f t="shared" si="58"/>
        <v>15</v>
      </c>
      <c r="K59" s="11">
        <f t="shared" si="58"/>
        <v>8</v>
      </c>
      <c r="L59" s="11">
        <f t="shared" si="58"/>
        <v>0</v>
      </c>
      <c r="M59" s="11">
        <f t="shared" si="58"/>
        <v>0</v>
      </c>
      <c r="O59" s="12">
        <f> 'Optimal Choice'!$B$7*'Optimal Choice'!$B$8^(I59+1)</f>
        <v>45.69576875</v>
      </c>
      <c r="P59" s="12">
        <f> 'Optimal Choice'!$B$12*'Optimal Choice'!$B$13^(J59+1)</f>
        <v>561.4572524</v>
      </c>
      <c r="Q59" s="12">
        <f> 'Optimal Choice'!$B$17*'Optimal Choice'!$B$18^(K59+1)</f>
        <v>2341.402935</v>
      </c>
      <c r="R59" s="12">
        <f> 'Optimal Choice'!$B$22*'Optimal Choice'!$B$23^(L59+1)</f>
        <v>9763.2</v>
      </c>
      <c r="S59" s="12">
        <f> 'Optimal Choice'!$B$27*'Optimal Choice'!$B$28^(M59+1)</f>
        <v>116121.6</v>
      </c>
    </row>
    <row r="60" ht="15.75" customHeight="1">
      <c r="A60" s="10">
        <f t="shared" si="2"/>
        <v>0.8077511359</v>
      </c>
      <c r="B60" s="6">
        <f>(I60*'Optimal Choice'!$B$6+J60*'Optimal Choice'!$B$11+K60*'Optimal Choice'!$B$16+L60*'Optimal Choice'!$B$21+M60*'Optimal Choice'!$B$26)*'Optimal Choice'!$B$30</f>
        <v>1080.12</v>
      </c>
      <c r="C60" s="10">
        <f>(O60/$B60)+(O60/'Optimal Choice'!$B$6)</f>
        <v>29.32339492</v>
      </c>
      <c r="D60" s="10">
        <f>(P60/$B60)+(P60/'Optimal Choice'!$B$11)</f>
        <v>28.59267269</v>
      </c>
      <c r="E60" s="10">
        <f>(Q60/$B60)+(Q60/'Optimal Choice'!$B$16)</f>
        <v>28.18331299</v>
      </c>
      <c r="F60" s="10">
        <f>(R60/$B60)+(R60/'Optimal Choice'!$B$21)</f>
        <v>36.15899567</v>
      </c>
      <c r="G60" s="10">
        <f>(S60/$B60)+(S60/'Optimal Choice'!$B$26)</f>
        <v>161.2680547</v>
      </c>
      <c r="I60" s="11">
        <f t="shared" ref="I60:M60" si="59">if(min($C59:$G59)=C59,I59+1,I59)</f>
        <v>36</v>
      </c>
      <c r="J60" s="11">
        <f t="shared" si="59"/>
        <v>15</v>
      </c>
      <c r="K60" s="11">
        <f t="shared" si="59"/>
        <v>8</v>
      </c>
      <c r="L60" s="11">
        <f t="shared" si="59"/>
        <v>0</v>
      </c>
      <c r="M60" s="11">
        <f t="shared" si="59"/>
        <v>0</v>
      </c>
      <c r="O60" s="12">
        <f> 'Optimal Choice'!$B$7*'Optimal Choice'!$B$8^(I60+1)</f>
        <v>48.89447257</v>
      </c>
      <c r="P60" s="12">
        <f> 'Optimal Choice'!$B$12*'Optimal Choice'!$B$13^(J60+1)</f>
        <v>561.4572524</v>
      </c>
      <c r="Q60" s="12">
        <f> 'Optimal Choice'!$B$17*'Optimal Choice'!$B$18^(K60+1)</f>
        <v>2341.402935</v>
      </c>
      <c r="R60" s="12">
        <f> 'Optimal Choice'!$B$22*'Optimal Choice'!$B$23^(L60+1)</f>
        <v>9763.2</v>
      </c>
      <c r="S60" s="12">
        <f> 'Optimal Choice'!$B$27*'Optimal Choice'!$B$28^(M60+1)</f>
        <v>116121.6</v>
      </c>
    </row>
    <row r="61" ht="15.75" customHeight="1">
      <c r="A61" s="10">
        <f t="shared" si="2"/>
        <v>0.8438798829</v>
      </c>
      <c r="B61" s="6">
        <f>(I61*'Optimal Choice'!$B$6+J61*'Optimal Choice'!$B$11+K61*'Optimal Choice'!$B$16+L61*'Optimal Choice'!$B$21+M61*'Optimal Choice'!$B$26)*'Optimal Choice'!$B$30</f>
        <v>1170.12</v>
      </c>
      <c r="C61" s="10">
        <f>(O61/$B61)+(O61/'Optimal Choice'!$B$6)</f>
        <v>29.31991315</v>
      </c>
      <c r="D61" s="10">
        <f>(P61/$B61)+(P61/'Optimal Choice'!$B$11)</f>
        <v>28.5526914</v>
      </c>
      <c r="E61" s="10">
        <f>(Q61/$B61)+(Q61/'Optimal Choice'!$B$16)</f>
        <v>31.93890351</v>
      </c>
      <c r="F61" s="10">
        <f>(R61/$B61)+(R61/'Optimal Choice'!$B$21)</f>
        <v>35.46375961</v>
      </c>
      <c r="G61" s="10">
        <f>(S61/$B61)+(S61/'Optimal Choice'!$B$26)</f>
        <v>152.9990524</v>
      </c>
      <c r="I61" s="11">
        <f t="shared" ref="I61:M61" si="60">if(min($C60:$G60)=C60,I60+1,I60)</f>
        <v>36</v>
      </c>
      <c r="J61" s="11">
        <f t="shared" si="60"/>
        <v>15</v>
      </c>
      <c r="K61" s="11">
        <f t="shared" si="60"/>
        <v>9</v>
      </c>
      <c r="L61" s="11">
        <f t="shared" si="60"/>
        <v>0</v>
      </c>
      <c r="M61" s="11">
        <f t="shared" si="60"/>
        <v>0</v>
      </c>
      <c r="O61" s="12">
        <f> 'Optimal Choice'!$B$7*'Optimal Choice'!$B$8^(I61+1)</f>
        <v>48.89447257</v>
      </c>
      <c r="P61" s="12">
        <f> 'Optimal Choice'!$B$12*'Optimal Choice'!$B$13^(J61+1)</f>
        <v>561.4572524</v>
      </c>
      <c r="Q61" s="12">
        <f> 'Optimal Choice'!$B$17*'Optimal Choice'!$B$18^(K61+1)</f>
        <v>2669.199346</v>
      </c>
      <c r="R61" s="12">
        <f> 'Optimal Choice'!$B$22*'Optimal Choice'!$B$23^(L61+1)</f>
        <v>9763.2</v>
      </c>
      <c r="S61" s="12">
        <f> 'Optimal Choice'!$B$27*'Optimal Choice'!$B$28^(M61+1)</f>
        <v>116121.6</v>
      </c>
    </row>
    <row r="62" ht="15.75" customHeight="1">
      <c r="A62" s="10">
        <f t="shared" si="2"/>
        <v>0.8518770293</v>
      </c>
      <c r="B62" s="6">
        <f>(I62*'Optimal Choice'!$B$6+J62*'Optimal Choice'!$B$11+K62*'Optimal Choice'!$B$16+L62*'Optimal Choice'!$B$21+M62*'Optimal Choice'!$B$26)*'Optimal Choice'!$B$30</f>
        <v>1190.12</v>
      </c>
      <c r="C62" s="10">
        <f>(O62/$B62)+(O62/'Optimal Choice'!$B$6)</f>
        <v>29.31921093</v>
      </c>
      <c r="D62" s="10">
        <f>(P62/$B62)+(P62/'Optimal Choice'!$B$11)</f>
        <v>32.82632204</v>
      </c>
      <c r="E62" s="10">
        <f>(Q62/$B62)+(Q62/'Optimal Choice'!$B$16)</f>
        <v>31.90056901</v>
      </c>
      <c r="F62" s="10">
        <f>(R62/$B62)+(R62/'Optimal Choice'!$B$21)</f>
        <v>35.3235425</v>
      </c>
      <c r="G62" s="10">
        <f>(S62/$B62)+(S62/'Optimal Choice'!$B$26)</f>
        <v>151.3313373</v>
      </c>
      <c r="I62" s="11">
        <f t="shared" ref="I62:M62" si="61">if(min($C61:$G61)=C61,I61+1,I61)</f>
        <v>36</v>
      </c>
      <c r="J62" s="11">
        <f t="shared" si="61"/>
        <v>16</v>
      </c>
      <c r="K62" s="11">
        <f t="shared" si="61"/>
        <v>9</v>
      </c>
      <c r="L62" s="11">
        <f t="shared" si="61"/>
        <v>0</v>
      </c>
      <c r="M62" s="11">
        <f t="shared" si="61"/>
        <v>0</v>
      </c>
      <c r="O62" s="12">
        <f> 'Optimal Choice'!$B$7*'Optimal Choice'!$B$8^(I62+1)</f>
        <v>48.89447257</v>
      </c>
      <c r="P62" s="12">
        <f> 'Optimal Choice'!$B$12*'Optimal Choice'!$B$13^(J62+1)</f>
        <v>645.6758403</v>
      </c>
      <c r="Q62" s="12">
        <f> 'Optimal Choice'!$B$17*'Optimal Choice'!$B$18^(K62+1)</f>
        <v>2669.199346</v>
      </c>
      <c r="R62" s="12">
        <f> 'Optimal Choice'!$B$22*'Optimal Choice'!$B$23^(L62+1)</f>
        <v>9763.2</v>
      </c>
      <c r="S62" s="12">
        <f> 'Optimal Choice'!$B$27*'Optimal Choice'!$B$28^(M62+1)</f>
        <v>116121.6</v>
      </c>
    </row>
    <row r="63" ht="15.75" customHeight="1">
      <c r="A63" s="10">
        <f t="shared" si="2"/>
        <v>0.8525617568</v>
      </c>
      <c r="B63" s="6">
        <f>(I63*'Optimal Choice'!$B$6+J63*'Optimal Choice'!$B$11+K63*'Optimal Choice'!$B$16+L63*'Optimal Choice'!$B$21+M63*'Optimal Choice'!$B$26)*'Optimal Choice'!$B$30</f>
        <v>1191.79</v>
      </c>
      <c r="C63" s="10">
        <f>(O63/$B63)+(O63/'Optimal Choice'!$B$6)</f>
        <v>31.3714941</v>
      </c>
      <c r="D63" s="10">
        <f>(P63/$B63)+(P63/'Optimal Choice'!$B$11)</f>
        <v>32.82556182</v>
      </c>
      <c r="E63" s="10">
        <f>(Q63/$B63)+(Q63/'Optimal Choice'!$B$16)</f>
        <v>31.89742628</v>
      </c>
      <c r="F63" s="10">
        <f>(R63/$B63)+(R63/'Optimal Choice'!$B$21)</f>
        <v>35.31204726</v>
      </c>
      <c r="G63" s="10">
        <f>(S63/$B63)+(S63/'Optimal Choice'!$B$26)</f>
        <v>151.1946152</v>
      </c>
      <c r="I63" s="11">
        <f t="shared" ref="I63:M63" si="62">if(min($C62:$G62)=C62,I62+1,I62)</f>
        <v>37</v>
      </c>
      <c r="J63" s="11">
        <f t="shared" si="62"/>
        <v>16</v>
      </c>
      <c r="K63" s="11">
        <f t="shared" si="62"/>
        <v>9</v>
      </c>
      <c r="L63" s="11">
        <f t="shared" si="62"/>
        <v>0</v>
      </c>
      <c r="M63" s="11">
        <f t="shared" si="62"/>
        <v>0</v>
      </c>
      <c r="O63" s="12">
        <f> 'Optimal Choice'!$B$7*'Optimal Choice'!$B$8^(I63+1)</f>
        <v>52.31708565</v>
      </c>
      <c r="P63" s="12">
        <f> 'Optimal Choice'!$B$12*'Optimal Choice'!$B$13^(J63+1)</f>
        <v>645.6758403</v>
      </c>
      <c r="Q63" s="12">
        <f> 'Optimal Choice'!$B$17*'Optimal Choice'!$B$18^(K63+1)</f>
        <v>2669.199346</v>
      </c>
      <c r="R63" s="12">
        <f> 'Optimal Choice'!$B$22*'Optimal Choice'!$B$23^(L63+1)</f>
        <v>9763.2</v>
      </c>
      <c r="S63" s="12">
        <f> 'Optimal Choice'!$B$27*'Optimal Choice'!$B$28^(M63+1)</f>
        <v>116121.6</v>
      </c>
    </row>
    <row r="64" ht="15.75" customHeight="1">
      <c r="A64" s="10">
        <f t="shared" si="2"/>
        <v>0.8532933885</v>
      </c>
      <c r="B64" s="6">
        <f>(I64*'Optimal Choice'!$B$6+J64*'Optimal Choice'!$B$11+K64*'Optimal Choice'!$B$16+L64*'Optimal Choice'!$B$21+M64*'Optimal Choice'!$B$26)*'Optimal Choice'!$B$30</f>
        <v>1193.46</v>
      </c>
      <c r="C64" s="10">
        <f>(O64/$B64)+(O64/'Optimal Choice'!$B$6)</f>
        <v>33.56743296</v>
      </c>
      <c r="D64" s="10">
        <f>(P64/$B64)+(P64/'Optimal Choice'!$B$11)</f>
        <v>32.82480373</v>
      </c>
      <c r="E64" s="10">
        <f>(Q64/$B64)+(Q64/'Optimal Choice'!$B$16)</f>
        <v>31.89429235</v>
      </c>
      <c r="F64" s="10">
        <f>(R64/$B64)+(R64/'Optimal Choice'!$B$21)</f>
        <v>35.30058418</v>
      </c>
      <c r="G64" s="10">
        <f>(S64/$B64)+(S64/'Optimal Choice'!$B$26)</f>
        <v>151.0582756</v>
      </c>
      <c r="I64" s="11">
        <f t="shared" ref="I64:M64" si="63">if(min($C63:$G63)=C63,I63+1,I63)</f>
        <v>38</v>
      </c>
      <c r="J64" s="11">
        <f t="shared" si="63"/>
        <v>16</v>
      </c>
      <c r="K64" s="11">
        <f t="shared" si="63"/>
        <v>9</v>
      </c>
      <c r="L64" s="11">
        <f t="shared" si="63"/>
        <v>0</v>
      </c>
      <c r="M64" s="11">
        <f t="shared" si="63"/>
        <v>0</v>
      </c>
      <c r="O64" s="12">
        <f> 'Optimal Choice'!$B$7*'Optimal Choice'!$B$8^(I64+1)</f>
        <v>55.97928164</v>
      </c>
      <c r="P64" s="12">
        <f> 'Optimal Choice'!$B$12*'Optimal Choice'!$B$13^(J64+1)</f>
        <v>645.6758403</v>
      </c>
      <c r="Q64" s="12">
        <f> 'Optimal Choice'!$B$17*'Optimal Choice'!$B$18^(K64+1)</f>
        <v>2669.199346</v>
      </c>
      <c r="R64" s="12">
        <f> 'Optimal Choice'!$B$22*'Optimal Choice'!$B$23^(L64+1)</f>
        <v>9763.2</v>
      </c>
      <c r="S64" s="12">
        <f> 'Optimal Choice'!$B$27*'Optimal Choice'!$B$28^(M64+1)</f>
        <v>116121.6</v>
      </c>
    </row>
    <row r="65" ht="15.75" customHeight="1">
      <c r="A65" s="10">
        <f t="shared" si="2"/>
        <v>0.8905687524</v>
      </c>
      <c r="B65" s="6">
        <f>(I65*'Optimal Choice'!$B$6+J65*'Optimal Choice'!$B$11+K65*'Optimal Choice'!$B$16+L65*'Optimal Choice'!$B$21+M65*'Optimal Choice'!$B$26)*'Optimal Choice'!$B$30</f>
        <v>1283.46</v>
      </c>
      <c r="C65" s="10">
        <f>(O65/$B65)+(O65/'Optimal Choice'!$B$6)</f>
        <v>33.56414384</v>
      </c>
      <c r="D65" s="10">
        <f>(P65/$B65)+(P65/'Optimal Choice'!$B$11)</f>
        <v>32.78686639</v>
      </c>
      <c r="E65" s="10">
        <f>(Q65/$B65)+(Q65/'Optimal Choice'!$B$16)</f>
        <v>36.18070536</v>
      </c>
      <c r="F65" s="10">
        <f>(R65/$B65)+(R65/'Optimal Choice'!$B$21)</f>
        <v>34.7269375</v>
      </c>
      <c r="G65" s="10">
        <f>(S65/$B65)+(S65/'Optimal Choice'!$B$26)</f>
        <v>144.2354336</v>
      </c>
      <c r="I65" s="11">
        <f t="shared" ref="I65:M65" si="64">if(min($C64:$G64)=C64,I64+1,I64)</f>
        <v>38</v>
      </c>
      <c r="J65" s="11">
        <f t="shared" si="64"/>
        <v>16</v>
      </c>
      <c r="K65" s="11">
        <f t="shared" si="64"/>
        <v>10</v>
      </c>
      <c r="L65" s="11">
        <f t="shared" si="64"/>
        <v>0</v>
      </c>
      <c r="M65" s="11">
        <f t="shared" si="64"/>
        <v>0</v>
      </c>
      <c r="O65" s="12">
        <f> 'Optimal Choice'!$B$7*'Optimal Choice'!$B$8^(I65+1)</f>
        <v>55.97928164</v>
      </c>
      <c r="P65" s="12">
        <f> 'Optimal Choice'!$B$12*'Optimal Choice'!$B$13^(J65+1)</f>
        <v>645.6758403</v>
      </c>
      <c r="Q65" s="12">
        <f> 'Optimal Choice'!$B$17*'Optimal Choice'!$B$18^(K65+1)</f>
        <v>3042.887255</v>
      </c>
      <c r="R65" s="12">
        <f> 'Optimal Choice'!$B$22*'Optimal Choice'!$B$23^(L65+1)</f>
        <v>9763.2</v>
      </c>
      <c r="S65" s="12">
        <f> 'Optimal Choice'!$B$27*'Optimal Choice'!$B$28^(M65+1)</f>
        <v>116121.6</v>
      </c>
    </row>
    <row r="66" ht="15.75" customHeight="1">
      <c r="A66" s="10">
        <f t="shared" si="2"/>
        <v>0.8989533254</v>
      </c>
      <c r="B66" s="6">
        <f>(I66*'Optimal Choice'!$B$6+J66*'Optimal Choice'!$B$11+K66*'Optimal Choice'!$B$16+L66*'Optimal Choice'!$B$21+M66*'Optimal Choice'!$B$26)*'Optimal Choice'!$B$30</f>
        <v>1303.46</v>
      </c>
      <c r="C66" s="10">
        <f>(O66/$B66)+(O66/'Optimal Choice'!$B$6)</f>
        <v>33.56347461</v>
      </c>
      <c r="D66" s="10">
        <f>(P66/$B66)+(P66/'Optimal Choice'!$B$11)</f>
        <v>37.69601943</v>
      </c>
      <c r="E66" s="10">
        <f>(Q66/$B66)+(Q66/'Optimal Choice'!$B$16)</f>
        <v>36.14432761</v>
      </c>
      <c r="F66" s="10">
        <f>(R66/$B66)+(R66/'Optimal Choice'!$B$21)</f>
        <v>34.61021834</v>
      </c>
      <c r="G66" s="10">
        <f>(S66/$B66)+(S66/'Optimal Choice'!$B$26)</f>
        <v>142.8471987</v>
      </c>
      <c r="I66" s="11">
        <f t="shared" ref="I66:M66" si="65">if(min($C65:$G65)=C65,I65+1,I65)</f>
        <v>38</v>
      </c>
      <c r="J66" s="11">
        <f t="shared" si="65"/>
        <v>17</v>
      </c>
      <c r="K66" s="11">
        <f t="shared" si="65"/>
        <v>10</v>
      </c>
      <c r="L66" s="11">
        <f t="shared" si="65"/>
        <v>0</v>
      </c>
      <c r="M66" s="11">
        <f t="shared" si="65"/>
        <v>0</v>
      </c>
      <c r="O66" s="12">
        <f> 'Optimal Choice'!$B$7*'Optimal Choice'!$B$8^(I66+1)</f>
        <v>55.97928164</v>
      </c>
      <c r="P66" s="12">
        <f> 'Optimal Choice'!$B$12*'Optimal Choice'!$B$13^(J66+1)</f>
        <v>742.5272163</v>
      </c>
      <c r="Q66" s="12">
        <f> 'Optimal Choice'!$B$17*'Optimal Choice'!$B$18^(K66+1)</f>
        <v>3042.887255</v>
      </c>
      <c r="R66" s="12">
        <f> 'Optimal Choice'!$B$22*'Optimal Choice'!$B$23^(L66+1)</f>
        <v>9763.2</v>
      </c>
      <c r="S66" s="12">
        <f> 'Optimal Choice'!$B$27*'Optimal Choice'!$B$28^(M66+1)</f>
        <v>116121.6</v>
      </c>
    </row>
    <row r="67" ht="15.75" customHeight="1">
      <c r="A67" s="10">
        <f t="shared" si="2"/>
        <v>0.8996691034</v>
      </c>
      <c r="B67" s="6">
        <f>(I67*'Optimal Choice'!$B$6+J67*'Optimal Choice'!$B$11+K67*'Optimal Choice'!$B$16+L67*'Optimal Choice'!$B$21+M67*'Optimal Choice'!$B$26)*'Optimal Choice'!$B$30</f>
        <v>1305.13</v>
      </c>
      <c r="C67" s="10">
        <f>(O67/$B67)+(O67/'Optimal Choice'!$B$6)</f>
        <v>35.91285903</v>
      </c>
      <c r="D67" s="10">
        <f>(P67/$B67)+(P67/'Optimal Choice'!$B$11)</f>
        <v>37.69529051</v>
      </c>
      <c r="E67" s="10">
        <f>(Q67/$B67)+(Q67/'Optimal Choice'!$B$16)</f>
        <v>36.1413405</v>
      </c>
      <c r="F67" s="10">
        <f>(R67/$B67)+(R67/'Optimal Choice'!$B$21)</f>
        <v>34.60063411</v>
      </c>
      <c r="G67" s="10">
        <f>(S67/$B67)+(S67/'Optimal Choice'!$B$26)</f>
        <v>142.7332057</v>
      </c>
      <c r="I67" s="11">
        <f t="shared" ref="I67:M67" si="66">if(min($C66:$G66)=C66,I66+1,I66)</f>
        <v>39</v>
      </c>
      <c r="J67" s="11">
        <f t="shared" si="66"/>
        <v>17</v>
      </c>
      <c r="K67" s="11">
        <f t="shared" si="66"/>
        <v>10</v>
      </c>
      <c r="L67" s="11">
        <f t="shared" si="66"/>
        <v>0</v>
      </c>
      <c r="M67" s="11">
        <f t="shared" si="66"/>
        <v>0</v>
      </c>
      <c r="O67" s="12">
        <f> 'Optimal Choice'!$B$7*'Optimal Choice'!$B$8^(I67+1)</f>
        <v>59.89783136</v>
      </c>
      <c r="P67" s="12">
        <f> 'Optimal Choice'!$B$12*'Optimal Choice'!$B$13^(J67+1)</f>
        <v>742.5272163</v>
      </c>
      <c r="Q67" s="12">
        <f> 'Optimal Choice'!$B$17*'Optimal Choice'!$B$18^(K67+1)</f>
        <v>3042.887255</v>
      </c>
      <c r="R67" s="12">
        <f> 'Optimal Choice'!$B$22*'Optimal Choice'!$B$23^(L67+1)</f>
        <v>9763.2</v>
      </c>
      <c r="S67" s="12">
        <f> 'Optimal Choice'!$B$27*'Optimal Choice'!$B$28^(M67+1)</f>
        <v>116121.6</v>
      </c>
    </row>
    <row r="68" ht="15.75" customHeight="1">
      <c r="A68" s="10">
        <f t="shared" si="2"/>
        <v>1.024346339</v>
      </c>
      <c r="B68" s="6">
        <f>(I68*'Optimal Choice'!$B$6+J68*'Optimal Choice'!$B$11+K68*'Optimal Choice'!$B$16+L68*'Optimal Choice'!$B$21+M68*'Optimal Choice'!$B$26)*'Optimal Choice'!$B$30</f>
        <v>1665.13</v>
      </c>
      <c r="C68" s="10">
        <f>(O68/$B68)+(O68/'Optimal Choice'!$B$6)</f>
        <v>35.90293675</v>
      </c>
      <c r="D68" s="10">
        <f>(P68/$B68)+(P68/'Optimal Choice'!$B$11)</f>
        <v>37.57228829</v>
      </c>
      <c r="E68" s="10">
        <f>(Q68/$B68)+(Q68/'Optimal Choice'!$B$16)</f>
        <v>35.63727562</v>
      </c>
      <c r="F68" s="10">
        <f>(R68/$B68)+(R68/'Optimal Choice'!$B$21)</f>
        <v>37.27115836</v>
      </c>
      <c r="G68" s="10">
        <f>(S68/$B68)+(S68/'Optimal Choice'!$B$26)</f>
        <v>123.4972578</v>
      </c>
      <c r="I68" s="11">
        <f t="shared" ref="I68:M68" si="67">if(min($C67:$G67)=C67,I67+1,I67)</f>
        <v>39</v>
      </c>
      <c r="J68" s="11">
        <f t="shared" si="67"/>
        <v>17</v>
      </c>
      <c r="K68" s="11">
        <f t="shared" si="67"/>
        <v>10</v>
      </c>
      <c r="L68" s="11">
        <f t="shared" si="67"/>
        <v>1</v>
      </c>
      <c r="M68" s="11">
        <f t="shared" si="67"/>
        <v>0</v>
      </c>
      <c r="O68" s="12">
        <f> 'Optimal Choice'!$B$7*'Optimal Choice'!$B$8^(I68+1)</f>
        <v>59.89783136</v>
      </c>
      <c r="P68" s="12">
        <f> 'Optimal Choice'!$B$12*'Optimal Choice'!$B$13^(J68+1)</f>
        <v>742.5272163</v>
      </c>
      <c r="Q68" s="12">
        <f> 'Optimal Choice'!$B$17*'Optimal Choice'!$B$18^(K68+1)</f>
        <v>3042.887255</v>
      </c>
      <c r="R68" s="12">
        <f> 'Optimal Choice'!$B$22*'Optimal Choice'!$B$23^(L68+1)</f>
        <v>11032.416</v>
      </c>
      <c r="S68" s="12">
        <f> 'Optimal Choice'!$B$27*'Optimal Choice'!$B$28^(M68+1)</f>
        <v>116121.6</v>
      </c>
    </row>
    <row r="69" ht="15.75" customHeight="1">
      <c r="A69" s="10">
        <f t="shared" si="2"/>
        <v>1.054803292</v>
      </c>
      <c r="B69" s="6">
        <f>(I69*'Optimal Choice'!$B$6+J69*'Optimal Choice'!$B$11+K69*'Optimal Choice'!$B$16+L69*'Optimal Choice'!$B$21+M69*'Optimal Choice'!$B$26)*'Optimal Choice'!$B$30</f>
        <v>1755.13</v>
      </c>
      <c r="C69" s="10">
        <f>(O69/$B69)+(O69/'Optimal Choice'!$B$6)</f>
        <v>35.90109217</v>
      </c>
      <c r="D69" s="10">
        <f>(P69/$B69)+(P69/'Optimal Choice'!$B$11)</f>
        <v>37.54942191</v>
      </c>
      <c r="E69" s="10">
        <f>(Q69/$B69)+(Q69/'Optimal Choice'!$B$16)</f>
        <v>40.51966849</v>
      </c>
      <c r="F69" s="10">
        <f>(R69/$B69)+(R69/'Optimal Choice'!$B$21)</f>
        <v>36.93141131</v>
      </c>
      <c r="G69" s="10">
        <f>(S69/$B69)+(S69/'Optimal Choice'!$B$26)</f>
        <v>119.921253</v>
      </c>
      <c r="I69" s="11">
        <f t="shared" ref="I69:M69" si="68">if(min($C68:$G68)=C68,I68+1,I68)</f>
        <v>39</v>
      </c>
      <c r="J69" s="11">
        <f t="shared" si="68"/>
        <v>17</v>
      </c>
      <c r="K69" s="11">
        <f t="shared" si="68"/>
        <v>11</v>
      </c>
      <c r="L69" s="11">
        <f t="shared" si="68"/>
        <v>1</v>
      </c>
      <c r="M69" s="11">
        <f t="shared" si="68"/>
        <v>0</v>
      </c>
      <c r="O69" s="12">
        <f> 'Optimal Choice'!$B$7*'Optimal Choice'!$B$8^(I69+1)</f>
        <v>59.89783136</v>
      </c>
      <c r="P69" s="12">
        <f> 'Optimal Choice'!$B$12*'Optimal Choice'!$B$13^(J69+1)</f>
        <v>742.5272163</v>
      </c>
      <c r="Q69" s="12">
        <f> 'Optimal Choice'!$B$17*'Optimal Choice'!$B$18^(K69+1)</f>
        <v>3468.89147</v>
      </c>
      <c r="R69" s="12">
        <f> 'Optimal Choice'!$B$22*'Optimal Choice'!$B$23^(L69+1)</f>
        <v>11032.416</v>
      </c>
      <c r="S69" s="12">
        <f> 'Optimal Choice'!$B$27*'Optimal Choice'!$B$28^(M69+1)</f>
        <v>116121.6</v>
      </c>
    </row>
    <row r="70" ht="15.75" customHeight="1">
      <c r="A70" s="10">
        <f t="shared" si="2"/>
        <v>1.055372081</v>
      </c>
      <c r="B70" s="6">
        <f>(I70*'Optimal Choice'!$B$6+J70*'Optimal Choice'!$B$11+K70*'Optimal Choice'!$B$16+L70*'Optimal Choice'!$B$21+M70*'Optimal Choice'!$B$26)*'Optimal Choice'!$B$30</f>
        <v>1756.8</v>
      </c>
      <c r="C70" s="10">
        <f>(O70/$B70)+(O70/'Optimal Choice'!$B$6)</f>
        <v>38.41413392</v>
      </c>
      <c r="D70" s="10">
        <f>(P70/$B70)+(P70/'Optimal Choice'!$B$11)</f>
        <v>37.54901975</v>
      </c>
      <c r="E70" s="10">
        <f>(Q70/$B70)+(Q70/'Optimal Choice'!$B$16)</f>
        <v>40.51778971</v>
      </c>
      <c r="F70" s="10">
        <f>(R70/$B70)+(R70/'Optimal Choice'!$B$21)</f>
        <v>36.92543607</v>
      </c>
      <c r="G70" s="10">
        <f>(S70/$B70)+(S70/'Optimal Choice'!$B$26)</f>
        <v>119.8583607</v>
      </c>
      <c r="I70" s="11">
        <f t="shared" ref="I70:M70" si="69">if(min($C69:$G69)=C69,I69+1,I69)</f>
        <v>40</v>
      </c>
      <c r="J70" s="11">
        <f t="shared" si="69"/>
        <v>17</v>
      </c>
      <c r="K70" s="11">
        <f t="shared" si="69"/>
        <v>11</v>
      </c>
      <c r="L70" s="11">
        <f t="shared" si="69"/>
        <v>1</v>
      </c>
      <c r="M70" s="11">
        <f t="shared" si="69"/>
        <v>0</v>
      </c>
      <c r="O70" s="12">
        <f> 'Optimal Choice'!$B$7*'Optimal Choice'!$B$8^(I70+1)</f>
        <v>64.09067955</v>
      </c>
      <c r="P70" s="12">
        <f> 'Optimal Choice'!$B$12*'Optimal Choice'!$B$13^(J70+1)</f>
        <v>742.5272163</v>
      </c>
      <c r="Q70" s="12">
        <f> 'Optimal Choice'!$B$17*'Optimal Choice'!$B$18^(K70+1)</f>
        <v>3468.89147</v>
      </c>
      <c r="R70" s="12">
        <f> 'Optimal Choice'!$B$22*'Optimal Choice'!$B$23^(L70+1)</f>
        <v>11032.416</v>
      </c>
      <c r="S70" s="12">
        <f> 'Optimal Choice'!$B$27*'Optimal Choice'!$B$28^(M70+1)</f>
        <v>116121.6</v>
      </c>
    </row>
    <row r="71" ht="15.75" customHeight="1">
      <c r="A71" s="10">
        <f t="shared" si="2"/>
        <v>1.160036015</v>
      </c>
      <c r="B71" s="6">
        <f>(I71*'Optimal Choice'!$B$6+J71*'Optimal Choice'!$B$11+K71*'Optimal Choice'!$B$16+L71*'Optimal Choice'!$B$21+M71*'Optimal Choice'!$B$26)*'Optimal Choice'!$B$30</f>
        <v>2116.8</v>
      </c>
      <c r="C71" s="10">
        <f>(O71/$B71)+(O71/'Optimal Choice'!$B$6)</f>
        <v>38.40792958</v>
      </c>
      <c r="D71" s="10">
        <f>(P71/$B71)+(P71/'Optimal Choice'!$B$11)</f>
        <v>37.47713898</v>
      </c>
      <c r="E71" s="10">
        <f>(Q71/$B71)+(Q71/'Optimal Choice'!$B$16)</f>
        <v>40.18198169</v>
      </c>
      <c r="F71" s="10">
        <f>(R71/$B71)+(R71/'Optimal Choice'!$B$21)</f>
        <v>40.51890351</v>
      </c>
      <c r="G71" s="10">
        <f>(S71/$B71)+(S71/'Optimal Choice'!$B$26)</f>
        <v>108.6171429</v>
      </c>
      <c r="I71" s="11">
        <f t="shared" ref="I71:M71" si="70">if(min($C70:$G70)=C70,I70+1,I70)</f>
        <v>40</v>
      </c>
      <c r="J71" s="11">
        <f t="shared" si="70"/>
        <v>17</v>
      </c>
      <c r="K71" s="11">
        <f t="shared" si="70"/>
        <v>11</v>
      </c>
      <c r="L71" s="11">
        <f t="shared" si="70"/>
        <v>2</v>
      </c>
      <c r="M71" s="11">
        <f t="shared" si="70"/>
        <v>0</v>
      </c>
      <c r="O71" s="12">
        <f> 'Optimal Choice'!$B$7*'Optimal Choice'!$B$8^(I71+1)</f>
        <v>64.09067955</v>
      </c>
      <c r="P71" s="12">
        <f> 'Optimal Choice'!$B$12*'Optimal Choice'!$B$13^(J71+1)</f>
        <v>742.5272163</v>
      </c>
      <c r="Q71" s="12">
        <f> 'Optimal Choice'!$B$17*'Optimal Choice'!$B$18^(K71+1)</f>
        <v>3468.89147</v>
      </c>
      <c r="R71" s="12">
        <f> 'Optimal Choice'!$B$22*'Optimal Choice'!$B$23^(L71+1)</f>
        <v>12466.63008</v>
      </c>
      <c r="S71" s="12">
        <f> 'Optimal Choice'!$B$27*'Optimal Choice'!$B$28^(M71+1)</f>
        <v>116121.6</v>
      </c>
    </row>
    <row r="72" ht="15.75" customHeight="1">
      <c r="A72" s="10">
        <f t="shared" si="2"/>
        <v>1.165882318</v>
      </c>
      <c r="B72" s="6">
        <f>(I72*'Optimal Choice'!$B$6+J72*'Optimal Choice'!$B$11+K72*'Optimal Choice'!$B$16+L72*'Optimal Choice'!$B$21+M72*'Optimal Choice'!$B$26)*'Optimal Choice'!$B$30</f>
        <v>2136.8</v>
      </c>
      <c r="C72" s="10">
        <f>(O72/$B72)+(O72/'Optimal Choice'!$B$6)</f>
        <v>38.40764619</v>
      </c>
      <c r="D72" s="10">
        <f>(P72/$B72)+(P72/'Optimal Choice'!$B$11)</f>
        <v>43.09493413</v>
      </c>
      <c r="E72" s="10">
        <f>(Q72/$B72)+(Q72/'Optimal Choice'!$B$16)</f>
        <v>40.1666434</v>
      </c>
      <c r="F72" s="10">
        <f>(R72/$B72)+(R72/'Optimal Choice'!$B$21)</f>
        <v>40.46378019</v>
      </c>
      <c r="G72" s="10">
        <f>(S72/$B72)+(S72/'Optimal Choice'!$B$26)</f>
        <v>108.1036915</v>
      </c>
      <c r="I72" s="11">
        <f t="shared" ref="I72:M72" si="71">if(min($C71:$G71)=C71,I71+1,I71)</f>
        <v>40</v>
      </c>
      <c r="J72" s="11">
        <f t="shared" si="71"/>
        <v>18</v>
      </c>
      <c r="K72" s="11">
        <f t="shared" si="71"/>
        <v>11</v>
      </c>
      <c r="L72" s="11">
        <f t="shared" si="71"/>
        <v>2</v>
      </c>
      <c r="M72" s="11">
        <f t="shared" si="71"/>
        <v>0</v>
      </c>
      <c r="O72" s="12">
        <f> 'Optimal Choice'!$B$7*'Optimal Choice'!$B$8^(I72+1)</f>
        <v>64.09067955</v>
      </c>
      <c r="P72" s="12">
        <f> 'Optimal Choice'!$B$12*'Optimal Choice'!$B$13^(J72+1)</f>
        <v>853.9062988</v>
      </c>
      <c r="Q72" s="12">
        <f> 'Optimal Choice'!$B$17*'Optimal Choice'!$B$18^(K72+1)</f>
        <v>3468.89147</v>
      </c>
      <c r="R72" s="12">
        <f> 'Optimal Choice'!$B$22*'Optimal Choice'!$B$23^(L72+1)</f>
        <v>12466.63008</v>
      </c>
      <c r="S72" s="12">
        <f> 'Optimal Choice'!$B$27*'Optimal Choice'!$B$28^(M72+1)</f>
        <v>116121.6</v>
      </c>
    </row>
    <row r="73" ht="15.75" customHeight="1">
      <c r="A73" s="10">
        <f t="shared" si="2"/>
        <v>1.166382214</v>
      </c>
      <c r="B73" s="6">
        <f>(I73*'Optimal Choice'!$B$6+J73*'Optimal Choice'!$B$11+K73*'Optimal Choice'!$B$16+L73*'Optimal Choice'!$B$21+M73*'Optimal Choice'!$B$26)*'Optimal Choice'!$B$30</f>
        <v>2138.47</v>
      </c>
      <c r="C73" s="10">
        <f>(O73/$B73)+(O73/'Optimal Choice'!$B$6)</f>
        <v>41.09615636</v>
      </c>
      <c r="D73" s="10">
        <f>(P73/$B73)+(P73/'Optimal Choice'!$B$11)</f>
        <v>43.09462206</v>
      </c>
      <c r="E73" s="10">
        <f>(Q73/$B73)+(Q73/'Optimal Choice'!$B$16)</f>
        <v>40.16537563</v>
      </c>
      <c r="F73" s="10">
        <f>(R73/$B73)+(R73/'Optimal Choice'!$B$21)</f>
        <v>40.45922404</v>
      </c>
      <c r="G73" s="10">
        <f>(S73/$B73)+(S73/'Optimal Choice'!$B$26)</f>
        <v>108.0612528</v>
      </c>
      <c r="I73" s="11">
        <f t="shared" ref="I73:M73" si="72">if(min($C72:$G72)=C72,I72+1,I72)</f>
        <v>41</v>
      </c>
      <c r="J73" s="11">
        <f t="shared" si="72"/>
        <v>18</v>
      </c>
      <c r="K73" s="11">
        <f t="shared" si="72"/>
        <v>11</v>
      </c>
      <c r="L73" s="11">
        <f t="shared" si="72"/>
        <v>2</v>
      </c>
      <c r="M73" s="11">
        <f t="shared" si="72"/>
        <v>0</v>
      </c>
      <c r="O73" s="12">
        <f> 'Optimal Choice'!$B$7*'Optimal Choice'!$B$8^(I73+1)</f>
        <v>68.57702712</v>
      </c>
      <c r="P73" s="12">
        <f> 'Optimal Choice'!$B$12*'Optimal Choice'!$B$13^(J73+1)</f>
        <v>853.9062988</v>
      </c>
      <c r="Q73" s="12">
        <f> 'Optimal Choice'!$B$17*'Optimal Choice'!$B$18^(K73+1)</f>
        <v>3468.89147</v>
      </c>
      <c r="R73" s="12">
        <f> 'Optimal Choice'!$B$22*'Optimal Choice'!$B$23^(L73+1)</f>
        <v>12466.63008</v>
      </c>
      <c r="S73" s="12">
        <f> 'Optimal Choice'!$B$27*'Optimal Choice'!$B$28^(M73+1)</f>
        <v>116121.6</v>
      </c>
    </row>
    <row r="74" ht="15.75" customHeight="1">
      <c r="A74" s="10">
        <f t="shared" si="2"/>
        <v>1.193417832</v>
      </c>
      <c r="B74" s="6">
        <f>(I74*'Optimal Choice'!$B$6+J74*'Optimal Choice'!$B$11+K74*'Optimal Choice'!$B$16+L74*'Optimal Choice'!$B$21+M74*'Optimal Choice'!$B$26)*'Optimal Choice'!$B$30</f>
        <v>2228.47</v>
      </c>
      <c r="C74" s="10">
        <f>(O74/$B74)+(O74/'Optimal Choice'!$B$6)</f>
        <v>41.09486124</v>
      </c>
      <c r="D74" s="10">
        <f>(P74/$B74)+(P74/'Optimal Choice'!$B$11)</f>
        <v>43.07849546</v>
      </c>
      <c r="E74" s="10">
        <f>(Q74/$B74)+(Q74/'Optimal Choice'!$B$16)</f>
        <v>45.71384413</v>
      </c>
      <c r="F74" s="10">
        <f>(R74/$B74)+(R74/'Optimal Choice'!$B$21)</f>
        <v>40.22378329</v>
      </c>
      <c r="G74" s="10">
        <f>(S74/$B74)+(S74/'Optimal Choice'!$B$26)</f>
        <v>105.8682177</v>
      </c>
      <c r="I74" s="11">
        <f t="shared" ref="I74:M74" si="73">if(min($C73:$G73)=C73,I73+1,I73)</f>
        <v>41</v>
      </c>
      <c r="J74" s="11">
        <f t="shared" si="73"/>
        <v>18</v>
      </c>
      <c r="K74" s="11">
        <f t="shared" si="73"/>
        <v>12</v>
      </c>
      <c r="L74" s="11">
        <f t="shared" si="73"/>
        <v>2</v>
      </c>
      <c r="M74" s="11">
        <f t="shared" si="73"/>
        <v>0</v>
      </c>
      <c r="O74" s="12">
        <f> 'Optimal Choice'!$B$7*'Optimal Choice'!$B$8^(I74+1)</f>
        <v>68.57702712</v>
      </c>
      <c r="P74" s="12">
        <f> 'Optimal Choice'!$B$12*'Optimal Choice'!$B$13^(J74+1)</f>
        <v>853.9062988</v>
      </c>
      <c r="Q74" s="12">
        <f> 'Optimal Choice'!$B$17*'Optimal Choice'!$B$18^(K74+1)</f>
        <v>3954.536276</v>
      </c>
      <c r="R74" s="12">
        <f> 'Optimal Choice'!$B$22*'Optimal Choice'!$B$23^(L74+1)</f>
        <v>12466.63008</v>
      </c>
      <c r="S74" s="12">
        <f> 'Optimal Choice'!$B$27*'Optimal Choice'!$B$28^(M74+1)</f>
        <v>116121.6</v>
      </c>
    </row>
    <row r="75" ht="15.75" customHeight="1">
      <c r="A75" s="10">
        <f t="shared" si="2"/>
        <v>1.28665542</v>
      </c>
      <c r="B75" s="6">
        <f>(I75*'Optimal Choice'!$B$6+J75*'Optimal Choice'!$B$11+K75*'Optimal Choice'!$B$16+L75*'Optimal Choice'!$B$21+M75*'Optimal Choice'!$B$26)*'Optimal Choice'!$B$30</f>
        <v>2588.47</v>
      </c>
      <c r="C75" s="10">
        <f>(O75/$B75)+(O75/'Optimal Choice'!$B$6)</f>
        <v>41.09058136</v>
      </c>
      <c r="D75" s="10">
        <f>(P75/$B75)+(P75/'Optimal Choice'!$B$11)</f>
        <v>43.02520337</v>
      </c>
      <c r="E75" s="10">
        <f>(Q75/$B75)+(Q75/'Optimal Choice'!$B$16)</f>
        <v>45.46704243</v>
      </c>
      <c r="F75" s="10">
        <f>(R75/$B75)+(R75/'Optimal Choice'!$B$21)</f>
        <v>44.57369048</v>
      </c>
      <c r="G75" s="10">
        <f>(S75/$B75)+(S75/'Optimal Choice'!$B$26)</f>
        <v>98.62109555</v>
      </c>
      <c r="I75" s="11">
        <f t="shared" ref="I75:M75" si="74">if(min($C74:$G74)=C74,I74+1,I74)</f>
        <v>41</v>
      </c>
      <c r="J75" s="11">
        <f t="shared" si="74"/>
        <v>18</v>
      </c>
      <c r="K75" s="11">
        <f t="shared" si="74"/>
        <v>12</v>
      </c>
      <c r="L75" s="11">
        <f t="shared" si="74"/>
        <v>3</v>
      </c>
      <c r="M75" s="11">
        <f t="shared" si="74"/>
        <v>0</v>
      </c>
      <c r="O75" s="12">
        <f> 'Optimal Choice'!$B$7*'Optimal Choice'!$B$8^(I75+1)</f>
        <v>68.57702712</v>
      </c>
      <c r="P75" s="12">
        <f> 'Optimal Choice'!$B$12*'Optimal Choice'!$B$13^(J75+1)</f>
        <v>853.9062988</v>
      </c>
      <c r="Q75" s="12">
        <f> 'Optimal Choice'!$B$17*'Optimal Choice'!$B$18^(K75+1)</f>
        <v>3954.536276</v>
      </c>
      <c r="R75" s="12">
        <f> 'Optimal Choice'!$B$22*'Optimal Choice'!$B$23^(L75+1)</f>
        <v>14087.29199</v>
      </c>
      <c r="S75" s="12">
        <f> 'Optimal Choice'!$B$27*'Optimal Choice'!$B$28^(M75+1)</f>
        <v>116121.6</v>
      </c>
    </row>
    <row r="76" ht="15.75" customHeight="1">
      <c r="A76" s="10">
        <f t="shared" si="2"/>
        <v>1.287096974</v>
      </c>
      <c r="B76" s="6">
        <f>(I76*'Optimal Choice'!$B$6+J76*'Optimal Choice'!$B$11+K76*'Optimal Choice'!$B$16+L76*'Optimal Choice'!$B$21+M76*'Optimal Choice'!$B$26)*'Optimal Choice'!$B$30</f>
        <v>2590.14</v>
      </c>
      <c r="C76" s="10">
        <f>(O76/$B76)+(O76/'Optimal Choice'!$B$6)</f>
        <v>43.96690378</v>
      </c>
      <c r="D76" s="10">
        <f>(P76/$B76)+(P76/'Optimal Choice'!$B$11)</f>
        <v>43.02499067</v>
      </c>
      <c r="E76" s="10">
        <f>(Q76/$B76)+(Q76/'Optimal Choice'!$B$16)</f>
        <v>45.46605741</v>
      </c>
      <c r="F76" s="10">
        <f>(R76/$B76)+(R76/'Optimal Choice'!$B$21)</f>
        <v>44.57018153</v>
      </c>
      <c r="G76" s="10">
        <f>(S76/$B76)+(S76/'Optimal Choice'!$B$26)</f>
        <v>98.59217123</v>
      </c>
      <c r="I76" s="11">
        <f t="shared" ref="I76:M76" si="75">if(min($C75:$G75)=C75,I75+1,I75)</f>
        <v>42</v>
      </c>
      <c r="J76" s="11">
        <f t="shared" si="75"/>
        <v>18</v>
      </c>
      <c r="K76" s="11">
        <f t="shared" si="75"/>
        <v>12</v>
      </c>
      <c r="L76" s="11">
        <f t="shared" si="75"/>
        <v>3</v>
      </c>
      <c r="M76" s="11">
        <f t="shared" si="75"/>
        <v>0</v>
      </c>
      <c r="O76" s="12">
        <f> 'Optimal Choice'!$B$7*'Optimal Choice'!$B$8^(I76+1)</f>
        <v>73.37741902</v>
      </c>
      <c r="P76" s="12">
        <f> 'Optimal Choice'!$B$12*'Optimal Choice'!$B$13^(J76+1)</f>
        <v>853.9062988</v>
      </c>
      <c r="Q76" s="12">
        <f> 'Optimal Choice'!$B$17*'Optimal Choice'!$B$18^(K76+1)</f>
        <v>3954.536276</v>
      </c>
      <c r="R76" s="12">
        <f> 'Optimal Choice'!$B$22*'Optimal Choice'!$B$23^(L76+1)</f>
        <v>14087.29199</v>
      </c>
      <c r="S76" s="12">
        <f> 'Optimal Choice'!$B$27*'Optimal Choice'!$B$28^(M76+1)</f>
        <v>116121.6</v>
      </c>
    </row>
    <row r="77" ht="15.75" customHeight="1">
      <c r="A77" s="10">
        <f t="shared" si="2"/>
        <v>1.29259157</v>
      </c>
      <c r="B77" s="6">
        <f>(I77*'Optimal Choice'!$B$6+J77*'Optimal Choice'!$B$11+K77*'Optimal Choice'!$B$16+L77*'Optimal Choice'!$B$21+M77*'Optimal Choice'!$B$26)*'Optimal Choice'!$B$30</f>
        <v>2610.14</v>
      </c>
      <c r="C77" s="10">
        <f>(O77/$B77)+(O77/'Optimal Choice'!$B$6)</f>
        <v>43.96668671</v>
      </c>
      <c r="D77" s="10">
        <f>(P77/$B77)+(P77/'Optimal Choice'!$B$11)</f>
        <v>49.47583424</v>
      </c>
      <c r="E77" s="10">
        <f>(Q77/$B77)+(Q77/'Optimal Choice'!$B$16)</f>
        <v>45.45435869</v>
      </c>
      <c r="F77" s="10">
        <f>(R77/$B77)+(R77/'Optimal Choice'!$B$21)</f>
        <v>44.52850702</v>
      </c>
      <c r="G77" s="10">
        <f>(S77/$B77)+(S77/'Optimal Choice'!$B$26)</f>
        <v>98.24864812</v>
      </c>
      <c r="I77" s="11">
        <f t="shared" ref="I77:M77" si="76">if(min($C76:$G76)=C76,I76+1,I76)</f>
        <v>42</v>
      </c>
      <c r="J77" s="11">
        <f t="shared" si="76"/>
        <v>19</v>
      </c>
      <c r="K77" s="11">
        <f t="shared" si="76"/>
        <v>12</v>
      </c>
      <c r="L77" s="11">
        <f t="shared" si="76"/>
        <v>3</v>
      </c>
      <c r="M77" s="11">
        <f t="shared" si="76"/>
        <v>0</v>
      </c>
      <c r="O77" s="12">
        <f> 'Optimal Choice'!$B$7*'Optimal Choice'!$B$8^(I77+1)</f>
        <v>73.37741902</v>
      </c>
      <c r="P77" s="12">
        <f> 'Optimal Choice'!$B$12*'Optimal Choice'!$B$13^(J77+1)</f>
        <v>981.9922436</v>
      </c>
      <c r="Q77" s="12">
        <f> 'Optimal Choice'!$B$17*'Optimal Choice'!$B$18^(K77+1)</f>
        <v>3954.536276</v>
      </c>
      <c r="R77" s="12">
        <f> 'Optimal Choice'!$B$22*'Optimal Choice'!$B$23^(L77+1)</f>
        <v>14087.29199</v>
      </c>
      <c r="S77" s="12">
        <f> 'Optimal Choice'!$B$27*'Optimal Choice'!$B$28^(M77+1)</f>
        <v>116121.6</v>
      </c>
    </row>
    <row r="78" ht="15.75" customHeight="1">
      <c r="A78" s="10">
        <f t="shared" si="2"/>
        <v>1.293060111</v>
      </c>
      <c r="B78" s="6">
        <f>(I78*'Optimal Choice'!$B$6+J78*'Optimal Choice'!$B$11+K78*'Optimal Choice'!$B$16+L78*'Optimal Choice'!$B$21+M78*'Optimal Choice'!$B$26)*'Optimal Choice'!$B$30</f>
        <v>2611.81</v>
      </c>
      <c r="C78" s="10">
        <f>(O78/$B78)+(O78/'Optimal Choice'!$B$6)</f>
        <v>47.04433554</v>
      </c>
      <c r="D78" s="10">
        <f>(P78/$B78)+(P78/'Optimal Choice'!$B$11)</f>
        <v>49.47559368</v>
      </c>
      <c r="E78" s="10">
        <f>(Q78/$B78)+(Q78/'Optimal Choice'!$B$16)</f>
        <v>45.45338995</v>
      </c>
      <c r="F78" s="10">
        <f>(R78/$B78)+(R78/'Optimal Choice'!$B$21)</f>
        <v>44.52505607</v>
      </c>
      <c r="G78" s="10">
        <f>(S78/$B78)+(S78/'Optimal Choice'!$B$26)</f>
        <v>98.22020193</v>
      </c>
      <c r="I78" s="11">
        <f t="shared" ref="I78:M78" si="77">if(min($C77:$G77)=C77,I77+1,I77)</f>
        <v>43</v>
      </c>
      <c r="J78" s="11">
        <f t="shared" si="77"/>
        <v>19</v>
      </c>
      <c r="K78" s="11">
        <f t="shared" si="77"/>
        <v>12</v>
      </c>
      <c r="L78" s="11">
        <f t="shared" si="77"/>
        <v>3</v>
      </c>
      <c r="M78" s="11">
        <f t="shared" si="77"/>
        <v>0</v>
      </c>
      <c r="O78" s="12">
        <f> 'Optimal Choice'!$B$7*'Optimal Choice'!$B$8^(I78+1)</f>
        <v>78.51383835</v>
      </c>
      <c r="P78" s="12">
        <f> 'Optimal Choice'!$B$12*'Optimal Choice'!$B$13^(J78+1)</f>
        <v>981.9922436</v>
      </c>
      <c r="Q78" s="12">
        <f> 'Optimal Choice'!$B$17*'Optimal Choice'!$B$18^(K78+1)</f>
        <v>3954.536276</v>
      </c>
      <c r="R78" s="12">
        <f> 'Optimal Choice'!$B$22*'Optimal Choice'!$B$23^(L78+1)</f>
        <v>14087.29199</v>
      </c>
      <c r="S78" s="12">
        <f> 'Optimal Choice'!$B$27*'Optimal Choice'!$B$28^(M78+1)</f>
        <v>116121.6</v>
      </c>
    </row>
    <row r="79" ht="15.75" customHeight="1">
      <c r="A79" s="10">
        <f t="shared" si="2"/>
        <v>1.382954934</v>
      </c>
      <c r="B79" s="6">
        <f>(I79*'Optimal Choice'!$B$6+J79*'Optimal Choice'!$B$11+K79*'Optimal Choice'!$B$16+L79*'Optimal Choice'!$B$21+M79*'Optimal Choice'!$B$26)*'Optimal Choice'!$B$30</f>
        <v>2971.81</v>
      </c>
      <c r="C79" s="10">
        <f>(O79/$B79)+(O79/'Optimal Choice'!$B$6)</f>
        <v>47.040694</v>
      </c>
      <c r="D79" s="10">
        <f>(P79/$B79)+(P79/'Optimal Choice'!$B$11)</f>
        <v>49.43004792</v>
      </c>
      <c r="E79" s="10">
        <f>(Q79/$B79)+(Q79/'Optimal Choice'!$B$16)</f>
        <v>45.2699747</v>
      </c>
      <c r="F79" s="10">
        <f>(R79/$B79)+(R79/'Optimal Choice'!$B$21)</f>
        <v>49.57499131</v>
      </c>
      <c r="G79" s="10">
        <f>(S79/$B79)+(S79/'Optimal Choice'!$B$26)</f>
        <v>92.83436882</v>
      </c>
      <c r="I79" s="11">
        <f t="shared" ref="I79:M79" si="78">if(min($C78:$G78)=C78,I78+1,I78)</f>
        <v>43</v>
      </c>
      <c r="J79" s="11">
        <f t="shared" si="78"/>
        <v>19</v>
      </c>
      <c r="K79" s="11">
        <f t="shared" si="78"/>
        <v>12</v>
      </c>
      <c r="L79" s="11">
        <f t="shared" si="78"/>
        <v>4</v>
      </c>
      <c r="M79" s="11">
        <f t="shared" si="78"/>
        <v>0</v>
      </c>
      <c r="O79" s="12">
        <f> 'Optimal Choice'!$B$7*'Optimal Choice'!$B$8^(I79+1)</f>
        <v>78.51383835</v>
      </c>
      <c r="P79" s="12">
        <f> 'Optimal Choice'!$B$12*'Optimal Choice'!$B$13^(J79+1)</f>
        <v>981.9922436</v>
      </c>
      <c r="Q79" s="12">
        <f> 'Optimal Choice'!$B$17*'Optimal Choice'!$B$18^(K79+1)</f>
        <v>3954.536276</v>
      </c>
      <c r="R79" s="12">
        <f> 'Optimal Choice'!$B$22*'Optimal Choice'!$B$23^(L79+1)</f>
        <v>15918.63995</v>
      </c>
      <c r="S79" s="12">
        <f> 'Optimal Choice'!$B$27*'Optimal Choice'!$B$28^(M79+1)</f>
        <v>116121.6</v>
      </c>
    </row>
    <row r="80" ht="15.75" customHeight="1">
      <c r="A80" s="10">
        <f t="shared" si="2"/>
        <v>1.40513298</v>
      </c>
      <c r="B80" s="6">
        <f>(I80*'Optimal Choice'!$B$6+J80*'Optimal Choice'!$B$11+K80*'Optimal Choice'!$B$16+L80*'Optimal Choice'!$B$21+M80*'Optimal Choice'!$B$26)*'Optimal Choice'!$B$30</f>
        <v>3061.81</v>
      </c>
      <c r="C80" s="10">
        <f>(O80/$B80)+(O80/'Optimal Choice'!$B$6)</f>
        <v>47.03991741</v>
      </c>
      <c r="D80" s="10">
        <f>(P80/$B80)+(P80/'Optimal Choice'!$B$11)</f>
        <v>49.42033497</v>
      </c>
      <c r="E80" s="10">
        <f>(Q80/$B80)+(Q80/'Optimal Choice'!$B$16)</f>
        <v>51.56318052</v>
      </c>
      <c r="F80" s="10">
        <f>(R80/$B80)+(R80/'Optimal Choice'!$B$21)</f>
        <v>49.41753894</v>
      </c>
      <c r="G80" s="10">
        <f>(S80/$B80)+(S80/'Optimal Choice'!$B$26)</f>
        <v>91.68580206</v>
      </c>
      <c r="I80" s="11">
        <f t="shared" ref="I80:M80" si="79">if(min($C79:$G79)=C79,I79+1,I79)</f>
        <v>43</v>
      </c>
      <c r="J80" s="11">
        <f t="shared" si="79"/>
        <v>19</v>
      </c>
      <c r="K80" s="11">
        <f t="shared" si="79"/>
        <v>13</v>
      </c>
      <c r="L80" s="11">
        <f t="shared" si="79"/>
        <v>4</v>
      </c>
      <c r="M80" s="11">
        <f t="shared" si="79"/>
        <v>0</v>
      </c>
      <c r="O80" s="12">
        <f> 'Optimal Choice'!$B$7*'Optimal Choice'!$B$8^(I80+1)</f>
        <v>78.51383835</v>
      </c>
      <c r="P80" s="12">
        <f> 'Optimal Choice'!$B$12*'Optimal Choice'!$B$13^(J80+1)</f>
        <v>981.9922436</v>
      </c>
      <c r="Q80" s="12">
        <f> 'Optimal Choice'!$B$17*'Optimal Choice'!$B$18^(K80+1)</f>
        <v>4508.171355</v>
      </c>
      <c r="R80" s="12">
        <f> 'Optimal Choice'!$B$22*'Optimal Choice'!$B$23^(L80+1)</f>
        <v>15918.63995</v>
      </c>
      <c r="S80" s="12">
        <f> 'Optimal Choice'!$B$27*'Optimal Choice'!$B$28^(M80+1)</f>
        <v>116121.6</v>
      </c>
    </row>
    <row r="81" ht="15.75" customHeight="1">
      <c r="A81" s="10">
        <f t="shared" si="2"/>
        <v>1.405560363</v>
      </c>
      <c r="B81" s="6">
        <f>(I81*'Optimal Choice'!$B$6+J81*'Optimal Choice'!$B$11+K81*'Optimal Choice'!$B$16+L81*'Optimal Choice'!$B$21+M81*'Optimal Choice'!$B$26)*'Optimal Choice'!$B$30</f>
        <v>3063.48</v>
      </c>
      <c r="C81" s="10">
        <f>(O81/$B81)+(O81/'Optimal Choice'!$B$6)</f>
        <v>50.33269667</v>
      </c>
      <c r="D81" s="10">
        <f>(P81/$B81)+(P81/'Optimal Choice'!$B$11)</f>
        <v>49.42016013</v>
      </c>
      <c r="E81" s="10">
        <f>(Q81/$B81)+(Q81/'Optimal Choice'!$B$16)</f>
        <v>51.56237788</v>
      </c>
      <c r="F81" s="10">
        <f>(R81/$B81)+(R81/'Optimal Choice'!$B$21)</f>
        <v>49.41470475</v>
      </c>
      <c r="G81" s="10">
        <f>(S81/$B81)+(S81/'Optimal Choice'!$B$26)</f>
        <v>91.6651275</v>
      </c>
      <c r="I81" s="11">
        <f t="shared" ref="I81:M81" si="80">if(min($C80:$G80)=C80,I80+1,I80)</f>
        <v>44</v>
      </c>
      <c r="J81" s="11">
        <f t="shared" si="80"/>
        <v>19</v>
      </c>
      <c r="K81" s="11">
        <f t="shared" si="80"/>
        <v>13</v>
      </c>
      <c r="L81" s="11">
        <f t="shared" si="80"/>
        <v>4</v>
      </c>
      <c r="M81" s="11">
        <f t="shared" si="80"/>
        <v>0</v>
      </c>
      <c r="O81" s="12">
        <f> 'Optimal Choice'!$B$7*'Optimal Choice'!$B$8^(I81+1)</f>
        <v>84.00980703</v>
      </c>
      <c r="P81" s="12">
        <f> 'Optimal Choice'!$B$12*'Optimal Choice'!$B$13^(J81+1)</f>
        <v>981.9922436</v>
      </c>
      <c r="Q81" s="12">
        <f> 'Optimal Choice'!$B$17*'Optimal Choice'!$B$18^(K81+1)</f>
        <v>4508.171355</v>
      </c>
      <c r="R81" s="12">
        <f> 'Optimal Choice'!$B$22*'Optimal Choice'!$B$23^(L81+1)</f>
        <v>15918.63995</v>
      </c>
      <c r="S81" s="12">
        <f> 'Optimal Choice'!$B$27*'Optimal Choice'!$B$28^(M81+1)</f>
        <v>116121.6</v>
      </c>
    </row>
    <row r="82" ht="15.75" customHeight="1">
      <c r="A82" s="10">
        <f t="shared" si="2"/>
        <v>1.492164703</v>
      </c>
      <c r="B82" s="6">
        <f>(I82*'Optimal Choice'!$B$6+J82*'Optimal Choice'!$B$11+K82*'Optimal Choice'!$B$16+L82*'Optimal Choice'!$B$21+M82*'Optimal Choice'!$B$26)*'Optimal Choice'!$B$30</f>
        <v>3423.48</v>
      </c>
      <c r="C82" s="10">
        <f>(O82/$B82)+(O82/'Optimal Choice'!$B$6)</f>
        <v>50.32981297</v>
      </c>
      <c r="D82" s="10">
        <f>(P82/$B82)+(P82/'Optimal Choice'!$B$11)</f>
        <v>49.38645254</v>
      </c>
      <c r="E82" s="10">
        <f>(Q82/$B82)+(Q82/'Optimal Choice'!$B$16)</f>
        <v>51.40763165</v>
      </c>
      <c r="F82" s="10">
        <f>(R82/$B82)+(R82/'Optimal Choice'!$B$21)</f>
        <v>55.22116315</v>
      </c>
      <c r="G82" s="10">
        <f>(S82/$B82)+(S82/'Optimal Choice'!$B$26)</f>
        <v>87.67916997</v>
      </c>
      <c r="I82" s="11">
        <f t="shared" ref="I82:M82" si="81">if(min($C81:$G81)=C81,I81+1,I81)</f>
        <v>44</v>
      </c>
      <c r="J82" s="11">
        <f t="shared" si="81"/>
        <v>19</v>
      </c>
      <c r="K82" s="11">
        <f t="shared" si="81"/>
        <v>13</v>
      </c>
      <c r="L82" s="11">
        <f t="shared" si="81"/>
        <v>5</v>
      </c>
      <c r="M82" s="11">
        <f t="shared" si="81"/>
        <v>0</v>
      </c>
      <c r="O82" s="12">
        <f> 'Optimal Choice'!$B$7*'Optimal Choice'!$B$8^(I82+1)</f>
        <v>84.00980703</v>
      </c>
      <c r="P82" s="12">
        <f> 'Optimal Choice'!$B$12*'Optimal Choice'!$B$13^(J82+1)</f>
        <v>981.9922436</v>
      </c>
      <c r="Q82" s="12">
        <f> 'Optimal Choice'!$B$17*'Optimal Choice'!$B$18^(K82+1)</f>
        <v>4508.171355</v>
      </c>
      <c r="R82" s="12">
        <f> 'Optimal Choice'!$B$22*'Optimal Choice'!$B$23^(L82+1)</f>
        <v>17988.06314</v>
      </c>
      <c r="S82" s="12">
        <f> 'Optimal Choice'!$B$27*'Optimal Choice'!$B$28^(M82+1)</f>
        <v>116121.6</v>
      </c>
    </row>
    <row r="83" ht="15.75" customHeight="1">
      <c r="A83" s="10">
        <f t="shared" si="2"/>
        <v>1.496945376</v>
      </c>
      <c r="B83" s="6">
        <f>(I83*'Optimal Choice'!$B$6+J83*'Optimal Choice'!$B$11+K83*'Optimal Choice'!$B$16+L83*'Optimal Choice'!$B$21+M83*'Optimal Choice'!$B$26)*'Optimal Choice'!$B$30</f>
        <v>3443.48</v>
      </c>
      <c r="C83" s="10">
        <f>(O83/$B83)+(O83/'Optimal Choice'!$B$6)</f>
        <v>50.32967045</v>
      </c>
      <c r="D83" s="10">
        <f>(P83/$B83)+(P83/'Optimal Choice'!$B$11)</f>
        <v>56.79250453</v>
      </c>
      <c r="E83" s="10">
        <f>(Q83/$B83)+(Q83/'Optimal Choice'!$B$16)</f>
        <v>51.39998335</v>
      </c>
      <c r="F83" s="10">
        <f>(R83/$B83)+(R83/'Optimal Choice'!$B$21)</f>
        <v>55.19064564</v>
      </c>
      <c r="G83" s="10">
        <f>(S83/$B83)+(S83/'Optimal Choice'!$B$26)</f>
        <v>87.48216479</v>
      </c>
      <c r="I83" s="11">
        <f t="shared" ref="I83:M83" si="82">if(min($C82:$G82)=C82,I82+1,I82)</f>
        <v>44</v>
      </c>
      <c r="J83" s="11">
        <f t="shared" si="82"/>
        <v>20</v>
      </c>
      <c r="K83" s="11">
        <f t="shared" si="82"/>
        <v>13</v>
      </c>
      <c r="L83" s="11">
        <f t="shared" si="82"/>
        <v>5</v>
      </c>
      <c r="M83" s="11">
        <f t="shared" si="82"/>
        <v>0</v>
      </c>
      <c r="O83" s="12">
        <f> 'Optimal Choice'!$B$7*'Optimal Choice'!$B$8^(I83+1)</f>
        <v>84.00980703</v>
      </c>
      <c r="P83" s="12">
        <f> 'Optimal Choice'!$B$12*'Optimal Choice'!$B$13^(J83+1)</f>
        <v>1129.29108</v>
      </c>
      <c r="Q83" s="12">
        <f> 'Optimal Choice'!$B$17*'Optimal Choice'!$B$18^(K83+1)</f>
        <v>4508.171355</v>
      </c>
      <c r="R83" s="12">
        <f> 'Optimal Choice'!$B$22*'Optimal Choice'!$B$23^(L83+1)</f>
        <v>17988.06314</v>
      </c>
      <c r="S83" s="12">
        <f> 'Optimal Choice'!$B$27*'Optimal Choice'!$B$28^(M83+1)</f>
        <v>116121.6</v>
      </c>
    </row>
    <row r="84" ht="15.75" customHeight="1">
      <c r="A84" s="10">
        <f t="shared" si="2"/>
        <v>1.497351989</v>
      </c>
      <c r="B84" s="6">
        <f>(I84*'Optimal Choice'!$B$6+J84*'Optimal Choice'!$B$11+K84*'Optimal Choice'!$B$16+L84*'Optimal Choice'!$B$21+M84*'Optimal Choice'!$B$26)*'Optimal Choice'!$B$30</f>
        <v>3445.15</v>
      </c>
      <c r="C84" s="10">
        <f>(O84/$B84)+(O84/'Optimal Choice'!$B$6)</f>
        <v>53.85273473</v>
      </c>
      <c r="D84" s="10">
        <f>(P84/$B84)+(P84/'Optimal Choice'!$B$11)</f>
        <v>56.79234556</v>
      </c>
      <c r="E84" s="10">
        <f>(Q84/$B84)+(Q84/'Optimal Choice'!$B$16)</f>
        <v>51.39934873</v>
      </c>
      <c r="F84" s="10">
        <f>(R84/$B84)+(R84/'Optimal Choice'!$B$21)</f>
        <v>55.18811346</v>
      </c>
      <c r="G84" s="10">
        <f>(S84/$B84)+(S84/'Optimal Choice'!$B$26)</f>
        <v>87.46581832</v>
      </c>
      <c r="I84" s="11">
        <f t="shared" ref="I84:M84" si="83">if(min($C83:$G83)=C83,I83+1,I83)</f>
        <v>45</v>
      </c>
      <c r="J84" s="11">
        <f t="shared" si="83"/>
        <v>20</v>
      </c>
      <c r="K84" s="11">
        <f t="shared" si="83"/>
        <v>13</v>
      </c>
      <c r="L84" s="11">
        <f t="shared" si="83"/>
        <v>5</v>
      </c>
      <c r="M84" s="11">
        <f t="shared" si="83"/>
        <v>0</v>
      </c>
      <c r="O84" s="12">
        <f> 'Optimal Choice'!$B$7*'Optimal Choice'!$B$8^(I84+1)</f>
        <v>89.89049353</v>
      </c>
      <c r="P84" s="12">
        <f> 'Optimal Choice'!$B$12*'Optimal Choice'!$B$13^(J84+1)</f>
        <v>1129.29108</v>
      </c>
      <c r="Q84" s="12">
        <f> 'Optimal Choice'!$B$17*'Optimal Choice'!$B$18^(K84+1)</f>
        <v>4508.171355</v>
      </c>
      <c r="R84" s="12">
        <f> 'Optimal Choice'!$B$22*'Optimal Choice'!$B$23^(L84+1)</f>
        <v>17988.06314</v>
      </c>
      <c r="S84" s="12">
        <f> 'Optimal Choice'!$B$27*'Optimal Choice'!$B$28^(M84+1)</f>
        <v>116121.6</v>
      </c>
    </row>
    <row r="85" ht="15.75" customHeight="1">
      <c r="A85" s="10">
        <f t="shared" si="2"/>
        <v>1.519161254</v>
      </c>
      <c r="B85" s="6">
        <f>(I85*'Optimal Choice'!$B$6+J85*'Optimal Choice'!$B$11+K85*'Optimal Choice'!$B$16+L85*'Optimal Choice'!$B$21+M85*'Optimal Choice'!$B$26)*'Optimal Choice'!$B$30</f>
        <v>3535.15</v>
      </c>
      <c r="C85" s="10">
        <f>(O85/$B85)+(O85/'Optimal Choice'!$B$6)</f>
        <v>53.85207046</v>
      </c>
      <c r="D85" s="10">
        <f>(P85/$B85)+(P85/'Optimal Choice'!$B$11)</f>
        <v>56.78400045</v>
      </c>
      <c r="E85" s="10">
        <f>(Q85/$B85)+(Q85/'Optimal Choice'!$B$16)</f>
        <v>58.55727958</v>
      </c>
      <c r="F85" s="10">
        <f>(R85/$B85)+(R85/'Optimal Choice'!$B$21)</f>
        <v>55.05518715</v>
      </c>
      <c r="G85" s="10">
        <f>(S85/$B85)+(S85/'Optimal Choice'!$B$26)</f>
        <v>86.60771509</v>
      </c>
      <c r="I85" s="11">
        <f t="shared" ref="I85:M85" si="84">if(min($C84:$G84)=C84,I84+1,I84)</f>
        <v>45</v>
      </c>
      <c r="J85" s="11">
        <f t="shared" si="84"/>
        <v>20</v>
      </c>
      <c r="K85" s="11">
        <f t="shared" si="84"/>
        <v>14</v>
      </c>
      <c r="L85" s="11">
        <f t="shared" si="84"/>
        <v>5</v>
      </c>
      <c r="M85" s="11">
        <f t="shared" si="84"/>
        <v>0</v>
      </c>
      <c r="O85" s="12">
        <f> 'Optimal Choice'!$B$7*'Optimal Choice'!$B$8^(I85+1)</f>
        <v>89.89049353</v>
      </c>
      <c r="P85" s="12">
        <f> 'Optimal Choice'!$B$12*'Optimal Choice'!$B$13^(J85+1)</f>
        <v>1129.29108</v>
      </c>
      <c r="Q85" s="12">
        <f> 'Optimal Choice'!$B$17*'Optimal Choice'!$B$18^(K85+1)</f>
        <v>5139.315344</v>
      </c>
      <c r="R85" s="12">
        <f> 'Optimal Choice'!$B$22*'Optimal Choice'!$B$23^(L85+1)</f>
        <v>17988.06314</v>
      </c>
      <c r="S85" s="12">
        <f> 'Optimal Choice'!$B$27*'Optimal Choice'!$B$28^(M85+1)</f>
        <v>116121.6</v>
      </c>
    </row>
    <row r="86" ht="15.75" customHeight="1">
      <c r="A86" s="10">
        <f t="shared" si="2"/>
        <v>1.519585048</v>
      </c>
      <c r="B86" s="6">
        <f>(I86*'Optimal Choice'!$B$6+J86*'Optimal Choice'!$B$11+K86*'Optimal Choice'!$B$16+L86*'Optimal Choice'!$B$21+M86*'Optimal Choice'!$B$26)*'Optimal Choice'!$B$30</f>
        <v>3536.82</v>
      </c>
      <c r="C86" s="10">
        <f>(O86/$B86)+(O86/'Optimal Choice'!$B$6)</f>
        <v>57.62170255</v>
      </c>
      <c r="D86" s="10">
        <f>(P86/$B86)+(P86/'Optimal Choice'!$B$11)</f>
        <v>56.78384961</v>
      </c>
      <c r="E86" s="10">
        <f>(Q86/$B86)+(Q86/'Optimal Choice'!$B$16)</f>
        <v>58.55659314</v>
      </c>
      <c r="F86" s="10">
        <f>(R86/$B86)+(R86/'Optimal Choice'!$B$21)</f>
        <v>55.05278456</v>
      </c>
      <c r="G86" s="10">
        <f>(S86/$B86)+(S86/'Optimal Choice'!$B$26)</f>
        <v>86.5922052</v>
      </c>
      <c r="I86" s="11">
        <f t="shared" ref="I86:M86" si="85">if(min($C85:$G85)=C85,I85+1,I85)</f>
        <v>46</v>
      </c>
      <c r="J86" s="11">
        <f t="shared" si="85"/>
        <v>20</v>
      </c>
      <c r="K86" s="11">
        <f t="shared" si="85"/>
        <v>14</v>
      </c>
      <c r="L86" s="11">
        <f t="shared" si="85"/>
        <v>5</v>
      </c>
      <c r="M86" s="11">
        <f t="shared" si="85"/>
        <v>0</v>
      </c>
      <c r="O86" s="12">
        <f> 'Optimal Choice'!$B$7*'Optimal Choice'!$B$8^(I86+1)</f>
        <v>96.18282807</v>
      </c>
      <c r="P86" s="12">
        <f> 'Optimal Choice'!$B$12*'Optimal Choice'!$B$13^(J86+1)</f>
        <v>1129.29108</v>
      </c>
      <c r="Q86" s="12">
        <f> 'Optimal Choice'!$B$17*'Optimal Choice'!$B$18^(K86+1)</f>
        <v>5139.315344</v>
      </c>
      <c r="R86" s="12">
        <f> 'Optimal Choice'!$B$22*'Optimal Choice'!$B$23^(L86+1)</f>
        <v>17988.06314</v>
      </c>
      <c r="S86" s="12">
        <f> 'Optimal Choice'!$B$27*'Optimal Choice'!$B$28^(M86+1)</f>
        <v>116121.6</v>
      </c>
    </row>
    <row r="87" ht="15.75" customHeight="1">
      <c r="A87" s="10">
        <f t="shared" si="2"/>
        <v>1.604350756</v>
      </c>
      <c r="B87" s="6">
        <f>(I87*'Optimal Choice'!$B$6+J87*'Optimal Choice'!$B$11+K87*'Optimal Choice'!$B$16+L87*'Optimal Choice'!$B$21+M87*'Optimal Choice'!$B$26)*'Optimal Choice'!$B$30</f>
        <v>3896.82</v>
      </c>
      <c r="C87" s="10">
        <f>(O87/$B87)+(O87/'Optimal Choice'!$B$6)</f>
        <v>57.61919022</v>
      </c>
      <c r="D87" s="10">
        <f>(P87/$B87)+(P87/'Optimal Choice'!$B$11)</f>
        <v>56.75435212</v>
      </c>
      <c r="E87" s="10">
        <f>(Q87/$B87)+(Q87/'Optimal Choice'!$B$16)</f>
        <v>58.42235236</v>
      </c>
      <c r="F87" s="10">
        <f>(R87/$B87)+(R87/'Optimal Choice'!$B$21)</f>
        <v>61.67871071</v>
      </c>
      <c r="G87" s="10">
        <f>(S87/$B87)+(S87/'Optimal Choice'!$B$26)</f>
        <v>83.55906693</v>
      </c>
      <c r="I87" s="11">
        <f t="shared" ref="I87:M87" si="86">if(min($C86:$G86)=C86,I86+1,I86)</f>
        <v>46</v>
      </c>
      <c r="J87" s="11">
        <f t="shared" si="86"/>
        <v>20</v>
      </c>
      <c r="K87" s="11">
        <f t="shared" si="86"/>
        <v>14</v>
      </c>
      <c r="L87" s="11">
        <f t="shared" si="86"/>
        <v>6</v>
      </c>
      <c r="M87" s="11">
        <f t="shared" si="86"/>
        <v>0</v>
      </c>
      <c r="O87" s="12">
        <f> 'Optimal Choice'!$B$7*'Optimal Choice'!$B$8^(I87+1)</f>
        <v>96.18282807</v>
      </c>
      <c r="P87" s="12">
        <f> 'Optimal Choice'!$B$12*'Optimal Choice'!$B$13^(J87+1)</f>
        <v>1129.29108</v>
      </c>
      <c r="Q87" s="12">
        <f> 'Optimal Choice'!$B$17*'Optimal Choice'!$B$18^(K87+1)</f>
        <v>5139.315344</v>
      </c>
      <c r="R87" s="12">
        <f> 'Optimal Choice'!$B$22*'Optimal Choice'!$B$23^(L87+1)</f>
        <v>20326.51135</v>
      </c>
      <c r="S87" s="12">
        <f> 'Optimal Choice'!$B$27*'Optimal Choice'!$B$28^(M87+1)</f>
        <v>116121.6</v>
      </c>
    </row>
    <row r="88" ht="15.75" customHeight="1">
      <c r="A88" s="10">
        <f t="shared" si="2"/>
        <v>1.609180725</v>
      </c>
      <c r="B88" s="6">
        <f>(I88*'Optimal Choice'!$B$6+J88*'Optimal Choice'!$B$11+K88*'Optimal Choice'!$B$16+L88*'Optimal Choice'!$B$21+M88*'Optimal Choice'!$B$26)*'Optimal Choice'!$B$30</f>
        <v>3916.82</v>
      </c>
      <c r="C88" s="10">
        <f>(O88/$B88)+(O88/'Optimal Choice'!$B$6)</f>
        <v>57.61906419</v>
      </c>
      <c r="D88" s="10">
        <f>(P88/$B88)+(P88/'Optimal Choice'!$B$11)</f>
        <v>65.26580321</v>
      </c>
      <c r="E88" s="10">
        <f>(Q88/$B88)+(Q88/'Optimal Choice'!$B$16)</f>
        <v>58.41561808</v>
      </c>
      <c r="F88" s="10">
        <f>(R88/$B88)+(R88/'Optimal Choice'!$B$21)</f>
        <v>61.65207594</v>
      </c>
      <c r="G88" s="10">
        <f>(S88/$B88)+(S88/'Optimal Choice'!$B$26)</f>
        <v>83.40690744</v>
      </c>
      <c r="I88" s="11">
        <f t="shared" ref="I88:M88" si="87">if(min($C87:$G87)=C87,I87+1,I87)</f>
        <v>46</v>
      </c>
      <c r="J88" s="11">
        <f t="shared" si="87"/>
        <v>21</v>
      </c>
      <c r="K88" s="11">
        <f t="shared" si="87"/>
        <v>14</v>
      </c>
      <c r="L88" s="11">
        <f t="shared" si="87"/>
        <v>6</v>
      </c>
      <c r="M88" s="11">
        <f t="shared" si="87"/>
        <v>0</v>
      </c>
      <c r="O88" s="12">
        <f> 'Optimal Choice'!$B$7*'Optimal Choice'!$B$8^(I88+1)</f>
        <v>96.18282807</v>
      </c>
      <c r="P88" s="12">
        <f> 'Optimal Choice'!$B$12*'Optimal Choice'!$B$13^(J88+1)</f>
        <v>1298.684742</v>
      </c>
      <c r="Q88" s="12">
        <f> 'Optimal Choice'!$B$17*'Optimal Choice'!$B$18^(K88+1)</f>
        <v>5139.315344</v>
      </c>
      <c r="R88" s="12">
        <f> 'Optimal Choice'!$B$22*'Optimal Choice'!$B$23^(L88+1)</f>
        <v>20326.51135</v>
      </c>
      <c r="S88" s="12">
        <f> 'Optimal Choice'!$B$27*'Optimal Choice'!$B$28^(M88+1)</f>
        <v>116121.6</v>
      </c>
    </row>
    <row r="89" ht="15.75" customHeight="1">
      <c r="A89" s="10">
        <f t="shared" si="2"/>
        <v>1.609589997</v>
      </c>
      <c r="B89" s="6">
        <f>(I89*'Optimal Choice'!$B$6+J89*'Optimal Choice'!$B$11+K89*'Optimal Choice'!$B$16+L89*'Optimal Choice'!$B$21+M89*'Optimal Choice'!$B$26)*'Optimal Choice'!$B$30</f>
        <v>3918.49</v>
      </c>
      <c r="C89" s="10">
        <f>(O89/$B89)+(O89/'Optimal Choice'!$B$6)</f>
        <v>61.65238748</v>
      </c>
      <c r="D89" s="10">
        <f>(P89/$B89)+(P89/'Optimal Choice'!$B$11)</f>
        <v>65.2656619</v>
      </c>
      <c r="E89" s="10">
        <f>(Q89/$B89)+(Q89/'Optimal Choice'!$B$16)</f>
        <v>58.41505888</v>
      </c>
      <c r="F89" s="10">
        <f>(R89/$B89)+(R89/'Optimal Choice'!$B$21)</f>
        <v>61.64986424</v>
      </c>
      <c r="G89" s="10">
        <f>(S89/$B89)+(S89/'Optimal Choice'!$B$26)</f>
        <v>83.39427239</v>
      </c>
      <c r="I89" s="11">
        <f t="shared" ref="I89:M89" si="88">if(min($C88:$G88)=C88,I88+1,I88)</f>
        <v>47</v>
      </c>
      <c r="J89" s="11">
        <f t="shared" si="88"/>
        <v>21</v>
      </c>
      <c r="K89" s="11">
        <f t="shared" si="88"/>
        <v>14</v>
      </c>
      <c r="L89" s="11">
        <f t="shared" si="88"/>
        <v>6</v>
      </c>
      <c r="M89" s="11">
        <f t="shared" si="88"/>
        <v>0</v>
      </c>
      <c r="O89" s="12">
        <f> 'Optimal Choice'!$B$7*'Optimal Choice'!$B$8^(I89+1)</f>
        <v>102.915626</v>
      </c>
      <c r="P89" s="12">
        <f> 'Optimal Choice'!$B$12*'Optimal Choice'!$B$13^(J89+1)</f>
        <v>1298.684742</v>
      </c>
      <c r="Q89" s="12">
        <f> 'Optimal Choice'!$B$17*'Optimal Choice'!$B$18^(K89+1)</f>
        <v>5139.315344</v>
      </c>
      <c r="R89" s="12">
        <f> 'Optimal Choice'!$B$22*'Optimal Choice'!$B$23^(L89+1)</f>
        <v>20326.51135</v>
      </c>
      <c r="S89" s="12">
        <f> 'Optimal Choice'!$B$27*'Optimal Choice'!$B$28^(M89+1)</f>
        <v>116121.6</v>
      </c>
    </row>
    <row r="90" ht="15.75" customHeight="1">
      <c r="A90" s="10">
        <f t="shared" si="2"/>
        <v>1.631449248</v>
      </c>
      <c r="B90" s="6">
        <f>(I90*'Optimal Choice'!$B$6+J90*'Optimal Choice'!$B$11+K90*'Optimal Choice'!$B$16+L90*'Optimal Choice'!$B$21+M90*'Optimal Choice'!$B$26)*'Optimal Choice'!$B$30</f>
        <v>4008.49</v>
      </c>
      <c r="C90" s="10">
        <f>(O90/$B90)+(O90/'Optimal Choice'!$B$6)</f>
        <v>61.65179779</v>
      </c>
      <c r="D90" s="10">
        <f>(P90/$B90)+(P90/'Optimal Choice'!$B$11)</f>
        <v>65.25822064</v>
      </c>
      <c r="E90" s="10">
        <f>(Q90/$B90)+(Q90/'Optimal Choice'!$B$16)</f>
        <v>66.55959698</v>
      </c>
      <c r="F90" s="10">
        <f>(R90/$B90)+(R90/'Optimal Choice'!$B$21)</f>
        <v>61.53339646</v>
      </c>
      <c r="G90" s="10">
        <f>(S90/$B90)+(S90/'Optimal Choice'!$B$26)</f>
        <v>82.72891348</v>
      </c>
      <c r="I90" s="11">
        <f t="shared" ref="I90:M90" si="89">if(min($C89:$G89)=C89,I89+1,I89)</f>
        <v>47</v>
      </c>
      <c r="J90" s="11">
        <f t="shared" si="89"/>
        <v>21</v>
      </c>
      <c r="K90" s="11">
        <f t="shared" si="89"/>
        <v>15</v>
      </c>
      <c r="L90" s="11">
        <f t="shared" si="89"/>
        <v>6</v>
      </c>
      <c r="M90" s="11">
        <f t="shared" si="89"/>
        <v>0</v>
      </c>
      <c r="O90" s="12">
        <f> 'Optimal Choice'!$B$7*'Optimal Choice'!$B$8^(I90+1)</f>
        <v>102.915626</v>
      </c>
      <c r="P90" s="12">
        <f> 'Optimal Choice'!$B$12*'Optimal Choice'!$B$13^(J90+1)</f>
        <v>1298.684742</v>
      </c>
      <c r="Q90" s="12">
        <f> 'Optimal Choice'!$B$17*'Optimal Choice'!$B$18^(K90+1)</f>
        <v>5858.819493</v>
      </c>
      <c r="R90" s="12">
        <f> 'Optimal Choice'!$B$22*'Optimal Choice'!$B$23^(L90+1)</f>
        <v>20326.51135</v>
      </c>
      <c r="S90" s="12">
        <f> 'Optimal Choice'!$B$27*'Optimal Choice'!$B$28^(M90+1)</f>
        <v>116121.6</v>
      </c>
    </row>
    <row r="91" ht="15.75" customHeight="1">
      <c r="A91" s="10">
        <f t="shared" si="2"/>
        <v>1.715963664</v>
      </c>
      <c r="B91" s="6">
        <f>(I91*'Optimal Choice'!$B$6+J91*'Optimal Choice'!$B$11+K91*'Optimal Choice'!$B$16+L91*'Optimal Choice'!$B$21+M91*'Optimal Choice'!$B$26)*'Optimal Choice'!$B$30</f>
        <v>4368.49</v>
      </c>
      <c r="C91" s="10">
        <f>(O91/$B91)+(O91/'Optimal Choice'!$B$6)</f>
        <v>61.649682</v>
      </c>
      <c r="D91" s="10">
        <f>(P91/$B91)+(P91/'Optimal Choice'!$B$11)</f>
        <v>65.23152169</v>
      </c>
      <c r="E91" s="10">
        <f>(Q91/$B91)+(Q91/'Optimal Choice'!$B$16)</f>
        <v>66.43914874</v>
      </c>
      <c r="F91" s="10">
        <f>(R91/$B91)+(R91/'Optimal Choice'!$B$21)</f>
        <v>69.06053185</v>
      </c>
      <c r="G91" s="10">
        <f>(S91/$B91)+(S91/'Optimal Choice'!$B$26)</f>
        <v>80.34163347</v>
      </c>
      <c r="I91" s="11">
        <f t="shared" ref="I91:M91" si="90">if(min($C90:$G90)=C90,I90+1,I90)</f>
        <v>47</v>
      </c>
      <c r="J91" s="11">
        <f t="shared" si="90"/>
        <v>21</v>
      </c>
      <c r="K91" s="11">
        <f t="shared" si="90"/>
        <v>15</v>
      </c>
      <c r="L91" s="11">
        <f t="shared" si="90"/>
        <v>7</v>
      </c>
      <c r="M91" s="11">
        <f t="shared" si="90"/>
        <v>0</v>
      </c>
      <c r="O91" s="12">
        <f> 'Optimal Choice'!$B$7*'Optimal Choice'!$B$8^(I91+1)</f>
        <v>102.915626</v>
      </c>
      <c r="P91" s="12">
        <f> 'Optimal Choice'!$B$12*'Optimal Choice'!$B$13^(J91+1)</f>
        <v>1298.684742</v>
      </c>
      <c r="Q91" s="12">
        <f> 'Optimal Choice'!$B$17*'Optimal Choice'!$B$18^(K91+1)</f>
        <v>5858.819493</v>
      </c>
      <c r="R91" s="12">
        <f> 'Optimal Choice'!$B$22*'Optimal Choice'!$B$23^(L91+1)</f>
        <v>22968.95783</v>
      </c>
      <c r="S91" s="12">
        <f> 'Optimal Choice'!$B$27*'Optimal Choice'!$B$28^(M91+1)</f>
        <v>116121.6</v>
      </c>
    </row>
    <row r="92" ht="15.75" customHeight="1">
      <c r="A92" s="10">
        <f t="shared" si="2"/>
        <v>1.716356307</v>
      </c>
      <c r="B92" s="6">
        <f>(I92*'Optimal Choice'!$B$6+J92*'Optimal Choice'!$B$11+K92*'Optimal Choice'!$B$16+L92*'Optimal Choice'!$B$21+M92*'Optimal Choice'!$B$26)*'Optimal Choice'!$B$30</f>
        <v>4370.16</v>
      </c>
      <c r="C92" s="10">
        <f>(O92/$B92)+(O92/'Optimal Choice'!$B$6)</f>
        <v>65.96515011</v>
      </c>
      <c r="D92" s="10">
        <f>(P92/$B92)+(P92/'Optimal Choice'!$B$11)</f>
        <v>65.23140809</v>
      </c>
      <c r="E92" s="10">
        <f>(Q92/$B92)+(Q92/'Optimal Choice'!$B$16)</f>
        <v>66.43863624</v>
      </c>
      <c r="F92" s="10">
        <f>(R92/$B92)+(R92/'Optimal Choice'!$B$21)</f>
        <v>69.05852262</v>
      </c>
      <c r="G92" s="10">
        <f>(S92/$B92)+(S92/'Optimal Choice'!$B$26)</f>
        <v>80.33147564</v>
      </c>
      <c r="I92" s="11">
        <f t="shared" ref="I92:M92" si="91">if(min($C91:$G91)=C91,I91+1,I91)</f>
        <v>48</v>
      </c>
      <c r="J92" s="11">
        <f t="shared" si="91"/>
        <v>21</v>
      </c>
      <c r="K92" s="11">
        <f t="shared" si="91"/>
        <v>15</v>
      </c>
      <c r="L92" s="11">
        <f t="shared" si="91"/>
        <v>7</v>
      </c>
      <c r="M92" s="11">
        <f t="shared" si="91"/>
        <v>0</v>
      </c>
      <c r="O92" s="12">
        <f> 'Optimal Choice'!$B$7*'Optimal Choice'!$B$8^(I92+1)</f>
        <v>110.1197199</v>
      </c>
      <c r="P92" s="12">
        <f> 'Optimal Choice'!$B$12*'Optimal Choice'!$B$13^(J92+1)</f>
        <v>1298.684742</v>
      </c>
      <c r="Q92" s="12">
        <f> 'Optimal Choice'!$B$17*'Optimal Choice'!$B$18^(K92+1)</f>
        <v>5858.819493</v>
      </c>
      <c r="R92" s="12">
        <f> 'Optimal Choice'!$B$22*'Optimal Choice'!$B$23^(L92+1)</f>
        <v>22968.95783</v>
      </c>
      <c r="S92" s="12">
        <f> 'Optimal Choice'!$B$27*'Optimal Choice'!$B$28^(M92+1)</f>
        <v>116121.6</v>
      </c>
    </row>
    <row r="93" ht="15.75" customHeight="1">
      <c r="A93" s="10">
        <f t="shared" si="2"/>
        <v>1.721309157</v>
      </c>
      <c r="B93" s="6">
        <f>(I93*'Optimal Choice'!$B$6+J93*'Optimal Choice'!$B$11+K93*'Optimal Choice'!$B$16+L93*'Optimal Choice'!$B$21+M93*'Optimal Choice'!$B$26)*'Optimal Choice'!$B$30</f>
        <v>4390.16</v>
      </c>
      <c r="C93" s="10">
        <f>(O93/$B93)+(O93/'Optimal Choice'!$B$6)</f>
        <v>65.96503532</v>
      </c>
      <c r="D93" s="10">
        <f>(P93/$B93)+(P93/'Optimal Choice'!$B$11)</f>
        <v>75.01456243</v>
      </c>
      <c r="E93" s="10">
        <f>(Q93/$B93)+(Q93/'Optimal Choice'!$B$16)</f>
        <v>66.43252875</v>
      </c>
      <c r="F93" s="10">
        <f>(R93/$B93)+(R93/'Optimal Choice'!$B$21)</f>
        <v>69.03457879</v>
      </c>
      <c r="G93" s="10">
        <f>(S93/$B93)+(S93/'Optimal Choice'!$B$26)</f>
        <v>80.2104255</v>
      </c>
      <c r="I93" s="11">
        <f t="shared" ref="I93:M93" si="92">if(min($C92:$G92)=C92,I92+1,I92)</f>
        <v>48</v>
      </c>
      <c r="J93" s="11">
        <f t="shared" si="92"/>
        <v>22</v>
      </c>
      <c r="K93" s="11">
        <f t="shared" si="92"/>
        <v>15</v>
      </c>
      <c r="L93" s="11">
        <f t="shared" si="92"/>
        <v>7</v>
      </c>
      <c r="M93" s="11">
        <f t="shared" si="92"/>
        <v>0</v>
      </c>
      <c r="O93" s="12">
        <f> 'Optimal Choice'!$B$7*'Optimal Choice'!$B$8^(I93+1)</f>
        <v>110.1197199</v>
      </c>
      <c r="P93" s="12">
        <f> 'Optimal Choice'!$B$12*'Optimal Choice'!$B$13^(J93+1)</f>
        <v>1493.487453</v>
      </c>
      <c r="Q93" s="12">
        <f> 'Optimal Choice'!$B$17*'Optimal Choice'!$B$18^(K93+1)</f>
        <v>5858.819493</v>
      </c>
      <c r="R93" s="12">
        <f> 'Optimal Choice'!$B$22*'Optimal Choice'!$B$23^(L93+1)</f>
        <v>22968.95783</v>
      </c>
      <c r="S93" s="12">
        <f> 'Optimal Choice'!$B$27*'Optimal Choice'!$B$28^(M93+1)</f>
        <v>116121.6</v>
      </c>
    </row>
    <row r="94" ht="15.75" customHeight="1">
      <c r="A94" s="10">
        <f t="shared" si="2"/>
        <v>1.721727212</v>
      </c>
      <c r="B94" s="6">
        <f>(I94*'Optimal Choice'!$B$6+J94*'Optimal Choice'!$B$11+K94*'Optimal Choice'!$B$16+L94*'Optimal Choice'!$B$21+M94*'Optimal Choice'!$B$26)*'Optimal Choice'!$B$30</f>
        <v>4391.83</v>
      </c>
      <c r="C94" s="10">
        <f>(O94/$B94)+(O94/'Optimal Choice'!$B$6)</f>
        <v>70.58257758</v>
      </c>
      <c r="D94" s="10">
        <f>(P94/$B94)+(P94/'Optimal Choice'!$B$11)</f>
        <v>75.01443307</v>
      </c>
      <c r="E94" s="10">
        <f>(Q94/$B94)+(Q94/'Optimal Choice'!$B$16)</f>
        <v>66.43202129</v>
      </c>
      <c r="F94" s="10">
        <f>(R94/$B94)+(R94/'Optimal Choice'!$B$21)</f>
        <v>69.03258934</v>
      </c>
      <c r="G94" s="10">
        <f>(S94/$B94)+(S94/'Optimal Choice'!$B$26)</f>
        <v>80.20036768</v>
      </c>
      <c r="I94" s="11">
        <f t="shared" ref="I94:M94" si="93">if(min($C93:$G93)=C93,I93+1,I93)</f>
        <v>49</v>
      </c>
      <c r="J94" s="11">
        <f t="shared" si="93"/>
        <v>22</v>
      </c>
      <c r="K94" s="11">
        <f t="shared" si="93"/>
        <v>15</v>
      </c>
      <c r="L94" s="11">
        <f t="shared" si="93"/>
        <v>7</v>
      </c>
      <c r="M94" s="11">
        <f t="shared" si="93"/>
        <v>0</v>
      </c>
      <c r="O94" s="12">
        <f> 'Optimal Choice'!$B$7*'Optimal Choice'!$B$8^(I94+1)</f>
        <v>117.8281003</v>
      </c>
      <c r="P94" s="12">
        <f> 'Optimal Choice'!$B$12*'Optimal Choice'!$B$13^(J94+1)</f>
        <v>1493.487453</v>
      </c>
      <c r="Q94" s="12">
        <f> 'Optimal Choice'!$B$17*'Optimal Choice'!$B$18^(K94+1)</f>
        <v>5858.819493</v>
      </c>
      <c r="R94" s="12">
        <f> 'Optimal Choice'!$B$22*'Optimal Choice'!$B$23^(L94+1)</f>
        <v>22968.95783</v>
      </c>
      <c r="S94" s="12">
        <f> 'Optimal Choice'!$B$27*'Optimal Choice'!$B$28^(M94+1)</f>
        <v>116121.6</v>
      </c>
    </row>
    <row r="95" ht="15.75" customHeight="1">
      <c r="A95" s="10">
        <f t="shared" si="2"/>
        <v>1.743960994</v>
      </c>
      <c r="B95" s="6">
        <f>(I95*'Optimal Choice'!$B$6+J95*'Optimal Choice'!$B$11+K95*'Optimal Choice'!$B$16+L95*'Optimal Choice'!$B$21+M95*'Optimal Choice'!$B$26)*'Optimal Choice'!$B$30</f>
        <v>4481.83</v>
      </c>
      <c r="C95" s="10">
        <f>(O95/$B95)+(O95/'Optimal Choice'!$B$6)</f>
        <v>70.58203883</v>
      </c>
      <c r="D95" s="10">
        <f>(P95/$B95)+(P95/'Optimal Choice'!$B$11)</f>
        <v>75.00760429</v>
      </c>
      <c r="E95" s="10">
        <f>(Q95/$B95)+(Q95/'Optimal Choice'!$B$16)</f>
        <v>75.70196515</v>
      </c>
      <c r="F95" s="10">
        <f>(R95/$B95)+(R95/'Optimal Choice'!$B$21)</f>
        <v>68.92756671</v>
      </c>
      <c r="G95" s="10">
        <f>(S95/$B95)+(S95/'Optimal Choice'!$B$26)</f>
        <v>79.66941647</v>
      </c>
      <c r="I95" s="11">
        <f t="shared" ref="I95:M95" si="94">if(min($C94:$G94)=C94,I94+1,I94)</f>
        <v>49</v>
      </c>
      <c r="J95" s="11">
        <f t="shared" si="94"/>
        <v>22</v>
      </c>
      <c r="K95" s="11">
        <f t="shared" si="94"/>
        <v>16</v>
      </c>
      <c r="L95" s="11">
        <f t="shared" si="94"/>
        <v>7</v>
      </c>
      <c r="M95" s="11">
        <f t="shared" si="94"/>
        <v>0</v>
      </c>
      <c r="O95" s="12">
        <f> 'Optimal Choice'!$B$7*'Optimal Choice'!$B$8^(I95+1)</f>
        <v>117.8281003</v>
      </c>
      <c r="P95" s="12">
        <f> 'Optimal Choice'!$B$12*'Optimal Choice'!$B$13^(J95+1)</f>
        <v>1493.487453</v>
      </c>
      <c r="Q95" s="12">
        <f> 'Optimal Choice'!$B$17*'Optimal Choice'!$B$18^(K95+1)</f>
        <v>6679.054222</v>
      </c>
      <c r="R95" s="12">
        <f> 'Optimal Choice'!$B$22*'Optimal Choice'!$B$23^(L95+1)</f>
        <v>22968.95783</v>
      </c>
      <c r="S95" s="12">
        <f> 'Optimal Choice'!$B$27*'Optimal Choice'!$B$28^(M95+1)</f>
        <v>116121.6</v>
      </c>
    </row>
    <row r="96" ht="15.75" customHeight="1">
      <c r="A96" s="10">
        <f t="shared" si="2"/>
        <v>1.829376096</v>
      </c>
      <c r="B96" s="6">
        <f>(I96*'Optimal Choice'!$B$6+J96*'Optimal Choice'!$B$11+K96*'Optimal Choice'!$B$16+L96*'Optimal Choice'!$B$21+M96*'Optimal Choice'!$B$26)*'Optimal Choice'!$B$30</f>
        <v>4841.83</v>
      </c>
      <c r="C96" s="10">
        <f>(O96/$B96)+(O96/'Optimal Choice'!$B$6)</f>
        <v>70.5800841</v>
      </c>
      <c r="D96" s="10">
        <f>(P96/$B96)+(P96/'Optimal Choice'!$B$11)</f>
        <v>74.98282783</v>
      </c>
      <c r="E96" s="10">
        <f>(Q96/$B96)+(Q96/'Optimal Choice'!$B$16)</f>
        <v>75.59116189</v>
      </c>
      <c r="F96" s="10">
        <f>(R96/$B96)+(R96/'Optimal Choice'!$B$21)</f>
        <v>77.45756695</v>
      </c>
      <c r="G96" s="10">
        <f>(S96/$B96)+(S96/'Optimal Choice'!$B$26)</f>
        <v>77.74299816</v>
      </c>
      <c r="I96" s="11">
        <f t="shared" ref="I96:M96" si="95">if(min($C95:$G95)=C95,I95+1,I95)</f>
        <v>49</v>
      </c>
      <c r="J96" s="11">
        <f t="shared" si="95"/>
        <v>22</v>
      </c>
      <c r="K96" s="11">
        <f t="shared" si="95"/>
        <v>16</v>
      </c>
      <c r="L96" s="11">
        <f t="shared" si="95"/>
        <v>8</v>
      </c>
      <c r="M96" s="11">
        <f t="shared" si="95"/>
        <v>0</v>
      </c>
      <c r="O96" s="12">
        <f> 'Optimal Choice'!$B$7*'Optimal Choice'!$B$8^(I96+1)</f>
        <v>117.8281003</v>
      </c>
      <c r="P96" s="12">
        <f> 'Optimal Choice'!$B$12*'Optimal Choice'!$B$13^(J96+1)</f>
        <v>1493.487453</v>
      </c>
      <c r="Q96" s="12">
        <f> 'Optimal Choice'!$B$17*'Optimal Choice'!$B$18^(K96+1)</f>
        <v>6679.054222</v>
      </c>
      <c r="R96" s="12">
        <f> 'Optimal Choice'!$B$22*'Optimal Choice'!$B$23^(L96+1)</f>
        <v>25954.92234</v>
      </c>
      <c r="S96" s="12">
        <f> 'Optimal Choice'!$B$27*'Optimal Choice'!$B$28^(M96+1)</f>
        <v>116121.6</v>
      </c>
    </row>
    <row r="97" ht="15.75" customHeight="1">
      <c r="A97" s="10">
        <f t="shared" si="2"/>
        <v>1.829781686</v>
      </c>
      <c r="B97" s="6">
        <f>(I97*'Optimal Choice'!$B$6+J97*'Optimal Choice'!$B$11+K97*'Optimal Choice'!$B$16+L97*'Optimal Choice'!$B$21+M97*'Optimal Choice'!$B$26)*'Optimal Choice'!$B$30</f>
        <v>4843.5</v>
      </c>
      <c r="C97" s="10">
        <f>(O97/$B97)+(O97/'Optimal Choice'!$B$6)</f>
        <v>75.52068101</v>
      </c>
      <c r="D97" s="10">
        <f>(P97/$B97)+(P97/'Optimal Choice'!$B$11)</f>
        <v>74.98272148</v>
      </c>
      <c r="E97" s="10">
        <f>(Q97/$B97)+(Q97/'Optimal Choice'!$B$16)</f>
        <v>75.59068626</v>
      </c>
      <c r="F97" s="10">
        <f>(R97/$B97)+(R97/'Optimal Choice'!$B$21)</f>
        <v>77.45571867</v>
      </c>
      <c r="G97" s="10">
        <f>(S97/$B97)+(S97/'Optimal Choice'!$B$26)</f>
        <v>77.73472902</v>
      </c>
      <c r="I97" s="11">
        <f t="shared" ref="I97:M97" si="96">if(min($C96:$G96)=C96,I96+1,I96)</f>
        <v>50</v>
      </c>
      <c r="J97" s="11">
        <f t="shared" si="96"/>
        <v>22</v>
      </c>
      <c r="K97" s="11">
        <f t="shared" si="96"/>
        <v>16</v>
      </c>
      <c r="L97" s="11">
        <f t="shared" si="96"/>
        <v>8</v>
      </c>
      <c r="M97" s="11">
        <f t="shared" si="96"/>
        <v>0</v>
      </c>
      <c r="O97" s="12">
        <f> 'Optimal Choice'!$B$7*'Optimal Choice'!$B$8^(I97+1)</f>
        <v>126.0760673</v>
      </c>
      <c r="P97" s="12">
        <f> 'Optimal Choice'!$B$12*'Optimal Choice'!$B$13^(J97+1)</f>
        <v>1493.487453</v>
      </c>
      <c r="Q97" s="12">
        <f> 'Optimal Choice'!$B$17*'Optimal Choice'!$B$18^(K97+1)</f>
        <v>6679.054222</v>
      </c>
      <c r="R97" s="12">
        <f> 'Optimal Choice'!$B$22*'Optimal Choice'!$B$23^(L97+1)</f>
        <v>25954.92234</v>
      </c>
      <c r="S97" s="12">
        <f> 'Optimal Choice'!$B$27*'Optimal Choice'!$B$28^(M97+1)</f>
        <v>116121.6</v>
      </c>
    </row>
    <row r="98" ht="15.75" customHeight="1">
      <c r="A98" s="10">
        <f t="shared" si="2"/>
        <v>1.834920833</v>
      </c>
      <c r="B98" s="6">
        <f>(I98*'Optimal Choice'!$B$6+J98*'Optimal Choice'!$B$11+K98*'Optimal Choice'!$B$16+L98*'Optimal Choice'!$B$21+M98*'Optimal Choice'!$B$26)*'Optimal Choice'!$B$30</f>
        <v>4863.5</v>
      </c>
      <c r="C98" s="10">
        <f>(O98/$B98)+(O98/'Optimal Choice'!$B$6)</f>
        <v>75.52057397</v>
      </c>
      <c r="D98" s="10">
        <f>(P98/$B98)+(P98/'Optimal Choice'!$B$11)</f>
        <v>86.22867149</v>
      </c>
      <c r="E98" s="10">
        <f>(Q98/$B98)+(Q98/'Optimal Choice'!$B$16)</f>
        <v>75.58501556</v>
      </c>
      <c r="F98" s="10">
        <f>(R98/$B98)+(R98/'Optimal Choice'!$B$21)</f>
        <v>77.43368223</v>
      </c>
      <c r="G98" s="10">
        <f>(S98/$B98)+(S98/'Optimal Choice'!$B$26)</f>
        <v>77.63613858</v>
      </c>
      <c r="I98" s="11">
        <f t="shared" ref="I98:M98" si="97">if(min($C97:$G97)=C97,I97+1,I97)</f>
        <v>50</v>
      </c>
      <c r="J98" s="11">
        <f t="shared" si="97"/>
        <v>23</v>
      </c>
      <c r="K98" s="11">
        <f t="shared" si="97"/>
        <v>16</v>
      </c>
      <c r="L98" s="11">
        <f t="shared" si="97"/>
        <v>8</v>
      </c>
      <c r="M98" s="11">
        <f t="shared" si="97"/>
        <v>0</v>
      </c>
      <c r="O98" s="12">
        <f> 'Optimal Choice'!$B$7*'Optimal Choice'!$B$8^(I98+1)</f>
        <v>126.0760673</v>
      </c>
      <c r="P98" s="12">
        <f> 'Optimal Choice'!$B$12*'Optimal Choice'!$B$13^(J98+1)</f>
        <v>1717.510571</v>
      </c>
      <c r="Q98" s="12">
        <f> 'Optimal Choice'!$B$17*'Optimal Choice'!$B$18^(K98+1)</f>
        <v>6679.054222</v>
      </c>
      <c r="R98" s="12">
        <f> 'Optimal Choice'!$B$22*'Optimal Choice'!$B$23^(L98+1)</f>
        <v>25954.92234</v>
      </c>
      <c r="S98" s="12">
        <f> 'Optimal Choice'!$B$27*'Optimal Choice'!$B$28^(M98+1)</f>
        <v>116121.6</v>
      </c>
    </row>
    <row r="99" ht="15.75" customHeight="1">
      <c r="A99" s="10">
        <f t="shared" si="2"/>
        <v>1.835352882</v>
      </c>
      <c r="B99" s="6">
        <f>(I99*'Optimal Choice'!$B$6+J99*'Optimal Choice'!$B$11+K99*'Optimal Choice'!$B$16+L99*'Optimal Choice'!$B$21+M99*'Optimal Choice'!$B$26)*'Optimal Choice'!$B$30</f>
        <v>4865.17</v>
      </c>
      <c r="C99" s="10">
        <f>(O99/$B99)+(O99/'Optimal Choice'!$B$6)</f>
        <v>80.80700463</v>
      </c>
      <c r="D99" s="10">
        <f>(P99/$B99)+(P99/'Optimal Choice'!$B$11)</f>
        <v>86.22855027</v>
      </c>
      <c r="E99" s="10">
        <f>(Q99/$B99)+(Q99/'Optimal Choice'!$B$16)</f>
        <v>75.58454417</v>
      </c>
      <c r="F99" s="10">
        <f>(R99/$B99)+(R99/'Optimal Choice'!$B$21)</f>
        <v>77.43185038</v>
      </c>
      <c r="G99" s="10">
        <f>(S99/$B99)+(S99/'Optimal Choice'!$B$26)</f>
        <v>77.62794295</v>
      </c>
      <c r="I99" s="11">
        <f t="shared" ref="I99:M99" si="98">if(min($C98:$G98)=C98,I98+1,I98)</f>
        <v>51</v>
      </c>
      <c r="J99" s="11">
        <f t="shared" si="98"/>
        <v>23</v>
      </c>
      <c r="K99" s="11">
        <f t="shared" si="98"/>
        <v>16</v>
      </c>
      <c r="L99" s="11">
        <f t="shared" si="98"/>
        <v>8</v>
      </c>
      <c r="M99" s="11">
        <f t="shared" si="98"/>
        <v>0</v>
      </c>
      <c r="O99" s="12">
        <f> 'Optimal Choice'!$B$7*'Optimal Choice'!$B$8^(I99+1)</f>
        <v>134.901392</v>
      </c>
      <c r="P99" s="12">
        <f> 'Optimal Choice'!$B$12*'Optimal Choice'!$B$13^(J99+1)</f>
        <v>1717.510571</v>
      </c>
      <c r="Q99" s="12">
        <f> 'Optimal Choice'!$B$17*'Optimal Choice'!$B$18^(K99+1)</f>
        <v>6679.054222</v>
      </c>
      <c r="R99" s="12">
        <f> 'Optimal Choice'!$B$22*'Optimal Choice'!$B$23^(L99+1)</f>
        <v>25954.92234</v>
      </c>
      <c r="S99" s="12">
        <f> 'Optimal Choice'!$B$27*'Optimal Choice'!$B$28^(M99+1)</f>
        <v>116121.6</v>
      </c>
    </row>
    <row r="100" ht="15.75" customHeight="1">
      <c r="A100" s="10">
        <f t="shared" si="2"/>
        <v>1.858233392</v>
      </c>
      <c r="B100" s="6">
        <f>(I100*'Optimal Choice'!$B$6+J100*'Optimal Choice'!$B$11+K100*'Optimal Choice'!$B$16+L100*'Optimal Choice'!$B$21+M100*'Optimal Choice'!$B$26)*'Optimal Choice'!$B$30</f>
        <v>4955.17</v>
      </c>
      <c r="C100" s="10">
        <f>(O100/$B100)+(O100/'Optimal Choice'!$B$6)</f>
        <v>80.80650101</v>
      </c>
      <c r="D100" s="10">
        <f>(P100/$B100)+(P100/'Optimal Choice'!$B$11)</f>
        <v>86.22213839</v>
      </c>
      <c r="E100" s="10">
        <f>(Q100/$B100)+(Q100/'Optimal Choice'!$B$16)</f>
        <v>86.13795501</v>
      </c>
      <c r="F100" s="10">
        <f>(R100/$B100)+(R100/'Optimal Choice'!$B$21)</f>
        <v>77.33495442</v>
      </c>
      <c r="G100" s="10">
        <f>(S100/$B100)+(S100/'Optimal Choice'!$B$26)</f>
        <v>77.19443313</v>
      </c>
      <c r="I100" s="11">
        <f t="shared" ref="I100:M100" si="99">if(min($C99:$G99)=C99,I99+1,I99)</f>
        <v>51</v>
      </c>
      <c r="J100" s="11">
        <f t="shared" si="99"/>
        <v>23</v>
      </c>
      <c r="K100" s="11">
        <f t="shared" si="99"/>
        <v>17</v>
      </c>
      <c r="L100" s="11">
        <f t="shared" si="99"/>
        <v>8</v>
      </c>
      <c r="M100" s="11">
        <f t="shared" si="99"/>
        <v>0</v>
      </c>
      <c r="O100" s="12">
        <f> 'Optimal Choice'!$B$7*'Optimal Choice'!$B$8^(I100+1)</f>
        <v>134.901392</v>
      </c>
      <c r="P100" s="12">
        <f> 'Optimal Choice'!$B$12*'Optimal Choice'!$B$13^(J100+1)</f>
        <v>1717.510571</v>
      </c>
      <c r="Q100" s="12">
        <f> 'Optimal Choice'!$B$17*'Optimal Choice'!$B$18^(K100+1)</f>
        <v>7614.121813</v>
      </c>
      <c r="R100" s="12">
        <f> 'Optimal Choice'!$B$22*'Optimal Choice'!$B$23^(L100+1)</f>
        <v>25954.92234</v>
      </c>
      <c r="S100" s="12">
        <f> 'Optimal Choice'!$B$27*'Optimal Choice'!$B$28^(M100+1)</f>
        <v>116121.6</v>
      </c>
    </row>
    <row r="101" ht="15.75" customHeight="1">
      <c r="A101" s="10">
        <f t="shared" si="2"/>
        <v>2.248807277</v>
      </c>
      <c r="B101" s="6">
        <f>(I101*'Optimal Choice'!$B$6+J101*'Optimal Choice'!$B$11+K101*'Optimal Choice'!$B$16+L101*'Optimal Choice'!$B$21+M101*'Optimal Choice'!$B$26)*'Optimal Choice'!$B$30</f>
        <v>7115.17</v>
      </c>
      <c r="C101" s="10">
        <f>(O101/$B101)+(O101/'Optimal Choice'!$B$6)</f>
        <v>80.79823632</v>
      </c>
      <c r="D101" s="10">
        <f>(P101/$B101)+(P101/'Optimal Choice'!$B$11)</f>
        <v>86.11691572</v>
      </c>
      <c r="E101" s="10">
        <f>(Q101/$B101)+(Q101/'Optimal Choice'!$B$16)</f>
        <v>85.67147855</v>
      </c>
      <c r="F101" s="10">
        <f>(R101/$B101)+(R101/'Optimal Choice'!$B$21)</f>
        <v>75.74483535</v>
      </c>
      <c r="G101" s="10">
        <f>(S101/$B101)+(S101/'Optimal Choice'!$B$26)</f>
        <v>78.48991885</v>
      </c>
      <c r="I101" s="11">
        <f t="shared" ref="I101:M101" si="100">if(min($C100:$G100)=C100,I100+1,I100)</f>
        <v>51</v>
      </c>
      <c r="J101" s="11">
        <f t="shared" si="100"/>
        <v>23</v>
      </c>
      <c r="K101" s="11">
        <f t="shared" si="100"/>
        <v>17</v>
      </c>
      <c r="L101" s="11">
        <f t="shared" si="100"/>
        <v>8</v>
      </c>
      <c r="M101" s="11">
        <f t="shared" si="100"/>
        <v>1</v>
      </c>
      <c r="O101" s="12">
        <f> 'Optimal Choice'!$B$7*'Optimal Choice'!$B$8^(I101+1)</f>
        <v>134.901392</v>
      </c>
      <c r="P101" s="12">
        <f> 'Optimal Choice'!$B$12*'Optimal Choice'!$B$13^(J101+1)</f>
        <v>1717.510571</v>
      </c>
      <c r="Q101" s="12">
        <f> 'Optimal Choice'!$B$17*'Optimal Choice'!$B$18^(K101+1)</f>
        <v>7614.121813</v>
      </c>
      <c r="R101" s="12">
        <f> 'Optimal Choice'!$B$22*'Optimal Choice'!$B$23^(L101+1)</f>
        <v>25954.92234</v>
      </c>
      <c r="S101" s="12">
        <f> 'Optimal Choice'!$B$27*'Optimal Choice'!$B$28^(M101+1)</f>
        <v>130056.192</v>
      </c>
    </row>
    <row r="102" ht="15.75" customHeight="1">
      <c r="A102" s="10">
        <f t="shared" si="2"/>
        <v>2.309604425</v>
      </c>
      <c r="B102" s="6">
        <f>(I102*'Optimal Choice'!$B$6+J102*'Optimal Choice'!$B$11+K102*'Optimal Choice'!$B$16+L102*'Optimal Choice'!$B$21+M102*'Optimal Choice'!$B$26)*'Optimal Choice'!$B$30</f>
        <v>7475.17</v>
      </c>
      <c r="C102" s="10">
        <f>(O102/$B102)+(O102/'Optimal Choice'!$B$6)</f>
        <v>80.79732323</v>
      </c>
      <c r="D102" s="10">
        <f>(P102/$B102)+(P102/'Optimal Choice'!$B$11)</f>
        <v>86.10529065</v>
      </c>
      <c r="E102" s="10">
        <f>(Q102/$B102)+(Q102/'Optimal Choice'!$B$16)</f>
        <v>85.61994192</v>
      </c>
      <c r="F102" s="10">
        <f>(R102/$B102)+(R102/'Optimal Choice'!$B$21)</f>
        <v>85.3931485</v>
      </c>
      <c r="G102" s="10">
        <f>(S102/$B102)+(S102/'Optimal Choice'!$B$26)</f>
        <v>77.60962599</v>
      </c>
      <c r="I102" s="11">
        <f t="shared" ref="I102:M102" si="101">if(min($C101:$G101)=C101,I101+1,I101)</f>
        <v>51</v>
      </c>
      <c r="J102" s="11">
        <f t="shared" si="101"/>
        <v>23</v>
      </c>
      <c r="K102" s="11">
        <f t="shared" si="101"/>
        <v>17</v>
      </c>
      <c r="L102" s="11">
        <f t="shared" si="101"/>
        <v>9</v>
      </c>
      <c r="M102" s="11">
        <f t="shared" si="101"/>
        <v>1</v>
      </c>
      <c r="O102" s="12">
        <f> 'Optimal Choice'!$B$7*'Optimal Choice'!$B$8^(I102+1)</f>
        <v>134.901392</v>
      </c>
      <c r="P102" s="12">
        <f> 'Optimal Choice'!$B$12*'Optimal Choice'!$B$13^(J102+1)</f>
        <v>1717.510571</v>
      </c>
      <c r="Q102" s="12">
        <f> 'Optimal Choice'!$B$17*'Optimal Choice'!$B$18^(K102+1)</f>
        <v>7614.121813</v>
      </c>
      <c r="R102" s="12">
        <f> 'Optimal Choice'!$B$22*'Optimal Choice'!$B$23^(L102+1)</f>
        <v>29329.06225</v>
      </c>
      <c r="S102" s="12">
        <f> 'Optimal Choice'!$B$27*'Optimal Choice'!$B$28^(M102+1)</f>
        <v>130056.192</v>
      </c>
    </row>
    <row r="103" ht="15.75" customHeight="1">
      <c r="A103" s="10">
        <f t="shared" si="2"/>
        <v>2.599578191</v>
      </c>
      <c r="B103" s="6">
        <f>(I103*'Optimal Choice'!$B$6+J103*'Optimal Choice'!$B$11+K103*'Optimal Choice'!$B$16+L103*'Optimal Choice'!$B$21+M103*'Optimal Choice'!$B$26)*'Optimal Choice'!$B$30</f>
        <v>9635.17</v>
      </c>
      <c r="C103" s="10">
        <f>(O103/$B103)+(O103/'Optimal Choice'!$B$6)</f>
        <v>80.79327757</v>
      </c>
      <c r="D103" s="10">
        <f>(P103/$B103)+(P103/'Optimal Choice'!$B$11)</f>
        <v>86.05378288</v>
      </c>
      <c r="E103" s="10">
        <f>(Q103/$B103)+(Q103/'Optimal Choice'!$B$16)</f>
        <v>85.39159608</v>
      </c>
      <c r="F103" s="10">
        <f>(R103/$B103)+(R103/'Optimal Choice'!$B$21)</f>
        <v>84.51357634</v>
      </c>
      <c r="G103" s="10">
        <f>(S103/$B103)+(S103/'Optimal Choice'!$B$26)</f>
        <v>82.55438157</v>
      </c>
      <c r="I103" s="11">
        <f t="shared" ref="I103:M103" si="102">if(min($C102:$G102)=C102,I102+1,I102)</f>
        <v>51</v>
      </c>
      <c r="J103" s="11">
        <f t="shared" si="102"/>
        <v>23</v>
      </c>
      <c r="K103" s="11">
        <f t="shared" si="102"/>
        <v>17</v>
      </c>
      <c r="L103" s="11">
        <f t="shared" si="102"/>
        <v>9</v>
      </c>
      <c r="M103" s="11">
        <f t="shared" si="102"/>
        <v>2</v>
      </c>
      <c r="O103" s="12">
        <f> 'Optimal Choice'!$B$7*'Optimal Choice'!$B$8^(I103+1)</f>
        <v>134.901392</v>
      </c>
      <c r="P103" s="12">
        <f> 'Optimal Choice'!$B$12*'Optimal Choice'!$B$13^(J103+1)</f>
        <v>1717.510571</v>
      </c>
      <c r="Q103" s="12">
        <f> 'Optimal Choice'!$B$17*'Optimal Choice'!$B$18^(K103+1)</f>
        <v>7614.121813</v>
      </c>
      <c r="R103" s="12">
        <f> 'Optimal Choice'!$B$22*'Optimal Choice'!$B$23^(L103+1)</f>
        <v>29329.06225</v>
      </c>
      <c r="S103" s="12">
        <f> 'Optimal Choice'!$B$27*'Optimal Choice'!$B$28^(M103+1)</f>
        <v>145662.935</v>
      </c>
    </row>
    <row r="104" ht="15.75" customHeight="1">
      <c r="A104" s="10">
        <f t="shared" si="2"/>
        <v>2.59981154</v>
      </c>
      <c r="B104" s="6">
        <f>(I104*'Optimal Choice'!$B$6+J104*'Optimal Choice'!$B$11+K104*'Optimal Choice'!$B$16+L104*'Optimal Choice'!$B$21+M104*'Optimal Choice'!$B$26)*'Optimal Choice'!$B$30</f>
        <v>9636.84</v>
      </c>
      <c r="C104" s="10">
        <f>(O104/$B104)+(O104/'Optimal Choice'!$B$6)</f>
        <v>86.4488044</v>
      </c>
      <c r="D104" s="10">
        <f>(P104/$B104)+(P104/'Optimal Choice'!$B$11)</f>
        <v>86.05375199</v>
      </c>
      <c r="E104" s="10">
        <f>(Q104/$B104)+(Q104/'Optimal Choice'!$B$16)</f>
        <v>85.39145913</v>
      </c>
      <c r="F104" s="10">
        <f>(R104/$B104)+(R104/'Optimal Choice'!$B$21)</f>
        <v>84.51304884</v>
      </c>
      <c r="G104" s="10">
        <f>(S104/$B104)+(S104/'Optimal Choice'!$B$26)</f>
        <v>82.55176175</v>
      </c>
      <c r="I104" s="11">
        <f t="shared" ref="I104:M104" si="103">if(min($C103:$G103)=C103,I103+1,I103)</f>
        <v>52</v>
      </c>
      <c r="J104" s="11">
        <f t="shared" si="103"/>
        <v>23</v>
      </c>
      <c r="K104" s="11">
        <f t="shared" si="103"/>
        <v>17</v>
      </c>
      <c r="L104" s="11">
        <f t="shared" si="103"/>
        <v>9</v>
      </c>
      <c r="M104" s="11">
        <f t="shared" si="103"/>
        <v>2</v>
      </c>
      <c r="O104" s="12">
        <f> 'Optimal Choice'!$B$7*'Optimal Choice'!$B$8^(I104+1)</f>
        <v>144.3444894</v>
      </c>
      <c r="P104" s="12">
        <f> 'Optimal Choice'!$B$12*'Optimal Choice'!$B$13^(J104+1)</f>
        <v>1717.510571</v>
      </c>
      <c r="Q104" s="12">
        <f> 'Optimal Choice'!$B$17*'Optimal Choice'!$B$18^(K104+1)</f>
        <v>7614.121813</v>
      </c>
      <c r="R104" s="12">
        <f> 'Optimal Choice'!$B$22*'Optimal Choice'!$B$23^(L104+1)</f>
        <v>29329.06225</v>
      </c>
      <c r="S104" s="12">
        <f> 'Optimal Choice'!$B$27*'Optimal Choice'!$B$28^(M104+1)</f>
        <v>145662.935</v>
      </c>
    </row>
    <row r="105" ht="15.75" customHeight="1">
      <c r="A105" s="10">
        <f t="shared" si="2"/>
        <v>2.851731836</v>
      </c>
      <c r="B105" s="6">
        <f>(I105*'Optimal Choice'!$B$6+J105*'Optimal Choice'!$B$11+K105*'Optimal Choice'!$B$16+L105*'Optimal Choice'!$B$21+M105*'Optimal Choice'!$B$26)*'Optimal Choice'!$B$30</f>
        <v>11796.84</v>
      </c>
      <c r="C105" s="10">
        <f>(O105/$B105)+(O105/'Optimal Choice'!$B$6)</f>
        <v>86.44606186</v>
      </c>
      <c r="D105" s="10">
        <f>(P105/$B105)+(P105/'Optimal Choice'!$B$11)</f>
        <v>86.02111931</v>
      </c>
      <c r="E105" s="10">
        <f>(Q105/$B105)+(Q105/'Optimal Choice'!$B$16)</f>
        <v>85.24679088</v>
      </c>
      <c r="F105" s="10">
        <f>(R105/$B105)+(R105/'Optimal Choice'!$B$21)</f>
        <v>83.9557969</v>
      </c>
      <c r="G105" s="10">
        <f>(S105/$B105)+(S105/'Optimal Choice'!$B$26)</f>
        <v>89.35826724</v>
      </c>
      <c r="I105" s="11">
        <f t="shared" ref="I105:M105" si="104">if(min($C104:$G104)=C104,I104+1,I104)</f>
        <v>52</v>
      </c>
      <c r="J105" s="11">
        <f t="shared" si="104"/>
        <v>23</v>
      </c>
      <c r="K105" s="11">
        <f t="shared" si="104"/>
        <v>17</v>
      </c>
      <c r="L105" s="11">
        <f t="shared" si="104"/>
        <v>9</v>
      </c>
      <c r="M105" s="11">
        <f t="shared" si="104"/>
        <v>3</v>
      </c>
      <c r="O105" s="12">
        <f> 'Optimal Choice'!$B$7*'Optimal Choice'!$B$8^(I105+1)</f>
        <v>144.3444894</v>
      </c>
      <c r="P105" s="12">
        <f> 'Optimal Choice'!$B$12*'Optimal Choice'!$B$13^(J105+1)</f>
        <v>1717.510571</v>
      </c>
      <c r="Q105" s="12">
        <f> 'Optimal Choice'!$B$17*'Optimal Choice'!$B$18^(K105+1)</f>
        <v>7614.121813</v>
      </c>
      <c r="R105" s="12">
        <f> 'Optimal Choice'!$B$22*'Optimal Choice'!$B$23^(L105+1)</f>
        <v>29329.06225</v>
      </c>
      <c r="S105" s="12">
        <f> 'Optimal Choice'!$B$27*'Optimal Choice'!$B$28^(M105+1)</f>
        <v>163142.4872</v>
      </c>
    </row>
    <row r="106" ht="15.75" customHeight="1">
      <c r="A106" s="10">
        <f t="shared" si="2"/>
        <v>2.893168161</v>
      </c>
      <c r="B106" s="6">
        <f>(I106*'Optimal Choice'!$B$6+J106*'Optimal Choice'!$B$11+K106*'Optimal Choice'!$B$16+L106*'Optimal Choice'!$B$21+M106*'Optimal Choice'!$B$26)*'Optimal Choice'!$B$30</f>
        <v>12156.84</v>
      </c>
      <c r="C106" s="10">
        <f>(O106/$B106)+(O106/'Optimal Choice'!$B$6)</f>
        <v>86.44569952</v>
      </c>
      <c r="D106" s="10">
        <f>(P106/$B106)+(P106/'Optimal Choice'!$B$11)</f>
        <v>86.01680793</v>
      </c>
      <c r="E106" s="10">
        <f>(Q106/$B106)+(Q106/'Optimal Choice'!$B$16)</f>
        <v>85.22767757</v>
      </c>
      <c r="F106" s="10">
        <f>(R106/$B106)+(R106/'Optimal Choice'!$B$21)</f>
        <v>94.78685636</v>
      </c>
      <c r="G106" s="10">
        <f>(S106/$B106)+(S106/'Optimal Choice'!$B$26)</f>
        <v>88.94873963</v>
      </c>
      <c r="I106" s="11">
        <f t="shared" ref="I106:M106" si="105">if(min($C105:$G105)=C105,I105+1,I105)</f>
        <v>52</v>
      </c>
      <c r="J106" s="11">
        <f t="shared" si="105"/>
        <v>23</v>
      </c>
      <c r="K106" s="11">
        <f t="shared" si="105"/>
        <v>17</v>
      </c>
      <c r="L106" s="11">
        <f t="shared" si="105"/>
        <v>10</v>
      </c>
      <c r="M106" s="11">
        <f t="shared" si="105"/>
        <v>3</v>
      </c>
      <c r="O106" s="12">
        <f> 'Optimal Choice'!$B$7*'Optimal Choice'!$B$8^(I106+1)</f>
        <v>144.3444894</v>
      </c>
      <c r="P106" s="12">
        <f> 'Optimal Choice'!$B$12*'Optimal Choice'!$B$13^(J106+1)</f>
        <v>1717.510571</v>
      </c>
      <c r="Q106" s="12">
        <f> 'Optimal Choice'!$B$17*'Optimal Choice'!$B$18^(K106+1)</f>
        <v>7614.121813</v>
      </c>
      <c r="R106" s="12">
        <f> 'Optimal Choice'!$B$22*'Optimal Choice'!$B$23^(L106+1)</f>
        <v>33141.84034</v>
      </c>
      <c r="S106" s="12">
        <f> 'Optimal Choice'!$B$27*'Optimal Choice'!$B$28^(M106+1)</f>
        <v>163142.4872</v>
      </c>
    </row>
    <row r="107" ht="15.75" customHeight="1">
      <c r="A107" s="10">
        <f t="shared" si="2"/>
        <v>2.903606896</v>
      </c>
      <c r="B107" s="6">
        <f>(I107*'Optimal Choice'!$B$6+J107*'Optimal Choice'!$B$11+K107*'Optimal Choice'!$B$16+L107*'Optimal Choice'!$B$21+M107*'Optimal Choice'!$B$26)*'Optimal Choice'!$B$30</f>
        <v>12246.84</v>
      </c>
      <c r="C107" s="10">
        <f>(O107/$B107)+(O107/'Optimal Choice'!$B$6)</f>
        <v>86.44561226</v>
      </c>
      <c r="D107" s="10">
        <f>(P107/$B107)+(P107/'Optimal Choice'!$B$11)</f>
        <v>86.01576969</v>
      </c>
      <c r="E107" s="10">
        <f>(Q107/$B107)+(Q107/'Optimal Choice'!$B$16)</f>
        <v>97.15430529</v>
      </c>
      <c r="F107" s="10">
        <f>(R107/$B107)+(R107/'Optimal Choice'!$B$21)</f>
        <v>94.76682205</v>
      </c>
      <c r="G107" s="10">
        <f>(S107/$B107)+(S107/'Optimal Choice'!$B$26)</f>
        <v>88.85011966</v>
      </c>
      <c r="I107" s="11">
        <f t="shared" ref="I107:M107" si="106">if(min($C106:$G106)=C106,I106+1,I106)</f>
        <v>52</v>
      </c>
      <c r="J107" s="11">
        <f t="shared" si="106"/>
        <v>23</v>
      </c>
      <c r="K107" s="11">
        <f t="shared" si="106"/>
        <v>18</v>
      </c>
      <c r="L107" s="11">
        <f t="shared" si="106"/>
        <v>10</v>
      </c>
      <c r="M107" s="11">
        <f t="shared" si="106"/>
        <v>3</v>
      </c>
      <c r="O107" s="12">
        <f> 'Optimal Choice'!$B$7*'Optimal Choice'!$B$8^(I107+1)</f>
        <v>144.3444894</v>
      </c>
      <c r="P107" s="12">
        <f> 'Optimal Choice'!$B$12*'Optimal Choice'!$B$13^(J107+1)</f>
        <v>1717.510571</v>
      </c>
      <c r="Q107" s="12">
        <f> 'Optimal Choice'!$B$17*'Optimal Choice'!$B$18^(K107+1)</f>
        <v>8680.098866</v>
      </c>
      <c r="R107" s="12">
        <f> 'Optimal Choice'!$B$22*'Optimal Choice'!$B$23^(L107+1)</f>
        <v>33141.84034</v>
      </c>
      <c r="S107" s="12">
        <f> 'Optimal Choice'!$B$27*'Optimal Choice'!$B$28^(M107+1)</f>
        <v>163142.4872</v>
      </c>
    </row>
    <row r="108" ht="15.75" customHeight="1">
      <c r="A108" s="10">
        <f t="shared" si="2"/>
        <v>2.905944248</v>
      </c>
      <c r="B108" s="6">
        <f>(I108*'Optimal Choice'!$B$6+J108*'Optimal Choice'!$B$11+K108*'Optimal Choice'!$B$16+L108*'Optimal Choice'!$B$21+M108*'Optimal Choice'!$B$26)*'Optimal Choice'!$B$30</f>
        <v>12266.84</v>
      </c>
      <c r="C108" s="10">
        <f>(O108/$B108)+(O108/'Optimal Choice'!$B$6)</f>
        <v>86.44559305</v>
      </c>
      <c r="D108" s="10">
        <f>(P108/$B108)+(P108/'Optimal Choice'!$B$11)</f>
        <v>98.9178722</v>
      </c>
      <c r="E108" s="10">
        <f>(Q108/$B108)+(Q108/'Optimal Choice'!$B$16)</f>
        <v>97.15314972</v>
      </c>
      <c r="F108" s="10">
        <f>(R108/$B108)+(R108/'Optimal Choice'!$B$21)</f>
        <v>94.7624099</v>
      </c>
      <c r="G108" s="10">
        <f>(S108/$B108)+(S108/'Optimal Choice'!$B$26)</f>
        <v>88.82840064</v>
      </c>
      <c r="I108" s="11">
        <f t="shared" ref="I108:M108" si="107">if(min($C107:$G107)=C107,I107+1,I107)</f>
        <v>52</v>
      </c>
      <c r="J108" s="11">
        <f t="shared" si="107"/>
        <v>24</v>
      </c>
      <c r="K108" s="11">
        <f t="shared" si="107"/>
        <v>18</v>
      </c>
      <c r="L108" s="11">
        <f t="shared" si="107"/>
        <v>10</v>
      </c>
      <c r="M108" s="11">
        <f t="shared" si="107"/>
        <v>3</v>
      </c>
      <c r="O108" s="12">
        <f> 'Optimal Choice'!$B$7*'Optimal Choice'!$B$8^(I108+1)</f>
        <v>144.3444894</v>
      </c>
      <c r="P108" s="12">
        <f> 'Optimal Choice'!$B$12*'Optimal Choice'!$B$13^(J108+1)</f>
        <v>1975.137157</v>
      </c>
      <c r="Q108" s="12">
        <f> 'Optimal Choice'!$B$17*'Optimal Choice'!$B$18^(K108+1)</f>
        <v>8680.098866</v>
      </c>
      <c r="R108" s="12">
        <f> 'Optimal Choice'!$B$22*'Optimal Choice'!$B$23^(L108+1)</f>
        <v>33141.84034</v>
      </c>
      <c r="S108" s="12">
        <f> 'Optimal Choice'!$B$27*'Optimal Choice'!$B$28^(M108+1)</f>
        <v>163142.4872</v>
      </c>
    </row>
    <row r="109" ht="15.75" customHeight="1">
      <c r="A109" s="10">
        <f t="shared" si="2"/>
        <v>2.906140366</v>
      </c>
      <c r="B109" s="6">
        <f>(I109*'Optimal Choice'!$B$6+J109*'Optimal Choice'!$B$11+K109*'Optimal Choice'!$B$16+L109*'Optimal Choice'!$B$21+M109*'Optimal Choice'!$B$26)*'Optimal Choice'!$B$30</f>
        <v>12268.51</v>
      </c>
      <c r="C109" s="10">
        <f>(O109/$B109)+(O109/'Optimal Choice'!$B$6)</f>
        <v>92.49678285</v>
      </c>
      <c r="D109" s="10">
        <f>(P109/$B109)+(P109/'Optimal Choice'!$B$11)</f>
        <v>98.91785028</v>
      </c>
      <c r="E109" s="10">
        <f>(Q109/$B109)+(Q109/'Optimal Choice'!$B$16)</f>
        <v>97.1530534</v>
      </c>
      <c r="F109" s="10">
        <f>(R109/$B109)+(R109/'Optimal Choice'!$B$21)</f>
        <v>94.76204214</v>
      </c>
      <c r="G109" s="10">
        <f>(S109/$B109)+(S109/'Optimal Choice'!$B$26)</f>
        <v>88.8265903</v>
      </c>
      <c r="I109" s="11">
        <f t="shared" ref="I109:M109" si="108">if(min($C108:$G108)=C108,I108+1,I108)</f>
        <v>53</v>
      </c>
      <c r="J109" s="11">
        <f t="shared" si="108"/>
        <v>24</v>
      </c>
      <c r="K109" s="11">
        <f t="shared" si="108"/>
        <v>18</v>
      </c>
      <c r="L109" s="11">
        <f t="shared" si="108"/>
        <v>10</v>
      </c>
      <c r="M109" s="11">
        <f t="shared" si="108"/>
        <v>3</v>
      </c>
      <c r="O109" s="12">
        <f> 'Optimal Choice'!$B$7*'Optimal Choice'!$B$8^(I109+1)</f>
        <v>154.4486037</v>
      </c>
      <c r="P109" s="12">
        <f> 'Optimal Choice'!$B$12*'Optimal Choice'!$B$13^(J109+1)</f>
        <v>1975.137157</v>
      </c>
      <c r="Q109" s="12">
        <f> 'Optimal Choice'!$B$17*'Optimal Choice'!$B$18^(K109+1)</f>
        <v>8680.098866</v>
      </c>
      <c r="R109" s="12">
        <f> 'Optimal Choice'!$B$22*'Optimal Choice'!$B$23^(L109+1)</f>
        <v>33141.84034</v>
      </c>
      <c r="S109" s="12">
        <f> 'Optimal Choice'!$B$27*'Optimal Choice'!$B$28^(M109+1)</f>
        <v>163142.4872</v>
      </c>
    </row>
    <row r="110" ht="15.75" customHeight="1">
      <c r="A110" s="10">
        <f t="shared" si="2"/>
        <v>3.12776805</v>
      </c>
      <c r="B110" s="6">
        <f>(I110*'Optimal Choice'!$B$6+J110*'Optimal Choice'!$B$11+K110*'Optimal Choice'!$B$16+L110*'Optimal Choice'!$B$21+M110*'Optimal Choice'!$B$26)*'Optimal Choice'!$B$30</f>
        <v>14428.51</v>
      </c>
      <c r="C110" s="10">
        <f>(O110/$B110)+(O110/'Optimal Choice'!$B$6)</f>
        <v>92.49489822</v>
      </c>
      <c r="D110" s="10">
        <f>(P110/$B110)+(P110/'Optimal Choice'!$B$11)</f>
        <v>98.89374914</v>
      </c>
      <c r="E110" s="10">
        <f>(Q110/$B110)+(Q110/'Optimal Choice'!$B$16)</f>
        <v>97.04713653</v>
      </c>
      <c r="F110" s="10">
        <f>(R110/$B110)+(R110/'Optimal Choice'!$B$21)</f>
        <v>94.35763663</v>
      </c>
      <c r="G110" s="10">
        <f>(S110/$B110)+(S110/'Optimal Choice'!$B$26)</f>
        <v>97.25618837</v>
      </c>
      <c r="I110" s="11">
        <f t="shared" ref="I110:M110" si="109">if(min($C109:$G109)=C109,I109+1,I109)</f>
        <v>53</v>
      </c>
      <c r="J110" s="11">
        <f t="shared" si="109"/>
        <v>24</v>
      </c>
      <c r="K110" s="11">
        <f t="shared" si="109"/>
        <v>18</v>
      </c>
      <c r="L110" s="11">
        <f t="shared" si="109"/>
        <v>10</v>
      </c>
      <c r="M110" s="11">
        <f t="shared" si="109"/>
        <v>4</v>
      </c>
      <c r="O110" s="12">
        <f> 'Optimal Choice'!$B$7*'Optimal Choice'!$B$8^(I110+1)</f>
        <v>154.4486037</v>
      </c>
      <c r="P110" s="12">
        <f> 'Optimal Choice'!$B$12*'Optimal Choice'!$B$13^(J110+1)</f>
        <v>1975.137157</v>
      </c>
      <c r="Q110" s="12">
        <f> 'Optimal Choice'!$B$17*'Optimal Choice'!$B$18^(K110+1)</f>
        <v>8680.098866</v>
      </c>
      <c r="R110" s="12">
        <f> 'Optimal Choice'!$B$22*'Optimal Choice'!$B$23^(L110+1)</f>
        <v>33141.84034</v>
      </c>
      <c r="S110" s="12">
        <f> 'Optimal Choice'!$B$27*'Optimal Choice'!$B$28^(M110+1)</f>
        <v>182719.5857</v>
      </c>
    </row>
    <row r="111" ht="15.75" customHeight="1">
      <c r="A111" s="10">
        <f t="shared" si="2"/>
        <v>3.127946456</v>
      </c>
      <c r="B111" s="6">
        <f>(I111*'Optimal Choice'!$B$6+J111*'Optimal Choice'!$B$11+K111*'Optimal Choice'!$B$16+L111*'Optimal Choice'!$B$21+M111*'Optimal Choice'!$B$26)*'Optimal Choice'!$B$30</f>
        <v>14430.18</v>
      </c>
      <c r="C111" s="10">
        <f>(O111/$B111)+(O111/'Optimal Choice'!$B$6)</f>
        <v>98.96953977</v>
      </c>
      <c r="D111" s="10">
        <f>(P111/$B111)+(P111/'Optimal Choice'!$B$11)</f>
        <v>98.89373329</v>
      </c>
      <c r="E111" s="10">
        <f>(Q111/$B111)+(Q111/'Optimal Choice'!$B$16)</f>
        <v>97.04706691</v>
      </c>
      <c r="F111" s="10">
        <f>(R111/$B111)+(R111/'Optimal Choice'!$B$21)</f>
        <v>94.3573708</v>
      </c>
      <c r="G111" s="10">
        <f>(S111/$B111)+(S111/'Optimal Choice'!$B$26)</f>
        <v>97.2547228</v>
      </c>
      <c r="I111" s="11">
        <f t="shared" ref="I111:M111" si="110">if(min($C110:$G110)=C110,I110+1,I110)</f>
        <v>54</v>
      </c>
      <c r="J111" s="11">
        <f t="shared" si="110"/>
        <v>24</v>
      </c>
      <c r="K111" s="11">
        <f t="shared" si="110"/>
        <v>18</v>
      </c>
      <c r="L111" s="11">
        <f t="shared" si="110"/>
        <v>10</v>
      </c>
      <c r="M111" s="11">
        <f t="shared" si="110"/>
        <v>4</v>
      </c>
      <c r="O111" s="12">
        <f> 'Optimal Choice'!$B$7*'Optimal Choice'!$B$8^(I111+1)</f>
        <v>165.2600059</v>
      </c>
      <c r="P111" s="12">
        <f> 'Optimal Choice'!$B$12*'Optimal Choice'!$B$13^(J111+1)</f>
        <v>1975.137157</v>
      </c>
      <c r="Q111" s="12">
        <f> 'Optimal Choice'!$B$17*'Optimal Choice'!$B$18^(K111+1)</f>
        <v>8680.098866</v>
      </c>
      <c r="R111" s="12">
        <f> 'Optimal Choice'!$B$22*'Optimal Choice'!$B$23^(L111+1)</f>
        <v>33141.84034</v>
      </c>
      <c r="S111" s="12">
        <f> 'Optimal Choice'!$B$27*'Optimal Choice'!$B$28^(M111+1)</f>
        <v>182719.5857</v>
      </c>
    </row>
    <row r="112" ht="15.75" customHeight="1">
      <c r="A112" s="10">
        <f t="shared" si="2"/>
        <v>3.166224843</v>
      </c>
      <c r="B112" s="6">
        <f>(I112*'Optimal Choice'!$B$6+J112*'Optimal Choice'!$B$11+K112*'Optimal Choice'!$B$16+L112*'Optimal Choice'!$B$21+M112*'Optimal Choice'!$B$26)*'Optimal Choice'!$B$30</f>
        <v>14790.18</v>
      </c>
      <c r="C112" s="10">
        <f>(O112/$B112)+(O112/'Optimal Choice'!$B$6)</f>
        <v>98.96926102</v>
      </c>
      <c r="D112" s="10">
        <f>(P112/$B112)+(P112/'Optimal Choice'!$B$11)</f>
        <v>98.89040168</v>
      </c>
      <c r="E112" s="10">
        <f>(Q112/$B112)+(Q112/'Optimal Choice'!$B$16)</f>
        <v>97.03242553</v>
      </c>
      <c r="F112" s="10">
        <f>(R112/$B112)+(R112/'Optimal Choice'!$B$21)</f>
        <v>106.5606588</v>
      </c>
      <c r="G112" s="10">
        <f>(S112/$B112)+(S112/'Optimal Choice'!$B$26)</f>
        <v>96.94651587</v>
      </c>
      <c r="I112" s="11">
        <f t="shared" ref="I112:M112" si="111">if(min($C111:$G111)=C111,I111+1,I111)</f>
        <v>54</v>
      </c>
      <c r="J112" s="11">
        <f t="shared" si="111"/>
        <v>24</v>
      </c>
      <c r="K112" s="11">
        <f t="shared" si="111"/>
        <v>18</v>
      </c>
      <c r="L112" s="11">
        <f t="shared" si="111"/>
        <v>11</v>
      </c>
      <c r="M112" s="11">
        <f t="shared" si="111"/>
        <v>4</v>
      </c>
      <c r="O112" s="12">
        <f> 'Optimal Choice'!$B$7*'Optimal Choice'!$B$8^(I112+1)</f>
        <v>165.2600059</v>
      </c>
      <c r="P112" s="12">
        <f> 'Optimal Choice'!$B$12*'Optimal Choice'!$B$13^(J112+1)</f>
        <v>1975.137157</v>
      </c>
      <c r="Q112" s="12">
        <f> 'Optimal Choice'!$B$17*'Optimal Choice'!$B$18^(K112+1)</f>
        <v>8680.098866</v>
      </c>
      <c r="R112" s="12">
        <f> 'Optimal Choice'!$B$22*'Optimal Choice'!$B$23^(L112+1)</f>
        <v>37450.27959</v>
      </c>
      <c r="S112" s="12">
        <f> 'Optimal Choice'!$B$27*'Optimal Choice'!$B$28^(M112+1)</f>
        <v>182719.5857</v>
      </c>
    </row>
    <row r="113" ht="15.75" customHeight="1">
      <c r="A113" s="10">
        <f t="shared" si="2"/>
        <v>3.372126761</v>
      </c>
      <c r="B113" s="6">
        <f>(I113*'Optimal Choice'!$B$6+J113*'Optimal Choice'!$B$11+K113*'Optimal Choice'!$B$16+L113*'Optimal Choice'!$B$21+M113*'Optimal Choice'!$B$26)*'Optimal Choice'!$B$30</f>
        <v>16950.18</v>
      </c>
      <c r="C113" s="10">
        <f>(O113/$B113)+(O113/'Optimal Choice'!$B$6)</f>
        <v>98.96783713</v>
      </c>
      <c r="D113" s="10">
        <f>(P113/$B113)+(P113/'Optimal Choice'!$B$11)</f>
        <v>98.87338389</v>
      </c>
      <c r="E113" s="10">
        <f>(Q113/$B113)+(Q113/'Optimal Choice'!$B$16)</f>
        <v>96.95763775</v>
      </c>
      <c r="F113" s="10">
        <f>(R113/$B113)+(R113/'Optimal Choice'!$B$21)</f>
        <v>106.237987</v>
      </c>
      <c r="G113" s="10">
        <f>(S113/$B113)+(S113/'Optimal Choice'!$B$26)</f>
        <v>106.8168672</v>
      </c>
      <c r="I113" s="11">
        <f t="shared" ref="I113:M113" si="112">if(min($C112:$G112)=C112,I112+1,I112)</f>
        <v>54</v>
      </c>
      <c r="J113" s="11">
        <f t="shared" si="112"/>
        <v>24</v>
      </c>
      <c r="K113" s="11">
        <f t="shared" si="112"/>
        <v>18</v>
      </c>
      <c r="L113" s="11">
        <f t="shared" si="112"/>
        <v>11</v>
      </c>
      <c r="M113" s="11">
        <f t="shared" si="112"/>
        <v>5</v>
      </c>
      <c r="O113" s="12">
        <f> 'Optimal Choice'!$B$7*'Optimal Choice'!$B$8^(I113+1)</f>
        <v>165.2600059</v>
      </c>
      <c r="P113" s="12">
        <f> 'Optimal Choice'!$B$12*'Optimal Choice'!$B$13^(J113+1)</f>
        <v>1975.137157</v>
      </c>
      <c r="Q113" s="12">
        <f> 'Optimal Choice'!$B$17*'Optimal Choice'!$B$18^(K113+1)</f>
        <v>8680.098866</v>
      </c>
      <c r="R113" s="12">
        <f> 'Optimal Choice'!$B$22*'Optimal Choice'!$B$23^(L113+1)</f>
        <v>37450.27959</v>
      </c>
      <c r="S113" s="12">
        <f> 'Optimal Choice'!$B$27*'Optimal Choice'!$B$28^(M113+1)</f>
        <v>204645.936</v>
      </c>
    </row>
    <row r="114" ht="15.75" customHeight="1">
      <c r="A114" s="10">
        <f t="shared" si="2"/>
        <v>3.380661674</v>
      </c>
      <c r="B114" s="6">
        <f>(I114*'Optimal Choice'!$B$6+J114*'Optimal Choice'!$B$11+K114*'Optimal Choice'!$B$16+L114*'Optimal Choice'!$B$21+M114*'Optimal Choice'!$B$26)*'Optimal Choice'!$B$30</f>
        <v>17040.18</v>
      </c>
      <c r="C114" s="10">
        <f>(O114/$B114)+(O114/'Optimal Choice'!$B$6)</f>
        <v>98.96778564</v>
      </c>
      <c r="D114" s="10">
        <f>(P114/$B114)+(P114/'Optimal Choice'!$B$11)</f>
        <v>98.87276844</v>
      </c>
      <c r="E114" s="10">
        <f>(Q114/$B114)+(Q114/'Optimal Choice'!$B$16)</f>
        <v>110.5286237</v>
      </c>
      <c r="F114" s="10">
        <f>(R114/$B114)+(R114/'Optimal Choice'!$B$21)</f>
        <v>106.2263175</v>
      </c>
      <c r="G114" s="10">
        <f>(S114/$B114)+(S114/'Optimal Choice'!$B$26)</f>
        <v>106.7531001</v>
      </c>
      <c r="I114" s="11">
        <f t="shared" ref="I114:M114" si="113">if(min($C113:$G113)=C113,I113+1,I113)</f>
        <v>54</v>
      </c>
      <c r="J114" s="11">
        <f t="shared" si="113"/>
        <v>24</v>
      </c>
      <c r="K114" s="11">
        <f t="shared" si="113"/>
        <v>19</v>
      </c>
      <c r="L114" s="11">
        <f t="shared" si="113"/>
        <v>11</v>
      </c>
      <c r="M114" s="11">
        <f t="shared" si="113"/>
        <v>5</v>
      </c>
      <c r="O114" s="12">
        <f> 'Optimal Choice'!$B$7*'Optimal Choice'!$B$8^(I114+1)</f>
        <v>165.2600059</v>
      </c>
      <c r="P114" s="12">
        <f> 'Optimal Choice'!$B$12*'Optimal Choice'!$B$13^(J114+1)</f>
        <v>1975.137157</v>
      </c>
      <c r="Q114" s="12">
        <f> 'Optimal Choice'!$B$17*'Optimal Choice'!$B$18^(K114+1)</f>
        <v>9895.312708</v>
      </c>
      <c r="R114" s="12">
        <f> 'Optimal Choice'!$B$22*'Optimal Choice'!$B$23^(L114+1)</f>
        <v>37450.27959</v>
      </c>
      <c r="S114" s="12">
        <f> 'Optimal Choice'!$B$27*'Optimal Choice'!$B$28^(M114+1)</f>
        <v>204645.936</v>
      </c>
    </row>
    <row r="115" ht="15.75" customHeight="1">
      <c r="A115" s="10">
        <f t="shared" si="2"/>
        <v>3.382593517</v>
      </c>
      <c r="B115" s="6">
        <f>(I115*'Optimal Choice'!$B$6+J115*'Optimal Choice'!$B$11+K115*'Optimal Choice'!$B$16+L115*'Optimal Choice'!$B$21+M115*'Optimal Choice'!$B$26)*'Optimal Choice'!$B$30</f>
        <v>17060.18</v>
      </c>
      <c r="C115" s="10">
        <f>(O115/$B115)+(O115/'Optimal Choice'!$B$6)</f>
        <v>98.96777427</v>
      </c>
      <c r="D115" s="10">
        <f>(P115/$B115)+(P115/'Optimal Choice'!$B$11)</f>
        <v>113.7035274</v>
      </c>
      <c r="E115" s="10">
        <f>(Q115/$B115)+(Q115/'Optimal Choice'!$B$16)</f>
        <v>110.5279429</v>
      </c>
      <c r="F115" s="10">
        <f>(R115/$B115)+(R115/'Optimal Choice'!$B$21)</f>
        <v>106.2237411</v>
      </c>
      <c r="G115" s="10">
        <f>(S115/$B115)+(S115/'Optimal Choice'!$B$26)</f>
        <v>106.7390209</v>
      </c>
      <c r="I115" s="11">
        <f t="shared" ref="I115:M115" si="114">if(min($C114:$G114)=C114,I114+1,I114)</f>
        <v>54</v>
      </c>
      <c r="J115" s="11">
        <f t="shared" si="114"/>
        <v>25</v>
      </c>
      <c r="K115" s="11">
        <f t="shared" si="114"/>
        <v>19</v>
      </c>
      <c r="L115" s="11">
        <f t="shared" si="114"/>
        <v>11</v>
      </c>
      <c r="M115" s="11">
        <f t="shared" si="114"/>
        <v>5</v>
      </c>
      <c r="O115" s="12">
        <f> 'Optimal Choice'!$B$7*'Optimal Choice'!$B$8^(I115+1)</f>
        <v>165.2600059</v>
      </c>
      <c r="P115" s="12">
        <f> 'Optimal Choice'!$B$12*'Optimal Choice'!$B$13^(J115+1)</f>
        <v>2271.407731</v>
      </c>
      <c r="Q115" s="12">
        <f> 'Optimal Choice'!$B$17*'Optimal Choice'!$B$18^(K115+1)</f>
        <v>9895.312708</v>
      </c>
      <c r="R115" s="12">
        <f> 'Optimal Choice'!$B$22*'Optimal Choice'!$B$23^(L115+1)</f>
        <v>37450.27959</v>
      </c>
      <c r="S115" s="12">
        <f> 'Optimal Choice'!$B$27*'Optimal Choice'!$B$28^(M115+1)</f>
        <v>204645.936</v>
      </c>
    </row>
    <row r="116" ht="15.75" customHeight="1">
      <c r="A116" s="10">
        <f t="shared" si="2"/>
        <v>3.382754965</v>
      </c>
      <c r="B116" s="6">
        <f>(I116*'Optimal Choice'!$B$6+J116*'Optimal Choice'!$B$11+K116*'Optimal Choice'!$B$16+L116*'Optimal Choice'!$B$21+M116*'Optimal Choice'!$B$26)*'Optimal Choice'!$B$30</f>
        <v>17061.85</v>
      </c>
      <c r="C116" s="10">
        <f>(O116/$B116)+(O116/'Optimal Choice'!$B$6)</f>
        <v>105.8955175</v>
      </c>
      <c r="D116" s="10">
        <f>(P116/$B116)+(P116/'Optimal Choice'!$B$11)</f>
        <v>113.7035144</v>
      </c>
      <c r="E116" s="10">
        <f>(Q116/$B116)+(Q116/'Optimal Choice'!$B$16)</f>
        <v>110.5278861</v>
      </c>
      <c r="F116" s="10">
        <f>(R116/$B116)+(R116/'Optimal Choice'!$B$21)</f>
        <v>106.2235262</v>
      </c>
      <c r="G116" s="10">
        <f>(S116/$B116)+(S116/'Optimal Choice'!$B$26)</f>
        <v>106.7378468</v>
      </c>
      <c r="I116" s="11">
        <f t="shared" ref="I116:M116" si="115">if(min($C115:$G115)=C115,I115+1,I115)</f>
        <v>55</v>
      </c>
      <c r="J116" s="11">
        <f t="shared" si="115"/>
        <v>25</v>
      </c>
      <c r="K116" s="11">
        <f t="shared" si="115"/>
        <v>19</v>
      </c>
      <c r="L116" s="11">
        <f t="shared" si="115"/>
        <v>11</v>
      </c>
      <c r="M116" s="11">
        <f t="shared" si="115"/>
        <v>5</v>
      </c>
      <c r="O116" s="12">
        <f> 'Optimal Choice'!$B$7*'Optimal Choice'!$B$8^(I116+1)</f>
        <v>176.8282063</v>
      </c>
      <c r="P116" s="12">
        <f> 'Optimal Choice'!$B$12*'Optimal Choice'!$B$13^(J116+1)</f>
        <v>2271.407731</v>
      </c>
      <c r="Q116" s="12">
        <f> 'Optimal Choice'!$B$17*'Optimal Choice'!$B$18^(K116+1)</f>
        <v>9895.312708</v>
      </c>
      <c r="R116" s="12">
        <f> 'Optimal Choice'!$B$22*'Optimal Choice'!$B$23^(L116+1)</f>
        <v>37450.27959</v>
      </c>
      <c r="S116" s="12">
        <f> 'Optimal Choice'!$B$27*'Optimal Choice'!$B$28^(M116+1)</f>
        <v>204645.936</v>
      </c>
    </row>
    <row r="117" ht="15.75" customHeight="1">
      <c r="A117" s="10">
        <f t="shared" si="2"/>
        <v>3.382927697</v>
      </c>
      <c r="B117" s="6">
        <f>(I117*'Optimal Choice'!$B$6+J117*'Optimal Choice'!$B$11+K117*'Optimal Choice'!$B$16+L117*'Optimal Choice'!$B$21+M117*'Optimal Choice'!$B$26)*'Optimal Choice'!$B$30</f>
        <v>17063.52</v>
      </c>
      <c r="C117" s="10">
        <f>(O117/$B117)+(O117/'Optimal Choice'!$B$6)</f>
        <v>113.3082026</v>
      </c>
      <c r="D117" s="10">
        <f>(P117/$B117)+(P117/'Optimal Choice'!$B$11)</f>
        <v>113.7035014</v>
      </c>
      <c r="E117" s="10">
        <f>(Q117/$B117)+(Q117/'Optimal Choice'!$B$16)</f>
        <v>110.5278294</v>
      </c>
      <c r="F117" s="10">
        <f>(R117/$B117)+(R117/'Optimal Choice'!$B$21)</f>
        <v>106.2233114</v>
      </c>
      <c r="G117" s="10">
        <f>(S117/$B117)+(S117/'Optimal Choice'!$B$26)</f>
        <v>106.7366729</v>
      </c>
      <c r="I117" s="11">
        <f t="shared" ref="I117:M117" si="116">if(min($C116:$G116)=C116,I116+1,I116)</f>
        <v>56</v>
      </c>
      <c r="J117" s="11">
        <f t="shared" si="116"/>
        <v>25</v>
      </c>
      <c r="K117" s="11">
        <f t="shared" si="116"/>
        <v>19</v>
      </c>
      <c r="L117" s="11">
        <f t="shared" si="116"/>
        <v>11</v>
      </c>
      <c r="M117" s="11">
        <f t="shared" si="116"/>
        <v>5</v>
      </c>
      <c r="O117" s="12">
        <f> 'Optimal Choice'!$B$7*'Optimal Choice'!$B$8^(I117+1)</f>
        <v>189.2061808</v>
      </c>
      <c r="P117" s="12">
        <f> 'Optimal Choice'!$B$12*'Optimal Choice'!$B$13^(J117+1)</f>
        <v>2271.407731</v>
      </c>
      <c r="Q117" s="12">
        <f> 'Optimal Choice'!$B$17*'Optimal Choice'!$B$18^(K117+1)</f>
        <v>9895.312708</v>
      </c>
      <c r="R117" s="12">
        <f> 'Optimal Choice'!$B$22*'Optimal Choice'!$B$23^(L117+1)</f>
        <v>37450.27959</v>
      </c>
      <c r="S117" s="12">
        <f> 'Optimal Choice'!$B$27*'Optimal Choice'!$B$28^(M117+1)</f>
        <v>204645.936</v>
      </c>
    </row>
    <row r="118" ht="15.75" customHeight="1">
      <c r="A118" s="10">
        <f t="shared" si="2"/>
        <v>3.41950698</v>
      </c>
      <c r="B118" s="6">
        <f>(I118*'Optimal Choice'!$B$6+J118*'Optimal Choice'!$B$11+K118*'Optimal Choice'!$B$16+L118*'Optimal Choice'!$B$21+M118*'Optimal Choice'!$B$26)*'Optimal Choice'!$B$30</f>
        <v>17423.52</v>
      </c>
      <c r="C118" s="10">
        <f>(O118/$B118)+(O118/'Optimal Choice'!$B$6)</f>
        <v>113.3079735</v>
      </c>
      <c r="D118" s="10">
        <f>(P118/$B118)+(P118/'Optimal Choice'!$B$11)</f>
        <v>113.700751</v>
      </c>
      <c r="E118" s="10">
        <f>(Q118/$B118)+(Q118/'Optimal Choice'!$B$16)</f>
        <v>110.5158474</v>
      </c>
      <c r="F118" s="10">
        <f>(R118/$B118)+(R118/'Optimal Choice'!$B$21)</f>
        <v>119.9810992</v>
      </c>
      <c r="G118" s="10">
        <f>(S118/$B118)+(S118/'Optimal Choice'!$B$26)</f>
        <v>106.4888731</v>
      </c>
      <c r="I118" s="11">
        <f t="shared" ref="I118:M118" si="117">if(min($C117:$G117)=C117,I117+1,I117)</f>
        <v>56</v>
      </c>
      <c r="J118" s="11">
        <f t="shared" si="117"/>
        <v>25</v>
      </c>
      <c r="K118" s="11">
        <f t="shared" si="117"/>
        <v>19</v>
      </c>
      <c r="L118" s="11">
        <f t="shared" si="117"/>
        <v>12</v>
      </c>
      <c r="M118" s="11">
        <f t="shared" si="117"/>
        <v>5</v>
      </c>
      <c r="O118" s="12">
        <f> 'Optimal Choice'!$B$7*'Optimal Choice'!$B$8^(I118+1)</f>
        <v>189.2061808</v>
      </c>
      <c r="P118" s="12">
        <f> 'Optimal Choice'!$B$12*'Optimal Choice'!$B$13^(J118+1)</f>
        <v>2271.407731</v>
      </c>
      <c r="Q118" s="12">
        <f> 'Optimal Choice'!$B$17*'Optimal Choice'!$B$18^(K118+1)</f>
        <v>9895.312708</v>
      </c>
      <c r="R118" s="12">
        <f> 'Optimal Choice'!$B$22*'Optimal Choice'!$B$23^(L118+1)</f>
        <v>42318.81593</v>
      </c>
      <c r="S118" s="12">
        <f> 'Optimal Choice'!$B$27*'Optimal Choice'!$B$28^(M118+1)</f>
        <v>204645.936</v>
      </c>
    </row>
    <row r="119" ht="15.75" customHeight="1">
      <c r="A119" s="10">
        <f t="shared" si="2"/>
        <v>3.615263383</v>
      </c>
      <c r="B119" s="6">
        <f>(I119*'Optimal Choice'!$B$6+J119*'Optimal Choice'!$B$11+K119*'Optimal Choice'!$B$16+L119*'Optimal Choice'!$B$21+M119*'Optimal Choice'!$B$26)*'Optimal Choice'!$B$30</f>
        <v>19583.52</v>
      </c>
      <c r="C119" s="10">
        <f>(O119/$B119)+(O119/'Optimal Choice'!$B$6)</f>
        <v>113.3067757</v>
      </c>
      <c r="D119" s="10">
        <f>(P119/$B119)+(P119/'Optimal Choice'!$B$11)</f>
        <v>113.6863722</v>
      </c>
      <c r="E119" s="10">
        <f>(Q119/$B119)+(Q119/'Optimal Choice'!$B$16)</f>
        <v>110.4532067</v>
      </c>
      <c r="F119" s="10">
        <f>(R119/$B119)+(R119/'Optimal Choice'!$B$21)</f>
        <v>119.7132067</v>
      </c>
      <c r="G119" s="10">
        <f>(S119/$B119)+(S119/'Optimal Choice'!$B$26)</f>
        <v>117.8166019</v>
      </c>
      <c r="I119" s="11">
        <f t="shared" ref="I119:M119" si="118">if(min($C118:$G118)=C118,I118+1,I118)</f>
        <v>56</v>
      </c>
      <c r="J119" s="11">
        <f t="shared" si="118"/>
        <v>25</v>
      </c>
      <c r="K119" s="11">
        <f t="shared" si="118"/>
        <v>19</v>
      </c>
      <c r="L119" s="11">
        <f t="shared" si="118"/>
        <v>12</v>
      </c>
      <c r="M119" s="11">
        <f t="shared" si="118"/>
        <v>6</v>
      </c>
      <c r="O119" s="12">
        <f> 'Optimal Choice'!$B$7*'Optimal Choice'!$B$8^(I119+1)</f>
        <v>189.2061808</v>
      </c>
      <c r="P119" s="12">
        <f> 'Optimal Choice'!$B$12*'Optimal Choice'!$B$13^(J119+1)</f>
        <v>2271.407731</v>
      </c>
      <c r="Q119" s="12">
        <f> 'Optimal Choice'!$B$17*'Optimal Choice'!$B$18^(K119+1)</f>
        <v>9895.312708</v>
      </c>
      <c r="R119" s="12">
        <f> 'Optimal Choice'!$B$22*'Optimal Choice'!$B$23^(L119+1)</f>
        <v>42318.81593</v>
      </c>
      <c r="S119" s="12">
        <f> 'Optimal Choice'!$B$27*'Optimal Choice'!$B$28^(M119+1)</f>
        <v>229203.4483</v>
      </c>
    </row>
    <row r="120" ht="15.75" customHeight="1">
      <c r="A120" s="10">
        <f t="shared" si="2"/>
        <v>3.623684846</v>
      </c>
      <c r="B120" s="6">
        <f>(I120*'Optimal Choice'!$B$6+J120*'Optimal Choice'!$B$11+K120*'Optimal Choice'!$B$16+L120*'Optimal Choice'!$B$21+M120*'Optimal Choice'!$B$26)*'Optimal Choice'!$B$30</f>
        <v>19673.52</v>
      </c>
      <c r="C120" s="10">
        <f>(O120/$B120)+(O120/'Optimal Choice'!$B$6)</f>
        <v>113.3067315</v>
      </c>
      <c r="D120" s="10">
        <f>(P120/$B120)+(P120/'Optimal Choice'!$B$11)</f>
        <v>113.6858416</v>
      </c>
      <c r="E120" s="10">
        <f>(Q120/$B120)+(Q120/'Optimal Choice'!$B$16)</f>
        <v>125.9140205</v>
      </c>
      <c r="F120" s="10">
        <f>(R120/$B120)+(R120/'Optimal Choice'!$B$21)</f>
        <v>119.7033211</v>
      </c>
      <c r="G120" s="10">
        <f>(S120/$B120)+(S120/'Optimal Choice'!$B$26)</f>
        <v>117.7630603</v>
      </c>
      <c r="I120" s="11">
        <f t="shared" ref="I120:M120" si="119">if(min($C119:$G119)=C119,I119+1,I119)</f>
        <v>56</v>
      </c>
      <c r="J120" s="11">
        <f t="shared" si="119"/>
        <v>25</v>
      </c>
      <c r="K120" s="11">
        <f t="shared" si="119"/>
        <v>20</v>
      </c>
      <c r="L120" s="11">
        <f t="shared" si="119"/>
        <v>12</v>
      </c>
      <c r="M120" s="11">
        <f t="shared" si="119"/>
        <v>6</v>
      </c>
      <c r="O120" s="12">
        <f> 'Optimal Choice'!$B$7*'Optimal Choice'!$B$8^(I120+1)</f>
        <v>189.2061808</v>
      </c>
      <c r="P120" s="12">
        <f> 'Optimal Choice'!$B$12*'Optimal Choice'!$B$13^(J120+1)</f>
        <v>2271.407731</v>
      </c>
      <c r="Q120" s="12">
        <f> 'Optimal Choice'!$B$17*'Optimal Choice'!$B$18^(K120+1)</f>
        <v>11280.65649</v>
      </c>
      <c r="R120" s="12">
        <f> 'Optimal Choice'!$B$22*'Optimal Choice'!$B$23^(L120+1)</f>
        <v>42318.81593</v>
      </c>
      <c r="S120" s="12">
        <f> 'Optimal Choice'!$B$27*'Optimal Choice'!$B$28^(M120+1)</f>
        <v>229203.4483</v>
      </c>
    </row>
    <row r="121" ht="15.75" customHeight="1">
      <c r="A121" s="10">
        <f t="shared" si="2"/>
        <v>3.623845134</v>
      </c>
      <c r="B121" s="6">
        <f>(I121*'Optimal Choice'!$B$6+J121*'Optimal Choice'!$B$11+K121*'Optimal Choice'!$B$16+L121*'Optimal Choice'!$B$21+M121*'Optimal Choice'!$B$26)*'Optimal Choice'!$B$30</f>
        <v>19675.19</v>
      </c>
      <c r="C121" s="10">
        <f>(O121/$B121)+(O121/'Optimal Choice'!$B$6)</f>
        <v>121.2382019</v>
      </c>
      <c r="D121" s="10">
        <f>(P121/$B121)+(P121/'Optimal Choice'!$B$11)</f>
        <v>113.6858318</v>
      </c>
      <c r="E121" s="10">
        <f>(Q121/$B121)+(Q121/'Optimal Choice'!$B$16)</f>
        <v>125.9139719</v>
      </c>
      <c r="F121" s="10">
        <f>(R121/$B121)+(R121/'Optimal Choice'!$B$21)</f>
        <v>119.7031385</v>
      </c>
      <c r="G121" s="10">
        <f>(S121/$B121)+(S121/'Optimal Choice'!$B$26)</f>
        <v>117.7620715</v>
      </c>
      <c r="I121" s="11">
        <f t="shared" ref="I121:M121" si="120">if(min($C120:$G120)=C120,I120+1,I120)</f>
        <v>57</v>
      </c>
      <c r="J121" s="11">
        <f t="shared" si="120"/>
        <v>25</v>
      </c>
      <c r="K121" s="11">
        <f t="shared" si="120"/>
        <v>20</v>
      </c>
      <c r="L121" s="11">
        <f t="shared" si="120"/>
        <v>12</v>
      </c>
      <c r="M121" s="11">
        <f t="shared" si="120"/>
        <v>6</v>
      </c>
      <c r="O121" s="12">
        <f> 'Optimal Choice'!$B$7*'Optimal Choice'!$B$8^(I121+1)</f>
        <v>202.4506134</v>
      </c>
      <c r="P121" s="12">
        <f> 'Optimal Choice'!$B$12*'Optimal Choice'!$B$13^(J121+1)</f>
        <v>2271.407731</v>
      </c>
      <c r="Q121" s="12">
        <f> 'Optimal Choice'!$B$17*'Optimal Choice'!$B$18^(K121+1)</f>
        <v>11280.65649</v>
      </c>
      <c r="R121" s="12">
        <f> 'Optimal Choice'!$B$22*'Optimal Choice'!$B$23^(L121+1)</f>
        <v>42318.81593</v>
      </c>
      <c r="S121" s="12">
        <f> 'Optimal Choice'!$B$27*'Optimal Choice'!$B$28^(M121+1)</f>
        <v>229203.4483</v>
      </c>
    </row>
    <row r="122" ht="15.75" customHeight="1">
      <c r="A122" s="10">
        <f t="shared" si="2"/>
        <v>3.625769222</v>
      </c>
      <c r="B122" s="6">
        <f>(I122*'Optimal Choice'!$B$6+J122*'Optimal Choice'!$B$11+K122*'Optimal Choice'!$B$16+L122*'Optimal Choice'!$B$21+M122*'Optimal Choice'!$B$26)*'Optimal Choice'!$B$30</f>
        <v>19695.19</v>
      </c>
      <c r="C122" s="10">
        <f>(O122/$B122)+(O122/'Optimal Choice'!$B$6)</f>
        <v>121.2381914</v>
      </c>
      <c r="D122" s="10">
        <f>(P122/$B122)+(P122/'Optimal Choice'!$B$11)</f>
        <v>130.7385718</v>
      </c>
      <c r="E122" s="10">
        <f>(Q122/$B122)+(Q122/'Optimal Choice'!$B$16)</f>
        <v>125.9133896</v>
      </c>
      <c r="F122" s="10">
        <f>(R122/$B122)+(R122/'Optimal Choice'!$B$21)</f>
        <v>119.7009544</v>
      </c>
      <c r="G122" s="10">
        <f>(S122/$B122)+(S122/'Optimal Choice'!$B$26)</f>
        <v>117.7502418</v>
      </c>
      <c r="I122" s="11">
        <f t="shared" ref="I122:M122" si="121">if(min($C121:$G121)=C121,I121+1,I121)</f>
        <v>57</v>
      </c>
      <c r="J122" s="11">
        <f t="shared" si="121"/>
        <v>26</v>
      </c>
      <c r="K122" s="11">
        <f t="shared" si="121"/>
        <v>20</v>
      </c>
      <c r="L122" s="11">
        <f t="shared" si="121"/>
        <v>12</v>
      </c>
      <c r="M122" s="11">
        <f t="shared" si="121"/>
        <v>6</v>
      </c>
      <c r="O122" s="12">
        <f> 'Optimal Choice'!$B$7*'Optimal Choice'!$B$8^(I122+1)</f>
        <v>202.4506134</v>
      </c>
      <c r="P122" s="12">
        <f> 'Optimal Choice'!$B$12*'Optimal Choice'!$B$13^(J122+1)</f>
        <v>2612.11889</v>
      </c>
      <c r="Q122" s="12">
        <f> 'Optimal Choice'!$B$17*'Optimal Choice'!$B$18^(K122+1)</f>
        <v>11280.65649</v>
      </c>
      <c r="R122" s="12">
        <f> 'Optimal Choice'!$B$22*'Optimal Choice'!$B$23^(L122+1)</f>
        <v>42318.81593</v>
      </c>
      <c r="S122" s="12">
        <f> 'Optimal Choice'!$B$27*'Optimal Choice'!$B$28^(M122+1)</f>
        <v>229203.4483</v>
      </c>
    </row>
    <row r="123" ht="15.75" customHeight="1">
      <c r="A123" s="10">
        <f t="shared" si="2"/>
        <v>3.819728126</v>
      </c>
      <c r="B123" s="6">
        <f>(I123*'Optimal Choice'!$B$6+J123*'Optimal Choice'!$B$11+K123*'Optimal Choice'!$B$16+L123*'Optimal Choice'!$B$21+M123*'Optimal Choice'!$B$26)*'Optimal Choice'!$B$30</f>
        <v>21855.19</v>
      </c>
      <c r="C123" s="10">
        <f>(O123/$B123)+(O123/'Optimal Choice'!$B$6)</f>
        <v>121.2371755</v>
      </c>
      <c r="D123" s="10">
        <f>(P123/$B123)+(P123/'Optimal Choice'!$B$11)</f>
        <v>130.7254639</v>
      </c>
      <c r="E123" s="10">
        <f>(Q123/$B123)+(Q123/'Optimal Choice'!$B$16)</f>
        <v>125.8567822</v>
      </c>
      <c r="F123" s="10">
        <f>(R123/$B123)+(R123/'Optimal Choice'!$B$21)</f>
        <v>119.4885945</v>
      </c>
      <c r="G123" s="10">
        <f>(S123/$B123)+(S123/'Optimal Choice'!$B$26)</f>
        <v>130.5920861</v>
      </c>
      <c r="I123" s="11">
        <f t="shared" ref="I123:M123" si="122">if(min($C122:$G122)=C122,I122+1,I122)</f>
        <v>57</v>
      </c>
      <c r="J123" s="11">
        <f t="shared" si="122"/>
        <v>26</v>
      </c>
      <c r="K123" s="11">
        <f t="shared" si="122"/>
        <v>20</v>
      </c>
      <c r="L123" s="11">
        <f t="shared" si="122"/>
        <v>12</v>
      </c>
      <c r="M123" s="11">
        <f t="shared" si="122"/>
        <v>7</v>
      </c>
      <c r="O123" s="12">
        <f> 'Optimal Choice'!$B$7*'Optimal Choice'!$B$8^(I123+1)</f>
        <v>202.4506134</v>
      </c>
      <c r="P123" s="12">
        <f> 'Optimal Choice'!$B$12*'Optimal Choice'!$B$13^(J123+1)</f>
        <v>2612.11889</v>
      </c>
      <c r="Q123" s="12">
        <f> 'Optimal Choice'!$B$17*'Optimal Choice'!$B$18^(K123+1)</f>
        <v>11280.65649</v>
      </c>
      <c r="R123" s="12">
        <f> 'Optimal Choice'!$B$22*'Optimal Choice'!$B$23^(L123+1)</f>
        <v>42318.81593</v>
      </c>
      <c r="S123" s="12">
        <f> 'Optimal Choice'!$B$27*'Optimal Choice'!$B$28^(M123+1)</f>
        <v>256707.8621</v>
      </c>
    </row>
    <row r="124" ht="15.75" customHeight="1">
      <c r="A124" s="10">
        <f t="shared" si="2"/>
        <v>3.852000259</v>
      </c>
      <c r="B124" s="6">
        <f>(I124*'Optimal Choice'!$B$6+J124*'Optimal Choice'!$B$11+K124*'Optimal Choice'!$B$16+L124*'Optimal Choice'!$B$21+M124*'Optimal Choice'!$B$26)*'Optimal Choice'!$B$30</f>
        <v>22215.19</v>
      </c>
      <c r="C124" s="10">
        <f>(O124/$B124)+(O124/'Optimal Choice'!$B$6)</f>
        <v>121.2370254</v>
      </c>
      <c r="D124" s="10">
        <f>(P124/$B124)+(P124/'Optimal Choice'!$B$11)</f>
        <v>130.7235271</v>
      </c>
      <c r="E124" s="10">
        <f>(Q124/$B124)+(Q124/'Optimal Choice'!$B$16)</f>
        <v>125.8484179</v>
      </c>
      <c r="F124" s="10">
        <f>(R124/$B124)+(R124/'Optimal Choice'!$B$21)</f>
        <v>134.9866541</v>
      </c>
      <c r="G124" s="10">
        <f>(S124/$B124)+(S124/'Optimal Choice'!$B$26)</f>
        <v>130.401743</v>
      </c>
      <c r="I124" s="11">
        <f t="shared" ref="I124:M124" si="123">if(min($C123:$G123)=C123,I123+1,I123)</f>
        <v>57</v>
      </c>
      <c r="J124" s="11">
        <f t="shared" si="123"/>
        <v>26</v>
      </c>
      <c r="K124" s="11">
        <f t="shared" si="123"/>
        <v>20</v>
      </c>
      <c r="L124" s="11">
        <f t="shared" si="123"/>
        <v>13</v>
      </c>
      <c r="M124" s="11">
        <f t="shared" si="123"/>
        <v>7</v>
      </c>
      <c r="O124" s="12">
        <f> 'Optimal Choice'!$B$7*'Optimal Choice'!$B$8^(I124+1)</f>
        <v>202.4506134</v>
      </c>
      <c r="P124" s="12">
        <f> 'Optimal Choice'!$B$12*'Optimal Choice'!$B$13^(J124+1)</f>
        <v>2612.11889</v>
      </c>
      <c r="Q124" s="12">
        <f> 'Optimal Choice'!$B$17*'Optimal Choice'!$B$18^(K124+1)</f>
        <v>11280.65649</v>
      </c>
      <c r="R124" s="12">
        <f> 'Optimal Choice'!$B$22*'Optimal Choice'!$B$23^(L124+1)</f>
        <v>47820.262</v>
      </c>
      <c r="S124" s="12">
        <f> 'Optimal Choice'!$B$27*'Optimal Choice'!$B$28^(M124+1)</f>
        <v>256707.8621</v>
      </c>
    </row>
    <row r="125" ht="15.75" customHeight="1">
      <c r="A125" s="10">
        <f t="shared" si="2"/>
        <v>3.852152145</v>
      </c>
      <c r="B125" s="6">
        <f>(I125*'Optimal Choice'!$B$6+J125*'Optimal Choice'!$B$11+K125*'Optimal Choice'!$B$16+L125*'Optimal Choice'!$B$21+M125*'Optimal Choice'!$B$26)*'Optimal Choice'!$B$30</f>
        <v>22216.86</v>
      </c>
      <c r="C125" s="10">
        <f>(O125/$B125)+(O125/'Optimal Choice'!$B$6)</f>
        <v>129.7236165</v>
      </c>
      <c r="D125" s="10">
        <f>(P125/$B125)+(P125/'Optimal Choice'!$B$11)</f>
        <v>130.7235182</v>
      </c>
      <c r="E125" s="10">
        <f>(Q125/$B125)+(Q125/'Optimal Choice'!$B$16)</f>
        <v>125.8483797</v>
      </c>
      <c r="F125" s="10">
        <f>(R125/$B125)+(R125/'Optimal Choice'!$B$21)</f>
        <v>134.9864923</v>
      </c>
      <c r="G125" s="10">
        <f>(S125/$B125)+(S125/'Optimal Choice'!$B$26)</f>
        <v>130.4008744</v>
      </c>
      <c r="I125" s="11">
        <f t="shared" ref="I125:M125" si="124">if(min($C124:$G124)=C124,I124+1,I124)</f>
        <v>58</v>
      </c>
      <c r="J125" s="11">
        <f t="shared" si="124"/>
        <v>26</v>
      </c>
      <c r="K125" s="11">
        <f t="shared" si="124"/>
        <v>20</v>
      </c>
      <c r="L125" s="11">
        <f t="shared" si="124"/>
        <v>13</v>
      </c>
      <c r="M125" s="11">
        <f t="shared" si="124"/>
        <v>7</v>
      </c>
      <c r="O125" s="12">
        <f> 'Optimal Choice'!$B$7*'Optimal Choice'!$B$8^(I125+1)</f>
        <v>216.6221564</v>
      </c>
      <c r="P125" s="12">
        <f> 'Optimal Choice'!$B$12*'Optimal Choice'!$B$13^(J125+1)</f>
        <v>2612.11889</v>
      </c>
      <c r="Q125" s="12">
        <f> 'Optimal Choice'!$B$17*'Optimal Choice'!$B$18^(K125+1)</f>
        <v>11280.65649</v>
      </c>
      <c r="R125" s="12">
        <f> 'Optimal Choice'!$B$22*'Optimal Choice'!$B$23^(L125+1)</f>
        <v>47820.262</v>
      </c>
      <c r="S125" s="12">
        <f> 'Optimal Choice'!$B$27*'Optimal Choice'!$B$28^(M125+1)</f>
        <v>256707.8621</v>
      </c>
    </row>
    <row r="126" ht="15.75" customHeight="1">
      <c r="A126" s="10">
        <f t="shared" si="2"/>
        <v>3.86061468</v>
      </c>
      <c r="B126" s="6">
        <f>(I126*'Optimal Choice'!$B$6+J126*'Optimal Choice'!$B$11+K126*'Optimal Choice'!$B$16+L126*'Optimal Choice'!$B$21+M126*'Optimal Choice'!$B$26)*'Optimal Choice'!$B$30</f>
        <v>22306.86</v>
      </c>
      <c r="C126" s="10">
        <f>(O126/$B126)+(O126/'Optimal Choice'!$B$6)</f>
        <v>129.7235771</v>
      </c>
      <c r="D126" s="10">
        <f>(P126/$B126)+(P126/'Optimal Choice'!$B$11)</f>
        <v>130.7230439</v>
      </c>
      <c r="E126" s="10">
        <f>(Q126/$B126)+(Q126/'Optimal Choice'!$B$16)</f>
        <v>143.4648175</v>
      </c>
      <c r="F126" s="10">
        <f>(R126/$B126)+(R126/'Optimal Choice'!$B$21)</f>
        <v>134.977808</v>
      </c>
      <c r="G126" s="10">
        <f>(S126/$B126)+(S126/'Optimal Choice'!$B$26)</f>
        <v>130.3542556</v>
      </c>
      <c r="I126" s="11">
        <f t="shared" ref="I126:M126" si="125">if(min($C125:$G125)=C125,I125+1,I125)</f>
        <v>58</v>
      </c>
      <c r="J126" s="11">
        <f t="shared" si="125"/>
        <v>26</v>
      </c>
      <c r="K126" s="11">
        <f t="shared" si="125"/>
        <v>21</v>
      </c>
      <c r="L126" s="11">
        <f t="shared" si="125"/>
        <v>13</v>
      </c>
      <c r="M126" s="11">
        <f t="shared" si="125"/>
        <v>7</v>
      </c>
      <c r="O126" s="12">
        <f> 'Optimal Choice'!$B$7*'Optimal Choice'!$B$8^(I126+1)</f>
        <v>216.6221564</v>
      </c>
      <c r="P126" s="12">
        <f> 'Optimal Choice'!$B$12*'Optimal Choice'!$B$13^(J126+1)</f>
        <v>2612.11889</v>
      </c>
      <c r="Q126" s="12">
        <f> 'Optimal Choice'!$B$17*'Optimal Choice'!$B$18^(K126+1)</f>
        <v>12859.94839</v>
      </c>
      <c r="R126" s="12">
        <f> 'Optimal Choice'!$B$22*'Optimal Choice'!$B$23^(L126+1)</f>
        <v>47820.262</v>
      </c>
      <c r="S126" s="12">
        <f> 'Optimal Choice'!$B$27*'Optimal Choice'!$B$28^(M126+1)</f>
        <v>256707.8621</v>
      </c>
    </row>
    <row r="127" ht="15.75" customHeight="1">
      <c r="A127" s="10">
        <f t="shared" si="2"/>
        <v>3.86077653</v>
      </c>
      <c r="B127" s="6">
        <f>(I127*'Optimal Choice'!$B$6+J127*'Optimal Choice'!$B$11+K127*'Optimal Choice'!$B$16+L127*'Optimal Choice'!$B$21+M127*'Optimal Choice'!$B$26)*'Optimal Choice'!$B$30</f>
        <v>22308.53</v>
      </c>
      <c r="C127" s="10">
        <f>(O127/$B127)+(O127/'Optimal Choice'!$B$6)</f>
        <v>138.8042267</v>
      </c>
      <c r="D127" s="10">
        <f>(P127/$B127)+(P127/'Optimal Choice'!$B$11)</f>
        <v>130.7230351</v>
      </c>
      <c r="E127" s="10">
        <f>(Q127/$B127)+(Q127/'Optimal Choice'!$B$16)</f>
        <v>143.4647743</v>
      </c>
      <c r="F127" s="10">
        <f>(R127/$B127)+(R127/'Optimal Choice'!$B$21)</f>
        <v>134.9776475</v>
      </c>
      <c r="G127" s="10">
        <f>(S127/$B127)+(S127/'Optimal Choice'!$B$26)</f>
        <v>130.3533942</v>
      </c>
      <c r="I127" s="11">
        <f t="shared" ref="I127:M127" si="126">if(min($C126:$G126)=C126,I126+1,I126)</f>
        <v>59</v>
      </c>
      <c r="J127" s="11">
        <f t="shared" si="126"/>
        <v>26</v>
      </c>
      <c r="K127" s="11">
        <f t="shared" si="126"/>
        <v>21</v>
      </c>
      <c r="L127" s="11">
        <f t="shared" si="126"/>
        <v>13</v>
      </c>
      <c r="M127" s="11">
        <f t="shared" si="126"/>
        <v>7</v>
      </c>
      <c r="O127" s="12">
        <f> 'Optimal Choice'!$B$7*'Optimal Choice'!$B$8^(I127+1)</f>
        <v>231.7857073</v>
      </c>
      <c r="P127" s="12">
        <f> 'Optimal Choice'!$B$12*'Optimal Choice'!$B$13^(J127+1)</f>
        <v>2612.11889</v>
      </c>
      <c r="Q127" s="12">
        <f> 'Optimal Choice'!$B$17*'Optimal Choice'!$B$18^(K127+1)</f>
        <v>12859.94839</v>
      </c>
      <c r="R127" s="12">
        <f> 'Optimal Choice'!$B$22*'Optimal Choice'!$B$23^(L127+1)</f>
        <v>47820.262</v>
      </c>
      <c r="S127" s="12">
        <f> 'Optimal Choice'!$B$27*'Optimal Choice'!$B$28^(M127+1)</f>
        <v>256707.8621</v>
      </c>
    </row>
    <row r="128" ht="15.75" customHeight="1">
      <c r="A128" s="10">
        <f t="shared" si="2"/>
        <v>4.052562558</v>
      </c>
      <c r="B128" s="6">
        <f>(I128*'Optimal Choice'!$B$6+J128*'Optimal Choice'!$B$11+K128*'Optimal Choice'!$B$16+L128*'Optimal Choice'!$B$21+M128*'Optimal Choice'!$B$26)*'Optimal Choice'!$B$30</f>
        <v>24468.53</v>
      </c>
      <c r="C128" s="10">
        <f>(O128/$B128)+(O128/'Optimal Choice'!$B$6)</f>
        <v>138.8033095</v>
      </c>
      <c r="D128" s="10">
        <f>(P128/$B128)+(P128/'Optimal Choice'!$B$11)</f>
        <v>130.7126987</v>
      </c>
      <c r="E128" s="10">
        <f>(Q128/$B128)+(Q128/'Optimal Choice'!$B$16)</f>
        <v>143.4138864</v>
      </c>
      <c r="F128" s="10">
        <f>(R128/$B128)+(R128/'Optimal Choice'!$B$21)</f>
        <v>134.7884189</v>
      </c>
      <c r="G128" s="10">
        <f>(S128/$B128)+(S128/'Optimal Choice'!$B$26)</f>
        <v>144.8580901</v>
      </c>
      <c r="I128" s="11">
        <f t="shared" ref="I128:M128" si="127">if(min($C127:$G127)=C127,I127+1,I127)</f>
        <v>59</v>
      </c>
      <c r="J128" s="11">
        <f t="shared" si="127"/>
        <v>26</v>
      </c>
      <c r="K128" s="11">
        <f t="shared" si="127"/>
        <v>21</v>
      </c>
      <c r="L128" s="11">
        <f t="shared" si="127"/>
        <v>13</v>
      </c>
      <c r="M128" s="11">
        <f t="shared" si="127"/>
        <v>8</v>
      </c>
      <c r="O128" s="12">
        <f> 'Optimal Choice'!$B$7*'Optimal Choice'!$B$8^(I128+1)</f>
        <v>231.7857073</v>
      </c>
      <c r="P128" s="12">
        <f> 'Optimal Choice'!$B$12*'Optimal Choice'!$B$13^(J128+1)</f>
        <v>2612.11889</v>
      </c>
      <c r="Q128" s="12">
        <f> 'Optimal Choice'!$B$17*'Optimal Choice'!$B$18^(K128+1)</f>
        <v>12859.94839</v>
      </c>
      <c r="R128" s="12">
        <f> 'Optimal Choice'!$B$22*'Optimal Choice'!$B$23^(L128+1)</f>
        <v>47820.262</v>
      </c>
      <c r="S128" s="12">
        <f> 'Optimal Choice'!$B$27*'Optimal Choice'!$B$28^(M128+1)</f>
        <v>287512.8056</v>
      </c>
    </row>
    <row r="129" ht="15.75" customHeight="1">
      <c r="A129" s="10">
        <f t="shared" si="2"/>
        <v>4.054341795</v>
      </c>
      <c r="B129" s="6">
        <f>(I129*'Optimal Choice'!$B$6+J129*'Optimal Choice'!$B$11+K129*'Optimal Choice'!$B$16+L129*'Optimal Choice'!$B$21+M129*'Optimal Choice'!$B$26)*'Optimal Choice'!$B$30</f>
        <v>24488.53</v>
      </c>
      <c r="C129" s="10">
        <f>(O129/$B129)+(O129/'Optimal Choice'!$B$6)</f>
        <v>138.8033018</v>
      </c>
      <c r="D129" s="10">
        <f>(P129/$B129)+(P129/'Optimal Choice'!$B$11)</f>
        <v>150.3195033</v>
      </c>
      <c r="E129" s="10">
        <f>(Q129/$B129)+(Q129/'Optimal Choice'!$B$16)</f>
        <v>143.4134572</v>
      </c>
      <c r="F129" s="10">
        <f>(R129/$B129)+(R129/'Optimal Choice'!$B$21)</f>
        <v>134.7868228</v>
      </c>
      <c r="G129" s="10">
        <f>(S129/$B129)+(S129/'Optimal Choice'!$B$26)</f>
        <v>144.8484935</v>
      </c>
      <c r="I129" s="11">
        <f t="shared" ref="I129:M129" si="128">if(min($C128:$G128)=C128,I128+1,I128)</f>
        <v>59</v>
      </c>
      <c r="J129" s="11">
        <f t="shared" si="128"/>
        <v>27</v>
      </c>
      <c r="K129" s="11">
        <f t="shared" si="128"/>
        <v>21</v>
      </c>
      <c r="L129" s="11">
        <f t="shared" si="128"/>
        <v>13</v>
      </c>
      <c r="M129" s="11">
        <f t="shared" si="128"/>
        <v>8</v>
      </c>
      <c r="O129" s="12">
        <f> 'Optimal Choice'!$B$7*'Optimal Choice'!$B$8^(I129+1)</f>
        <v>231.7857073</v>
      </c>
      <c r="P129" s="12">
        <f> 'Optimal Choice'!$B$12*'Optimal Choice'!$B$13^(J129+1)</f>
        <v>3003.936724</v>
      </c>
      <c r="Q129" s="12">
        <f> 'Optimal Choice'!$B$17*'Optimal Choice'!$B$18^(K129+1)</f>
        <v>12859.94839</v>
      </c>
      <c r="R129" s="12">
        <f> 'Optimal Choice'!$B$22*'Optimal Choice'!$B$23^(L129+1)</f>
        <v>47820.262</v>
      </c>
      <c r="S129" s="12">
        <f> 'Optimal Choice'!$B$27*'Optimal Choice'!$B$28^(M129+1)</f>
        <v>287512.8056</v>
      </c>
    </row>
    <row r="130" ht="15.75" customHeight="1">
      <c r="A130" s="10">
        <f t="shared" si="2"/>
        <v>4.086887823</v>
      </c>
      <c r="B130" s="6">
        <f>(I130*'Optimal Choice'!$B$6+J130*'Optimal Choice'!$B$11+K130*'Optimal Choice'!$B$16+L130*'Optimal Choice'!$B$21+M130*'Optimal Choice'!$B$26)*'Optimal Choice'!$B$30</f>
        <v>24848.53</v>
      </c>
      <c r="C130" s="10">
        <f>(O130/$B130)+(O130/'Optimal Choice'!$B$6)</f>
        <v>138.8031647</v>
      </c>
      <c r="D130" s="10">
        <f>(P130/$B130)+(P130/'Optimal Choice'!$B$11)</f>
        <v>150.3177261</v>
      </c>
      <c r="E130" s="10">
        <f>(Q130/$B130)+(Q130/'Optimal Choice'!$B$16)</f>
        <v>143.4058491</v>
      </c>
      <c r="F130" s="10">
        <f>(R130/$B130)+(R130/'Optimal Choice'!$B$21)</f>
        <v>152.2771407</v>
      </c>
      <c r="G130" s="10">
        <f>(S130/$B130)+(S130/'Optimal Choice'!$B$26)</f>
        <v>144.6783966</v>
      </c>
      <c r="I130" s="11">
        <f t="shared" ref="I130:M130" si="129">if(min($C129:$G129)=C129,I129+1,I129)</f>
        <v>59</v>
      </c>
      <c r="J130" s="11">
        <f t="shared" si="129"/>
        <v>27</v>
      </c>
      <c r="K130" s="11">
        <f t="shared" si="129"/>
        <v>21</v>
      </c>
      <c r="L130" s="11">
        <f t="shared" si="129"/>
        <v>14</v>
      </c>
      <c r="M130" s="11">
        <f t="shared" si="129"/>
        <v>8</v>
      </c>
      <c r="O130" s="12">
        <f> 'Optimal Choice'!$B$7*'Optimal Choice'!$B$8^(I130+1)</f>
        <v>231.7857073</v>
      </c>
      <c r="P130" s="12">
        <f> 'Optimal Choice'!$B$12*'Optimal Choice'!$B$13^(J130+1)</f>
        <v>3003.936724</v>
      </c>
      <c r="Q130" s="12">
        <f> 'Optimal Choice'!$B$17*'Optimal Choice'!$B$18^(K130+1)</f>
        <v>12859.94839</v>
      </c>
      <c r="R130" s="12">
        <f> 'Optimal Choice'!$B$22*'Optimal Choice'!$B$23^(L130+1)</f>
        <v>54036.89606</v>
      </c>
      <c r="S130" s="12">
        <f> 'Optimal Choice'!$B$27*'Optimal Choice'!$B$28^(M130+1)</f>
        <v>287512.8056</v>
      </c>
    </row>
    <row r="131" ht="15.75" customHeight="1">
      <c r="A131" s="10">
        <f t="shared" si="2"/>
        <v>4.087043288</v>
      </c>
      <c r="B131" s="6">
        <f>(I131*'Optimal Choice'!$B$6+J131*'Optimal Choice'!$B$11+K131*'Optimal Choice'!$B$16+L131*'Optimal Choice'!$B$21+M131*'Optimal Choice'!$B$26)*'Optimal Choice'!$B$30</f>
        <v>24850.2</v>
      </c>
      <c r="C131" s="10">
        <f>(O131/$B131)+(O131/'Optimal Choice'!$B$6)</f>
        <v>148.5193855</v>
      </c>
      <c r="D131" s="10">
        <f>(P131/$B131)+(P131/'Optimal Choice'!$B$11)</f>
        <v>150.317718</v>
      </c>
      <c r="E131" s="10">
        <f>(Q131/$B131)+(Q131/'Optimal Choice'!$B$16)</f>
        <v>143.4058143</v>
      </c>
      <c r="F131" s="10">
        <f>(R131/$B131)+(R131/'Optimal Choice'!$B$21)</f>
        <v>152.2769945</v>
      </c>
      <c r="G131" s="10">
        <f>(S131/$B131)+(S131/'Optimal Choice'!$B$26)</f>
        <v>144.6776191</v>
      </c>
      <c r="I131" s="11">
        <f t="shared" ref="I131:M131" si="130">if(min($C130:$G130)=C130,I130+1,I130)</f>
        <v>60</v>
      </c>
      <c r="J131" s="11">
        <f t="shared" si="130"/>
        <v>27</v>
      </c>
      <c r="K131" s="11">
        <f t="shared" si="130"/>
        <v>21</v>
      </c>
      <c r="L131" s="11">
        <f t="shared" si="130"/>
        <v>14</v>
      </c>
      <c r="M131" s="11">
        <f t="shared" si="130"/>
        <v>8</v>
      </c>
      <c r="O131" s="12">
        <f> 'Optimal Choice'!$B$7*'Optimal Choice'!$B$8^(I131+1)</f>
        <v>248.0107069</v>
      </c>
      <c r="P131" s="12">
        <f> 'Optimal Choice'!$B$12*'Optimal Choice'!$B$13^(J131+1)</f>
        <v>3003.936724</v>
      </c>
      <c r="Q131" s="12">
        <f> 'Optimal Choice'!$B$17*'Optimal Choice'!$B$18^(K131+1)</f>
        <v>12859.94839</v>
      </c>
      <c r="R131" s="12">
        <f> 'Optimal Choice'!$B$22*'Optimal Choice'!$B$23^(L131+1)</f>
        <v>54036.89606</v>
      </c>
      <c r="S131" s="12">
        <f> 'Optimal Choice'!$B$27*'Optimal Choice'!$B$28^(M131+1)</f>
        <v>287512.8056</v>
      </c>
    </row>
    <row r="132" ht="15.75" customHeight="1">
      <c r="A132" s="10">
        <f t="shared" si="2"/>
        <v>4.095668268</v>
      </c>
      <c r="B132" s="6">
        <f>(I132*'Optimal Choice'!$B$6+J132*'Optimal Choice'!$B$11+K132*'Optimal Choice'!$B$16+L132*'Optimal Choice'!$B$21+M132*'Optimal Choice'!$B$26)*'Optimal Choice'!$B$30</f>
        <v>24940.2</v>
      </c>
      <c r="C132" s="10">
        <f>(O132/$B132)+(O132/'Optimal Choice'!$B$6)</f>
        <v>148.5193495</v>
      </c>
      <c r="D132" s="10">
        <f>(P132/$B132)+(P132/'Optimal Choice'!$B$11)</f>
        <v>150.3172818</v>
      </c>
      <c r="E132" s="10">
        <f>(Q132/$B132)+(Q132/'Optimal Choice'!$B$16)</f>
        <v>163.4804994</v>
      </c>
      <c r="F132" s="10">
        <f>(R132/$B132)+(R132/'Optimal Choice'!$B$21)</f>
        <v>152.2691476</v>
      </c>
      <c r="G132" s="10">
        <f>(S132/$B132)+(S132/'Optimal Choice'!$B$26)</f>
        <v>144.6358678</v>
      </c>
      <c r="I132" s="11">
        <f t="shared" ref="I132:M132" si="131">if(min($C131:$G131)=C131,I131+1,I131)</f>
        <v>60</v>
      </c>
      <c r="J132" s="11">
        <f t="shared" si="131"/>
        <v>27</v>
      </c>
      <c r="K132" s="11">
        <f t="shared" si="131"/>
        <v>22</v>
      </c>
      <c r="L132" s="11">
        <f t="shared" si="131"/>
        <v>14</v>
      </c>
      <c r="M132" s="11">
        <f t="shared" si="131"/>
        <v>8</v>
      </c>
      <c r="O132" s="12">
        <f> 'Optimal Choice'!$B$7*'Optimal Choice'!$B$8^(I132+1)</f>
        <v>248.0107069</v>
      </c>
      <c r="P132" s="12">
        <f> 'Optimal Choice'!$B$12*'Optimal Choice'!$B$13^(J132+1)</f>
        <v>3003.936724</v>
      </c>
      <c r="Q132" s="12">
        <f> 'Optimal Choice'!$B$17*'Optimal Choice'!$B$18^(K132+1)</f>
        <v>14660.34117</v>
      </c>
      <c r="R132" s="12">
        <f> 'Optimal Choice'!$B$22*'Optimal Choice'!$B$23^(L132+1)</f>
        <v>54036.89606</v>
      </c>
      <c r="S132" s="12">
        <f> 'Optimal Choice'!$B$27*'Optimal Choice'!$B$28^(M132+1)</f>
        <v>287512.8056</v>
      </c>
    </row>
    <row r="133" ht="15.75" customHeight="1">
      <c r="A133" s="10">
        <f t="shared" si="2"/>
        <v>4.287803058</v>
      </c>
      <c r="B133" s="6">
        <f>(I133*'Optimal Choice'!$B$6+J133*'Optimal Choice'!$B$11+K133*'Optimal Choice'!$B$16+L133*'Optimal Choice'!$B$21+M133*'Optimal Choice'!$B$26)*'Optimal Choice'!$B$30</f>
        <v>27100.2</v>
      </c>
      <c r="C133" s="10">
        <f>(O133/$B133)+(O133/'Optimal Choice'!$B$6)</f>
        <v>148.5185569</v>
      </c>
      <c r="D133" s="10">
        <f>(P133/$B133)+(P133/'Optimal Choice'!$B$11)</f>
        <v>150.3076818</v>
      </c>
      <c r="E133" s="10">
        <f>(Q133/$B133)+(Q133/'Optimal Choice'!$B$16)</f>
        <v>163.4336477</v>
      </c>
      <c r="F133" s="10">
        <f>(R133/$B133)+(R133/'Optimal Choice'!$B$21)</f>
        <v>152.0964558</v>
      </c>
      <c r="G133" s="10">
        <f>(S133/$B133)+(S133/'Optimal Choice'!$B$26)</f>
        <v>160.9630744</v>
      </c>
      <c r="I133" s="11">
        <f t="shared" ref="I133:M133" si="132">if(min($C132:$G132)=C132,I132+1,I132)</f>
        <v>60</v>
      </c>
      <c r="J133" s="11">
        <f t="shared" si="132"/>
        <v>27</v>
      </c>
      <c r="K133" s="11">
        <f t="shared" si="132"/>
        <v>22</v>
      </c>
      <c r="L133" s="11">
        <f t="shared" si="132"/>
        <v>14</v>
      </c>
      <c r="M133" s="11">
        <f t="shared" si="132"/>
        <v>9</v>
      </c>
      <c r="O133" s="12">
        <f> 'Optimal Choice'!$B$7*'Optimal Choice'!$B$8^(I133+1)</f>
        <v>248.0107069</v>
      </c>
      <c r="P133" s="12">
        <f> 'Optimal Choice'!$B$12*'Optimal Choice'!$B$13^(J133+1)</f>
        <v>3003.936724</v>
      </c>
      <c r="Q133" s="12">
        <f> 'Optimal Choice'!$B$17*'Optimal Choice'!$B$18^(K133+1)</f>
        <v>14660.34117</v>
      </c>
      <c r="R133" s="12">
        <f> 'Optimal Choice'!$B$22*'Optimal Choice'!$B$23^(L133+1)</f>
        <v>54036.89606</v>
      </c>
      <c r="S133" s="12">
        <f> 'Optimal Choice'!$B$27*'Optimal Choice'!$B$28^(M133+1)</f>
        <v>322014.3422</v>
      </c>
    </row>
    <row r="134" ht="15.75" customHeight="1">
      <c r="A134" s="10">
        <f t="shared" si="2"/>
        <v>4.287955585</v>
      </c>
      <c r="B134" s="6">
        <f>(I134*'Optimal Choice'!$B$6+J134*'Optimal Choice'!$B$11+K134*'Optimal Choice'!$B$16+L134*'Optimal Choice'!$B$21+M134*'Optimal Choice'!$B$26)*'Optimal Choice'!$B$30</f>
        <v>27101.87</v>
      </c>
      <c r="C134" s="10">
        <f>(O134/$B134)+(O134/'Optimal Choice'!$B$6)</f>
        <v>158.9148553</v>
      </c>
      <c r="D134" s="10">
        <f>(P134/$B134)+(P134/'Optimal Choice'!$B$11)</f>
        <v>150.3076749</v>
      </c>
      <c r="E134" s="10">
        <f>(Q134/$B134)+(Q134/'Optimal Choice'!$B$16)</f>
        <v>163.4336143</v>
      </c>
      <c r="F134" s="10">
        <f>(R134/$B134)+(R134/'Optimal Choice'!$B$21)</f>
        <v>152.0963329</v>
      </c>
      <c r="G134" s="10">
        <f>(S134/$B134)+(S134/'Optimal Choice'!$B$26)</f>
        <v>160.9623422</v>
      </c>
      <c r="I134" s="11">
        <f t="shared" ref="I134:M134" si="133">if(min($C133:$G133)=C133,I133+1,I133)</f>
        <v>61</v>
      </c>
      <c r="J134" s="11">
        <f t="shared" si="133"/>
        <v>27</v>
      </c>
      <c r="K134" s="11">
        <f t="shared" si="133"/>
        <v>22</v>
      </c>
      <c r="L134" s="11">
        <f t="shared" si="133"/>
        <v>14</v>
      </c>
      <c r="M134" s="11">
        <f t="shared" si="133"/>
        <v>9</v>
      </c>
      <c r="O134" s="12">
        <f> 'Optimal Choice'!$B$7*'Optimal Choice'!$B$8^(I134+1)</f>
        <v>265.3714563</v>
      </c>
      <c r="P134" s="12">
        <f> 'Optimal Choice'!$B$12*'Optimal Choice'!$B$13^(J134+1)</f>
        <v>3003.936724</v>
      </c>
      <c r="Q134" s="12">
        <f> 'Optimal Choice'!$B$17*'Optimal Choice'!$B$18^(K134+1)</f>
        <v>14660.34117</v>
      </c>
      <c r="R134" s="12">
        <f> 'Optimal Choice'!$B$22*'Optimal Choice'!$B$23^(L134+1)</f>
        <v>54036.89606</v>
      </c>
      <c r="S134" s="12">
        <f> 'Optimal Choice'!$B$27*'Optimal Choice'!$B$28^(M134+1)</f>
        <v>322014.3422</v>
      </c>
    </row>
    <row r="135" ht="15.75" customHeight="1">
      <c r="A135" s="10">
        <f t="shared" si="2"/>
        <v>4.289802897</v>
      </c>
      <c r="B135" s="6">
        <f>(I135*'Optimal Choice'!$B$6+J135*'Optimal Choice'!$B$11+K135*'Optimal Choice'!$B$16+L135*'Optimal Choice'!$B$21+M135*'Optimal Choice'!$B$26)*'Optimal Choice'!$B$30</f>
        <v>27121.87</v>
      </c>
      <c r="C135" s="10">
        <f>(O135/$B135)+(O135/'Optimal Choice'!$B$6)</f>
        <v>158.9148481</v>
      </c>
      <c r="D135" s="10">
        <f>(P135/$B135)+(P135/'Optimal Choice'!$B$11)</f>
        <v>172.8537322</v>
      </c>
      <c r="E135" s="10">
        <f>(Q135/$B135)+(Q135/'Optimal Choice'!$B$16)</f>
        <v>163.4332155</v>
      </c>
      <c r="F135" s="10">
        <f>(R135/$B135)+(R135/'Optimal Choice'!$B$21)</f>
        <v>152.0948626</v>
      </c>
      <c r="G135" s="10">
        <f>(S135/$B135)+(S135/'Optimal Choice'!$B$26)</f>
        <v>160.9535805</v>
      </c>
      <c r="I135" s="11">
        <f t="shared" ref="I135:M135" si="134">if(min($C134:$G134)=C134,I134+1,I134)</f>
        <v>61</v>
      </c>
      <c r="J135" s="11">
        <f t="shared" si="134"/>
        <v>28</v>
      </c>
      <c r="K135" s="11">
        <f t="shared" si="134"/>
        <v>22</v>
      </c>
      <c r="L135" s="11">
        <f t="shared" si="134"/>
        <v>14</v>
      </c>
      <c r="M135" s="11">
        <f t="shared" si="134"/>
        <v>9</v>
      </c>
      <c r="O135" s="12">
        <f> 'Optimal Choice'!$B$7*'Optimal Choice'!$B$8^(I135+1)</f>
        <v>265.3714563</v>
      </c>
      <c r="P135" s="12">
        <f> 'Optimal Choice'!$B$12*'Optimal Choice'!$B$13^(J135+1)</f>
        <v>3454.527233</v>
      </c>
      <c r="Q135" s="12">
        <f> 'Optimal Choice'!$B$17*'Optimal Choice'!$B$18^(K135+1)</f>
        <v>14660.34117</v>
      </c>
      <c r="R135" s="12">
        <f> 'Optimal Choice'!$B$22*'Optimal Choice'!$B$23^(L135+1)</f>
        <v>54036.89606</v>
      </c>
      <c r="S135" s="12">
        <f> 'Optimal Choice'!$B$27*'Optimal Choice'!$B$28^(M135+1)</f>
        <v>322014.3422</v>
      </c>
    </row>
    <row r="136" ht="15.75" customHeight="1">
      <c r="A136" s="10">
        <f t="shared" si="2"/>
        <v>4.323009123</v>
      </c>
      <c r="B136" s="6">
        <f>(I136*'Optimal Choice'!$B$6+J136*'Optimal Choice'!$B$11+K136*'Optimal Choice'!$B$16+L136*'Optimal Choice'!$B$21+M136*'Optimal Choice'!$B$26)*'Optimal Choice'!$B$30</f>
        <v>27481.87</v>
      </c>
      <c r="C136" s="10">
        <f>(O136/$B136)+(O136/'Optimal Choice'!$B$6)</f>
        <v>158.9147199</v>
      </c>
      <c r="D136" s="10">
        <f>(P136/$B136)+(P136/'Optimal Choice'!$B$11)</f>
        <v>172.8520637</v>
      </c>
      <c r="E136" s="10">
        <f>(Q136/$B136)+(Q136/'Optimal Choice'!$B$16)</f>
        <v>163.4261347</v>
      </c>
      <c r="F136" s="10">
        <f>(R136/$B136)+(R136/'Optimal Choice'!$B$21)</f>
        <v>171.8377027</v>
      </c>
      <c r="G136" s="10">
        <f>(S136/$B136)+(S136/'Optimal Choice'!$B$26)</f>
        <v>160.7980514</v>
      </c>
      <c r="I136" s="11">
        <f t="shared" ref="I136:M136" si="135">if(min($C135:$G135)=C135,I135+1,I135)</f>
        <v>61</v>
      </c>
      <c r="J136" s="11">
        <f t="shared" si="135"/>
        <v>28</v>
      </c>
      <c r="K136" s="11">
        <f t="shared" si="135"/>
        <v>22</v>
      </c>
      <c r="L136" s="11">
        <f t="shared" si="135"/>
        <v>15</v>
      </c>
      <c r="M136" s="11">
        <f t="shared" si="135"/>
        <v>9</v>
      </c>
      <c r="O136" s="12">
        <f> 'Optimal Choice'!$B$7*'Optimal Choice'!$B$8^(I136+1)</f>
        <v>265.3714563</v>
      </c>
      <c r="P136" s="12">
        <f> 'Optimal Choice'!$B$12*'Optimal Choice'!$B$13^(J136+1)</f>
        <v>3454.527233</v>
      </c>
      <c r="Q136" s="12">
        <f> 'Optimal Choice'!$B$17*'Optimal Choice'!$B$18^(K136+1)</f>
        <v>14660.34117</v>
      </c>
      <c r="R136" s="12">
        <f> 'Optimal Choice'!$B$22*'Optimal Choice'!$B$23^(L136+1)</f>
        <v>61061.69255</v>
      </c>
      <c r="S136" s="12">
        <f> 'Optimal Choice'!$B$27*'Optimal Choice'!$B$28^(M136+1)</f>
        <v>322014.3422</v>
      </c>
    </row>
    <row r="137" ht="15.75" customHeight="1">
      <c r="A137" s="10">
        <f t="shared" si="2"/>
        <v>4.32317006</v>
      </c>
      <c r="B137" s="6">
        <f>(I137*'Optimal Choice'!$B$6+J137*'Optimal Choice'!$B$11+K137*'Optimal Choice'!$B$16+L137*'Optimal Choice'!$B$21+M137*'Optimal Choice'!$B$26)*'Optimal Choice'!$B$30</f>
        <v>27483.54</v>
      </c>
      <c r="C137" s="10">
        <f>(O137/$B137)+(O137/'Optimal Choice'!$B$6)</f>
        <v>170.0387497</v>
      </c>
      <c r="D137" s="10">
        <f>(P137/$B137)+(P137/'Optimal Choice'!$B$11)</f>
        <v>172.852056</v>
      </c>
      <c r="E137" s="10">
        <f>(Q137/$B137)+(Q137/'Optimal Choice'!$B$16)</f>
        <v>163.4261023</v>
      </c>
      <c r="F137" s="10">
        <f>(R137/$B137)+(R137/'Optimal Choice'!$B$21)</f>
        <v>171.8375676</v>
      </c>
      <c r="G137" s="10">
        <f>(S137/$B137)+(S137/'Optimal Choice'!$B$26)</f>
        <v>160.7973394</v>
      </c>
      <c r="I137" s="11">
        <f t="shared" ref="I137:M137" si="136">if(min($C136:$G136)=C136,I136+1,I136)</f>
        <v>62</v>
      </c>
      <c r="J137" s="11">
        <f t="shared" si="136"/>
        <v>28</v>
      </c>
      <c r="K137" s="11">
        <f t="shared" si="136"/>
        <v>22</v>
      </c>
      <c r="L137" s="11">
        <f t="shared" si="136"/>
        <v>15</v>
      </c>
      <c r="M137" s="11">
        <f t="shared" si="136"/>
        <v>9</v>
      </c>
      <c r="O137" s="12">
        <f> 'Optimal Choice'!$B$7*'Optimal Choice'!$B$8^(I137+1)</f>
        <v>283.9474583</v>
      </c>
      <c r="P137" s="12">
        <f> 'Optimal Choice'!$B$12*'Optimal Choice'!$B$13^(J137+1)</f>
        <v>3454.527233</v>
      </c>
      <c r="Q137" s="12">
        <f> 'Optimal Choice'!$B$17*'Optimal Choice'!$B$18^(K137+1)</f>
        <v>14660.34117</v>
      </c>
      <c r="R137" s="12">
        <f> 'Optimal Choice'!$B$22*'Optimal Choice'!$B$23^(L137+1)</f>
        <v>61061.69255</v>
      </c>
      <c r="S137" s="12">
        <f> 'Optimal Choice'!$B$27*'Optimal Choice'!$B$28^(M137+1)</f>
        <v>322014.3422</v>
      </c>
    </row>
    <row r="138" ht="15.75" customHeight="1">
      <c r="A138" s="10">
        <f t="shared" si="2"/>
        <v>4.51844715</v>
      </c>
      <c r="B138" s="6">
        <f>(I138*'Optimal Choice'!$B$6+J138*'Optimal Choice'!$B$11+K138*'Optimal Choice'!$B$16+L138*'Optimal Choice'!$B$21+M138*'Optimal Choice'!$B$26)*'Optimal Choice'!$B$30</f>
        <v>29643.54</v>
      </c>
      <c r="C138" s="10">
        <f>(O138/$B138)+(O138/'Optimal Choice'!$B$6)</f>
        <v>170.0379969</v>
      </c>
      <c r="D138" s="10">
        <f>(P138/$B138)+(P138/'Optimal Choice'!$B$11)</f>
        <v>172.8428972</v>
      </c>
      <c r="E138" s="10">
        <f>(Q138/$B138)+(Q138/'Optimal Choice'!$B$16)</f>
        <v>163.387234</v>
      </c>
      <c r="F138" s="10">
        <f>(R138/$B138)+(R138/'Optimal Choice'!$B$21)</f>
        <v>171.6756777</v>
      </c>
      <c r="G138" s="10">
        <f>(S138/$B138)+(S138/'Optimal Choice'!$B$26)</f>
        <v>179.13683</v>
      </c>
      <c r="I138" s="11">
        <f t="shared" ref="I138:M138" si="137">if(min($C137:$G137)=C137,I137+1,I137)</f>
        <v>62</v>
      </c>
      <c r="J138" s="11">
        <f t="shared" si="137"/>
        <v>28</v>
      </c>
      <c r="K138" s="11">
        <f t="shared" si="137"/>
        <v>22</v>
      </c>
      <c r="L138" s="11">
        <f t="shared" si="137"/>
        <v>15</v>
      </c>
      <c r="M138" s="11">
        <f t="shared" si="137"/>
        <v>10</v>
      </c>
      <c r="O138" s="12">
        <f> 'Optimal Choice'!$B$7*'Optimal Choice'!$B$8^(I138+1)</f>
        <v>283.9474583</v>
      </c>
      <c r="P138" s="12">
        <f> 'Optimal Choice'!$B$12*'Optimal Choice'!$B$13^(J138+1)</f>
        <v>3454.527233</v>
      </c>
      <c r="Q138" s="12">
        <f> 'Optimal Choice'!$B$17*'Optimal Choice'!$B$18^(K138+1)</f>
        <v>14660.34117</v>
      </c>
      <c r="R138" s="12">
        <f> 'Optimal Choice'!$B$22*'Optimal Choice'!$B$23^(L138+1)</f>
        <v>61061.69255</v>
      </c>
      <c r="S138" s="12">
        <f> 'Optimal Choice'!$B$27*'Optimal Choice'!$B$28^(M138+1)</f>
        <v>360656.0633</v>
      </c>
    </row>
    <row r="139" ht="15.75" customHeight="1">
      <c r="A139" s="10">
        <f t="shared" si="2"/>
        <v>4.526689722</v>
      </c>
      <c r="B139" s="6">
        <f>(I139*'Optimal Choice'!$B$6+J139*'Optimal Choice'!$B$11+K139*'Optimal Choice'!$B$16+L139*'Optimal Choice'!$B$21+M139*'Optimal Choice'!$B$26)*'Optimal Choice'!$B$30</f>
        <v>29733.54</v>
      </c>
      <c r="C139" s="10">
        <f>(O139/$B139)+(O139/'Optimal Choice'!$B$6)</f>
        <v>170.0379679</v>
      </c>
      <c r="D139" s="10">
        <f>(P139/$B139)+(P139/'Optimal Choice'!$B$11)</f>
        <v>172.8425445</v>
      </c>
      <c r="E139" s="10">
        <f>(Q139/$B139)+(Q139/'Optimal Choice'!$B$16)</f>
        <v>186.2597402</v>
      </c>
      <c r="F139" s="10">
        <f>(R139/$B139)+(R139/'Optimal Choice'!$B$21)</f>
        <v>171.6694427</v>
      </c>
      <c r="G139" s="10">
        <f>(S139/$B139)+(S139/'Optimal Choice'!$B$26)</f>
        <v>179.1000036</v>
      </c>
      <c r="I139" s="11">
        <f t="shared" ref="I139:M139" si="138">if(min($C138:$G138)=C138,I138+1,I138)</f>
        <v>62</v>
      </c>
      <c r="J139" s="11">
        <f t="shared" si="138"/>
        <v>28</v>
      </c>
      <c r="K139" s="11">
        <f t="shared" si="138"/>
        <v>23</v>
      </c>
      <c r="L139" s="11">
        <f t="shared" si="138"/>
        <v>15</v>
      </c>
      <c r="M139" s="11">
        <f t="shared" si="138"/>
        <v>10</v>
      </c>
      <c r="O139" s="12">
        <f> 'Optimal Choice'!$B$7*'Optimal Choice'!$B$8^(I139+1)</f>
        <v>283.9474583</v>
      </c>
      <c r="P139" s="12">
        <f> 'Optimal Choice'!$B$12*'Optimal Choice'!$B$13^(J139+1)</f>
        <v>3454.527233</v>
      </c>
      <c r="Q139" s="12">
        <f> 'Optimal Choice'!$B$17*'Optimal Choice'!$B$18^(K139+1)</f>
        <v>16712.78893</v>
      </c>
      <c r="R139" s="12">
        <f> 'Optimal Choice'!$B$22*'Optimal Choice'!$B$23^(L139+1)</f>
        <v>61061.69255</v>
      </c>
      <c r="S139" s="12">
        <f> 'Optimal Choice'!$B$27*'Optimal Choice'!$B$28^(M139+1)</f>
        <v>360656.0633</v>
      </c>
    </row>
    <row r="140" ht="15.75" customHeight="1">
      <c r="A140" s="10">
        <f t="shared" si="2"/>
        <v>4.526848884</v>
      </c>
      <c r="B140" s="6">
        <f>(I140*'Optimal Choice'!$B$6+J140*'Optimal Choice'!$B$11+K140*'Optimal Choice'!$B$16+L140*'Optimal Choice'!$B$21+M140*'Optimal Choice'!$B$26)*'Optimal Choice'!$B$30</f>
        <v>29735.21</v>
      </c>
      <c r="C140" s="10">
        <f>(O140/$B140)+(O140/'Optimal Choice'!$B$6)</f>
        <v>181.940625</v>
      </c>
      <c r="D140" s="10">
        <f>(P140/$B140)+(P140/'Optimal Choice'!$B$11)</f>
        <v>172.8425379</v>
      </c>
      <c r="E140" s="10">
        <f>(Q140/$B140)+(Q140/'Optimal Choice'!$B$16)</f>
        <v>186.2597087</v>
      </c>
      <c r="F140" s="10">
        <f>(R140/$B140)+(R140/'Optimal Choice'!$B$21)</f>
        <v>171.6693274</v>
      </c>
      <c r="G140" s="10">
        <f>(S140/$B140)+(S140/'Optimal Choice'!$B$26)</f>
        <v>179.0993224</v>
      </c>
      <c r="I140" s="11">
        <f t="shared" ref="I140:M140" si="139">if(min($C139:$G139)=C139,I139+1,I139)</f>
        <v>63</v>
      </c>
      <c r="J140" s="11">
        <f t="shared" si="139"/>
        <v>28</v>
      </c>
      <c r="K140" s="11">
        <f t="shared" si="139"/>
        <v>23</v>
      </c>
      <c r="L140" s="11">
        <f t="shared" si="139"/>
        <v>15</v>
      </c>
      <c r="M140" s="11">
        <f t="shared" si="139"/>
        <v>10</v>
      </c>
      <c r="O140" s="12">
        <f> 'Optimal Choice'!$B$7*'Optimal Choice'!$B$8^(I140+1)</f>
        <v>303.8237804</v>
      </c>
      <c r="P140" s="12">
        <f> 'Optimal Choice'!$B$12*'Optimal Choice'!$B$13^(J140+1)</f>
        <v>3454.527233</v>
      </c>
      <c r="Q140" s="12">
        <f> 'Optimal Choice'!$B$17*'Optimal Choice'!$B$18^(K140+1)</f>
        <v>16712.78893</v>
      </c>
      <c r="R140" s="12">
        <f> 'Optimal Choice'!$B$22*'Optimal Choice'!$B$23^(L140+1)</f>
        <v>61061.69255</v>
      </c>
      <c r="S140" s="12">
        <f> 'Optimal Choice'!$B$27*'Optimal Choice'!$B$28^(M140+1)</f>
        <v>360656.0633</v>
      </c>
    </row>
    <row r="141" ht="15.75" customHeight="1">
      <c r="A141" s="10">
        <f t="shared" si="2"/>
        <v>4.56107413</v>
      </c>
      <c r="B141" s="6">
        <f>(I141*'Optimal Choice'!$B$6+J141*'Optimal Choice'!$B$11+K141*'Optimal Choice'!$B$16+L141*'Optimal Choice'!$B$21+M141*'Optimal Choice'!$B$26)*'Optimal Choice'!$B$30</f>
        <v>30095.21</v>
      </c>
      <c r="C141" s="10">
        <f>(O141/$B141)+(O141/'Optimal Choice'!$B$6)</f>
        <v>181.9405028</v>
      </c>
      <c r="D141" s="10">
        <f>(P141/$B141)+(P141/'Optimal Choice'!$B$11)</f>
        <v>172.8411482</v>
      </c>
      <c r="E141" s="10">
        <f>(Q141/$B141)+(Q141/'Optimal Choice'!$B$16)</f>
        <v>186.2529854</v>
      </c>
      <c r="F141" s="10">
        <f>(R141/$B141)+(R141/'Optimal Choice'!$B$21)</f>
        <v>193.9585824</v>
      </c>
      <c r="G141" s="10">
        <f>(S141/$B141)+(S141/'Optimal Choice'!$B$26)</f>
        <v>178.9542358</v>
      </c>
      <c r="I141" s="11">
        <f t="shared" ref="I141:M141" si="140">if(min($C140:$G140)=C140,I140+1,I140)</f>
        <v>63</v>
      </c>
      <c r="J141" s="11">
        <f t="shared" si="140"/>
        <v>28</v>
      </c>
      <c r="K141" s="11">
        <f t="shared" si="140"/>
        <v>23</v>
      </c>
      <c r="L141" s="11">
        <f t="shared" si="140"/>
        <v>16</v>
      </c>
      <c r="M141" s="11">
        <f t="shared" si="140"/>
        <v>10</v>
      </c>
      <c r="O141" s="12">
        <f> 'Optimal Choice'!$B$7*'Optimal Choice'!$B$8^(I141+1)</f>
        <v>303.8237804</v>
      </c>
      <c r="P141" s="12">
        <f> 'Optimal Choice'!$B$12*'Optimal Choice'!$B$13^(J141+1)</f>
        <v>3454.527233</v>
      </c>
      <c r="Q141" s="12">
        <f> 'Optimal Choice'!$B$17*'Optimal Choice'!$B$18^(K141+1)</f>
        <v>16712.78893</v>
      </c>
      <c r="R141" s="12">
        <f> 'Optimal Choice'!$B$22*'Optimal Choice'!$B$23^(L141+1)</f>
        <v>68999.71258</v>
      </c>
      <c r="S141" s="12">
        <f> 'Optimal Choice'!$B$27*'Optimal Choice'!$B$28^(M141+1)</f>
        <v>360656.0633</v>
      </c>
    </row>
    <row r="142" ht="15.75" customHeight="1">
      <c r="A142" s="10">
        <f t="shared" si="2"/>
        <v>4.562987241</v>
      </c>
      <c r="B142" s="6">
        <f>(I142*'Optimal Choice'!$B$6+J142*'Optimal Choice'!$B$11+K142*'Optimal Choice'!$B$16+L142*'Optimal Choice'!$B$21+M142*'Optimal Choice'!$B$26)*'Optimal Choice'!$B$30</f>
        <v>30115.21</v>
      </c>
      <c r="C142" s="10">
        <f>(O142/$B142)+(O142/'Optimal Choice'!$B$6)</f>
        <v>181.9404961</v>
      </c>
      <c r="D142" s="10">
        <f>(P142/$B142)+(P142/'Optimal Choice'!$B$11)</f>
        <v>198.7672328</v>
      </c>
      <c r="E142" s="10">
        <f>(Q142/$B142)+(Q142/'Optimal Choice'!$B$16)</f>
        <v>186.2526165</v>
      </c>
      <c r="F142" s="10">
        <f>(R142/$B142)+(R142/'Optimal Choice'!$B$21)</f>
        <v>193.9570598</v>
      </c>
      <c r="G142" s="10">
        <f>(S142/$B142)+(S142/'Optimal Choice'!$B$26)</f>
        <v>178.9462771</v>
      </c>
      <c r="I142" s="11">
        <f t="shared" ref="I142:M142" si="141">if(min($C141:$G141)=C141,I141+1,I141)</f>
        <v>63</v>
      </c>
      <c r="J142" s="11">
        <f t="shared" si="141"/>
        <v>29</v>
      </c>
      <c r="K142" s="11">
        <f t="shared" si="141"/>
        <v>23</v>
      </c>
      <c r="L142" s="11">
        <f t="shared" si="141"/>
        <v>16</v>
      </c>
      <c r="M142" s="11">
        <f t="shared" si="141"/>
        <v>10</v>
      </c>
      <c r="O142" s="12">
        <f> 'Optimal Choice'!$B$7*'Optimal Choice'!$B$8^(I142+1)</f>
        <v>303.8237804</v>
      </c>
      <c r="P142" s="12">
        <f> 'Optimal Choice'!$B$12*'Optimal Choice'!$B$13^(J142+1)</f>
        <v>3972.706317</v>
      </c>
      <c r="Q142" s="12">
        <f> 'Optimal Choice'!$B$17*'Optimal Choice'!$B$18^(K142+1)</f>
        <v>16712.78893</v>
      </c>
      <c r="R142" s="12">
        <f> 'Optimal Choice'!$B$22*'Optimal Choice'!$B$23^(L142+1)</f>
        <v>68999.71258</v>
      </c>
      <c r="S142" s="12">
        <f> 'Optimal Choice'!$B$27*'Optimal Choice'!$B$28^(M142+1)</f>
        <v>360656.0633</v>
      </c>
    </row>
    <row r="143" ht="15.75" customHeight="1">
      <c r="A143" s="10">
        <f t="shared" si="2"/>
        <v>4.762585198</v>
      </c>
      <c r="B143" s="6">
        <f>(I143*'Optimal Choice'!$B$6+J143*'Optimal Choice'!$B$11+K143*'Optimal Choice'!$B$16+L143*'Optimal Choice'!$B$21+M143*'Optimal Choice'!$B$26)*'Optimal Choice'!$B$30</f>
        <v>32275.21</v>
      </c>
      <c r="C143" s="10">
        <f>(O143/$B143)+(O143/'Optimal Choice'!$B$6)</f>
        <v>181.9398209</v>
      </c>
      <c r="D143" s="10">
        <f>(P143/$B143)+(P143/'Optimal Choice'!$B$11)</f>
        <v>198.7584043</v>
      </c>
      <c r="E143" s="10">
        <f>(Q143/$B143)+(Q143/'Optimal Choice'!$B$16)</f>
        <v>186.2154761</v>
      </c>
      <c r="F143" s="10">
        <f>(R143/$B143)+(R143/'Optimal Choice'!$B$21)</f>
        <v>193.8037231</v>
      </c>
      <c r="G143" s="10">
        <f>(S143/$B143)+(S143/'Optimal Choice'!$B$26)</f>
        <v>199.5221741</v>
      </c>
      <c r="I143" s="11">
        <f t="shared" ref="I143:M143" si="142">if(min($C142:$G142)=C142,I142+1,I142)</f>
        <v>63</v>
      </c>
      <c r="J143" s="11">
        <f t="shared" si="142"/>
        <v>29</v>
      </c>
      <c r="K143" s="11">
        <f t="shared" si="142"/>
        <v>23</v>
      </c>
      <c r="L143" s="11">
        <f t="shared" si="142"/>
        <v>16</v>
      </c>
      <c r="M143" s="11">
        <f t="shared" si="142"/>
        <v>11</v>
      </c>
      <c r="O143" s="12">
        <f> 'Optimal Choice'!$B$7*'Optimal Choice'!$B$8^(I143+1)</f>
        <v>303.8237804</v>
      </c>
      <c r="P143" s="12">
        <f> 'Optimal Choice'!$B$12*'Optimal Choice'!$B$13^(J143+1)</f>
        <v>3972.706317</v>
      </c>
      <c r="Q143" s="12">
        <f> 'Optimal Choice'!$B$17*'Optimal Choice'!$B$18^(K143+1)</f>
        <v>16712.78893</v>
      </c>
      <c r="R143" s="12">
        <f> 'Optimal Choice'!$B$22*'Optimal Choice'!$B$23^(L143+1)</f>
        <v>68999.71258</v>
      </c>
      <c r="S143" s="12">
        <f> 'Optimal Choice'!$B$27*'Optimal Choice'!$B$28^(M143+1)</f>
        <v>403934.7909</v>
      </c>
    </row>
    <row r="144" ht="15.75" customHeight="1">
      <c r="A144" s="10">
        <f t="shared" si="2"/>
        <v>4.76274209</v>
      </c>
      <c r="B144" s="6">
        <f>(I144*'Optimal Choice'!$B$6+J144*'Optimal Choice'!$B$11+K144*'Optimal Choice'!$B$16+L144*'Optimal Choice'!$B$21+M144*'Optimal Choice'!$B$26)*'Optimal Choice'!$B$30</f>
        <v>32276.88</v>
      </c>
      <c r="C144" s="10">
        <f>(O144/$B144)+(O144/'Optimal Choice'!$B$6)</f>
        <v>194.6756079</v>
      </c>
      <c r="D144" s="10">
        <f>(P144/$B144)+(P144/'Optimal Choice'!$B$11)</f>
        <v>198.758398</v>
      </c>
      <c r="E144" s="10">
        <f>(Q144/$B144)+(Q144/'Optimal Choice'!$B$16)</f>
        <v>186.2154493</v>
      </c>
      <c r="F144" s="10">
        <f>(R144/$B144)+(R144/'Optimal Choice'!$B$21)</f>
        <v>193.8036125</v>
      </c>
      <c r="G144" s="10">
        <f>(S144/$B144)+(S144/'Optimal Choice'!$B$26)</f>
        <v>199.5215266</v>
      </c>
      <c r="I144" s="11">
        <f t="shared" ref="I144:M144" si="143">if(min($C143:$G143)=C143,I143+1,I143)</f>
        <v>64</v>
      </c>
      <c r="J144" s="11">
        <f t="shared" si="143"/>
        <v>29</v>
      </c>
      <c r="K144" s="11">
        <f t="shared" si="143"/>
        <v>23</v>
      </c>
      <c r="L144" s="11">
        <f t="shared" si="143"/>
        <v>16</v>
      </c>
      <c r="M144" s="11">
        <f t="shared" si="143"/>
        <v>11</v>
      </c>
      <c r="O144" s="12">
        <f> 'Optimal Choice'!$B$7*'Optimal Choice'!$B$8^(I144+1)</f>
        <v>325.091445</v>
      </c>
      <c r="P144" s="12">
        <f> 'Optimal Choice'!$B$12*'Optimal Choice'!$B$13^(J144+1)</f>
        <v>3972.706317</v>
      </c>
      <c r="Q144" s="12">
        <f> 'Optimal Choice'!$B$17*'Optimal Choice'!$B$18^(K144+1)</f>
        <v>16712.78893</v>
      </c>
      <c r="R144" s="12">
        <f> 'Optimal Choice'!$B$22*'Optimal Choice'!$B$23^(L144+1)</f>
        <v>68999.71258</v>
      </c>
      <c r="S144" s="12">
        <f> 'Optimal Choice'!$B$27*'Optimal Choice'!$B$28^(M144+1)</f>
        <v>403934.7909</v>
      </c>
    </row>
    <row r="145" ht="15.75" customHeight="1">
      <c r="A145" s="10">
        <f t="shared" si="2"/>
        <v>4.771371997</v>
      </c>
      <c r="B145" s="6">
        <f>(I145*'Optimal Choice'!$B$6+J145*'Optimal Choice'!$B$11+K145*'Optimal Choice'!$B$16+L145*'Optimal Choice'!$B$21+M145*'Optimal Choice'!$B$26)*'Optimal Choice'!$B$30</f>
        <v>32366.88</v>
      </c>
      <c r="C145" s="10">
        <f>(O145/$B145)+(O145/'Optimal Choice'!$B$6)</f>
        <v>194.6755799</v>
      </c>
      <c r="D145" s="10">
        <f>(P145/$B145)+(P145/'Optimal Choice'!$B$11)</f>
        <v>198.7580557</v>
      </c>
      <c r="E145" s="10">
        <f>(Q145/$B145)+(Q145/'Optimal Choice'!$B$16)</f>
        <v>212.2839708</v>
      </c>
      <c r="F145" s="10">
        <f>(R145/$B145)+(R145/'Optimal Choice'!$B$21)</f>
        <v>193.7976682</v>
      </c>
      <c r="G145" s="10">
        <f>(S145/$B145)+(S145/'Optimal Choice'!$B$26)</f>
        <v>199.486728</v>
      </c>
      <c r="I145" s="11">
        <f t="shared" ref="I145:M145" si="144">if(min($C144:$G144)=C144,I144+1,I144)</f>
        <v>64</v>
      </c>
      <c r="J145" s="11">
        <f t="shared" si="144"/>
        <v>29</v>
      </c>
      <c r="K145" s="11">
        <f t="shared" si="144"/>
        <v>24</v>
      </c>
      <c r="L145" s="11">
        <f t="shared" si="144"/>
        <v>16</v>
      </c>
      <c r="M145" s="11">
        <f t="shared" si="144"/>
        <v>11</v>
      </c>
      <c r="O145" s="12">
        <f> 'Optimal Choice'!$B$7*'Optimal Choice'!$B$8^(I145+1)</f>
        <v>325.091445</v>
      </c>
      <c r="P145" s="12">
        <f> 'Optimal Choice'!$B$12*'Optimal Choice'!$B$13^(J145+1)</f>
        <v>3972.706317</v>
      </c>
      <c r="Q145" s="12">
        <f> 'Optimal Choice'!$B$17*'Optimal Choice'!$B$18^(K145+1)</f>
        <v>19052.57938</v>
      </c>
      <c r="R145" s="12">
        <f> 'Optimal Choice'!$B$22*'Optimal Choice'!$B$23^(L145+1)</f>
        <v>68999.71258</v>
      </c>
      <c r="S145" s="12">
        <f> 'Optimal Choice'!$B$27*'Optimal Choice'!$B$28^(M145+1)</f>
        <v>403934.7909</v>
      </c>
    </row>
    <row r="146" ht="15.75" customHeight="1">
      <c r="A146" s="10">
        <f t="shared" si="2"/>
        <v>4.806901996</v>
      </c>
      <c r="B146" s="6">
        <f>(I146*'Optimal Choice'!$B$6+J146*'Optimal Choice'!$B$11+K146*'Optimal Choice'!$B$16+L146*'Optimal Choice'!$B$21+M146*'Optimal Choice'!$B$26)*'Optimal Choice'!$B$30</f>
        <v>32726.88</v>
      </c>
      <c r="C146" s="10">
        <f>(O146/$B146)+(O146/'Optimal Choice'!$B$6)</f>
        <v>194.6754694</v>
      </c>
      <c r="D146" s="10">
        <f>(P146/$B146)+(P146/'Optimal Choice'!$B$11)</f>
        <v>198.7567056</v>
      </c>
      <c r="E146" s="10">
        <f>(Q146/$B146)+(Q146/'Optimal Choice'!$B$16)</f>
        <v>212.2774956</v>
      </c>
      <c r="F146" s="10">
        <f>(R146/$B146)+(R146/'Optimal Choice'!$B$21)</f>
        <v>218.9648665</v>
      </c>
      <c r="G146" s="10">
        <f>(S146/$B146)+(S146/'Optimal Choice'!$B$26)</f>
        <v>199.3494477</v>
      </c>
      <c r="I146" s="11">
        <f t="shared" ref="I146:M146" si="145">if(min($C145:$G145)=C145,I145+1,I145)</f>
        <v>64</v>
      </c>
      <c r="J146" s="11">
        <f t="shared" si="145"/>
        <v>29</v>
      </c>
      <c r="K146" s="11">
        <f t="shared" si="145"/>
        <v>24</v>
      </c>
      <c r="L146" s="11">
        <f t="shared" si="145"/>
        <v>17</v>
      </c>
      <c r="M146" s="11">
        <f t="shared" si="145"/>
        <v>11</v>
      </c>
      <c r="O146" s="12">
        <f> 'Optimal Choice'!$B$7*'Optimal Choice'!$B$8^(I146+1)</f>
        <v>325.091445</v>
      </c>
      <c r="P146" s="12">
        <f> 'Optimal Choice'!$B$12*'Optimal Choice'!$B$13^(J146+1)</f>
        <v>3972.706317</v>
      </c>
      <c r="Q146" s="12">
        <f> 'Optimal Choice'!$B$17*'Optimal Choice'!$B$18^(K146+1)</f>
        <v>19052.57938</v>
      </c>
      <c r="R146" s="12">
        <f> 'Optimal Choice'!$B$22*'Optimal Choice'!$B$23^(L146+1)</f>
        <v>77969.67522</v>
      </c>
      <c r="S146" s="12">
        <f> 'Optimal Choice'!$B$27*'Optimal Choice'!$B$28^(M146+1)</f>
        <v>403934.7909</v>
      </c>
    </row>
    <row r="147" ht="15.75" customHeight="1">
      <c r="A147" s="10">
        <f t="shared" si="2"/>
        <v>4.807067554</v>
      </c>
      <c r="B147" s="6">
        <f>(I147*'Optimal Choice'!$B$6+J147*'Optimal Choice'!$B$11+K147*'Optimal Choice'!$B$16+L147*'Optimal Choice'!$B$21+M147*'Optimal Choice'!$B$26)*'Optimal Choice'!$B$30</f>
        <v>32728.55</v>
      </c>
      <c r="C147" s="10">
        <f>(O147/$B147)+(O147/'Optimal Choice'!$B$6)</f>
        <v>208.3027517</v>
      </c>
      <c r="D147" s="10">
        <f>(P147/$B147)+(P147/'Optimal Choice'!$B$11)</f>
        <v>198.7566994</v>
      </c>
      <c r="E147" s="10">
        <f>(Q147/$B147)+(Q147/'Optimal Choice'!$B$16)</f>
        <v>212.2774659</v>
      </c>
      <c r="F147" s="10">
        <f>(R147/$B147)+(R147/'Optimal Choice'!$B$21)</f>
        <v>218.9647449</v>
      </c>
      <c r="G147" s="10">
        <f>(S147/$B147)+(S147/'Optimal Choice'!$B$26)</f>
        <v>199.3488179</v>
      </c>
      <c r="I147" s="11">
        <f t="shared" ref="I147:M147" si="146">if(min($C146:$G146)=C146,I146+1,I146)</f>
        <v>65</v>
      </c>
      <c r="J147" s="11">
        <f t="shared" si="146"/>
        <v>29</v>
      </c>
      <c r="K147" s="11">
        <f t="shared" si="146"/>
        <v>24</v>
      </c>
      <c r="L147" s="11">
        <f t="shared" si="146"/>
        <v>17</v>
      </c>
      <c r="M147" s="11">
        <f t="shared" si="146"/>
        <v>11</v>
      </c>
      <c r="O147" s="12">
        <f> 'Optimal Choice'!$B$7*'Optimal Choice'!$B$8^(I147+1)</f>
        <v>347.8478461</v>
      </c>
      <c r="P147" s="12">
        <f> 'Optimal Choice'!$B$12*'Optimal Choice'!$B$13^(J147+1)</f>
        <v>3972.706317</v>
      </c>
      <c r="Q147" s="12">
        <f> 'Optimal Choice'!$B$17*'Optimal Choice'!$B$18^(K147+1)</f>
        <v>19052.57938</v>
      </c>
      <c r="R147" s="12">
        <f> 'Optimal Choice'!$B$22*'Optimal Choice'!$B$23^(L147+1)</f>
        <v>77969.67522</v>
      </c>
      <c r="S147" s="12">
        <f> 'Optimal Choice'!$B$27*'Optimal Choice'!$B$28^(M147+1)</f>
        <v>403934.7909</v>
      </c>
    </row>
    <row r="148" ht="15.75" customHeight="1">
      <c r="A148" s="10">
        <f t="shared" si="2"/>
        <v>4.809090612</v>
      </c>
      <c r="B148" s="6">
        <f>(I148*'Optimal Choice'!$B$6+J148*'Optimal Choice'!$B$11+K148*'Optimal Choice'!$B$16+L148*'Optimal Choice'!$B$21+M148*'Optimal Choice'!$B$26)*'Optimal Choice'!$B$30</f>
        <v>32748.55</v>
      </c>
      <c r="C148" s="10">
        <f>(O148/$B148)+(O148/'Optimal Choice'!$B$6)</f>
        <v>208.3027452</v>
      </c>
      <c r="D148" s="10">
        <f>(P148/$B148)+(P148/'Optimal Choice'!$B$11)</f>
        <v>228.570119</v>
      </c>
      <c r="E148" s="10">
        <f>(Q148/$B148)+(Q148/'Optimal Choice'!$B$16)</f>
        <v>212.2771104</v>
      </c>
      <c r="F148" s="10">
        <f>(R148/$B148)+(R148/'Optimal Choice'!$B$21)</f>
        <v>218.96329</v>
      </c>
      <c r="G148" s="10">
        <f>(S148/$B148)+(S148/'Optimal Choice'!$B$26)</f>
        <v>199.3412805</v>
      </c>
      <c r="I148" s="11">
        <f t="shared" ref="I148:M148" si="147">if(min($C147:$G147)=C147,I147+1,I147)</f>
        <v>65</v>
      </c>
      <c r="J148" s="11">
        <f t="shared" si="147"/>
        <v>30</v>
      </c>
      <c r="K148" s="11">
        <f t="shared" si="147"/>
        <v>24</v>
      </c>
      <c r="L148" s="11">
        <f t="shared" si="147"/>
        <v>17</v>
      </c>
      <c r="M148" s="11">
        <f t="shared" si="147"/>
        <v>11</v>
      </c>
      <c r="O148" s="12">
        <f> 'Optimal Choice'!$B$7*'Optimal Choice'!$B$8^(I148+1)</f>
        <v>347.8478461</v>
      </c>
      <c r="P148" s="12">
        <f> 'Optimal Choice'!$B$12*'Optimal Choice'!$B$13^(J148+1)</f>
        <v>4568.612265</v>
      </c>
      <c r="Q148" s="12">
        <f> 'Optimal Choice'!$B$17*'Optimal Choice'!$B$18^(K148+1)</f>
        <v>19052.57938</v>
      </c>
      <c r="R148" s="12">
        <f> 'Optimal Choice'!$B$22*'Optimal Choice'!$B$23^(L148+1)</f>
        <v>77969.67522</v>
      </c>
      <c r="S148" s="12">
        <f> 'Optimal Choice'!$B$27*'Optimal Choice'!$B$28^(M148+1)</f>
        <v>403934.7909</v>
      </c>
    </row>
    <row r="149" ht="15.75" customHeight="1">
      <c r="A149" s="10">
        <f t="shared" si="2"/>
        <v>5.014664493</v>
      </c>
      <c r="B149" s="6">
        <f>(I149*'Optimal Choice'!$B$6+J149*'Optimal Choice'!$B$11+K149*'Optimal Choice'!$B$16+L149*'Optimal Choice'!$B$21+M149*'Optimal Choice'!$B$26)*'Optimal Choice'!$B$30</f>
        <v>34908.55</v>
      </c>
      <c r="C149" s="10">
        <f>(O149/$B149)+(O149/'Optimal Choice'!$B$6)</f>
        <v>208.302088</v>
      </c>
      <c r="D149" s="10">
        <f>(P149/$B149)+(P149/'Optimal Choice'!$B$11)</f>
        <v>228.561487</v>
      </c>
      <c r="E149" s="10">
        <f>(Q149/$B149)+(Q149/'Optimal Choice'!$B$16)</f>
        <v>212.241112</v>
      </c>
      <c r="F149" s="10">
        <f>(R149/$B149)+(R149/'Optimal Choice'!$B$21)</f>
        <v>218.8159721</v>
      </c>
      <c r="G149" s="10">
        <f>(S149/$B149)+(S149/'Optimal Choice'!$B$26)</f>
        <v>222.4074447</v>
      </c>
      <c r="I149" s="11">
        <f t="shared" ref="I149:M149" si="148">if(min($C148:$G148)=C148,I148+1,I148)</f>
        <v>65</v>
      </c>
      <c r="J149" s="11">
        <f t="shared" si="148"/>
        <v>30</v>
      </c>
      <c r="K149" s="11">
        <f t="shared" si="148"/>
        <v>24</v>
      </c>
      <c r="L149" s="11">
        <f t="shared" si="148"/>
        <v>17</v>
      </c>
      <c r="M149" s="11">
        <f t="shared" si="148"/>
        <v>12</v>
      </c>
      <c r="O149" s="12">
        <f> 'Optimal Choice'!$B$7*'Optimal Choice'!$B$8^(I149+1)</f>
        <v>347.8478461</v>
      </c>
      <c r="P149" s="12">
        <f> 'Optimal Choice'!$B$12*'Optimal Choice'!$B$13^(J149+1)</f>
        <v>4568.612265</v>
      </c>
      <c r="Q149" s="12">
        <f> 'Optimal Choice'!$B$17*'Optimal Choice'!$B$18^(K149+1)</f>
        <v>19052.57938</v>
      </c>
      <c r="R149" s="12">
        <f> 'Optimal Choice'!$B$22*'Optimal Choice'!$B$23^(L149+1)</f>
        <v>77969.67522</v>
      </c>
      <c r="S149" s="12">
        <f> 'Optimal Choice'!$B$27*'Optimal Choice'!$B$28^(M149+1)</f>
        <v>452406.9658</v>
      </c>
    </row>
    <row r="150" ht="15.75" customHeight="1">
      <c r="A150" s="10">
        <f t="shared" si="2"/>
        <v>5.014830569</v>
      </c>
      <c r="B150" s="6">
        <f>(I150*'Optimal Choice'!$B$6+J150*'Optimal Choice'!$B$11+K150*'Optimal Choice'!$B$16+L150*'Optimal Choice'!$B$21+M150*'Optimal Choice'!$B$26)*'Optimal Choice'!$B$30</f>
        <v>34910.22</v>
      </c>
      <c r="C150" s="10">
        <f>(O150/$B150)+(O150/'Optimal Choice'!$B$6)</f>
        <v>222.8832336</v>
      </c>
      <c r="D150" s="10">
        <f>(P150/$B150)+(P150/'Optimal Choice'!$B$11)</f>
        <v>228.5614807</v>
      </c>
      <c r="E150" s="10">
        <f>(Q150/$B150)+(Q150/'Optimal Choice'!$B$16)</f>
        <v>212.2410859</v>
      </c>
      <c r="F150" s="10">
        <f>(R150/$B150)+(R150/'Optimal Choice'!$B$21)</f>
        <v>218.8158652</v>
      </c>
      <c r="G150" s="10">
        <f>(S150/$B150)+(S150/'Optimal Choice'!$B$26)</f>
        <v>222.4068248</v>
      </c>
      <c r="I150" s="11">
        <f t="shared" ref="I150:M150" si="149">if(min($C149:$G149)=C149,I149+1,I149)</f>
        <v>66</v>
      </c>
      <c r="J150" s="11">
        <f t="shared" si="149"/>
        <v>30</v>
      </c>
      <c r="K150" s="11">
        <f t="shared" si="149"/>
        <v>24</v>
      </c>
      <c r="L150" s="11">
        <f t="shared" si="149"/>
        <v>17</v>
      </c>
      <c r="M150" s="11">
        <f t="shared" si="149"/>
        <v>12</v>
      </c>
      <c r="O150" s="12">
        <f> 'Optimal Choice'!$B$7*'Optimal Choice'!$B$8^(I150+1)</f>
        <v>372.1971954</v>
      </c>
      <c r="P150" s="12">
        <f> 'Optimal Choice'!$B$12*'Optimal Choice'!$B$13^(J150+1)</f>
        <v>4568.612265</v>
      </c>
      <c r="Q150" s="12">
        <f> 'Optimal Choice'!$B$17*'Optimal Choice'!$B$18^(K150+1)</f>
        <v>19052.57938</v>
      </c>
      <c r="R150" s="12">
        <f> 'Optimal Choice'!$B$22*'Optimal Choice'!$B$23^(L150+1)</f>
        <v>77969.67522</v>
      </c>
      <c r="S150" s="12">
        <f> 'Optimal Choice'!$B$27*'Optimal Choice'!$B$28^(M150+1)</f>
        <v>452406.9658</v>
      </c>
    </row>
    <row r="151" ht="15.75" customHeight="1">
      <c r="A151" s="10">
        <f t="shared" si="2"/>
        <v>5.023926558</v>
      </c>
      <c r="B151" s="6">
        <f>(I151*'Optimal Choice'!$B$6+J151*'Optimal Choice'!$B$11+K151*'Optimal Choice'!$B$16+L151*'Optimal Choice'!$B$21+M151*'Optimal Choice'!$B$26)*'Optimal Choice'!$B$30</f>
        <v>35000.22</v>
      </c>
      <c r="C151" s="10">
        <f>(O151/$B151)+(O151/'Optimal Choice'!$B$6)</f>
        <v>222.8832062</v>
      </c>
      <c r="D151" s="10">
        <f>(P151/$B151)+(P151/'Optimal Choice'!$B$11)</f>
        <v>228.5611442</v>
      </c>
      <c r="E151" s="10">
        <f>(Q151/$B151)+(Q151/'Optimal Choice'!$B$16)</f>
        <v>241.953238</v>
      </c>
      <c r="F151" s="10">
        <f>(R151/$B151)+(R151/'Optimal Choice'!$B$21)</f>
        <v>218.8101222</v>
      </c>
      <c r="G151" s="10">
        <f>(S151/$B151)+(S151/'Optimal Choice'!$B$26)</f>
        <v>222.3735014</v>
      </c>
      <c r="I151" s="11">
        <f t="shared" ref="I151:M151" si="150">if(min($C150:$G150)=C150,I150+1,I150)</f>
        <v>66</v>
      </c>
      <c r="J151" s="11">
        <f t="shared" si="150"/>
        <v>30</v>
      </c>
      <c r="K151" s="11">
        <f t="shared" si="150"/>
        <v>25</v>
      </c>
      <c r="L151" s="11">
        <f t="shared" si="150"/>
        <v>17</v>
      </c>
      <c r="M151" s="11">
        <f t="shared" si="150"/>
        <v>12</v>
      </c>
      <c r="O151" s="12">
        <f> 'Optimal Choice'!$B$7*'Optimal Choice'!$B$8^(I151+1)</f>
        <v>372.1971954</v>
      </c>
      <c r="P151" s="12">
        <f> 'Optimal Choice'!$B$12*'Optimal Choice'!$B$13^(J151+1)</f>
        <v>4568.612265</v>
      </c>
      <c r="Q151" s="12">
        <f> 'Optimal Choice'!$B$17*'Optimal Choice'!$B$18^(K151+1)</f>
        <v>21719.9405</v>
      </c>
      <c r="R151" s="12">
        <f> 'Optimal Choice'!$B$22*'Optimal Choice'!$B$23^(L151+1)</f>
        <v>77969.67522</v>
      </c>
      <c r="S151" s="12">
        <f> 'Optimal Choice'!$B$27*'Optimal Choice'!$B$28^(M151+1)</f>
        <v>452406.9658</v>
      </c>
    </row>
    <row r="152" ht="15.75" customHeight="1">
      <c r="A152" s="10">
        <f t="shared" si="2"/>
        <v>5.061054742</v>
      </c>
      <c r="B152" s="6">
        <f>(I152*'Optimal Choice'!$B$6+J152*'Optimal Choice'!$B$11+K152*'Optimal Choice'!$B$16+L152*'Optimal Choice'!$B$21+M152*'Optimal Choice'!$B$26)*'Optimal Choice'!$B$30</f>
        <v>35360.22</v>
      </c>
      <c r="C152" s="10">
        <f>(O152/$B152)+(O152/'Optimal Choice'!$B$6)</f>
        <v>222.8830979</v>
      </c>
      <c r="D152" s="10">
        <f>(P152/$B152)+(P152/'Optimal Choice'!$B$11)</f>
        <v>228.5598153</v>
      </c>
      <c r="E152" s="10">
        <f>(Q152/$B152)+(Q152/'Optimal Choice'!$B$16)</f>
        <v>241.9469201</v>
      </c>
      <c r="F152" s="10">
        <f>(R152/$B152)+(R152/'Optimal Choice'!$B$21)</f>
        <v>247.2298097</v>
      </c>
      <c r="G152" s="10">
        <f>(S152/$B152)+(S152/'Optimal Choice'!$B$26)</f>
        <v>222.2419044</v>
      </c>
      <c r="I152" s="11">
        <f t="shared" ref="I152:M152" si="151">if(min($C151:$G151)=C151,I151+1,I151)</f>
        <v>66</v>
      </c>
      <c r="J152" s="11">
        <f t="shared" si="151"/>
        <v>30</v>
      </c>
      <c r="K152" s="11">
        <f t="shared" si="151"/>
        <v>25</v>
      </c>
      <c r="L152" s="11">
        <f t="shared" si="151"/>
        <v>18</v>
      </c>
      <c r="M152" s="11">
        <f t="shared" si="151"/>
        <v>12</v>
      </c>
      <c r="O152" s="12">
        <f> 'Optimal Choice'!$B$7*'Optimal Choice'!$B$8^(I152+1)</f>
        <v>372.1971954</v>
      </c>
      <c r="P152" s="12">
        <f> 'Optimal Choice'!$B$12*'Optimal Choice'!$B$13^(J152+1)</f>
        <v>4568.612265</v>
      </c>
      <c r="Q152" s="12">
        <f> 'Optimal Choice'!$B$17*'Optimal Choice'!$B$18^(K152+1)</f>
        <v>21719.9405</v>
      </c>
      <c r="R152" s="12">
        <f> 'Optimal Choice'!$B$22*'Optimal Choice'!$B$23^(L152+1)</f>
        <v>88105.733</v>
      </c>
      <c r="S152" s="12">
        <f> 'Optimal Choice'!$B$27*'Optimal Choice'!$B$28^(M152+1)</f>
        <v>452406.9658</v>
      </c>
    </row>
    <row r="153" ht="15.75" customHeight="1">
      <c r="A153" s="10">
        <f t="shared" si="2"/>
        <v>5.274291992</v>
      </c>
      <c r="B153" s="6">
        <f>(I153*'Optimal Choice'!$B$6+J153*'Optimal Choice'!$B$11+K153*'Optimal Choice'!$B$16+L153*'Optimal Choice'!$B$21+M153*'Optimal Choice'!$B$26)*'Optimal Choice'!$B$30</f>
        <v>37520.22</v>
      </c>
      <c r="C153" s="10">
        <f>(O153/$B153)+(O153/'Optimal Choice'!$B$6)</f>
        <v>222.882492</v>
      </c>
      <c r="D153" s="10">
        <f>(P153/$B153)+(P153/'Optimal Choice'!$B$11)</f>
        <v>228.5523773</v>
      </c>
      <c r="E153" s="10">
        <f>(Q153/$B153)+(Q153/'Optimal Choice'!$B$16)</f>
        <v>241.9115585</v>
      </c>
      <c r="F153" s="10">
        <f>(R153/$B153)+(R153/'Optimal Choice'!$B$21)</f>
        <v>247.0863673</v>
      </c>
      <c r="G153" s="10">
        <f>(S153/$B153)+(S153/'Optimal Choice'!$B$26)</f>
        <v>248.085996</v>
      </c>
      <c r="I153" s="11">
        <f t="shared" ref="I153:M153" si="152">if(min($C152:$G152)=C152,I152+1,I152)</f>
        <v>66</v>
      </c>
      <c r="J153" s="11">
        <f t="shared" si="152"/>
        <v>30</v>
      </c>
      <c r="K153" s="11">
        <f t="shared" si="152"/>
        <v>25</v>
      </c>
      <c r="L153" s="11">
        <f t="shared" si="152"/>
        <v>18</v>
      </c>
      <c r="M153" s="11">
        <f t="shared" si="152"/>
        <v>13</v>
      </c>
      <c r="O153" s="12">
        <f> 'Optimal Choice'!$B$7*'Optimal Choice'!$B$8^(I153+1)</f>
        <v>372.1971954</v>
      </c>
      <c r="P153" s="12">
        <f> 'Optimal Choice'!$B$12*'Optimal Choice'!$B$13^(J153+1)</f>
        <v>4568.612265</v>
      </c>
      <c r="Q153" s="12">
        <f> 'Optimal Choice'!$B$17*'Optimal Choice'!$B$18^(K153+1)</f>
        <v>21719.9405</v>
      </c>
      <c r="R153" s="12">
        <f> 'Optimal Choice'!$B$22*'Optimal Choice'!$B$23^(L153+1)</f>
        <v>88105.733</v>
      </c>
      <c r="S153" s="12">
        <f> 'Optimal Choice'!$B$27*'Optimal Choice'!$B$28^(M153+1)</f>
        <v>506695.8017</v>
      </c>
    </row>
    <row r="154" ht="15.75" customHeight="1">
      <c r="A154" s="10">
        <f t="shared" si="2"/>
        <v>5.274457324</v>
      </c>
      <c r="B154" s="6">
        <f>(I154*'Optimal Choice'!$B$6+J154*'Optimal Choice'!$B$11+K154*'Optimal Choice'!$B$16+L154*'Optimal Choice'!$B$21+M154*'Optimal Choice'!$B$26)*'Optimal Choice'!$B$30</f>
        <v>37521.89</v>
      </c>
      <c r="C154" s="10">
        <f>(O154/$B154)+(O154/'Optimal Choice'!$B$6)</f>
        <v>238.4842659</v>
      </c>
      <c r="D154" s="10">
        <f>(P154/$B154)+(P154/'Optimal Choice'!$B$11)</f>
        <v>228.5523718</v>
      </c>
      <c r="E154" s="10">
        <f>(Q154/$B154)+(Q154/'Optimal Choice'!$B$16)</f>
        <v>241.9115327</v>
      </c>
      <c r="F154" s="10">
        <f>(R154/$B154)+(R154/'Optimal Choice'!$B$21)</f>
        <v>247.0862628</v>
      </c>
      <c r="G154" s="10">
        <f>(S154/$B154)+(S154/'Optimal Choice'!$B$26)</f>
        <v>248.085395</v>
      </c>
      <c r="I154" s="11">
        <f t="shared" ref="I154:M154" si="153">if(min($C153:$G153)=C153,I153+1,I153)</f>
        <v>67</v>
      </c>
      <c r="J154" s="11">
        <f t="shared" si="153"/>
        <v>30</v>
      </c>
      <c r="K154" s="11">
        <f t="shared" si="153"/>
        <v>25</v>
      </c>
      <c r="L154" s="11">
        <f t="shared" si="153"/>
        <v>18</v>
      </c>
      <c r="M154" s="11">
        <f t="shared" si="153"/>
        <v>13</v>
      </c>
      <c r="O154" s="12">
        <f> 'Optimal Choice'!$B$7*'Optimal Choice'!$B$8^(I154+1)</f>
        <v>398.250999</v>
      </c>
      <c r="P154" s="12">
        <f> 'Optimal Choice'!$B$12*'Optimal Choice'!$B$13^(J154+1)</f>
        <v>4568.612265</v>
      </c>
      <c r="Q154" s="12">
        <f> 'Optimal Choice'!$B$17*'Optimal Choice'!$B$18^(K154+1)</f>
        <v>21719.9405</v>
      </c>
      <c r="R154" s="12">
        <f> 'Optimal Choice'!$B$22*'Optimal Choice'!$B$23^(L154+1)</f>
        <v>88105.733</v>
      </c>
      <c r="S154" s="12">
        <f> 'Optimal Choice'!$B$27*'Optimal Choice'!$B$28^(M154+1)</f>
        <v>506695.8017</v>
      </c>
    </row>
    <row r="155" ht="15.75" customHeight="1">
      <c r="A155" s="10">
        <f t="shared" si="2"/>
        <v>5.276486634</v>
      </c>
      <c r="B155" s="6">
        <f>(I155*'Optimal Choice'!$B$6+J155*'Optimal Choice'!$B$11+K155*'Optimal Choice'!$B$16+L155*'Optimal Choice'!$B$21+M155*'Optimal Choice'!$B$26)*'Optimal Choice'!$B$30</f>
        <v>37541.89</v>
      </c>
      <c r="C155" s="10">
        <f>(O155/$B155)+(O155/'Optimal Choice'!$B$6)</f>
        <v>238.4842603</v>
      </c>
      <c r="D155" s="10">
        <f>(P155/$B155)+(P155/'Optimal Choice'!$B$11)</f>
        <v>262.835153</v>
      </c>
      <c r="E155" s="10">
        <f>(Q155/$B155)+(Q155/'Optimal Choice'!$B$16)</f>
        <v>241.9112243</v>
      </c>
      <c r="F155" s="10">
        <f>(R155/$B155)+(R155/'Optimal Choice'!$B$21)</f>
        <v>247.0850118</v>
      </c>
      <c r="G155" s="10">
        <f>(S155/$B155)+(S155/'Optimal Choice'!$B$26)</f>
        <v>248.0782009</v>
      </c>
      <c r="I155" s="11">
        <f t="shared" ref="I155:M155" si="154">if(min($C154:$G154)=C154,I154+1,I154)</f>
        <v>67</v>
      </c>
      <c r="J155" s="11">
        <f t="shared" si="154"/>
        <v>31</v>
      </c>
      <c r="K155" s="11">
        <f t="shared" si="154"/>
        <v>25</v>
      </c>
      <c r="L155" s="11">
        <f t="shared" si="154"/>
        <v>18</v>
      </c>
      <c r="M155" s="11">
        <f t="shared" si="154"/>
        <v>13</v>
      </c>
      <c r="O155" s="12">
        <f> 'Optimal Choice'!$B$7*'Optimal Choice'!$B$8^(I155+1)</f>
        <v>398.250999</v>
      </c>
      <c r="P155" s="12">
        <f> 'Optimal Choice'!$B$12*'Optimal Choice'!$B$13^(J155+1)</f>
        <v>5253.904105</v>
      </c>
      <c r="Q155" s="12">
        <f> 'Optimal Choice'!$B$17*'Optimal Choice'!$B$18^(K155+1)</f>
        <v>21719.9405</v>
      </c>
      <c r="R155" s="12">
        <f> 'Optimal Choice'!$B$22*'Optimal Choice'!$B$23^(L155+1)</f>
        <v>88105.733</v>
      </c>
      <c r="S155" s="12">
        <f> 'Optimal Choice'!$B$27*'Optimal Choice'!$B$28^(M155+1)</f>
        <v>506695.8017</v>
      </c>
    </row>
    <row r="156" ht="15.75" customHeight="1">
      <c r="A156" s="10">
        <f t="shared" si="2"/>
        <v>5.276663437</v>
      </c>
      <c r="B156" s="6">
        <f>(I156*'Optimal Choice'!$B$6+J156*'Optimal Choice'!$B$11+K156*'Optimal Choice'!$B$16+L156*'Optimal Choice'!$B$21+M156*'Optimal Choice'!$B$26)*'Optimal Choice'!$B$30</f>
        <v>37543.56</v>
      </c>
      <c r="C156" s="10">
        <f>(O156/$B156)+(O156/'Optimal Choice'!$B$6)</f>
        <v>255.178158</v>
      </c>
      <c r="D156" s="10">
        <f>(P156/$B156)+(P156/'Optimal Choice'!$B$11)</f>
        <v>262.8351468</v>
      </c>
      <c r="E156" s="10">
        <f>(Q156/$B156)+(Q156/'Optimal Choice'!$B$16)</f>
        <v>241.9111986</v>
      </c>
      <c r="F156" s="10">
        <f>(R156/$B156)+(R156/'Optimal Choice'!$B$21)</f>
        <v>247.0849074</v>
      </c>
      <c r="G156" s="10">
        <f>(S156/$B156)+(S156/'Optimal Choice'!$B$26)</f>
        <v>248.0776005</v>
      </c>
      <c r="I156" s="11">
        <f t="shared" ref="I156:M156" si="155">if(min($C155:$G155)=C155,I155+1,I155)</f>
        <v>68</v>
      </c>
      <c r="J156" s="11">
        <f t="shared" si="155"/>
        <v>31</v>
      </c>
      <c r="K156" s="11">
        <f t="shared" si="155"/>
        <v>25</v>
      </c>
      <c r="L156" s="11">
        <f t="shared" si="155"/>
        <v>18</v>
      </c>
      <c r="M156" s="11">
        <f t="shared" si="155"/>
        <v>13</v>
      </c>
      <c r="O156" s="12">
        <f> 'Optimal Choice'!$B$7*'Optimal Choice'!$B$8^(I156+1)</f>
        <v>426.128569</v>
      </c>
      <c r="P156" s="12">
        <f> 'Optimal Choice'!$B$12*'Optimal Choice'!$B$13^(J156+1)</f>
        <v>5253.904105</v>
      </c>
      <c r="Q156" s="12">
        <f> 'Optimal Choice'!$B$17*'Optimal Choice'!$B$18^(K156+1)</f>
        <v>21719.9405</v>
      </c>
      <c r="R156" s="12">
        <f> 'Optimal Choice'!$B$22*'Optimal Choice'!$B$23^(L156+1)</f>
        <v>88105.733</v>
      </c>
      <c r="S156" s="12">
        <f> 'Optimal Choice'!$B$27*'Optimal Choice'!$B$28^(M156+1)</f>
        <v>506695.8017</v>
      </c>
    </row>
    <row r="157" ht="15.75" customHeight="1">
      <c r="A157" s="10">
        <f t="shared" si="2"/>
        <v>5.286305543</v>
      </c>
      <c r="B157" s="6">
        <f>(I157*'Optimal Choice'!$B$6+J157*'Optimal Choice'!$B$11+K157*'Optimal Choice'!$B$16+L157*'Optimal Choice'!$B$21+M157*'Optimal Choice'!$B$26)*'Optimal Choice'!$B$30</f>
        <v>37633.56</v>
      </c>
      <c r="C157" s="10">
        <f>(O157/$B157)+(O157/'Optimal Choice'!$B$6)</f>
        <v>255.1781309</v>
      </c>
      <c r="D157" s="10">
        <f>(P157/$B157)+(P157/'Optimal Choice'!$B$11)</f>
        <v>262.8348121</v>
      </c>
      <c r="E157" s="10">
        <f>(Q157/$B157)+(Q157/'Optimal Choice'!$B$16)</f>
        <v>275.7771892</v>
      </c>
      <c r="F157" s="10">
        <f>(R157/$B157)+(R157/'Optimal Choice'!$B$21)</f>
        <v>247.0792952</v>
      </c>
      <c r="G157" s="10">
        <f>(S157/$B157)+(S157/'Optimal Choice'!$B$26)</f>
        <v>248.0453246</v>
      </c>
      <c r="I157" s="11">
        <f t="shared" ref="I157:M157" si="156">if(min($C156:$G156)=C156,I156+1,I156)</f>
        <v>68</v>
      </c>
      <c r="J157" s="11">
        <f t="shared" si="156"/>
        <v>31</v>
      </c>
      <c r="K157" s="11">
        <f t="shared" si="156"/>
        <v>26</v>
      </c>
      <c r="L157" s="11">
        <f t="shared" si="156"/>
        <v>18</v>
      </c>
      <c r="M157" s="11">
        <f t="shared" si="156"/>
        <v>13</v>
      </c>
      <c r="O157" s="12">
        <f> 'Optimal Choice'!$B$7*'Optimal Choice'!$B$8^(I157+1)</f>
        <v>426.128569</v>
      </c>
      <c r="P157" s="12">
        <f> 'Optimal Choice'!$B$12*'Optimal Choice'!$B$13^(J157+1)</f>
        <v>5253.904105</v>
      </c>
      <c r="Q157" s="12">
        <f> 'Optimal Choice'!$B$17*'Optimal Choice'!$B$18^(K157+1)</f>
        <v>24760.73217</v>
      </c>
      <c r="R157" s="12">
        <f> 'Optimal Choice'!$B$22*'Optimal Choice'!$B$23^(L157+1)</f>
        <v>88105.733</v>
      </c>
      <c r="S157" s="12">
        <f> 'Optimal Choice'!$B$27*'Optimal Choice'!$B$28^(M157+1)</f>
        <v>506695.8017</v>
      </c>
    </row>
    <row r="158" ht="15.75" customHeight="1">
      <c r="A158" s="10">
        <f t="shared" si="2"/>
        <v>5.325324677</v>
      </c>
      <c r="B158" s="6">
        <f>(I158*'Optimal Choice'!$B$6+J158*'Optimal Choice'!$B$11+K158*'Optimal Choice'!$B$16+L158*'Optimal Choice'!$B$21+M158*'Optimal Choice'!$B$26)*'Optimal Choice'!$B$30</f>
        <v>37993.56</v>
      </c>
      <c r="C158" s="10">
        <f>(O158/$B158)+(O158/'Optimal Choice'!$B$6)</f>
        <v>255.1780236</v>
      </c>
      <c r="D158" s="10">
        <f>(P158/$B158)+(P158/'Optimal Choice'!$B$11)</f>
        <v>262.8334893</v>
      </c>
      <c r="E158" s="10">
        <f>(Q158/$B158)+(Q158/'Optimal Choice'!$B$16)</f>
        <v>275.770955</v>
      </c>
      <c r="F158" s="10">
        <f>(R158/$B158)+(R158/'Optimal Choice'!$B$21)</f>
        <v>279.1745367</v>
      </c>
      <c r="G158" s="10">
        <f>(S158/$B158)+(S158/'Optimal Choice'!$B$26)</f>
        <v>247.9177499</v>
      </c>
      <c r="I158" s="11">
        <f t="shared" ref="I158:M158" si="157">if(min($C157:$G157)=C157,I157+1,I157)</f>
        <v>68</v>
      </c>
      <c r="J158" s="11">
        <f t="shared" si="157"/>
        <v>31</v>
      </c>
      <c r="K158" s="11">
        <f t="shared" si="157"/>
        <v>26</v>
      </c>
      <c r="L158" s="11">
        <f t="shared" si="157"/>
        <v>19</v>
      </c>
      <c r="M158" s="11">
        <f t="shared" si="157"/>
        <v>13</v>
      </c>
      <c r="O158" s="12">
        <f> 'Optimal Choice'!$B$7*'Optimal Choice'!$B$8^(I158+1)</f>
        <v>426.128569</v>
      </c>
      <c r="P158" s="12">
        <f> 'Optimal Choice'!$B$12*'Optimal Choice'!$B$13^(J158+1)</f>
        <v>5253.904105</v>
      </c>
      <c r="Q158" s="12">
        <f> 'Optimal Choice'!$B$17*'Optimal Choice'!$B$18^(K158+1)</f>
        <v>24760.73217</v>
      </c>
      <c r="R158" s="12">
        <f> 'Optimal Choice'!$B$22*'Optimal Choice'!$B$23^(L158+1)</f>
        <v>99559.47829</v>
      </c>
      <c r="S158" s="12">
        <f> 'Optimal Choice'!$B$27*'Optimal Choice'!$B$28^(M158+1)</f>
        <v>506695.8017</v>
      </c>
    </row>
    <row r="159" ht="15.75" customHeight="1">
      <c r="A159" s="10">
        <f t="shared" si="2"/>
        <v>5.547597347</v>
      </c>
      <c r="B159" s="6">
        <f>(I159*'Optimal Choice'!$B$6+J159*'Optimal Choice'!$B$11+K159*'Optimal Choice'!$B$16+L159*'Optimal Choice'!$B$21+M159*'Optimal Choice'!$B$26)*'Optimal Choice'!$B$30</f>
        <v>40153.56</v>
      </c>
      <c r="C159" s="10">
        <f>(O159/$B159)+(O159/'Optimal Choice'!$B$6)</f>
        <v>255.1774202</v>
      </c>
      <c r="D159" s="10">
        <f>(P159/$B159)+(P159/'Optimal Choice'!$B$11)</f>
        <v>262.8260505</v>
      </c>
      <c r="E159" s="10">
        <f>(Q159/$B159)+(Q159/'Optimal Choice'!$B$16)</f>
        <v>275.7358973</v>
      </c>
      <c r="F159" s="10">
        <f>(R159/$B159)+(R159/'Optimal Choice'!$B$21)</f>
        <v>279.0335746</v>
      </c>
      <c r="G159" s="10">
        <f>(S159/$B159)+(S159/'Optimal Choice'!$B$26)</f>
        <v>276.8643814</v>
      </c>
      <c r="I159" s="11">
        <f t="shared" ref="I159:M159" si="158">if(min($C158:$G158)=C158,I158+1,I158)</f>
        <v>68</v>
      </c>
      <c r="J159" s="11">
        <f t="shared" si="158"/>
        <v>31</v>
      </c>
      <c r="K159" s="11">
        <f t="shared" si="158"/>
        <v>26</v>
      </c>
      <c r="L159" s="11">
        <f t="shared" si="158"/>
        <v>19</v>
      </c>
      <c r="M159" s="11">
        <f t="shared" si="158"/>
        <v>14</v>
      </c>
      <c r="O159" s="12">
        <f> 'Optimal Choice'!$B$7*'Optimal Choice'!$B$8^(I159+1)</f>
        <v>426.128569</v>
      </c>
      <c r="P159" s="12">
        <f> 'Optimal Choice'!$B$12*'Optimal Choice'!$B$13^(J159+1)</f>
        <v>5253.904105</v>
      </c>
      <c r="Q159" s="12">
        <f> 'Optimal Choice'!$B$17*'Optimal Choice'!$B$18^(K159+1)</f>
        <v>24760.73217</v>
      </c>
      <c r="R159" s="12">
        <f> 'Optimal Choice'!$B$22*'Optimal Choice'!$B$23^(L159+1)</f>
        <v>99559.47829</v>
      </c>
      <c r="S159" s="12">
        <f> 'Optimal Choice'!$B$27*'Optimal Choice'!$B$28^(M159+1)</f>
        <v>567499.2979</v>
      </c>
    </row>
    <row r="160" ht="15.75" customHeight="1">
      <c r="A160" s="10">
        <f t="shared" si="2"/>
        <v>5.547774221</v>
      </c>
      <c r="B160" s="6">
        <f>(I160*'Optimal Choice'!$B$6+J160*'Optimal Choice'!$B$11+K160*'Optimal Choice'!$B$16+L160*'Optimal Choice'!$B$21+M160*'Optimal Choice'!$B$26)*'Optimal Choice'!$B$30</f>
        <v>40155.23</v>
      </c>
      <c r="C160" s="10">
        <f>(O160/$B160)+(O160/'Optimal Choice'!$B$6)</f>
        <v>273.0398392</v>
      </c>
      <c r="D160" s="10">
        <f>(P160/$B160)+(P160/'Optimal Choice'!$B$11)</f>
        <v>262.8260451</v>
      </c>
      <c r="E160" s="10">
        <f>(Q160/$B160)+(Q160/'Optimal Choice'!$B$16)</f>
        <v>275.7358717</v>
      </c>
      <c r="F160" s="10">
        <f>(R160/$B160)+(R160/'Optimal Choice'!$B$21)</f>
        <v>279.0334715</v>
      </c>
      <c r="G160" s="10">
        <f>(S160/$B160)+(S160/'Optimal Choice'!$B$26)</f>
        <v>276.8637937</v>
      </c>
      <c r="I160" s="11">
        <f t="shared" ref="I160:M160" si="159">if(min($C159:$G159)=C159,I159+1,I159)</f>
        <v>69</v>
      </c>
      <c r="J160" s="11">
        <f t="shared" si="159"/>
        <v>31</v>
      </c>
      <c r="K160" s="11">
        <f t="shared" si="159"/>
        <v>26</v>
      </c>
      <c r="L160" s="11">
        <f t="shared" si="159"/>
        <v>19</v>
      </c>
      <c r="M160" s="11">
        <f t="shared" si="159"/>
        <v>14</v>
      </c>
      <c r="O160" s="12">
        <f> 'Optimal Choice'!$B$7*'Optimal Choice'!$B$8^(I160+1)</f>
        <v>455.9575688</v>
      </c>
      <c r="P160" s="12">
        <f> 'Optimal Choice'!$B$12*'Optimal Choice'!$B$13^(J160+1)</f>
        <v>5253.904105</v>
      </c>
      <c r="Q160" s="12">
        <f> 'Optimal Choice'!$B$17*'Optimal Choice'!$B$18^(K160+1)</f>
        <v>24760.73217</v>
      </c>
      <c r="R160" s="12">
        <f> 'Optimal Choice'!$B$22*'Optimal Choice'!$B$23^(L160+1)</f>
        <v>99559.47829</v>
      </c>
      <c r="S160" s="12">
        <f> 'Optimal Choice'!$B$27*'Optimal Choice'!$B$28^(M160+1)</f>
        <v>567499.2979</v>
      </c>
    </row>
    <row r="161" ht="15.75" customHeight="1">
      <c r="A161" s="10">
        <f t="shared" si="2"/>
        <v>5.549954885</v>
      </c>
      <c r="B161" s="6">
        <f>(I161*'Optimal Choice'!$B$6+J161*'Optimal Choice'!$B$11+K161*'Optimal Choice'!$B$16+L161*'Optimal Choice'!$B$21+M161*'Optimal Choice'!$B$26)*'Optimal Choice'!$B$30</f>
        <v>40175.23</v>
      </c>
      <c r="C161" s="10">
        <f>(O161/$B161)+(O161/'Optimal Choice'!$B$6)</f>
        <v>273.0398335</v>
      </c>
      <c r="D161" s="10">
        <f>(P161/$B161)+(P161/'Optimal Choice'!$B$11)</f>
        <v>302.2498769</v>
      </c>
      <c r="E161" s="10">
        <f>(Q161/$B161)+(Q161/'Optimal Choice'!$B$16)</f>
        <v>275.7355647</v>
      </c>
      <c r="F161" s="10">
        <f>(R161/$B161)+(R161/'Optimal Choice'!$B$21)</f>
        <v>279.0322372</v>
      </c>
      <c r="G161" s="10">
        <f>(S161/$B161)+(S161/'Optimal Choice'!$B$26)</f>
        <v>276.8567582</v>
      </c>
      <c r="I161" s="11">
        <f t="shared" ref="I161:M161" si="160">if(min($C160:$G160)=C160,I160+1,I160)</f>
        <v>69</v>
      </c>
      <c r="J161" s="11">
        <f t="shared" si="160"/>
        <v>32</v>
      </c>
      <c r="K161" s="11">
        <f t="shared" si="160"/>
        <v>26</v>
      </c>
      <c r="L161" s="11">
        <f t="shared" si="160"/>
        <v>19</v>
      </c>
      <c r="M161" s="11">
        <f t="shared" si="160"/>
        <v>14</v>
      </c>
      <c r="O161" s="12">
        <f> 'Optimal Choice'!$B$7*'Optimal Choice'!$B$8^(I161+1)</f>
        <v>455.9575688</v>
      </c>
      <c r="P161" s="12">
        <f> 'Optimal Choice'!$B$12*'Optimal Choice'!$B$13^(J161+1)</f>
        <v>6041.98972</v>
      </c>
      <c r="Q161" s="12">
        <f> 'Optimal Choice'!$B$17*'Optimal Choice'!$B$18^(K161+1)</f>
        <v>24760.73217</v>
      </c>
      <c r="R161" s="12">
        <f> 'Optimal Choice'!$B$22*'Optimal Choice'!$B$23^(L161+1)</f>
        <v>99559.47829</v>
      </c>
      <c r="S161" s="12">
        <f> 'Optimal Choice'!$B$27*'Optimal Choice'!$B$28^(M161+1)</f>
        <v>567499.2979</v>
      </c>
    </row>
    <row r="162" ht="15.75" customHeight="1">
      <c r="A162" s="10">
        <f t="shared" si="2"/>
        <v>5.550144039</v>
      </c>
      <c r="B162" s="6">
        <f>(I162*'Optimal Choice'!$B$6+J162*'Optimal Choice'!$B$11+K162*'Optimal Choice'!$B$16+L162*'Optimal Choice'!$B$21+M162*'Optimal Choice'!$B$26)*'Optimal Choice'!$B$30</f>
        <v>40176.9</v>
      </c>
      <c r="C162" s="10">
        <f>(O162/$B162)+(O162/'Optimal Choice'!$B$6)</f>
        <v>292.1526214</v>
      </c>
      <c r="D162" s="10">
        <f>(P162/$B162)+(P162/'Optimal Choice'!$B$11)</f>
        <v>302.2498707</v>
      </c>
      <c r="E162" s="10">
        <f>(Q162/$B162)+(Q162/'Optimal Choice'!$B$16)</f>
        <v>275.7355391</v>
      </c>
      <c r="F162" s="10">
        <f>(R162/$B162)+(R162/'Optimal Choice'!$B$21)</f>
        <v>279.0321342</v>
      </c>
      <c r="G162" s="10">
        <f>(S162/$B162)+(S162/'Optimal Choice'!$B$26)</f>
        <v>276.856171</v>
      </c>
      <c r="I162" s="11">
        <f t="shared" ref="I162:M162" si="161">if(min($C161:$G161)=C161,I161+1,I161)</f>
        <v>70</v>
      </c>
      <c r="J162" s="11">
        <f t="shared" si="161"/>
        <v>32</v>
      </c>
      <c r="K162" s="11">
        <f t="shared" si="161"/>
        <v>26</v>
      </c>
      <c r="L162" s="11">
        <f t="shared" si="161"/>
        <v>19</v>
      </c>
      <c r="M162" s="11">
        <f t="shared" si="161"/>
        <v>14</v>
      </c>
      <c r="O162" s="12">
        <f> 'Optimal Choice'!$B$7*'Optimal Choice'!$B$8^(I162+1)</f>
        <v>487.8745986</v>
      </c>
      <c r="P162" s="12">
        <f> 'Optimal Choice'!$B$12*'Optimal Choice'!$B$13^(J162+1)</f>
        <v>6041.98972</v>
      </c>
      <c r="Q162" s="12">
        <f> 'Optimal Choice'!$B$17*'Optimal Choice'!$B$18^(K162+1)</f>
        <v>24760.73217</v>
      </c>
      <c r="R162" s="12">
        <f> 'Optimal Choice'!$B$22*'Optimal Choice'!$B$23^(L162+1)</f>
        <v>99559.47829</v>
      </c>
      <c r="S162" s="12">
        <f> 'Optimal Choice'!$B$27*'Optimal Choice'!$B$28^(M162+1)</f>
        <v>567499.2979</v>
      </c>
    </row>
    <row r="163" ht="15.75" customHeight="1">
      <c r="A163" s="10">
        <f t="shared" si="2"/>
        <v>5.560415585</v>
      </c>
      <c r="B163" s="6">
        <f>(I163*'Optimal Choice'!$B$6+J163*'Optimal Choice'!$B$11+K163*'Optimal Choice'!$B$16+L163*'Optimal Choice'!$B$21+M163*'Optimal Choice'!$B$26)*'Optimal Choice'!$B$30</f>
        <v>40266.9</v>
      </c>
      <c r="C163" s="10">
        <f>(O163/$B163)+(O163/'Optimal Choice'!$B$6)</f>
        <v>292.1525942</v>
      </c>
      <c r="D163" s="10">
        <f>(P163/$B163)+(P163/'Optimal Choice'!$B$11)</f>
        <v>302.2495346</v>
      </c>
      <c r="E163" s="10">
        <f>(Q163/$B163)+(Q163/'Optimal Choice'!$B$16)</f>
        <v>314.3369442</v>
      </c>
      <c r="F163" s="10">
        <f>(R163/$B163)+(R163/'Optimal Choice'!$B$21)</f>
        <v>279.0265956</v>
      </c>
      <c r="G163" s="10">
        <f>(S163/$B163)+(S163/'Optimal Choice'!$B$26)</f>
        <v>276.8246004</v>
      </c>
      <c r="I163" s="11">
        <f t="shared" ref="I163:M163" si="162">if(min($C162:$G162)=C162,I162+1,I162)</f>
        <v>70</v>
      </c>
      <c r="J163" s="11">
        <f t="shared" si="162"/>
        <v>32</v>
      </c>
      <c r="K163" s="11">
        <f t="shared" si="162"/>
        <v>27</v>
      </c>
      <c r="L163" s="11">
        <f t="shared" si="162"/>
        <v>19</v>
      </c>
      <c r="M163" s="11">
        <f t="shared" si="162"/>
        <v>14</v>
      </c>
      <c r="O163" s="12">
        <f> 'Optimal Choice'!$B$7*'Optimal Choice'!$B$8^(I163+1)</f>
        <v>487.8745986</v>
      </c>
      <c r="P163" s="12">
        <f> 'Optimal Choice'!$B$12*'Optimal Choice'!$B$13^(J163+1)</f>
        <v>6041.98972</v>
      </c>
      <c r="Q163" s="12">
        <f> 'Optimal Choice'!$B$17*'Optimal Choice'!$B$18^(K163+1)</f>
        <v>28227.23467</v>
      </c>
      <c r="R163" s="12">
        <f> 'Optimal Choice'!$B$22*'Optimal Choice'!$B$23^(L163+1)</f>
        <v>99559.47829</v>
      </c>
      <c r="S163" s="12">
        <f> 'Optimal Choice'!$B$27*'Optimal Choice'!$B$28^(M163+1)</f>
        <v>567499.2979</v>
      </c>
    </row>
    <row r="164" ht="15.75" customHeight="1">
      <c r="A164" s="10">
        <f t="shared" si="2"/>
        <v>5.795306317</v>
      </c>
      <c r="B164" s="6">
        <f>(I164*'Optimal Choice'!$B$6+J164*'Optimal Choice'!$B$11+K164*'Optimal Choice'!$B$16+L164*'Optimal Choice'!$B$21+M164*'Optimal Choice'!$B$26)*'Optimal Choice'!$B$30</f>
        <v>42426.9</v>
      </c>
      <c r="C164" s="10">
        <f>(O164/$B164)+(O164/'Optimal Choice'!$B$6)</f>
        <v>292.1519774</v>
      </c>
      <c r="D164" s="10">
        <f>(P164/$B164)+(P164/'Optimal Choice'!$B$11)</f>
        <v>302.2418954</v>
      </c>
      <c r="E164" s="10">
        <f>(Q164/$B164)+(Q164/'Optimal Choice'!$B$16)</f>
        <v>314.3012554</v>
      </c>
      <c r="F164" s="10">
        <f>(R164/$B164)+(R164/'Optimal Choice'!$B$21)</f>
        <v>278.9007185</v>
      </c>
      <c r="G164" s="10">
        <f>(S164/$B164)+(S164/'Optimal Choice'!$B$26)</f>
        <v>309.2399382</v>
      </c>
      <c r="I164" s="11">
        <f t="shared" ref="I164:M164" si="163">if(min($C163:$G163)=C163,I163+1,I163)</f>
        <v>70</v>
      </c>
      <c r="J164" s="11">
        <f t="shared" si="163"/>
        <v>32</v>
      </c>
      <c r="K164" s="11">
        <f t="shared" si="163"/>
        <v>27</v>
      </c>
      <c r="L164" s="11">
        <f t="shared" si="163"/>
        <v>19</v>
      </c>
      <c r="M164" s="11">
        <f t="shared" si="163"/>
        <v>15</v>
      </c>
      <c r="O164" s="12">
        <f> 'Optimal Choice'!$B$7*'Optimal Choice'!$B$8^(I164+1)</f>
        <v>487.8745986</v>
      </c>
      <c r="P164" s="12">
        <f> 'Optimal Choice'!$B$12*'Optimal Choice'!$B$13^(J164+1)</f>
        <v>6041.98972</v>
      </c>
      <c r="Q164" s="12">
        <f> 'Optimal Choice'!$B$17*'Optimal Choice'!$B$18^(K164+1)</f>
        <v>28227.23467</v>
      </c>
      <c r="R164" s="12">
        <f> 'Optimal Choice'!$B$22*'Optimal Choice'!$B$23^(L164+1)</f>
        <v>99559.47829</v>
      </c>
      <c r="S164" s="12">
        <f> 'Optimal Choice'!$B$27*'Optimal Choice'!$B$28^(M164+1)</f>
        <v>635599.2137</v>
      </c>
    </row>
    <row r="165" ht="15.75" customHeight="1">
      <c r="A165" s="10">
        <f t="shared" si="2"/>
        <v>5.834416519</v>
      </c>
      <c r="B165" s="6">
        <f>(I165*'Optimal Choice'!$B$6+J165*'Optimal Choice'!$B$11+K165*'Optimal Choice'!$B$16+L165*'Optimal Choice'!$B$21+M165*'Optimal Choice'!$B$26)*'Optimal Choice'!$B$30</f>
        <v>42786.9</v>
      </c>
      <c r="C165" s="10">
        <f>(O165/$B165)+(O165/'Optimal Choice'!$B$6)</f>
        <v>292.1518806</v>
      </c>
      <c r="D165" s="10">
        <f>(P165/$B165)+(P165/'Optimal Choice'!$B$11)</f>
        <v>302.2406972</v>
      </c>
      <c r="E165" s="10">
        <f>(Q165/$B165)+(Q165/'Optimal Choice'!$B$16)</f>
        <v>314.2956576</v>
      </c>
      <c r="F165" s="10">
        <f>(R165/$B165)+(R165/'Optimal Choice'!$B$21)</f>
        <v>315.1355013</v>
      </c>
      <c r="G165" s="10">
        <f>(S165/$B165)+(S165/'Optimal Choice'!$B$26)</f>
        <v>309.1138909</v>
      </c>
      <c r="I165" s="11">
        <f t="shared" ref="I165:M165" si="164">if(min($C164:$G164)=C164,I164+1,I164)</f>
        <v>70</v>
      </c>
      <c r="J165" s="11">
        <f t="shared" si="164"/>
        <v>32</v>
      </c>
      <c r="K165" s="11">
        <f t="shared" si="164"/>
        <v>27</v>
      </c>
      <c r="L165" s="11">
        <f t="shared" si="164"/>
        <v>20</v>
      </c>
      <c r="M165" s="11">
        <f t="shared" si="164"/>
        <v>15</v>
      </c>
      <c r="O165" s="12">
        <f> 'Optimal Choice'!$B$7*'Optimal Choice'!$B$8^(I165+1)</f>
        <v>487.8745986</v>
      </c>
      <c r="P165" s="12">
        <f> 'Optimal Choice'!$B$12*'Optimal Choice'!$B$13^(J165+1)</f>
        <v>6041.98972</v>
      </c>
      <c r="Q165" s="12">
        <f> 'Optimal Choice'!$B$17*'Optimal Choice'!$B$18^(K165+1)</f>
        <v>28227.23467</v>
      </c>
      <c r="R165" s="12">
        <f> 'Optimal Choice'!$B$22*'Optimal Choice'!$B$23^(L165+1)</f>
        <v>112502.2105</v>
      </c>
      <c r="S165" s="12">
        <f> 'Optimal Choice'!$B$27*'Optimal Choice'!$B$28^(M165+1)</f>
        <v>635599.2137</v>
      </c>
    </row>
    <row r="166" ht="15.75" customHeight="1">
      <c r="A166" s="10">
        <f t="shared" si="2"/>
        <v>5.83460656</v>
      </c>
      <c r="B166" s="6">
        <f>(I166*'Optimal Choice'!$B$6+J166*'Optimal Choice'!$B$11+K166*'Optimal Choice'!$B$16+L166*'Optimal Choice'!$B$21+M166*'Optimal Choice'!$B$26)*'Optimal Choice'!$B$30</f>
        <v>42788.57</v>
      </c>
      <c r="C166" s="10">
        <f>(O166/$B166)+(O166/'Optimal Choice'!$B$6)</f>
        <v>312.6025118</v>
      </c>
      <c r="D166" s="10">
        <f>(P166/$B166)+(P166/'Optimal Choice'!$B$11)</f>
        <v>302.2406917</v>
      </c>
      <c r="E166" s="10">
        <f>(Q166/$B166)+(Q166/'Optimal Choice'!$B$16)</f>
        <v>314.2956318</v>
      </c>
      <c r="F166" s="10">
        <f>(R166/$B166)+(R166/'Optimal Choice'!$B$21)</f>
        <v>315.1353987</v>
      </c>
      <c r="G166" s="10">
        <f>(S166/$B166)+(S166/'Optimal Choice'!$B$26)</f>
        <v>309.1133111</v>
      </c>
      <c r="I166" s="11">
        <f t="shared" ref="I166:M166" si="165">if(min($C165:$G165)=C165,I165+1,I165)</f>
        <v>71</v>
      </c>
      <c r="J166" s="11">
        <f t="shared" si="165"/>
        <v>32</v>
      </c>
      <c r="K166" s="11">
        <f t="shared" si="165"/>
        <v>27</v>
      </c>
      <c r="L166" s="11">
        <f t="shared" si="165"/>
        <v>20</v>
      </c>
      <c r="M166" s="11">
        <f t="shared" si="165"/>
        <v>15</v>
      </c>
      <c r="O166" s="12">
        <f> 'Optimal Choice'!$B$7*'Optimal Choice'!$B$8^(I166+1)</f>
        <v>522.0258205</v>
      </c>
      <c r="P166" s="12">
        <f> 'Optimal Choice'!$B$12*'Optimal Choice'!$B$13^(J166+1)</f>
        <v>6041.98972</v>
      </c>
      <c r="Q166" s="12">
        <f> 'Optimal Choice'!$B$17*'Optimal Choice'!$B$18^(K166+1)</f>
        <v>28227.23467</v>
      </c>
      <c r="R166" s="12">
        <f> 'Optimal Choice'!$B$22*'Optimal Choice'!$B$23^(L166+1)</f>
        <v>112502.2105</v>
      </c>
      <c r="S166" s="12">
        <f> 'Optimal Choice'!$B$27*'Optimal Choice'!$B$28^(M166+1)</f>
        <v>635599.2137</v>
      </c>
    </row>
    <row r="167" ht="15.75" customHeight="1">
      <c r="A167" s="10">
        <f t="shared" si="2"/>
        <v>5.836959988</v>
      </c>
      <c r="B167" s="6">
        <f>(I167*'Optimal Choice'!$B$6+J167*'Optimal Choice'!$B$11+K167*'Optimal Choice'!$B$16+L167*'Optimal Choice'!$B$21+M167*'Optimal Choice'!$B$26)*'Optimal Choice'!$B$30</f>
        <v>42808.57</v>
      </c>
      <c r="C167" s="10">
        <f>(O167/$B167)+(O167/'Optimal Choice'!$B$6)</f>
        <v>312.6025061</v>
      </c>
      <c r="D167" s="10">
        <f>(P167/$B167)+(P167/'Optimal Choice'!$B$11)</f>
        <v>347.5767196</v>
      </c>
      <c r="E167" s="10">
        <f>(Q167/$B167)+(Q167/'Optimal Choice'!$B$16)</f>
        <v>314.2953236</v>
      </c>
      <c r="F167" s="10">
        <f>(R167/$B167)+(R167/'Optimal Choice'!$B$21)</f>
        <v>315.1341703</v>
      </c>
      <c r="G167" s="10">
        <f>(S167/$B167)+(S167/'Optimal Choice'!$B$26)</f>
        <v>309.1063712</v>
      </c>
      <c r="I167" s="11">
        <f t="shared" ref="I167:M167" si="166">if(min($C166:$G166)=C166,I166+1,I166)</f>
        <v>71</v>
      </c>
      <c r="J167" s="11">
        <f t="shared" si="166"/>
        <v>33</v>
      </c>
      <c r="K167" s="11">
        <f t="shared" si="166"/>
        <v>27</v>
      </c>
      <c r="L167" s="11">
        <f t="shared" si="166"/>
        <v>20</v>
      </c>
      <c r="M167" s="11">
        <f t="shared" si="166"/>
        <v>15</v>
      </c>
      <c r="O167" s="12">
        <f> 'Optimal Choice'!$B$7*'Optimal Choice'!$B$8^(I167+1)</f>
        <v>522.0258205</v>
      </c>
      <c r="P167" s="12">
        <f> 'Optimal Choice'!$B$12*'Optimal Choice'!$B$13^(J167+1)</f>
        <v>6948.288179</v>
      </c>
      <c r="Q167" s="12">
        <f> 'Optimal Choice'!$B$17*'Optimal Choice'!$B$18^(K167+1)</f>
        <v>28227.23467</v>
      </c>
      <c r="R167" s="12">
        <f> 'Optimal Choice'!$B$22*'Optimal Choice'!$B$23^(L167+1)</f>
        <v>112502.2105</v>
      </c>
      <c r="S167" s="12">
        <f> 'Optimal Choice'!$B$27*'Optimal Choice'!$B$28^(M167+1)</f>
        <v>635599.2137</v>
      </c>
    </row>
    <row r="168" ht="15.75" customHeight="1">
      <c r="A168" s="10">
        <f t="shared" si="2"/>
        <v>6.084417921</v>
      </c>
      <c r="B168" s="6">
        <f>(I168*'Optimal Choice'!$B$6+J168*'Optimal Choice'!$B$11+K168*'Optimal Choice'!$B$16+L168*'Optimal Choice'!$B$21+M168*'Optimal Choice'!$B$26)*'Optimal Choice'!$B$30</f>
        <v>44968.57</v>
      </c>
      <c r="C168" s="10">
        <f>(O168/$B168)+(O168/'Optimal Choice'!$B$6)</f>
        <v>312.6019204</v>
      </c>
      <c r="D168" s="10">
        <f>(P168/$B168)+(P168/'Optimal Choice'!$B$11)</f>
        <v>347.5689233</v>
      </c>
      <c r="E168" s="10">
        <f>(Q168/$B168)+(Q168/'Optimal Choice'!$B$16)</f>
        <v>314.2636511</v>
      </c>
      <c r="F168" s="10">
        <f>(R168/$B168)+(R168/'Optimal Choice'!$B$21)</f>
        <v>315.0079367</v>
      </c>
      <c r="G168" s="10">
        <f>(S168/$B168)+(S168/'Optimal Choice'!$B$26)</f>
        <v>345.4003775</v>
      </c>
      <c r="I168" s="11">
        <f t="shared" ref="I168:M168" si="167">if(min($C167:$G167)=C167,I167+1,I167)</f>
        <v>71</v>
      </c>
      <c r="J168" s="11">
        <f t="shared" si="167"/>
        <v>33</v>
      </c>
      <c r="K168" s="11">
        <f t="shared" si="167"/>
        <v>27</v>
      </c>
      <c r="L168" s="11">
        <f t="shared" si="167"/>
        <v>20</v>
      </c>
      <c r="M168" s="11">
        <f t="shared" si="167"/>
        <v>16</v>
      </c>
      <c r="O168" s="12">
        <f> 'Optimal Choice'!$B$7*'Optimal Choice'!$B$8^(I168+1)</f>
        <v>522.0258205</v>
      </c>
      <c r="P168" s="12">
        <f> 'Optimal Choice'!$B$12*'Optimal Choice'!$B$13^(J168+1)</f>
        <v>6948.288179</v>
      </c>
      <c r="Q168" s="12">
        <f> 'Optimal Choice'!$B$17*'Optimal Choice'!$B$18^(K168+1)</f>
        <v>28227.23467</v>
      </c>
      <c r="R168" s="12">
        <f> 'Optimal Choice'!$B$22*'Optimal Choice'!$B$23^(L168+1)</f>
        <v>112502.2105</v>
      </c>
      <c r="S168" s="12">
        <f> 'Optimal Choice'!$B$27*'Optimal Choice'!$B$28^(M168+1)</f>
        <v>711871.1193</v>
      </c>
    </row>
    <row r="169" ht="15.75" customHeight="1">
      <c r="A169" s="10">
        <f t="shared" si="2"/>
        <v>6.084611399</v>
      </c>
      <c r="B169" s="6">
        <f>(I169*'Optimal Choice'!$B$6+J169*'Optimal Choice'!$B$11+K169*'Optimal Choice'!$B$16+L169*'Optimal Choice'!$B$21+M169*'Optimal Choice'!$B$26)*'Optimal Choice'!$B$30</f>
        <v>44970.24</v>
      </c>
      <c r="C169" s="10">
        <f>(O169/$B169)+(O169/'Optimal Choice'!$B$6)</f>
        <v>334.4840543</v>
      </c>
      <c r="D169" s="10">
        <f>(P169/$B169)+(P169/'Optimal Choice'!$B$11)</f>
        <v>347.5689175</v>
      </c>
      <c r="E169" s="10">
        <f>(Q169/$B169)+(Q169/'Optimal Choice'!$B$16)</f>
        <v>314.2636278</v>
      </c>
      <c r="F169" s="10">
        <f>(R169/$B169)+(R169/'Optimal Choice'!$B$21)</f>
        <v>315.0078438</v>
      </c>
      <c r="G169" s="10">
        <f>(S169/$B169)+(S169/'Optimal Choice'!$B$26)</f>
        <v>345.3997896</v>
      </c>
      <c r="I169" s="11">
        <f t="shared" ref="I169:M169" si="168">if(min($C168:$G168)=C168,I168+1,I168)</f>
        <v>72</v>
      </c>
      <c r="J169" s="11">
        <f t="shared" si="168"/>
        <v>33</v>
      </c>
      <c r="K169" s="11">
        <f t="shared" si="168"/>
        <v>27</v>
      </c>
      <c r="L169" s="11">
        <f t="shared" si="168"/>
        <v>20</v>
      </c>
      <c r="M169" s="11">
        <f t="shared" si="168"/>
        <v>16</v>
      </c>
      <c r="O169" s="12">
        <f> 'Optimal Choice'!$B$7*'Optimal Choice'!$B$8^(I169+1)</f>
        <v>558.5676279</v>
      </c>
      <c r="P169" s="12">
        <f> 'Optimal Choice'!$B$12*'Optimal Choice'!$B$13^(J169+1)</f>
        <v>6948.288179</v>
      </c>
      <c r="Q169" s="12">
        <f> 'Optimal Choice'!$B$17*'Optimal Choice'!$B$18^(K169+1)</f>
        <v>28227.23467</v>
      </c>
      <c r="R169" s="12">
        <f> 'Optimal Choice'!$B$22*'Optimal Choice'!$B$23^(L169+1)</f>
        <v>112502.2105</v>
      </c>
      <c r="S169" s="12">
        <f> 'Optimal Choice'!$B$27*'Optimal Choice'!$B$28^(M169+1)</f>
        <v>711871.1193</v>
      </c>
    </row>
    <row r="170" ht="15.75" customHeight="1">
      <c r="A170" s="10">
        <f t="shared" si="2"/>
        <v>6.095072849</v>
      </c>
      <c r="B170" s="6">
        <f>(I170*'Optimal Choice'!$B$6+J170*'Optimal Choice'!$B$11+K170*'Optimal Choice'!$B$16+L170*'Optimal Choice'!$B$21+M170*'Optimal Choice'!$B$26)*'Optimal Choice'!$B$30</f>
        <v>45060.24</v>
      </c>
      <c r="C170" s="10">
        <f>(O170/$B170)+(O170/'Optimal Choice'!$B$6)</f>
        <v>334.4840295</v>
      </c>
      <c r="D170" s="10">
        <f>(P170/$B170)+(P170/'Optimal Choice'!$B$11)</f>
        <v>347.5686089</v>
      </c>
      <c r="E170" s="10">
        <f>(Q170/$B170)+(Q170/'Optimal Choice'!$B$16)</f>
        <v>358.2591065</v>
      </c>
      <c r="F170" s="10">
        <f>(R170/$B170)+(R170/'Optimal Choice'!$B$21)</f>
        <v>315.002847</v>
      </c>
      <c r="G170" s="10">
        <f>(S170/$B170)+(S170/'Optimal Choice'!$B$26)</f>
        <v>345.3681723</v>
      </c>
      <c r="I170" s="11">
        <f t="shared" ref="I170:M170" si="169">if(min($C169:$G169)=C169,I169+1,I169)</f>
        <v>72</v>
      </c>
      <c r="J170" s="11">
        <f t="shared" si="169"/>
        <v>33</v>
      </c>
      <c r="K170" s="11">
        <f t="shared" si="169"/>
        <v>28</v>
      </c>
      <c r="L170" s="11">
        <f t="shared" si="169"/>
        <v>20</v>
      </c>
      <c r="M170" s="11">
        <f t="shared" si="169"/>
        <v>16</v>
      </c>
      <c r="O170" s="12">
        <f> 'Optimal Choice'!$B$7*'Optimal Choice'!$B$8^(I170+1)</f>
        <v>558.5676279</v>
      </c>
      <c r="P170" s="12">
        <f> 'Optimal Choice'!$B$12*'Optimal Choice'!$B$13^(J170+1)</f>
        <v>6948.288179</v>
      </c>
      <c r="Q170" s="12">
        <f> 'Optimal Choice'!$B$17*'Optimal Choice'!$B$18^(K170+1)</f>
        <v>32179.04753</v>
      </c>
      <c r="R170" s="12">
        <f> 'Optimal Choice'!$B$22*'Optimal Choice'!$B$23^(L170+1)</f>
        <v>112502.2105</v>
      </c>
      <c r="S170" s="12">
        <f> 'Optimal Choice'!$B$27*'Optimal Choice'!$B$28^(M170+1)</f>
        <v>711871.1193</v>
      </c>
    </row>
    <row r="171" ht="15.75" customHeight="1">
      <c r="A171" s="10">
        <f t="shared" si="2"/>
        <v>6.13668463</v>
      </c>
      <c r="B171" s="6">
        <f>(I171*'Optimal Choice'!$B$6+J171*'Optimal Choice'!$B$11+K171*'Optimal Choice'!$B$16+L171*'Optimal Choice'!$B$21+M171*'Optimal Choice'!$B$26)*'Optimal Choice'!$B$30</f>
        <v>45420.24</v>
      </c>
      <c r="C171" s="10">
        <f>(O171/$B171)+(O171/'Optimal Choice'!$B$6)</f>
        <v>334.4839313</v>
      </c>
      <c r="D171" s="10">
        <f>(P171/$B171)+(P171/'Optimal Choice'!$B$11)</f>
        <v>347.5673867</v>
      </c>
      <c r="E171" s="10">
        <f>(Q171/$B171)+(Q171/'Optimal Choice'!$B$16)</f>
        <v>358.2534463</v>
      </c>
      <c r="F171" s="10">
        <f>(R171/$B171)+(R171/'Optimal Choice'!$B$21)</f>
        <v>355.9308558</v>
      </c>
      <c r="G171" s="10">
        <f>(S171/$B171)+(S171/'Optimal Choice'!$B$26)</f>
        <v>345.242956</v>
      </c>
      <c r="I171" s="11">
        <f t="shared" ref="I171:M171" si="170">if(min($C170:$G170)=C170,I170+1,I170)</f>
        <v>72</v>
      </c>
      <c r="J171" s="11">
        <f t="shared" si="170"/>
        <v>33</v>
      </c>
      <c r="K171" s="11">
        <f t="shared" si="170"/>
        <v>28</v>
      </c>
      <c r="L171" s="11">
        <f t="shared" si="170"/>
        <v>21</v>
      </c>
      <c r="M171" s="11">
        <f t="shared" si="170"/>
        <v>16</v>
      </c>
      <c r="O171" s="12">
        <f> 'Optimal Choice'!$B$7*'Optimal Choice'!$B$8^(I171+1)</f>
        <v>558.5676279</v>
      </c>
      <c r="P171" s="12">
        <f> 'Optimal Choice'!$B$12*'Optimal Choice'!$B$13^(J171+1)</f>
        <v>6948.288179</v>
      </c>
      <c r="Q171" s="12">
        <f> 'Optimal Choice'!$B$17*'Optimal Choice'!$B$18^(K171+1)</f>
        <v>32179.04753</v>
      </c>
      <c r="R171" s="12">
        <f> 'Optimal Choice'!$B$22*'Optimal Choice'!$B$23^(L171+1)</f>
        <v>127127.4978</v>
      </c>
      <c r="S171" s="12">
        <f> 'Optimal Choice'!$B$27*'Optimal Choice'!$B$28^(M171+1)</f>
        <v>711871.1193</v>
      </c>
    </row>
    <row r="172" ht="15.75" customHeight="1">
      <c r="A172" s="10">
        <f t="shared" si="2"/>
        <v>6.136889592</v>
      </c>
      <c r="B172" s="6">
        <f>(I172*'Optimal Choice'!$B$6+J172*'Optimal Choice'!$B$11+K172*'Optimal Choice'!$B$16+L172*'Optimal Choice'!$B$21+M172*'Optimal Choice'!$B$26)*'Optimal Choice'!$B$30</f>
        <v>45421.91</v>
      </c>
      <c r="C172" s="10">
        <f>(O172/$B172)+(O172/'Optimal Choice'!$B$6)</f>
        <v>357.897806</v>
      </c>
      <c r="D172" s="10">
        <f>(P172/$B172)+(P172/'Optimal Choice'!$B$11)</f>
        <v>347.5673811</v>
      </c>
      <c r="E172" s="10">
        <f>(Q172/$B172)+(Q172/'Optimal Choice'!$B$16)</f>
        <v>358.2534202</v>
      </c>
      <c r="F172" s="10">
        <f>(R172/$B172)+(R172/'Optimal Choice'!$B$21)</f>
        <v>355.9307528</v>
      </c>
      <c r="G172" s="10">
        <f>(S172/$B172)+(S172/'Optimal Choice'!$B$26)</f>
        <v>345.2423798</v>
      </c>
      <c r="I172" s="11">
        <f t="shared" ref="I172:M172" si="171">if(min($C171:$G171)=C171,I171+1,I171)</f>
        <v>73</v>
      </c>
      <c r="J172" s="11">
        <f t="shared" si="171"/>
        <v>33</v>
      </c>
      <c r="K172" s="11">
        <f t="shared" si="171"/>
        <v>28</v>
      </c>
      <c r="L172" s="11">
        <f t="shared" si="171"/>
        <v>21</v>
      </c>
      <c r="M172" s="11">
        <f t="shared" si="171"/>
        <v>16</v>
      </c>
      <c r="O172" s="12">
        <f> 'Optimal Choice'!$B$7*'Optimal Choice'!$B$8^(I172+1)</f>
        <v>597.6673619</v>
      </c>
      <c r="P172" s="12">
        <f> 'Optimal Choice'!$B$12*'Optimal Choice'!$B$13^(J172+1)</f>
        <v>6948.288179</v>
      </c>
      <c r="Q172" s="12">
        <f> 'Optimal Choice'!$B$17*'Optimal Choice'!$B$18^(K172+1)</f>
        <v>32179.04753</v>
      </c>
      <c r="R172" s="12">
        <f> 'Optimal Choice'!$B$22*'Optimal Choice'!$B$23^(L172+1)</f>
        <v>127127.4978</v>
      </c>
      <c r="S172" s="12">
        <f> 'Optimal Choice'!$B$27*'Optimal Choice'!$B$28^(M172+1)</f>
        <v>711871.1193</v>
      </c>
    </row>
    <row r="173" ht="15.75" customHeight="1">
      <c r="A173" s="10">
        <f t="shared" si="2"/>
        <v>6.398096544</v>
      </c>
      <c r="B173" s="6">
        <f>(I173*'Optimal Choice'!$B$6+J173*'Optimal Choice'!$B$11+K173*'Optimal Choice'!$B$16+L173*'Optimal Choice'!$B$21+M173*'Optimal Choice'!$B$26)*'Optimal Choice'!$B$30</f>
        <v>47581.91</v>
      </c>
      <c r="C173" s="10">
        <f>(O173/$B173)+(O173/'Optimal Choice'!$B$6)</f>
        <v>357.8972087</v>
      </c>
      <c r="D173" s="10">
        <f>(P173/$B173)+(P173/'Optimal Choice'!$B$11)</f>
        <v>347.5604369</v>
      </c>
      <c r="E173" s="10">
        <f>(Q173/$B173)+(Q173/'Optimal Choice'!$B$16)</f>
        <v>358.2212599</v>
      </c>
      <c r="F173" s="10">
        <f>(R173/$B173)+(R173/'Optimal Choice'!$B$21)</f>
        <v>355.8036995</v>
      </c>
      <c r="G173" s="10">
        <f>(S173/$B173)+(S173/'Optimal Choice'!$B$26)</f>
        <v>385.8746349</v>
      </c>
      <c r="I173" s="11">
        <f t="shared" ref="I173:M173" si="172">if(min($C172:$G172)=C172,I172+1,I172)</f>
        <v>73</v>
      </c>
      <c r="J173" s="11">
        <f t="shared" si="172"/>
        <v>33</v>
      </c>
      <c r="K173" s="11">
        <f t="shared" si="172"/>
        <v>28</v>
      </c>
      <c r="L173" s="11">
        <f t="shared" si="172"/>
        <v>21</v>
      </c>
      <c r="M173" s="11">
        <f t="shared" si="172"/>
        <v>17</v>
      </c>
      <c r="O173" s="12">
        <f> 'Optimal Choice'!$B$7*'Optimal Choice'!$B$8^(I173+1)</f>
        <v>597.6673619</v>
      </c>
      <c r="P173" s="12">
        <f> 'Optimal Choice'!$B$12*'Optimal Choice'!$B$13^(J173+1)</f>
        <v>6948.288179</v>
      </c>
      <c r="Q173" s="12">
        <f> 'Optimal Choice'!$B$17*'Optimal Choice'!$B$18^(K173+1)</f>
        <v>32179.04753</v>
      </c>
      <c r="R173" s="12">
        <f> 'Optimal Choice'!$B$22*'Optimal Choice'!$B$23^(L173+1)</f>
        <v>127127.4978</v>
      </c>
      <c r="S173" s="12">
        <f> 'Optimal Choice'!$B$27*'Optimal Choice'!$B$28^(M173+1)</f>
        <v>797295.6536</v>
      </c>
    </row>
    <row r="174" ht="15.75" customHeight="1">
      <c r="A174" s="10">
        <f t="shared" si="2"/>
        <v>6.400530343</v>
      </c>
      <c r="B174" s="6">
        <f>(I174*'Optimal Choice'!$B$6+J174*'Optimal Choice'!$B$11+K174*'Optimal Choice'!$B$16+L174*'Optimal Choice'!$B$21+M174*'Optimal Choice'!$B$26)*'Optimal Choice'!$B$30</f>
        <v>47601.91</v>
      </c>
      <c r="C174" s="10">
        <f>(O174/$B174)+(O174/'Optimal Choice'!$B$6)</f>
        <v>357.8972034</v>
      </c>
      <c r="D174" s="10">
        <f>(P174/$B174)+(P174/'Optimal Choice'!$B$11)</f>
        <v>399.6944318</v>
      </c>
      <c r="E174" s="10">
        <f>(Q174/$B174)+(Q174/'Optimal Choice'!$B$16)</f>
        <v>358.2209758</v>
      </c>
      <c r="F174" s="10">
        <f>(R174/$B174)+(R174/'Optimal Choice'!$B$21)</f>
        <v>355.802577</v>
      </c>
      <c r="G174" s="10">
        <f>(S174/$B174)+(S174/'Optimal Choice'!$B$26)</f>
        <v>385.8675948</v>
      </c>
      <c r="I174" s="11">
        <f t="shared" ref="I174:M174" si="173">if(min($C173:$G173)=C173,I173+1,I173)</f>
        <v>73</v>
      </c>
      <c r="J174" s="11">
        <f t="shared" si="173"/>
        <v>34</v>
      </c>
      <c r="K174" s="11">
        <f t="shared" si="173"/>
        <v>28</v>
      </c>
      <c r="L174" s="11">
        <f t="shared" si="173"/>
        <v>21</v>
      </c>
      <c r="M174" s="11">
        <f t="shared" si="173"/>
        <v>17</v>
      </c>
      <c r="O174" s="12">
        <f> 'Optimal Choice'!$B$7*'Optimal Choice'!$B$8^(I174+1)</f>
        <v>597.6673619</v>
      </c>
      <c r="P174" s="12">
        <f> 'Optimal Choice'!$B$12*'Optimal Choice'!$B$13^(J174+1)</f>
        <v>7990.531405</v>
      </c>
      <c r="Q174" s="12">
        <f> 'Optimal Choice'!$B$17*'Optimal Choice'!$B$18^(K174+1)</f>
        <v>32179.04753</v>
      </c>
      <c r="R174" s="12">
        <f> 'Optimal Choice'!$B$22*'Optimal Choice'!$B$23^(L174+1)</f>
        <v>127127.4978</v>
      </c>
      <c r="S174" s="12">
        <f> 'Optimal Choice'!$B$27*'Optimal Choice'!$B$28^(M174+1)</f>
        <v>797295.6536</v>
      </c>
    </row>
    <row r="175" ht="15.75" customHeight="1">
      <c r="A175" s="10">
        <f t="shared" si="2"/>
        <v>6.445040986</v>
      </c>
      <c r="B175" s="6">
        <f>(I175*'Optimal Choice'!$B$6+J175*'Optimal Choice'!$B$11+K175*'Optimal Choice'!$B$16+L175*'Optimal Choice'!$B$21+M175*'Optimal Choice'!$B$26)*'Optimal Choice'!$B$30</f>
        <v>47961.91</v>
      </c>
      <c r="C175" s="10">
        <f>(O175/$B175)+(O175/'Optimal Choice'!$B$6)</f>
        <v>357.8971091</v>
      </c>
      <c r="D175" s="10">
        <f>(P175/$B175)+(P175/'Optimal Choice'!$B$11)</f>
        <v>399.6931719</v>
      </c>
      <c r="E175" s="10">
        <f>(Q175/$B175)+(Q175/'Optimal Choice'!$B$16)</f>
        <v>358.2159017</v>
      </c>
      <c r="F175" s="10">
        <f>(R175/$B175)+(R175/'Optimal Choice'!$B$21)</f>
        <v>402.0342604</v>
      </c>
      <c r="G175" s="10">
        <f>(S175/$B175)+(S175/'Optimal Choice'!$B$26)</f>
        <v>385.7418757</v>
      </c>
      <c r="I175" s="11">
        <f t="shared" ref="I175:M175" si="174">if(min($C174:$G174)=C174,I174+1,I174)</f>
        <v>73</v>
      </c>
      <c r="J175" s="11">
        <f t="shared" si="174"/>
        <v>34</v>
      </c>
      <c r="K175" s="11">
        <f t="shared" si="174"/>
        <v>28</v>
      </c>
      <c r="L175" s="11">
        <f t="shared" si="174"/>
        <v>22</v>
      </c>
      <c r="M175" s="11">
        <f t="shared" si="174"/>
        <v>17</v>
      </c>
      <c r="O175" s="12">
        <f> 'Optimal Choice'!$B$7*'Optimal Choice'!$B$8^(I175+1)</f>
        <v>597.6673619</v>
      </c>
      <c r="P175" s="12">
        <f> 'Optimal Choice'!$B$12*'Optimal Choice'!$B$13^(J175+1)</f>
        <v>7990.531405</v>
      </c>
      <c r="Q175" s="12">
        <f> 'Optimal Choice'!$B$17*'Optimal Choice'!$B$18^(K175+1)</f>
        <v>32179.04753</v>
      </c>
      <c r="R175" s="12">
        <f> 'Optimal Choice'!$B$22*'Optimal Choice'!$B$23^(L175+1)</f>
        <v>143654.0725</v>
      </c>
      <c r="S175" s="12">
        <f> 'Optimal Choice'!$B$27*'Optimal Choice'!$B$28^(M175+1)</f>
        <v>797295.6536</v>
      </c>
    </row>
    <row r="176" ht="15.75" customHeight="1">
      <c r="A176" s="10">
        <f t="shared" si="2"/>
        <v>6.445248675</v>
      </c>
      <c r="B176" s="6">
        <f>(I176*'Optimal Choice'!$B$6+J176*'Optimal Choice'!$B$11+K176*'Optimal Choice'!$B$16+L176*'Optimal Choice'!$B$21+M176*'Optimal Choice'!$B$26)*'Optimal Choice'!$B$30</f>
        <v>47963.58</v>
      </c>
      <c r="C176" s="10">
        <f>(O176/$B176)+(O176/'Optimal Choice'!$B$6)</f>
        <v>382.9499063</v>
      </c>
      <c r="D176" s="10">
        <f>(P176/$B176)+(P176/'Optimal Choice'!$B$11)</f>
        <v>399.6931661</v>
      </c>
      <c r="E176" s="10">
        <f>(Q176/$B176)+(Q176/'Optimal Choice'!$B$16)</f>
        <v>358.2158784</v>
      </c>
      <c r="F176" s="10">
        <f>(R176/$B176)+(R176/'Optimal Choice'!$B$21)</f>
        <v>402.0341561</v>
      </c>
      <c r="G176" s="10">
        <f>(S176/$B176)+(S176/'Optimal Choice'!$B$26)</f>
        <v>385.7412969</v>
      </c>
      <c r="I176" s="11">
        <f t="shared" ref="I176:M176" si="175">if(min($C175:$G175)=C175,I175+1,I175)</f>
        <v>74</v>
      </c>
      <c r="J176" s="11">
        <f t="shared" si="175"/>
        <v>34</v>
      </c>
      <c r="K176" s="11">
        <f t="shared" si="175"/>
        <v>28</v>
      </c>
      <c r="L176" s="11">
        <f t="shared" si="175"/>
        <v>22</v>
      </c>
      <c r="M176" s="11">
        <f t="shared" si="175"/>
        <v>17</v>
      </c>
      <c r="O176" s="12">
        <f> 'Optimal Choice'!$B$7*'Optimal Choice'!$B$8^(I176+1)</f>
        <v>639.5040772</v>
      </c>
      <c r="P176" s="12">
        <f> 'Optimal Choice'!$B$12*'Optimal Choice'!$B$13^(J176+1)</f>
        <v>7990.531405</v>
      </c>
      <c r="Q176" s="12">
        <f> 'Optimal Choice'!$B$17*'Optimal Choice'!$B$18^(K176+1)</f>
        <v>32179.04753</v>
      </c>
      <c r="R176" s="12">
        <f> 'Optimal Choice'!$B$22*'Optimal Choice'!$B$23^(L176+1)</f>
        <v>143654.0725</v>
      </c>
      <c r="S176" s="12">
        <f> 'Optimal Choice'!$B$27*'Optimal Choice'!$B$28^(M176+1)</f>
        <v>797295.6536</v>
      </c>
    </row>
    <row r="177" ht="15.75" customHeight="1">
      <c r="A177" s="10">
        <f t="shared" si="2"/>
        <v>6.456430439</v>
      </c>
      <c r="B177" s="6">
        <f>(I177*'Optimal Choice'!$B$6+J177*'Optimal Choice'!$B$11+K177*'Optimal Choice'!$B$16+L177*'Optimal Choice'!$B$21+M177*'Optimal Choice'!$B$26)*'Optimal Choice'!$B$30</f>
        <v>48053.58</v>
      </c>
      <c r="C177" s="10">
        <f>(O177/$B177)+(O177/'Optimal Choice'!$B$6)</f>
        <v>382.9498813</v>
      </c>
      <c r="D177" s="10">
        <f>(P177/$B177)+(P177/'Optimal Choice'!$B$11)</f>
        <v>399.6928541</v>
      </c>
      <c r="E177" s="10">
        <f>(Q177/$B177)+(Q177/'Optimal Choice'!$B$16)</f>
        <v>408.3646689</v>
      </c>
      <c r="F177" s="10">
        <f>(R177/$B177)+(R177/'Optimal Choice'!$B$21)</f>
        <v>402.0285466</v>
      </c>
      <c r="G177" s="10">
        <f>(S177/$B177)+(S177/'Optimal Choice'!$B$26)</f>
        <v>385.7101637</v>
      </c>
      <c r="I177" s="11">
        <f t="shared" ref="I177:M177" si="176">if(min($C176:$G176)=C176,I176+1,I176)</f>
        <v>74</v>
      </c>
      <c r="J177" s="11">
        <f t="shared" si="176"/>
        <v>34</v>
      </c>
      <c r="K177" s="11">
        <f t="shared" si="176"/>
        <v>29</v>
      </c>
      <c r="L177" s="11">
        <f t="shared" si="176"/>
        <v>22</v>
      </c>
      <c r="M177" s="11">
        <f t="shared" si="176"/>
        <v>17</v>
      </c>
      <c r="O177" s="12">
        <f> 'Optimal Choice'!$B$7*'Optimal Choice'!$B$8^(I177+1)</f>
        <v>639.5040772</v>
      </c>
      <c r="P177" s="12">
        <f> 'Optimal Choice'!$B$12*'Optimal Choice'!$B$13^(J177+1)</f>
        <v>7990.531405</v>
      </c>
      <c r="Q177" s="12">
        <f> 'Optimal Choice'!$B$17*'Optimal Choice'!$B$18^(K177+1)</f>
        <v>36684.11418</v>
      </c>
      <c r="R177" s="12">
        <f> 'Optimal Choice'!$B$22*'Optimal Choice'!$B$23^(L177+1)</f>
        <v>143654.0725</v>
      </c>
      <c r="S177" s="12">
        <f> 'Optimal Choice'!$B$27*'Optimal Choice'!$B$28^(M177+1)</f>
        <v>797295.6536</v>
      </c>
    </row>
    <row r="178" ht="15.75" customHeight="1">
      <c r="A178" s="10">
        <f t="shared" si="2"/>
        <v>6.456652242</v>
      </c>
      <c r="B178" s="6">
        <f>(I178*'Optimal Choice'!$B$6+J178*'Optimal Choice'!$B$11+K178*'Optimal Choice'!$B$16+L178*'Optimal Choice'!$B$21+M178*'Optimal Choice'!$B$26)*'Optimal Choice'!$B$30</f>
        <v>48055.25</v>
      </c>
      <c r="C178" s="10">
        <f>(O178/$B178)+(O178/'Optimal Choice'!$B$6)</f>
        <v>409.7563725</v>
      </c>
      <c r="D178" s="10">
        <f>(P178/$B178)+(P178/'Optimal Choice'!$B$11)</f>
        <v>399.6928483</v>
      </c>
      <c r="E178" s="10">
        <f>(Q178/$B178)+(Q178/'Optimal Choice'!$B$16)</f>
        <v>408.3646424</v>
      </c>
      <c r="F178" s="10">
        <f>(R178/$B178)+(R178/'Optimal Choice'!$B$21)</f>
        <v>402.0284427</v>
      </c>
      <c r="G178" s="10">
        <f>(S178/$B178)+(S178/'Optimal Choice'!$B$26)</f>
        <v>385.7095871</v>
      </c>
      <c r="I178" s="11">
        <f t="shared" ref="I178:M178" si="177">if(min($C177:$G177)=C177,I177+1,I177)</f>
        <v>75</v>
      </c>
      <c r="J178" s="11">
        <f t="shared" si="177"/>
        <v>34</v>
      </c>
      <c r="K178" s="11">
        <f t="shared" si="177"/>
        <v>29</v>
      </c>
      <c r="L178" s="11">
        <f t="shared" si="177"/>
        <v>22</v>
      </c>
      <c r="M178" s="11">
        <f t="shared" si="177"/>
        <v>17</v>
      </c>
      <c r="O178" s="12">
        <f> 'Optimal Choice'!$B$7*'Optimal Choice'!$B$8^(I178+1)</f>
        <v>684.2693626</v>
      </c>
      <c r="P178" s="12">
        <f> 'Optimal Choice'!$B$12*'Optimal Choice'!$B$13^(J178+1)</f>
        <v>7990.531405</v>
      </c>
      <c r="Q178" s="12">
        <f> 'Optimal Choice'!$B$17*'Optimal Choice'!$B$18^(K178+1)</f>
        <v>36684.11418</v>
      </c>
      <c r="R178" s="12">
        <f> 'Optimal Choice'!$B$22*'Optimal Choice'!$B$23^(L178+1)</f>
        <v>143654.0725</v>
      </c>
      <c r="S178" s="12">
        <f> 'Optimal Choice'!$B$27*'Optimal Choice'!$B$28^(M178+1)</f>
        <v>797295.6536</v>
      </c>
    </row>
    <row r="179" ht="15.75" customHeight="1">
      <c r="A179" s="10">
        <f t="shared" si="2"/>
        <v>6.733172724</v>
      </c>
      <c r="B179" s="6">
        <f>(I179*'Optimal Choice'!$B$6+J179*'Optimal Choice'!$B$11+K179*'Optimal Choice'!$B$16+L179*'Optimal Choice'!$B$21+M179*'Optimal Choice'!$B$26)*'Optimal Choice'!$B$30</f>
        <v>50215.25</v>
      </c>
      <c r="C179" s="10">
        <f>(O179/$B179)+(O179/'Optimal Choice'!$B$6)</f>
        <v>409.75576</v>
      </c>
      <c r="D179" s="10">
        <f>(P179/$B179)+(P179/'Optimal Choice'!$B$11)</f>
        <v>399.6856959</v>
      </c>
      <c r="E179" s="10">
        <f>(Q179/$B179)+(Q179/'Optimal Choice'!$B$16)</f>
        <v>408.331806</v>
      </c>
      <c r="F179" s="10">
        <f>(R179/$B179)+(R179/'Optimal Choice'!$B$21)</f>
        <v>401.8998562</v>
      </c>
      <c r="G179" s="10">
        <f>(S179/$B179)+(S179/'Optimal Choice'!$B$26)</f>
        <v>431.1954285</v>
      </c>
      <c r="I179" s="11">
        <f t="shared" ref="I179:M179" si="178">if(min($C178:$G178)=C178,I178+1,I178)</f>
        <v>75</v>
      </c>
      <c r="J179" s="11">
        <f t="shared" si="178"/>
        <v>34</v>
      </c>
      <c r="K179" s="11">
        <f t="shared" si="178"/>
        <v>29</v>
      </c>
      <c r="L179" s="11">
        <f t="shared" si="178"/>
        <v>22</v>
      </c>
      <c r="M179" s="11">
        <f t="shared" si="178"/>
        <v>18</v>
      </c>
      <c r="O179" s="12">
        <f> 'Optimal Choice'!$B$7*'Optimal Choice'!$B$8^(I179+1)</f>
        <v>684.2693626</v>
      </c>
      <c r="P179" s="12">
        <f> 'Optimal Choice'!$B$12*'Optimal Choice'!$B$13^(J179+1)</f>
        <v>7990.531405</v>
      </c>
      <c r="Q179" s="12">
        <f> 'Optimal Choice'!$B$17*'Optimal Choice'!$B$18^(K179+1)</f>
        <v>36684.11418</v>
      </c>
      <c r="R179" s="12">
        <f> 'Optimal Choice'!$B$22*'Optimal Choice'!$B$23^(L179+1)</f>
        <v>143654.0725</v>
      </c>
      <c r="S179" s="12">
        <f> 'Optimal Choice'!$B$27*'Optimal Choice'!$B$28^(M179+1)</f>
        <v>892971.1321</v>
      </c>
    </row>
    <row r="180" ht="15.75" customHeight="1">
      <c r="A180" s="10">
        <f t="shared" si="2"/>
        <v>6.735824817</v>
      </c>
      <c r="B180" s="6">
        <f>(I180*'Optimal Choice'!$B$6+J180*'Optimal Choice'!$B$11+K180*'Optimal Choice'!$B$16+L180*'Optimal Choice'!$B$21+M180*'Optimal Choice'!$B$26)*'Optimal Choice'!$B$30</f>
        <v>50235.25</v>
      </c>
      <c r="C180" s="10">
        <f>(O180/$B180)+(O180/'Optimal Choice'!$B$6)</f>
        <v>409.7557546</v>
      </c>
      <c r="D180" s="10">
        <f>(P180/$B180)+(P180/'Optimal Choice'!$B$11)</f>
        <v>459.6384774</v>
      </c>
      <c r="E180" s="10">
        <f>(Q180/$B180)+(Q180/'Optimal Choice'!$B$16)</f>
        <v>408.3315151</v>
      </c>
      <c r="F180" s="10">
        <f>(R180/$B180)+(R180/'Optimal Choice'!$B$21)</f>
        <v>401.8987173</v>
      </c>
      <c r="G180" s="10">
        <f>(S180/$B180)+(S180/'Optimal Choice'!$B$26)</f>
        <v>431.1883487</v>
      </c>
      <c r="I180" s="11">
        <f t="shared" ref="I180:M180" si="179">if(min($C179:$G179)=C179,I179+1,I179)</f>
        <v>75</v>
      </c>
      <c r="J180" s="11">
        <f t="shared" si="179"/>
        <v>35</v>
      </c>
      <c r="K180" s="11">
        <f t="shared" si="179"/>
        <v>29</v>
      </c>
      <c r="L180" s="11">
        <f t="shared" si="179"/>
        <v>22</v>
      </c>
      <c r="M180" s="11">
        <f t="shared" si="179"/>
        <v>18</v>
      </c>
      <c r="O180" s="12">
        <f> 'Optimal Choice'!$B$7*'Optimal Choice'!$B$8^(I180+1)</f>
        <v>684.2693626</v>
      </c>
      <c r="P180" s="12">
        <f> 'Optimal Choice'!$B$12*'Optimal Choice'!$B$13^(J180+1)</f>
        <v>9189.111116</v>
      </c>
      <c r="Q180" s="12">
        <f> 'Optimal Choice'!$B$17*'Optimal Choice'!$B$18^(K180+1)</f>
        <v>36684.11418</v>
      </c>
      <c r="R180" s="12">
        <f> 'Optimal Choice'!$B$22*'Optimal Choice'!$B$23^(L180+1)</f>
        <v>143654.0725</v>
      </c>
      <c r="S180" s="12">
        <f> 'Optimal Choice'!$B$27*'Optimal Choice'!$B$28^(M180+1)</f>
        <v>892971.1321</v>
      </c>
    </row>
    <row r="181" ht="15.75" customHeight="1">
      <c r="A181" s="10">
        <f t="shared" si="2"/>
        <v>6.783485265</v>
      </c>
      <c r="B181" s="6">
        <f>(I181*'Optimal Choice'!$B$6+J181*'Optimal Choice'!$B$11+K181*'Optimal Choice'!$B$16+L181*'Optimal Choice'!$B$21+M181*'Optimal Choice'!$B$26)*'Optimal Choice'!$B$30</f>
        <v>50595.25</v>
      </c>
      <c r="C181" s="10">
        <f>(O181/$B181)+(O181/'Optimal Choice'!$B$6)</f>
        <v>409.7556577</v>
      </c>
      <c r="D181" s="10">
        <f>(P181/$B181)+(P181/'Optimal Choice'!$B$11)</f>
        <v>459.6371758</v>
      </c>
      <c r="E181" s="10">
        <f>(Q181/$B181)+(Q181/'Optimal Choice'!$B$16)</f>
        <v>408.3263192</v>
      </c>
      <c r="F181" s="10">
        <f>(R181/$B181)+(R181/'Optimal Choice'!$B$21)</f>
        <v>454.1225583</v>
      </c>
      <c r="G181" s="10">
        <f>(S181/$B181)+(S181/'Optimal Choice'!$B$26)</f>
        <v>431.0618688</v>
      </c>
      <c r="I181" s="11">
        <f t="shared" ref="I181:M181" si="180">if(min($C180:$G180)=C180,I180+1,I180)</f>
        <v>75</v>
      </c>
      <c r="J181" s="11">
        <f t="shared" si="180"/>
        <v>35</v>
      </c>
      <c r="K181" s="11">
        <f t="shared" si="180"/>
        <v>29</v>
      </c>
      <c r="L181" s="11">
        <f t="shared" si="180"/>
        <v>23</v>
      </c>
      <c r="M181" s="11">
        <f t="shared" si="180"/>
        <v>18</v>
      </c>
      <c r="O181" s="12">
        <f> 'Optimal Choice'!$B$7*'Optimal Choice'!$B$8^(I181+1)</f>
        <v>684.2693626</v>
      </c>
      <c r="P181" s="12">
        <f> 'Optimal Choice'!$B$12*'Optimal Choice'!$B$13^(J181+1)</f>
        <v>9189.111116</v>
      </c>
      <c r="Q181" s="12">
        <f> 'Optimal Choice'!$B$17*'Optimal Choice'!$B$18^(K181+1)</f>
        <v>36684.11418</v>
      </c>
      <c r="R181" s="12">
        <f> 'Optimal Choice'!$B$22*'Optimal Choice'!$B$23^(L181+1)</f>
        <v>162329.102</v>
      </c>
      <c r="S181" s="12">
        <f> 'Optimal Choice'!$B$27*'Optimal Choice'!$B$28^(M181+1)</f>
        <v>892971.1321</v>
      </c>
    </row>
    <row r="182" ht="15.75" customHeight="1">
      <c r="A182" s="10">
        <f t="shared" si="2"/>
        <v>6.795569441</v>
      </c>
      <c r="B182" s="6">
        <f>(I182*'Optimal Choice'!$B$6+J182*'Optimal Choice'!$B$11+K182*'Optimal Choice'!$B$16+L182*'Optimal Choice'!$B$21+M182*'Optimal Choice'!$B$26)*'Optimal Choice'!$B$30</f>
        <v>50685.25</v>
      </c>
      <c r="C182" s="10">
        <f>(O182/$B182)+(O182/'Optimal Choice'!$B$6)</f>
        <v>409.7556337</v>
      </c>
      <c r="D182" s="10">
        <f>(P182/$B182)+(P182/'Optimal Choice'!$B$11)</f>
        <v>459.6368533</v>
      </c>
      <c r="E182" s="10">
        <f>(Q182/$B182)+(Q182/'Optimal Choice'!$B$16)</f>
        <v>465.4905362</v>
      </c>
      <c r="F182" s="10">
        <f>(R182/$B182)+(R182/'Optimal Choice'!$B$21)</f>
        <v>454.1168613</v>
      </c>
      <c r="G182" s="10">
        <f>(S182/$B182)+(S182/'Optimal Choice'!$B$26)</f>
        <v>431.0305295</v>
      </c>
      <c r="I182" s="11">
        <f t="shared" ref="I182:M182" si="181">if(min($C181:$G181)=C181,I181+1,I181)</f>
        <v>75</v>
      </c>
      <c r="J182" s="11">
        <f t="shared" si="181"/>
        <v>35</v>
      </c>
      <c r="K182" s="11">
        <f t="shared" si="181"/>
        <v>30</v>
      </c>
      <c r="L182" s="11">
        <f t="shared" si="181"/>
        <v>23</v>
      </c>
      <c r="M182" s="11">
        <f t="shared" si="181"/>
        <v>18</v>
      </c>
      <c r="O182" s="12">
        <f> 'Optimal Choice'!$B$7*'Optimal Choice'!$B$8^(I182+1)</f>
        <v>684.2693626</v>
      </c>
      <c r="P182" s="12">
        <f> 'Optimal Choice'!$B$12*'Optimal Choice'!$B$13^(J182+1)</f>
        <v>9189.111116</v>
      </c>
      <c r="Q182" s="12">
        <f> 'Optimal Choice'!$B$17*'Optimal Choice'!$B$18^(K182+1)</f>
        <v>41819.89017</v>
      </c>
      <c r="R182" s="12">
        <f> 'Optimal Choice'!$B$22*'Optimal Choice'!$B$23^(L182+1)</f>
        <v>162329.102</v>
      </c>
      <c r="S182" s="12">
        <f> 'Optimal Choice'!$B$27*'Optimal Choice'!$B$28^(M182+1)</f>
        <v>892971.1321</v>
      </c>
    </row>
    <row r="183" ht="15.75" customHeight="1">
      <c r="A183" s="10">
        <f t="shared" si="2"/>
        <v>6.795794447</v>
      </c>
      <c r="B183" s="6">
        <f>(I183*'Optimal Choice'!$B$6+J183*'Optimal Choice'!$B$11+K183*'Optimal Choice'!$B$16+L183*'Optimal Choice'!$B$21+M183*'Optimal Choice'!$B$26)*'Optimal Choice'!$B$30</f>
        <v>50686.92</v>
      </c>
      <c r="C183" s="10">
        <f>(O183/$B183)+(O183/'Optimal Choice'!$B$6)</f>
        <v>438.4385276</v>
      </c>
      <c r="D183" s="10">
        <f>(P183/$B183)+(P183/'Optimal Choice'!$B$11)</f>
        <v>459.6368474</v>
      </c>
      <c r="E183" s="10">
        <f>(Q183/$B183)+(Q183/'Optimal Choice'!$B$16)</f>
        <v>465.490509</v>
      </c>
      <c r="F183" s="10">
        <f>(R183/$B183)+(R183/'Optimal Choice'!$B$21)</f>
        <v>454.1167558</v>
      </c>
      <c r="G183" s="10">
        <f>(S183/$B183)+(S183/'Optimal Choice'!$B$26)</f>
        <v>431.0299491</v>
      </c>
      <c r="I183" s="11">
        <f t="shared" ref="I183:M183" si="182">if(min($C182:$G182)=C182,I182+1,I182)</f>
        <v>76</v>
      </c>
      <c r="J183" s="11">
        <f t="shared" si="182"/>
        <v>35</v>
      </c>
      <c r="K183" s="11">
        <f t="shared" si="182"/>
        <v>30</v>
      </c>
      <c r="L183" s="11">
        <f t="shared" si="182"/>
        <v>23</v>
      </c>
      <c r="M183" s="11">
        <f t="shared" si="182"/>
        <v>18</v>
      </c>
      <c r="O183" s="12">
        <f> 'Optimal Choice'!$B$7*'Optimal Choice'!$B$8^(I183+1)</f>
        <v>732.168218</v>
      </c>
      <c r="P183" s="12">
        <f> 'Optimal Choice'!$B$12*'Optimal Choice'!$B$13^(J183+1)</f>
        <v>9189.111116</v>
      </c>
      <c r="Q183" s="12">
        <f> 'Optimal Choice'!$B$17*'Optimal Choice'!$B$18^(K183+1)</f>
        <v>41819.89017</v>
      </c>
      <c r="R183" s="12">
        <f> 'Optimal Choice'!$B$22*'Optimal Choice'!$B$23^(L183+1)</f>
        <v>162329.102</v>
      </c>
      <c r="S183" s="12">
        <f> 'Optimal Choice'!$B$27*'Optimal Choice'!$B$28^(M183+1)</f>
        <v>892971.1321</v>
      </c>
    </row>
    <row r="184" ht="15.75" customHeight="1">
      <c r="A184" s="10">
        <f t="shared" si="2"/>
        <v>7.089417579</v>
      </c>
      <c r="B184" s="6">
        <f>(I184*'Optimal Choice'!$B$6+J184*'Optimal Choice'!$B$11+K184*'Optimal Choice'!$B$16+L184*'Optimal Choice'!$B$21+M184*'Optimal Choice'!$B$26)*'Optimal Choice'!$B$30</f>
        <v>52846.92</v>
      </c>
      <c r="C184" s="10">
        <f>(O184/$B184)+(O184/'Optimal Choice'!$B$6)</f>
        <v>438.4379372</v>
      </c>
      <c r="D184" s="10">
        <f>(P184/$B184)+(P184/'Optimal Choice'!$B$11)</f>
        <v>459.6294375</v>
      </c>
      <c r="E184" s="10">
        <f>(Q184/$B184)+(Q184/'Optimal Choice'!$B$16)</f>
        <v>465.4567864</v>
      </c>
      <c r="F184" s="10">
        <f>(R184/$B184)+(R184/'Optimal Choice'!$B$21)</f>
        <v>453.9858573</v>
      </c>
      <c r="G184" s="10">
        <f>(S184/$B184)+(S184/'Optimal Choice'!$B$26)</f>
        <v>481.9470629</v>
      </c>
      <c r="I184" s="11">
        <f t="shared" ref="I184:M184" si="183">if(min($C183:$G183)=C183,I183+1,I183)</f>
        <v>76</v>
      </c>
      <c r="J184" s="11">
        <f t="shared" si="183"/>
        <v>35</v>
      </c>
      <c r="K184" s="11">
        <f t="shared" si="183"/>
        <v>30</v>
      </c>
      <c r="L184" s="11">
        <f t="shared" si="183"/>
        <v>23</v>
      </c>
      <c r="M184" s="11">
        <f t="shared" si="183"/>
        <v>19</v>
      </c>
      <c r="O184" s="12">
        <f> 'Optimal Choice'!$B$7*'Optimal Choice'!$B$8^(I184+1)</f>
        <v>732.168218</v>
      </c>
      <c r="P184" s="12">
        <f> 'Optimal Choice'!$B$12*'Optimal Choice'!$B$13^(J184+1)</f>
        <v>9189.111116</v>
      </c>
      <c r="Q184" s="12">
        <f> 'Optimal Choice'!$B$17*'Optimal Choice'!$B$18^(K184+1)</f>
        <v>41819.89017</v>
      </c>
      <c r="R184" s="12">
        <f> 'Optimal Choice'!$B$22*'Optimal Choice'!$B$23^(L184+1)</f>
        <v>162329.102</v>
      </c>
      <c r="S184" s="12">
        <f> 'Optimal Choice'!$B$27*'Optimal Choice'!$B$28^(M184+1)</f>
        <v>1000127.668</v>
      </c>
    </row>
    <row r="185" ht="15.75" customHeight="1">
      <c r="A185" s="10">
        <f t="shared" si="2"/>
        <v>7.089648488</v>
      </c>
      <c r="B185" s="6">
        <f>(I185*'Optimal Choice'!$B$6+J185*'Optimal Choice'!$B$11+K185*'Optimal Choice'!$B$16+L185*'Optimal Choice'!$B$21+M185*'Optimal Choice'!$B$26)*'Optimal Choice'!$B$30</f>
        <v>52848.59</v>
      </c>
      <c r="C185" s="10">
        <f>(O185/$B185)+(O185/'Optimal Choice'!$B$6)</f>
        <v>469.1285923</v>
      </c>
      <c r="D185" s="10">
        <f>(P185/$B185)+(P185/'Optimal Choice'!$B$11)</f>
        <v>459.629432</v>
      </c>
      <c r="E185" s="10">
        <f>(Q185/$B185)+(Q185/'Optimal Choice'!$B$16)</f>
        <v>465.4567614</v>
      </c>
      <c r="F185" s="10">
        <f>(R185/$B185)+(R185/'Optimal Choice'!$B$21)</f>
        <v>453.9857603</v>
      </c>
      <c r="G185" s="10">
        <f>(S185/$B185)+(S185/'Optimal Choice'!$B$26)</f>
        <v>481.9464649</v>
      </c>
      <c r="I185" s="11">
        <f t="shared" ref="I185:M185" si="184">if(min($C184:$G184)=C184,I184+1,I184)</f>
        <v>77</v>
      </c>
      <c r="J185" s="11">
        <f t="shared" si="184"/>
        <v>35</v>
      </c>
      <c r="K185" s="11">
        <f t="shared" si="184"/>
        <v>30</v>
      </c>
      <c r="L185" s="11">
        <f t="shared" si="184"/>
        <v>23</v>
      </c>
      <c r="M185" s="11">
        <f t="shared" si="184"/>
        <v>19</v>
      </c>
      <c r="O185" s="12">
        <f> 'Optimal Choice'!$B$7*'Optimal Choice'!$B$8^(I185+1)</f>
        <v>783.4199933</v>
      </c>
      <c r="P185" s="12">
        <f> 'Optimal Choice'!$B$12*'Optimal Choice'!$B$13^(J185+1)</f>
        <v>9189.111116</v>
      </c>
      <c r="Q185" s="12">
        <f> 'Optimal Choice'!$B$17*'Optimal Choice'!$B$18^(K185+1)</f>
        <v>41819.89017</v>
      </c>
      <c r="R185" s="12">
        <f> 'Optimal Choice'!$B$22*'Optimal Choice'!$B$23^(L185+1)</f>
        <v>162329.102</v>
      </c>
      <c r="S185" s="12">
        <f> 'Optimal Choice'!$B$27*'Optimal Choice'!$B$28^(M185+1)</f>
        <v>1000127.668</v>
      </c>
    </row>
    <row r="186" ht="15.75" customHeight="1">
      <c r="A186" s="10">
        <f t="shared" si="2"/>
        <v>7.140841623</v>
      </c>
      <c r="B186" s="6">
        <f>(I186*'Optimal Choice'!$B$6+J186*'Optimal Choice'!$B$11+K186*'Optimal Choice'!$B$16+L186*'Optimal Choice'!$B$21+M186*'Optimal Choice'!$B$26)*'Optimal Choice'!$B$30</f>
        <v>53208.59</v>
      </c>
      <c r="C186" s="10">
        <f>(O186/$B186)+(O186/'Optimal Choice'!$B$6)</f>
        <v>469.128492</v>
      </c>
      <c r="D186" s="10">
        <f>(P186/$B186)+(P186/'Optimal Choice'!$B$11)</f>
        <v>459.6282556</v>
      </c>
      <c r="E186" s="10">
        <f>(Q186/$B186)+(Q186/'Optimal Choice'!$B$16)</f>
        <v>465.4514075</v>
      </c>
      <c r="F186" s="10">
        <f>(R186/$B186)+(R186/'Optimal Choice'!$B$21)</f>
        <v>512.9804257</v>
      </c>
      <c r="G186" s="10">
        <f>(S186/$B186)+(S186/'Optimal Choice'!$B$26)</f>
        <v>481.8184258</v>
      </c>
      <c r="I186" s="11">
        <f t="shared" ref="I186:M186" si="185">if(min($C185:$G185)=C185,I185+1,I185)</f>
        <v>77</v>
      </c>
      <c r="J186" s="11">
        <f t="shared" si="185"/>
        <v>35</v>
      </c>
      <c r="K186" s="11">
        <f t="shared" si="185"/>
        <v>30</v>
      </c>
      <c r="L186" s="11">
        <f t="shared" si="185"/>
        <v>24</v>
      </c>
      <c r="M186" s="11">
        <f t="shared" si="185"/>
        <v>19</v>
      </c>
      <c r="O186" s="12">
        <f> 'Optimal Choice'!$B$7*'Optimal Choice'!$B$8^(I186+1)</f>
        <v>783.4199933</v>
      </c>
      <c r="P186" s="12">
        <f> 'Optimal Choice'!$B$12*'Optimal Choice'!$B$13^(J186+1)</f>
        <v>9189.111116</v>
      </c>
      <c r="Q186" s="12">
        <f> 'Optimal Choice'!$B$17*'Optimal Choice'!$B$18^(K186+1)</f>
        <v>41819.89017</v>
      </c>
      <c r="R186" s="12">
        <f> 'Optimal Choice'!$B$22*'Optimal Choice'!$B$23^(L186+1)</f>
        <v>183431.8852</v>
      </c>
      <c r="S186" s="12">
        <f> 'Optimal Choice'!$B$27*'Optimal Choice'!$B$28^(M186+1)</f>
        <v>1000127.668</v>
      </c>
    </row>
    <row r="187" ht="15.75" customHeight="1">
      <c r="A187" s="10">
        <f t="shared" si="2"/>
        <v>7.143719953</v>
      </c>
      <c r="B187" s="6">
        <f>(I187*'Optimal Choice'!$B$6+J187*'Optimal Choice'!$B$11+K187*'Optimal Choice'!$B$16+L187*'Optimal Choice'!$B$21+M187*'Optimal Choice'!$B$26)*'Optimal Choice'!$B$30</f>
        <v>53228.59</v>
      </c>
      <c r="C187" s="10">
        <f>(O187/$B187)+(O187/'Optimal Choice'!$B$6)</f>
        <v>469.1284865</v>
      </c>
      <c r="D187" s="10">
        <f>(P187/$B187)+(P187/'Optimal Choice'!$B$11)</f>
        <v>528.5724193</v>
      </c>
      <c r="E187" s="10">
        <f>(Q187/$B187)+(Q187/'Optimal Choice'!$B$16)</f>
        <v>465.4511122</v>
      </c>
      <c r="F187" s="10">
        <f>(R187/$B187)+(R187/'Optimal Choice'!$B$21)</f>
        <v>512.9791303</v>
      </c>
      <c r="G187" s="10">
        <f>(S187/$B187)+(S187/'Optimal Choice'!$B$26)</f>
        <v>481.8113633</v>
      </c>
      <c r="I187" s="11">
        <f t="shared" ref="I187:M187" si="186">if(min($C186:$G186)=C186,I186+1,I186)</f>
        <v>77</v>
      </c>
      <c r="J187" s="11">
        <f t="shared" si="186"/>
        <v>36</v>
      </c>
      <c r="K187" s="11">
        <f t="shared" si="186"/>
        <v>30</v>
      </c>
      <c r="L187" s="11">
        <f t="shared" si="186"/>
        <v>24</v>
      </c>
      <c r="M187" s="11">
        <f t="shared" si="186"/>
        <v>19</v>
      </c>
      <c r="O187" s="12">
        <f> 'Optimal Choice'!$B$7*'Optimal Choice'!$B$8^(I187+1)</f>
        <v>783.4199933</v>
      </c>
      <c r="P187" s="12">
        <f> 'Optimal Choice'!$B$12*'Optimal Choice'!$B$13^(J187+1)</f>
        <v>10567.47778</v>
      </c>
      <c r="Q187" s="12">
        <f> 'Optimal Choice'!$B$17*'Optimal Choice'!$B$18^(K187+1)</f>
        <v>41819.89017</v>
      </c>
      <c r="R187" s="12">
        <f> 'Optimal Choice'!$B$22*'Optimal Choice'!$B$23^(L187+1)</f>
        <v>183431.8852</v>
      </c>
      <c r="S187" s="12">
        <f> 'Optimal Choice'!$B$27*'Optimal Choice'!$B$28^(M187+1)</f>
        <v>1000127.668</v>
      </c>
    </row>
    <row r="188" ht="15.75" customHeight="1">
      <c r="A188" s="10">
        <f t="shared" si="2"/>
        <v>7.156814385</v>
      </c>
      <c r="B188" s="6">
        <f>(I188*'Optimal Choice'!$B$6+J188*'Optimal Choice'!$B$11+K188*'Optimal Choice'!$B$16+L188*'Optimal Choice'!$B$21+M188*'Optimal Choice'!$B$26)*'Optimal Choice'!$B$30</f>
        <v>53318.59</v>
      </c>
      <c r="C188" s="10">
        <f>(O188/$B188)+(O188/'Optimal Choice'!$B$6)</f>
        <v>469.1284616</v>
      </c>
      <c r="D188" s="10">
        <f>(P188/$B188)+(P188/'Optimal Choice'!$B$11)</f>
        <v>528.5720842</v>
      </c>
      <c r="E188" s="10">
        <f>(Q188/$B188)+(Q188/'Optimal Choice'!$B$16)</f>
        <v>530.6127561</v>
      </c>
      <c r="F188" s="10">
        <f>(R188/$B188)+(R188/'Optimal Choice'!$B$21)</f>
        <v>512.9733134</v>
      </c>
      <c r="G188" s="10">
        <f>(S188/$B188)+(S188/'Optimal Choice'!$B$26)</f>
        <v>481.7796475</v>
      </c>
      <c r="I188" s="11">
        <f t="shared" ref="I188:M188" si="187">if(min($C187:$G187)=C187,I187+1,I187)</f>
        <v>77</v>
      </c>
      <c r="J188" s="11">
        <f t="shared" si="187"/>
        <v>36</v>
      </c>
      <c r="K188" s="11">
        <f t="shared" si="187"/>
        <v>31</v>
      </c>
      <c r="L188" s="11">
        <f t="shared" si="187"/>
        <v>24</v>
      </c>
      <c r="M188" s="11">
        <f t="shared" si="187"/>
        <v>19</v>
      </c>
      <c r="O188" s="12">
        <f> 'Optimal Choice'!$B$7*'Optimal Choice'!$B$8^(I188+1)</f>
        <v>783.4199933</v>
      </c>
      <c r="P188" s="12">
        <f> 'Optimal Choice'!$B$12*'Optimal Choice'!$B$13^(J188+1)</f>
        <v>10567.47778</v>
      </c>
      <c r="Q188" s="12">
        <f> 'Optimal Choice'!$B$17*'Optimal Choice'!$B$18^(K188+1)</f>
        <v>47674.67479</v>
      </c>
      <c r="R188" s="12">
        <f> 'Optimal Choice'!$B$22*'Optimal Choice'!$B$23^(L188+1)</f>
        <v>183431.8852</v>
      </c>
      <c r="S188" s="12">
        <f> 'Optimal Choice'!$B$27*'Optimal Choice'!$B$28^(M188+1)</f>
        <v>1000127.668</v>
      </c>
    </row>
    <row r="189" ht="15.75" customHeight="1">
      <c r="A189" s="10">
        <f t="shared" si="2"/>
        <v>7.157059272</v>
      </c>
      <c r="B189" s="6">
        <f>(I189*'Optimal Choice'!$B$6+J189*'Optimal Choice'!$B$11+K189*'Optimal Choice'!$B$16+L189*'Optimal Choice'!$B$21+M189*'Optimal Choice'!$B$26)*'Optimal Choice'!$B$30</f>
        <v>53320.26</v>
      </c>
      <c r="C189" s="10">
        <f>(O189/$B189)+(O189/'Optimal Choice'!$B$6)</f>
        <v>501.9674534</v>
      </c>
      <c r="D189" s="10">
        <f>(P189/$B189)+(P189/'Optimal Choice'!$B$11)</f>
        <v>528.572078</v>
      </c>
      <c r="E189" s="10">
        <f>(Q189/$B189)+(Q189/'Optimal Choice'!$B$16)</f>
        <v>530.6127281</v>
      </c>
      <c r="F189" s="10">
        <f>(R189/$B189)+(R189/'Optimal Choice'!$B$21)</f>
        <v>512.9732057</v>
      </c>
      <c r="G189" s="10">
        <f>(S189/$B189)+(S189/'Optimal Choice'!$B$26)</f>
        <v>481.7790601</v>
      </c>
      <c r="I189" s="11">
        <f t="shared" ref="I189:M189" si="188">if(min($C188:$G188)=C188,I188+1,I188)</f>
        <v>78</v>
      </c>
      <c r="J189" s="11">
        <f t="shared" si="188"/>
        <v>36</v>
      </c>
      <c r="K189" s="11">
        <f t="shared" si="188"/>
        <v>31</v>
      </c>
      <c r="L189" s="11">
        <f t="shared" si="188"/>
        <v>24</v>
      </c>
      <c r="M189" s="11">
        <f t="shared" si="188"/>
        <v>19</v>
      </c>
      <c r="O189" s="12">
        <f> 'Optimal Choice'!$B$7*'Optimal Choice'!$B$8^(I189+1)</f>
        <v>838.2593928</v>
      </c>
      <c r="P189" s="12">
        <f> 'Optimal Choice'!$B$12*'Optimal Choice'!$B$13^(J189+1)</f>
        <v>10567.47778</v>
      </c>
      <c r="Q189" s="12">
        <f> 'Optimal Choice'!$B$17*'Optimal Choice'!$B$18^(K189+1)</f>
        <v>47674.67479</v>
      </c>
      <c r="R189" s="12">
        <f> 'Optimal Choice'!$B$22*'Optimal Choice'!$B$23^(L189+1)</f>
        <v>183431.8852</v>
      </c>
      <c r="S189" s="12">
        <f> 'Optimal Choice'!$B$27*'Optimal Choice'!$B$28^(M189+1)</f>
        <v>1000127.668</v>
      </c>
    </row>
    <row r="190" ht="15.75" customHeight="1">
      <c r="A190" s="10">
        <f t="shared" si="2"/>
        <v>7.469675798</v>
      </c>
      <c r="B190" s="6">
        <f>(I190*'Optimal Choice'!$B$6+J190*'Optimal Choice'!$B$11+K190*'Optimal Choice'!$B$16+L190*'Optimal Choice'!$B$21+M190*'Optimal Choice'!$B$26)*'Optimal Choice'!$B$30</f>
        <v>55480.26</v>
      </c>
      <c r="C190" s="10">
        <f>(O190/$B190)+(O190/'Optimal Choice'!$B$6)</f>
        <v>501.9668414</v>
      </c>
      <c r="D190" s="10">
        <f>(P190/$B190)+(P190/'Optimal Choice'!$B$11)</f>
        <v>528.5643619</v>
      </c>
      <c r="E190" s="10">
        <f>(Q190/$B190)+(Q190/'Optimal Choice'!$B$16)</f>
        <v>530.5779175</v>
      </c>
      <c r="F190" s="10">
        <f>(R190/$B190)+(R190/'Optimal Choice'!$B$21)</f>
        <v>512.8392695</v>
      </c>
      <c r="G190" s="10">
        <f>(S190/$B190)+(S190/'Optimal Choice'!$B$26)</f>
        <v>538.7746543</v>
      </c>
      <c r="I190" s="11">
        <f t="shared" ref="I190:M190" si="189">if(min($C189:$G189)=C189,I189+1,I189)</f>
        <v>78</v>
      </c>
      <c r="J190" s="11">
        <f t="shared" si="189"/>
        <v>36</v>
      </c>
      <c r="K190" s="11">
        <f t="shared" si="189"/>
        <v>31</v>
      </c>
      <c r="L190" s="11">
        <f t="shared" si="189"/>
        <v>24</v>
      </c>
      <c r="M190" s="11">
        <f t="shared" si="189"/>
        <v>20</v>
      </c>
      <c r="O190" s="12">
        <f> 'Optimal Choice'!$B$7*'Optimal Choice'!$B$8^(I190+1)</f>
        <v>838.2593928</v>
      </c>
      <c r="P190" s="12">
        <f> 'Optimal Choice'!$B$12*'Optimal Choice'!$B$13^(J190+1)</f>
        <v>10567.47778</v>
      </c>
      <c r="Q190" s="12">
        <f> 'Optimal Choice'!$B$17*'Optimal Choice'!$B$18^(K190+1)</f>
        <v>47674.67479</v>
      </c>
      <c r="R190" s="12">
        <f> 'Optimal Choice'!$B$22*'Optimal Choice'!$B$23^(L190+1)</f>
        <v>183431.8852</v>
      </c>
      <c r="S190" s="12">
        <f> 'Optimal Choice'!$B$27*'Optimal Choice'!$B$28^(M190+1)</f>
        <v>1120142.988</v>
      </c>
    </row>
    <row r="191" ht="15.75" customHeight="1">
      <c r="A191" s="10">
        <f t="shared" si="2"/>
        <v>7.469927617</v>
      </c>
      <c r="B191" s="6">
        <f>(I191*'Optimal Choice'!$B$6+J191*'Optimal Choice'!$B$11+K191*'Optimal Choice'!$B$16+L191*'Optimal Choice'!$B$21+M191*'Optimal Choice'!$B$26)*'Optimal Choice'!$B$30</f>
        <v>55481.93</v>
      </c>
      <c r="C191" s="10">
        <f>(O191/$B191)+(O191/'Optimal Choice'!$B$6)</f>
        <v>537.1045198</v>
      </c>
      <c r="D191" s="10">
        <f>(P191/$B191)+(P191/'Optimal Choice'!$B$11)</f>
        <v>528.5643562</v>
      </c>
      <c r="E191" s="10">
        <f>(Q191/$B191)+(Q191/'Optimal Choice'!$B$16)</f>
        <v>530.5778917</v>
      </c>
      <c r="F191" s="10">
        <f>(R191/$B191)+(R191/'Optimal Choice'!$B$21)</f>
        <v>512.83917</v>
      </c>
      <c r="G191" s="10">
        <f>(S191/$B191)+(S191/'Optimal Choice'!$B$26)</f>
        <v>538.7740466</v>
      </c>
      <c r="I191" s="11">
        <f t="shared" ref="I191:M191" si="190">if(min($C190:$G190)=C190,I190+1,I190)</f>
        <v>79</v>
      </c>
      <c r="J191" s="11">
        <f t="shared" si="190"/>
        <v>36</v>
      </c>
      <c r="K191" s="11">
        <f t="shared" si="190"/>
        <v>31</v>
      </c>
      <c r="L191" s="11">
        <f t="shared" si="190"/>
        <v>24</v>
      </c>
      <c r="M191" s="11">
        <f t="shared" si="190"/>
        <v>20</v>
      </c>
      <c r="O191" s="12">
        <f> 'Optimal Choice'!$B$7*'Optimal Choice'!$B$8^(I191+1)</f>
        <v>896.9375503</v>
      </c>
      <c r="P191" s="12">
        <f> 'Optimal Choice'!$B$12*'Optimal Choice'!$B$13^(J191+1)</f>
        <v>10567.47778</v>
      </c>
      <c r="Q191" s="12">
        <f> 'Optimal Choice'!$B$17*'Optimal Choice'!$B$18^(K191+1)</f>
        <v>47674.67479</v>
      </c>
      <c r="R191" s="12">
        <f> 'Optimal Choice'!$B$22*'Optimal Choice'!$B$23^(L191+1)</f>
        <v>183431.8852</v>
      </c>
      <c r="S191" s="12">
        <f> 'Optimal Choice'!$B$27*'Optimal Choice'!$B$28^(M191+1)</f>
        <v>1120142.988</v>
      </c>
    </row>
    <row r="192" ht="15.75" customHeight="1">
      <c r="A192" s="10">
        <f t="shared" si="2"/>
        <v>7.525030208</v>
      </c>
      <c r="B192" s="6">
        <f>(I192*'Optimal Choice'!$B$6+J192*'Optimal Choice'!$B$11+K192*'Optimal Choice'!$B$16+L192*'Optimal Choice'!$B$21+M192*'Optimal Choice'!$B$26)*'Optimal Choice'!$B$30</f>
        <v>55841.93</v>
      </c>
      <c r="C192" s="10">
        <f>(O192/$B192)+(O192/'Optimal Choice'!$B$6)</f>
        <v>537.1044156</v>
      </c>
      <c r="D192" s="10">
        <f>(P192/$B192)+(P192/'Optimal Choice'!$B$11)</f>
        <v>528.5631283</v>
      </c>
      <c r="E192" s="10">
        <f>(Q192/$B192)+(Q192/'Optimal Choice'!$B$16)</f>
        <v>530.5723521</v>
      </c>
      <c r="F192" s="10">
        <f>(R192/$B192)+(R192/'Optimal Choice'!$B$21)</f>
        <v>579.4841772</v>
      </c>
      <c r="G192" s="10">
        <f>(S192/$B192)+(S192/'Optimal Choice'!$B$26)</f>
        <v>538.6438907</v>
      </c>
      <c r="I192" s="11">
        <f t="shared" ref="I192:M192" si="191">if(min($C191:$G191)=C191,I191+1,I191)</f>
        <v>79</v>
      </c>
      <c r="J192" s="11">
        <f t="shared" si="191"/>
        <v>36</v>
      </c>
      <c r="K192" s="11">
        <f t="shared" si="191"/>
        <v>31</v>
      </c>
      <c r="L192" s="11">
        <f t="shared" si="191"/>
        <v>25</v>
      </c>
      <c r="M192" s="11">
        <f t="shared" si="191"/>
        <v>20</v>
      </c>
      <c r="O192" s="12">
        <f> 'Optimal Choice'!$B$7*'Optimal Choice'!$B$8^(I192+1)</f>
        <v>896.9375503</v>
      </c>
      <c r="P192" s="12">
        <f> 'Optimal Choice'!$B$12*'Optimal Choice'!$B$13^(J192+1)</f>
        <v>10567.47778</v>
      </c>
      <c r="Q192" s="12">
        <f> 'Optimal Choice'!$B$17*'Optimal Choice'!$B$18^(K192+1)</f>
        <v>47674.67479</v>
      </c>
      <c r="R192" s="12">
        <f> 'Optimal Choice'!$B$22*'Optimal Choice'!$B$23^(L192+1)</f>
        <v>207278.0303</v>
      </c>
      <c r="S192" s="12">
        <f> 'Optimal Choice'!$B$27*'Optimal Choice'!$B$28^(M192+1)</f>
        <v>1120142.988</v>
      </c>
    </row>
    <row r="193" ht="15.75" customHeight="1">
      <c r="A193" s="10">
        <f t="shared" si="2"/>
        <v>7.528184193</v>
      </c>
      <c r="B193" s="6">
        <f>(I193*'Optimal Choice'!$B$6+J193*'Optimal Choice'!$B$11+K193*'Optimal Choice'!$B$16+L193*'Optimal Choice'!$B$21+M193*'Optimal Choice'!$B$26)*'Optimal Choice'!$B$30</f>
        <v>55861.93</v>
      </c>
      <c r="C193" s="10">
        <f>(O193/$B193)+(O193/'Optimal Choice'!$B$6)</f>
        <v>537.1044098</v>
      </c>
      <c r="D193" s="10">
        <f>(P193/$B193)+(P193/'Optimal Choice'!$B$11)</f>
        <v>607.8475196</v>
      </c>
      <c r="E193" s="10">
        <f>(Q193/$B193)+(Q193/'Optimal Choice'!$B$16)</f>
        <v>530.5720464</v>
      </c>
      <c r="F193" s="10">
        <f>(R193/$B193)+(R193/'Optimal Choice'!$B$21)</f>
        <v>579.4828483</v>
      </c>
      <c r="G193" s="10">
        <f>(S193/$B193)+(S193/'Optimal Choice'!$B$26)</f>
        <v>538.636709</v>
      </c>
      <c r="I193" s="11">
        <f t="shared" ref="I193:M193" si="192">if(min($C192:$G192)=C192,I192+1,I192)</f>
        <v>79</v>
      </c>
      <c r="J193" s="11">
        <f t="shared" si="192"/>
        <v>37</v>
      </c>
      <c r="K193" s="11">
        <f t="shared" si="192"/>
        <v>31</v>
      </c>
      <c r="L193" s="11">
        <f t="shared" si="192"/>
        <v>25</v>
      </c>
      <c r="M193" s="11">
        <f t="shared" si="192"/>
        <v>20</v>
      </c>
      <c r="O193" s="12">
        <f> 'Optimal Choice'!$B$7*'Optimal Choice'!$B$8^(I193+1)</f>
        <v>896.9375503</v>
      </c>
      <c r="P193" s="12">
        <f> 'Optimal Choice'!$B$12*'Optimal Choice'!$B$13^(J193+1)</f>
        <v>12152.59945</v>
      </c>
      <c r="Q193" s="12">
        <f> 'Optimal Choice'!$B$17*'Optimal Choice'!$B$18^(K193+1)</f>
        <v>47674.67479</v>
      </c>
      <c r="R193" s="12">
        <f> 'Optimal Choice'!$B$22*'Optimal Choice'!$B$23^(L193+1)</f>
        <v>207278.0303</v>
      </c>
      <c r="S193" s="12">
        <f> 'Optimal Choice'!$B$27*'Optimal Choice'!$B$28^(M193+1)</f>
        <v>1120142.988</v>
      </c>
    </row>
    <row r="194" ht="15.75" customHeight="1">
      <c r="A194" s="10">
        <f t="shared" si="2"/>
        <v>7.542408154</v>
      </c>
      <c r="B194" s="6">
        <f>(I194*'Optimal Choice'!$B$6+J194*'Optimal Choice'!$B$11+K194*'Optimal Choice'!$B$16+L194*'Optimal Choice'!$B$21+M194*'Optimal Choice'!$B$26)*'Optimal Choice'!$B$30</f>
        <v>55951.93</v>
      </c>
      <c r="C194" s="10">
        <f>(O194/$B194)+(O194/'Optimal Choice'!$B$6)</f>
        <v>537.104384</v>
      </c>
      <c r="D194" s="10">
        <f>(P194/$B194)+(P194/'Optimal Choice'!$B$11)</f>
        <v>607.8471697</v>
      </c>
      <c r="E194" s="10">
        <f>(Q194/$B194)+(Q194/'Optimal Choice'!$B$16)</f>
        <v>604.850568</v>
      </c>
      <c r="F194" s="10">
        <f>(R194/$B194)+(R194/'Optimal Choice'!$B$21)</f>
        <v>579.4768798</v>
      </c>
      <c r="G194" s="10">
        <f>(S194/$B194)+(S194/'Optimal Choice'!$B$26)</f>
        <v>538.6044549</v>
      </c>
      <c r="I194" s="11">
        <f t="shared" ref="I194:M194" si="193">if(min($C193:$G193)=C193,I193+1,I193)</f>
        <v>79</v>
      </c>
      <c r="J194" s="11">
        <f t="shared" si="193"/>
        <v>37</v>
      </c>
      <c r="K194" s="11">
        <f t="shared" si="193"/>
        <v>32</v>
      </c>
      <c r="L194" s="11">
        <f t="shared" si="193"/>
        <v>25</v>
      </c>
      <c r="M194" s="11">
        <f t="shared" si="193"/>
        <v>20</v>
      </c>
      <c r="O194" s="12">
        <f> 'Optimal Choice'!$B$7*'Optimal Choice'!$B$8^(I194+1)</f>
        <v>896.9375503</v>
      </c>
      <c r="P194" s="12">
        <f> 'Optimal Choice'!$B$12*'Optimal Choice'!$B$13^(J194+1)</f>
        <v>12152.59945</v>
      </c>
      <c r="Q194" s="12">
        <f> 'Optimal Choice'!$B$17*'Optimal Choice'!$B$18^(K194+1)</f>
        <v>54349.12926</v>
      </c>
      <c r="R194" s="12">
        <f> 'Optimal Choice'!$B$22*'Optimal Choice'!$B$23^(L194+1)</f>
        <v>207278.0303</v>
      </c>
      <c r="S194" s="12">
        <f> 'Optimal Choice'!$B$27*'Optimal Choice'!$B$28^(M194+1)</f>
        <v>1120142.988</v>
      </c>
    </row>
    <row r="195" ht="15.75" customHeight="1">
      <c r="A195" s="10">
        <f t="shared" si="2"/>
        <v>7.542675329</v>
      </c>
      <c r="B195" s="6">
        <f>(I195*'Optimal Choice'!$B$6+J195*'Optimal Choice'!$B$11+K195*'Optimal Choice'!$B$16+L195*'Optimal Choice'!$B$21+M195*'Optimal Choice'!$B$26)*'Optimal Choice'!$B$30</f>
        <v>55953.6</v>
      </c>
      <c r="C195" s="10">
        <f>(O195/$B195)+(O195/'Optimal Choice'!$B$6)</f>
        <v>574.7016904</v>
      </c>
      <c r="D195" s="10">
        <f>(P195/$B195)+(P195/'Optimal Choice'!$B$11)</f>
        <v>607.8471632</v>
      </c>
      <c r="E195" s="10">
        <f>(Q195/$B195)+(Q195/'Optimal Choice'!$B$16)</f>
        <v>604.850539</v>
      </c>
      <c r="F195" s="10">
        <f>(R195/$B195)+(R195/'Optimal Choice'!$B$21)</f>
        <v>579.4767692</v>
      </c>
      <c r="G195" s="10">
        <f>(S195/$B195)+(S195/'Optimal Choice'!$B$26)</f>
        <v>538.6038573</v>
      </c>
      <c r="I195" s="11">
        <f t="shared" ref="I195:M195" si="194">if(min($C194:$G194)=C194,I194+1,I194)</f>
        <v>80</v>
      </c>
      <c r="J195" s="11">
        <f t="shared" si="194"/>
        <v>37</v>
      </c>
      <c r="K195" s="11">
        <f t="shared" si="194"/>
        <v>32</v>
      </c>
      <c r="L195" s="11">
        <f t="shared" si="194"/>
        <v>25</v>
      </c>
      <c r="M195" s="11">
        <f t="shared" si="194"/>
        <v>20</v>
      </c>
      <c r="O195" s="12">
        <f> 'Optimal Choice'!$B$7*'Optimal Choice'!$B$8^(I195+1)</f>
        <v>959.7231788</v>
      </c>
      <c r="P195" s="12">
        <f> 'Optimal Choice'!$B$12*'Optimal Choice'!$B$13^(J195+1)</f>
        <v>12152.59945</v>
      </c>
      <c r="Q195" s="12">
        <f> 'Optimal Choice'!$B$17*'Optimal Choice'!$B$18^(K195+1)</f>
        <v>54349.12926</v>
      </c>
      <c r="R195" s="12">
        <f> 'Optimal Choice'!$B$22*'Optimal Choice'!$B$23^(L195+1)</f>
        <v>207278.0303</v>
      </c>
      <c r="S195" s="12">
        <f> 'Optimal Choice'!$B$27*'Optimal Choice'!$B$28^(M195+1)</f>
        <v>1120142.988</v>
      </c>
    </row>
    <row r="196" ht="15.75" customHeight="1">
      <c r="A196" s="10">
        <f t="shared" si="2"/>
        <v>7.876327673</v>
      </c>
      <c r="B196" s="6">
        <f>(I196*'Optimal Choice'!$B$6+J196*'Optimal Choice'!$B$11+K196*'Optimal Choice'!$B$16+L196*'Optimal Choice'!$B$21+M196*'Optimal Choice'!$B$26)*'Optimal Choice'!$B$30</f>
        <v>58113.6</v>
      </c>
      <c r="C196" s="10">
        <f>(O196/$B196)+(O196/'Optimal Choice'!$B$6)</f>
        <v>574.7010528</v>
      </c>
      <c r="D196" s="10">
        <f>(P196/$B196)+(P196/'Optimal Choice'!$B$11)</f>
        <v>607.8390905</v>
      </c>
      <c r="E196" s="10">
        <f>(Q196/$B196)+(Q196/'Optimal Choice'!$B$16)</f>
        <v>604.8144362</v>
      </c>
      <c r="F196" s="10">
        <f>(R196/$B196)+(R196/'Optimal Choice'!$B$21)</f>
        <v>579.3390796</v>
      </c>
      <c r="G196" s="10">
        <f>(S196/$B196)+(S196/'Optimal Choice'!$B$26)</f>
        <v>602.4029472</v>
      </c>
      <c r="I196" s="11">
        <f t="shared" ref="I196:M196" si="195">if(min($C195:$G195)=C195,I195+1,I195)</f>
        <v>80</v>
      </c>
      <c r="J196" s="11">
        <f t="shared" si="195"/>
        <v>37</v>
      </c>
      <c r="K196" s="11">
        <f t="shared" si="195"/>
        <v>32</v>
      </c>
      <c r="L196" s="11">
        <f t="shared" si="195"/>
        <v>25</v>
      </c>
      <c r="M196" s="11">
        <f t="shared" si="195"/>
        <v>21</v>
      </c>
      <c r="O196" s="12">
        <f> 'Optimal Choice'!$B$7*'Optimal Choice'!$B$8^(I196+1)</f>
        <v>959.7231788</v>
      </c>
      <c r="P196" s="12">
        <f> 'Optimal Choice'!$B$12*'Optimal Choice'!$B$13^(J196+1)</f>
        <v>12152.59945</v>
      </c>
      <c r="Q196" s="12">
        <f> 'Optimal Choice'!$B$17*'Optimal Choice'!$B$18^(K196+1)</f>
        <v>54349.12926</v>
      </c>
      <c r="R196" s="12">
        <f> 'Optimal Choice'!$B$22*'Optimal Choice'!$B$23^(L196+1)</f>
        <v>207278.0303</v>
      </c>
      <c r="S196" s="12">
        <f> 'Optimal Choice'!$B$27*'Optimal Choice'!$B$28^(M196+1)</f>
        <v>1254560.147</v>
      </c>
    </row>
    <row r="197" ht="15.75" customHeight="1">
      <c r="A197" s="10">
        <f t="shared" si="2"/>
        <v>7.876602917</v>
      </c>
      <c r="B197" s="6">
        <f>(I197*'Optimal Choice'!$B$6+J197*'Optimal Choice'!$B$11+K197*'Optimal Choice'!$B$16+L197*'Optimal Choice'!$B$21+M197*'Optimal Choice'!$B$26)*'Optimal Choice'!$B$30</f>
        <v>58115.27</v>
      </c>
      <c r="C197" s="10">
        <f>(O197/$B197)+(O197/'Optimal Choice'!$B$6)</f>
        <v>614.930126</v>
      </c>
      <c r="D197" s="10">
        <f>(P197/$B197)+(P197/'Optimal Choice'!$B$11)</f>
        <v>607.8390845</v>
      </c>
      <c r="E197" s="10">
        <f>(Q197/$B197)+(Q197/'Optimal Choice'!$B$16)</f>
        <v>604.8144093</v>
      </c>
      <c r="F197" s="10">
        <f>(R197/$B197)+(R197/'Optimal Choice'!$B$21)</f>
        <v>579.3389771</v>
      </c>
      <c r="G197" s="10">
        <f>(S197/$B197)+(S197/'Optimal Choice'!$B$26)</f>
        <v>602.4023269</v>
      </c>
      <c r="I197" s="11">
        <f t="shared" ref="I197:M197" si="196">if(min($C196:$G196)=C196,I196+1,I196)</f>
        <v>81</v>
      </c>
      <c r="J197" s="11">
        <f t="shared" si="196"/>
        <v>37</v>
      </c>
      <c r="K197" s="11">
        <f t="shared" si="196"/>
        <v>32</v>
      </c>
      <c r="L197" s="11">
        <f t="shared" si="196"/>
        <v>25</v>
      </c>
      <c r="M197" s="11">
        <f t="shared" si="196"/>
        <v>21</v>
      </c>
      <c r="O197" s="12">
        <f> 'Optimal Choice'!$B$7*'Optimal Choice'!$B$8^(I197+1)</f>
        <v>1026.903801</v>
      </c>
      <c r="P197" s="12">
        <f> 'Optimal Choice'!$B$12*'Optimal Choice'!$B$13^(J197+1)</f>
        <v>12152.59945</v>
      </c>
      <c r="Q197" s="12">
        <f> 'Optimal Choice'!$B$17*'Optimal Choice'!$B$18^(K197+1)</f>
        <v>54349.12926</v>
      </c>
      <c r="R197" s="12">
        <f> 'Optimal Choice'!$B$22*'Optimal Choice'!$B$23^(L197+1)</f>
        <v>207278.0303</v>
      </c>
      <c r="S197" s="12">
        <f> 'Optimal Choice'!$B$27*'Optimal Choice'!$B$28^(M197+1)</f>
        <v>1254560.147</v>
      </c>
    </row>
    <row r="198" ht="15.75" customHeight="1">
      <c r="A198" s="10">
        <f t="shared" si="2"/>
        <v>7.936047428</v>
      </c>
      <c r="B198" s="6">
        <f>(I198*'Optimal Choice'!$B$6+J198*'Optimal Choice'!$B$11+K198*'Optimal Choice'!$B$16+L198*'Optimal Choice'!$B$21+M198*'Optimal Choice'!$B$26)*'Optimal Choice'!$B$30</f>
        <v>58475.27</v>
      </c>
      <c r="C198" s="10">
        <f>(O198/$B198)+(O198/'Optimal Choice'!$B$6)</f>
        <v>614.9300172</v>
      </c>
      <c r="D198" s="10">
        <f>(P198/$B198)+(P198/'Optimal Choice'!$B$11)</f>
        <v>607.8377972</v>
      </c>
      <c r="E198" s="10">
        <f>(Q198/$B198)+(Q198/'Optimal Choice'!$B$16)</f>
        <v>604.8086518</v>
      </c>
      <c r="F198" s="10">
        <f>(R198/$B198)+(R198/'Optimal Choice'!$B$21)</f>
        <v>654.6282316</v>
      </c>
      <c r="G198" s="10">
        <f>(S198/$B198)+(S198/'Optimal Choice'!$B$26)</f>
        <v>602.2694249</v>
      </c>
      <c r="I198" s="11">
        <f t="shared" ref="I198:M198" si="197">if(min($C197:$G197)=C197,I197+1,I197)</f>
        <v>81</v>
      </c>
      <c r="J198" s="11">
        <f t="shared" si="197"/>
        <v>37</v>
      </c>
      <c r="K198" s="11">
        <f t="shared" si="197"/>
        <v>32</v>
      </c>
      <c r="L198" s="11">
        <f t="shared" si="197"/>
        <v>26</v>
      </c>
      <c r="M198" s="11">
        <f t="shared" si="197"/>
        <v>21</v>
      </c>
      <c r="O198" s="12">
        <f> 'Optimal Choice'!$B$7*'Optimal Choice'!$B$8^(I198+1)</f>
        <v>1026.903801</v>
      </c>
      <c r="P198" s="12">
        <f> 'Optimal Choice'!$B$12*'Optimal Choice'!$B$13^(J198+1)</f>
        <v>12152.59945</v>
      </c>
      <c r="Q198" s="12">
        <f> 'Optimal Choice'!$B$17*'Optimal Choice'!$B$18^(K198+1)</f>
        <v>54349.12926</v>
      </c>
      <c r="R198" s="12">
        <f> 'Optimal Choice'!$B$22*'Optimal Choice'!$B$23^(L198+1)</f>
        <v>234224.1742</v>
      </c>
      <c r="S198" s="12">
        <f> 'Optimal Choice'!$B$27*'Optimal Choice'!$B$28^(M198+1)</f>
        <v>1254560.147</v>
      </c>
    </row>
    <row r="199" ht="15.75" customHeight="1">
      <c r="A199" s="10">
        <f t="shared" si="2"/>
        <v>8.293623131</v>
      </c>
      <c r="B199" s="6">
        <f>(I199*'Optimal Choice'!$B$6+J199*'Optimal Choice'!$B$11+K199*'Optimal Choice'!$B$16+L199*'Optimal Choice'!$B$21+M199*'Optimal Choice'!$B$26)*'Optimal Choice'!$B$30</f>
        <v>60635.27</v>
      </c>
      <c r="C199" s="10">
        <f>(O199/$B199)+(O199/'Optimal Choice'!$B$6)</f>
        <v>614.9293917</v>
      </c>
      <c r="D199" s="10">
        <f>(P199/$B199)+(P199/'Optimal Choice'!$B$11)</f>
        <v>607.8303939</v>
      </c>
      <c r="E199" s="10">
        <f>(Q199/$B199)+(Q199/'Optimal Choice'!$B$16)</f>
        <v>604.7755426</v>
      </c>
      <c r="F199" s="10">
        <f>(R199/$B199)+(R199/'Optimal Choice'!$B$21)</f>
        <v>654.4855434</v>
      </c>
      <c r="G199" s="10">
        <f>(S199/$B199)+(S199/'Optimal Choice'!$B$26)</f>
        <v>673.6857717</v>
      </c>
      <c r="I199" s="11">
        <f t="shared" ref="I199:M199" si="198">if(min($C198:$G198)=C198,I198+1,I198)</f>
        <v>81</v>
      </c>
      <c r="J199" s="11">
        <f t="shared" si="198"/>
        <v>37</v>
      </c>
      <c r="K199" s="11">
        <f t="shared" si="198"/>
        <v>32</v>
      </c>
      <c r="L199" s="11">
        <f t="shared" si="198"/>
        <v>26</v>
      </c>
      <c r="M199" s="11">
        <f t="shared" si="198"/>
        <v>22</v>
      </c>
      <c r="O199" s="12">
        <f> 'Optimal Choice'!$B$7*'Optimal Choice'!$B$8^(I199+1)</f>
        <v>1026.903801</v>
      </c>
      <c r="P199" s="12">
        <f> 'Optimal Choice'!$B$12*'Optimal Choice'!$B$13^(J199+1)</f>
        <v>12152.59945</v>
      </c>
      <c r="Q199" s="12">
        <f> 'Optimal Choice'!$B$17*'Optimal Choice'!$B$18^(K199+1)</f>
        <v>54349.12926</v>
      </c>
      <c r="R199" s="12">
        <f> 'Optimal Choice'!$B$22*'Optimal Choice'!$B$23^(L199+1)</f>
        <v>234224.1742</v>
      </c>
      <c r="S199" s="12">
        <f> 'Optimal Choice'!$B$27*'Optimal Choice'!$B$28^(M199+1)</f>
        <v>1405107.364</v>
      </c>
    </row>
    <row r="200" ht="15.75" customHeight="1">
      <c r="A200" s="10">
        <f t="shared" si="2"/>
        <v>8.308561942</v>
      </c>
      <c r="B200" s="6">
        <f>(I200*'Optimal Choice'!$B$6+J200*'Optimal Choice'!$B$11+K200*'Optimal Choice'!$B$16+L200*'Optimal Choice'!$B$21+M200*'Optimal Choice'!$B$26)*'Optimal Choice'!$B$30</f>
        <v>60725.27</v>
      </c>
      <c r="C200" s="10">
        <f>(O200/$B200)+(O200/'Optimal Choice'!$B$6)</f>
        <v>614.9293666</v>
      </c>
      <c r="D200" s="10">
        <f>(P200/$B200)+(P200/'Optimal Choice'!$B$11)</f>
        <v>607.8300968</v>
      </c>
      <c r="E200" s="10">
        <f>(Q200/$B200)+(Q200/'Optimal Choice'!$B$16)</f>
        <v>689.4426042</v>
      </c>
      <c r="F200" s="10">
        <f>(R200/$B200)+(R200/'Optimal Choice'!$B$21)</f>
        <v>654.4798184</v>
      </c>
      <c r="G200" s="10">
        <f>(S200/$B200)+(S200/'Optimal Choice'!$B$26)</f>
        <v>673.6514272</v>
      </c>
      <c r="I200" s="11">
        <f t="shared" ref="I200:M200" si="199">if(min($C199:$G199)=C199,I199+1,I199)</f>
        <v>81</v>
      </c>
      <c r="J200" s="11">
        <f t="shared" si="199"/>
        <v>37</v>
      </c>
      <c r="K200" s="11">
        <f t="shared" si="199"/>
        <v>33</v>
      </c>
      <c r="L200" s="11">
        <f t="shared" si="199"/>
        <v>26</v>
      </c>
      <c r="M200" s="11">
        <f t="shared" si="199"/>
        <v>22</v>
      </c>
      <c r="O200" s="12">
        <f> 'Optimal Choice'!$B$7*'Optimal Choice'!$B$8^(I200+1)</f>
        <v>1026.903801</v>
      </c>
      <c r="P200" s="12">
        <f> 'Optimal Choice'!$B$12*'Optimal Choice'!$B$13^(J200+1)</f>
        <v>12152.59945</v>
      </c>
      <c r="Q200" s="12">
        <f> 'Optimal Choice'!$B$17*'Optimal Choice'!$B$18^(K200+1)</f>
        <v>61958.00735</v>
      </c>
      <c r="R200" s="12">
        <f> 'Optimal Choice'!$B$22*'Optimal Choice'!$B$23^(L200+1)</f>
        <v>234224.1742</v>
      </c>
      <c r="S200" s="12">
        <f> 'Optimal Choice'!$B$27*'Optimal Choice'!$B$28^(M200+1)</f>
        <v>1405107.364</v>
      </c>
    </row>
    <row r="201" ht="15.75" customHeight="1">
      <c r="A201" s="10">
        <f t="shared" si="2"/>
        <v>8.311897346</v>
      </c>
      <c r="B201" s="6">
        <f>(I201*'Optimal Choice'!$B$6+J201*'Optimal Choice'!$B$11+K201*'Optimal Choice'!$B$16+L201*'Optimal Choice'!$B$21+M201*'Optimal Choice'!$B$26)*'Optimal Choice'!$B$30</f>
        <v>60745.27</v>
      </c>
      <c r="C201" s="10">
        <f>(O201/$B201)+(O201/'Optimal Choice'!$B$6)</f>
        <v>614.929361</v>
      </c>
      <c r="D201" s="10">
        <f>(P201/$B201)+(P201/'Optimal Choice'!$B$11)</f>
        <v>699.0045356</v>
      </c>
      <c r="E201" s="10">
        <f>(Q201/$B201)+(Q201/'Optimal Choice'!$B$16)</f>
        <v>689.4422683</v>
      </c>
      <c r="F201" s="10">
        <f>(R201/$B201)+(R201/'Optimal Choice'!$B$21)</f>
        <v>654.4785484</v>
      </c>
      <c r="G201" s="10">
        <f>(S201/$B201)+(S201/'Optimal Choice'!$B$26)</f>
        <v>673.6438089</v>
      </c>
      <c r="I201" s="11">
        <f t="shared" ref="I201:M201" si="200">if(min($C200:$G200)=C200,I200+1,I200)</f>
        <v>81</v>
      </c>
      <c r="J201" s="11">
        <f t="shared" si="200"/>
        <v>38</v>
      </c>
      <c r="K201" s="11">
        <f t="shared" si="200"/>
        <v>33</v>
      </c>
      <c r="L201" s="11">
        <f t="shared" si="200"/>
        <v>26</v>
      </c>
      <c r="M201" s="11">
        <f t="shared" si="200"/>
        <v>22</v>
      </c>
      <c r="O201" s="12">
        <f> 'Optimal Choice'!$B$7*'Optimal Choice'!$B$8^(I201+1)</f>
        <v>1026.903801</v>
      </c>
      <c r="P201" s="12">
        <f> 'Optimal Choice'!$B$12*'Optimal Choice'!$B$13^(J201+1)</f>
        <v>13975.48937</v>
      </c>
      <c r="Q201" s="12">
        <f> 'Optimal Choice'!$B$17*'Optimal Choice'!$B$18^(K201+1)</f>
        <v>61958.00735</v>
      </c>
      <c r="R201" s="12">
        <f> 'Optimal Choice'!$B$22*'Optimal Choice'!$B$23^(L201+1)</f>
        <v>234224.1742</v>
      </c>
      <c r="S201" s="12">
        <f> 'Optimal Choice'!$B$27*'Optimal Choice'!$B$28^(M201+1)</f>
        <v>1405107.364</v>
      </c>
    </row>
    <row r="202" ht="15.75" customHeight="1">
      <c r="A202" s="10">
        <f t="shared" si="2"/>
        <v>8.312179098</v>
      </c>
      <c r="B202" s="6">
        <f>(I202*'Optimal Choice'!$B$6+J202*'Optimal Choice'!$B$11+K202*'Optimal Choice'!$B$16+L202*'Optimal Choice'!$B$21+M202*'Optimal Choice'!$B$26)*'Optimal Choice'!$B$30</f>
        <v>60746.94</v>
      </c>
      <c r="C202" s="10">
        <f>(O202/$B202)+(O202/'Optimal Choice'!$B$6)</f>
        <v>657.9744158</v>
      </c>
      <c r="D202" s="10">
        <f>(P202/$B202)+(P202/'Optimal Choice'!$B$11)</f>
        <v>699.0045292</v>
      </c>
      <c r="E202" s="10">
        <f>(Q202/$B202)+(Q202/'Optimal Choice'!$B$16)</f>
        <v>689.4422402</v>
      </c>
      <c r="F202" s="10">
        <f>(R202/$B202)+(R202/'Optimal Choice'!$B$21)</f>
        <v>654.4784424</v>
      </c>
      <c r="G202" s="10">
        <f>(S202/$B202)+(S202/'Optimal Choice'!$B$26)</f>
        <v>673.643173</v>
      </c>
      <c r="I202" s="11">
        <f t="shared" ref="I202:M202" si="201">if(min($C201:$G201)=C201,I201+1,I201)</f>
        <v>82</v>
      </c>
      <c r="J202" s="11">
        <f t="shared" si="201"/>
        <v>38</v>
      </c>
      <c r="K202" s="11">
        <f t="shared" si="201"/>
        <v>33</v>
      </c>
      <c r="L202" s="11">
        <f t="shared" si="201"/>
        <v>26</v>
      </c>
      <c r="M202" s="11">
        <f t="shared" si="201"/>
        <v>22</v>
      </c>
      <c r="O202" s="12">
        <f> 'Optimal Choice'!$B$7*'Optimal Choice'!$B$8^(I202+1)</f>
        <v>1098.787067</v>
      </c>
      <c r="P202" s="12">
        <f> 'Optimal Choice'!$B$12*'Optimal Choice'!$B$13^(J202+1)</f>
        <v>13975.48937</v>
      </c>
      <c r="Q202" s="12">
        <f> 'Optimal Choice'!$B$17*'Optimal Choice'!$B$18^(K202+1)</f>
        <v>61958.00735</v>
      </c>
      <c r="R202" s="12">
        <f> 'Optimal Choice'!$B$22*'Optimal Choice'!$B$23^(L202+1)</f>
        <v>234224.1742</v>
      </c>
      <c r="S202" s="12">
        <f> 'Optimal Choice'!$B$27*'Optimal Choice'!$B$28^(M202+1)</f>
        <v>1405107.364</v>
      </c>
    </row>
    <row r="203" ht="15.75" customHeight="1">
      <c r="A203" s="10">
        <f t="shared" si="2"/>
        <v>8.376441367</v>
      </c>
      <c r="B203" s="6">
        <f>(I203*'Optimal Choice'!$B$6+J203*'Optimal Choice'!$B$11+K203*'Optimal Choice'!$B$16+L203*'Optimal Choice'!$B$21+M203*'Optimal Choice'!$B$26)*'Optimal Choice'!$B$30</f>
        <v>61106.94</v>
      </c>
      <c r="C203" s="10">
        <f>(O203/$B203)+(O203/'Optimal Choice'!$B$6)</f>
        <v>657.9743092</v>
      </c>
      <c r="D203" s="10">
        <f>(P203/$B203)+(P203/'Optimal Choice'!$B$11)</f>
        <v>699.0031739</v>
      </c>
      <c r="E203" s="10">
        <f>(Q203/$B203)+(Q203/'Optimal Choice'!$B$16)</f>
        <v>689.4362315</v>
      </c>
      <c r="F203" s="10">
        <f>(R203/$B203)+(R203/'Optimal Choice'!$B$21)</f>
        <v>739.5349716</v>
      </c>
      <c r="G203" s="10">
        <f>(S203/$B203)+(S203/'Optimal Choice'!$B$26)</f>
        <v>673.506904</v>
      </c>
      <c r="I203" s="11">
        <f t="shared" ref="I203:M203" si="202">if(min($C202:$G202)=C202,I202+1,I202)</f>
        <v>82</v>
      </c>
      <c r="J203" s="11">
        <f t="shared" si="202"/>
        <v>38</v>
      </c>
      <c r="K203" s="11">
        <f t="shared" si="202"/>
        <v>33</v>
      </c>
      <c r="L203" s="11">
        <f t="shared" si="202"/>
        <v>27</v>
      </c>
      <c r="M203" s="11">
        <f t="shared" si="202"/>
        <v>22</v>
      </c>
      <c r="O203" s="12">
        <f> 'Optimal Choice'!$B$7*'Optimal Choice'!$B$8^(I203+1)</f>
        <v>1098.787067</v>
      </c>
      <c r="P203" s="12">
        <f> 'Optimal Choice'!$B$12*'Optimal Choice'!$B$13^(J203+1)</f>
        <v>13975.48937</v>
      </c>
      <c r="Q203" s="12">
        <f> 'Optimal Choice'!$B$17*'Optimal Choice'!$B$18^(K203+1)</f>
        <v>61958.00735</v>
      </c>
      <c r="R203" s="12">
        <f> 'Optimal Choice'!$B$22*'Optimal Choice'!$B$23^(L203+1)</f>
        <v>264673.3169</v>
      </c>
      <c r="S203" s="12">
        <f> 'Optimal Choice'!$B$27*'Optimal Choice'!$B$28^(M203+1)</f>
        <v>1405107.364</v>
      </c>
    </row>
    <row r="204" ht="15.75" customHeight="1">
      <c r="A204" s="10">
        <f t="shared" si="2"/>
        <v>8.376741057</v>
      </c>
      <c r="B204" s="6">
        <f>(I204*'Optimal Choice'!$B$6+J204*'Optimal Choice'!$B$11+K204*'Optimal Choice'!$B$16+L204*'Optimal Choice'!$B$21+M204*'Optimal Choice'!$B$26)*'Optimal Choice'!$B$30</f>
        <v>61108.61</v>
      </c>
      <c r="C204" s="10">
        <f>(O204/$B204)+(O204/'Optimal Choice'!$B$6)</f>
        <v>704.0325103</v>
      </c>
      <c r="D204" s="10">
        <f>(P204/$B204)+(P204/'Optimal Choice'!$B$11)</f>
        <v>699.0031676</v>
      </c>
      <c r="E204" s="10">
        <f>(Q204/$B204)+(Q204/'Optimal Choice'!$B$16)</f>
        <v>689.4362037</v>
      </c>
      <c r="F204" s="10">
        <f>(R204/$B204)+(R204/'Optimal Choice'!$B$21)</f>
        <v>739.5348532</v>
      </c>
      <c r="G204" s="10">
        <f>(S204/$B204)+(S204/'Optimal Choice'!$B$26)</f>
        <v>673.5062756</v>
      </c>
      <c r="I204" s="11">
        <f t="shared" ref="I204:M204" si="203">if(min($C203:$G203)=C203,I203+1,I203)</f>
        <v>83</v>
      </c>
      <c r="J204" s="11">
        <f t="shared" si="203"/>
        <v>38</v>
      </c>
      <c r="K204" s="11">
        <f t="shared" si="203"/>
        <v>33</v>
      </c>
      <c r="L204" s="11">
        <f t="shared" si="203"/>
        <v>27</v>
      </c>
      <c r="M204" s="11">
        <f t="shared" si="203"/>
        <v>22</v>
      </c>
      <c r="O204" s="12">
        <f> 'Optimal Choice'!$B$7*'Optimal Choice'!$B$8^(I204+1)</f>
        <v>1175.702162</v>
      </c>
      <c r="P204" s="12">
        <f> 'Optimal Choice'!$B$12*'Optimal Choice'!$B$13^(J204+1)</f>
        <v>13975.48937</v>
      </c>
      <c r="Q204" s="12">
        <f> 'Optimal Choice'!$B$17*'Optimal Choice'!$B$18^(K204+1)</f>
        <v>61958.00735</v>
      </c>
      <c r="R204" s="12">
        <f> 'Optimal Choice'!$B$22*'Optimal Choice'!$B$23^(L204+1)</f>
        <v>264673.3169</v>
      </c>
      <c r="S204" s="12">
        <f> 'Optimal Choice'!$B$27*'Optimal Choice'!$B$28^(M204+1)</f>
        <v>1405107.364</v>
      </c>
    </row>
    <row r="205" ht="15.75" customHeight="1">
      <c r="A205" s="10">
        <f t="shared" si="2"/>
        <v>8.759967841</v>
      </c>
      <c r="B205" s="6">
        <f>(I205*'Optimal Choice'!$B$6+J205*'Optimal Choice'!$B$11+K205*'Optimal Choice'!$B$16+L205*'Optimal Choice'!$B$21+M205*'Optimal Choice'!$B$26)*'Optimal Choice'!$B$30</f>
        <v>63268.61</v>
      </c>
      <c r="C205" s="10">
        <f>(O205/$B205)+(O205/'Optimal Choice'!$B$6)</f>
        <v>704.0318535</v>
      </c>
      <c r="D205" s="10">
        <f>(P205/$B205)+(P205/'Optimal Choice'!$B$11)</f>
        <v>698.9953598</v>
      </c>
      <c r="E205" s="10">
        <f>(Q205/$B205)+(Q205/'Optimal Choice'!$B$16)</f>
        <v>689.401589</v>
      </c>
      <c r="F205" s="10">
        <f>(R205/$B205)+(R205/'Optimal Choice'!$B$21)</f>
        <v>739.3869856</v>
      </c>
      <c r="G205" s="10">
        <f>(S205/$B205)+(S205/'Optimal Choice'!$B$26)</f>
        <v>753.4478228</v>
      </c>
      <c r="I205" s="11">
        <f t="shared" ref="I205:M205" si="204">if(min($C204:$G204)=C204,I204+1,I204)</f>
        <v>83</v>
      </c>
      <c r="J205" s="11">
        <f t="shared" si="204"/>
        <v>38</v>
      </c>
      <c r="K205" s="11">
        <f t="shared" si="204"/>
        <v>33</v>
      </c>
      <c r="L205" s="11">
        <f t="shared" si="204"/>
        <v>27</v>
      </c>
      <c r="M205" s="11">
        <f t="shared" si="204"/>
        <v>23</v>
      </c>
      <c r="O205" s="12">
        <f> 'Optimal Choice'!$B$7*'Optimal Choice'!$B$8^(I205+1)</f>
        <v>1175.702162</v>
      </c>
      <c r="P205" s="12">
        <f> 'Optimal Choice'!$B$12*'Optimal Choice'!$B$13^(J205+1)</f>
        <v>13975.48937</v>
      </c>
      <c r="Q205" s="12">
        <f> 'Optimal Choice'!$B$17*'Optimal Choice'!$B$18^(K205+1)</f>
        <v>61958.00735</v>
      </c>
      <c r="R205" s="12">
        <f> 'Optimal Choice'!$B$22*'Optimal Choice'!$B$23^(L205+1)</f>
        <v>264673.3169</v>
      </c>
      <c r="S205" s="12">
        <f> 'Optimal Choice'!$B$27*'Optimal Choice'!$B$28^(M205+1)</f>
        <v>1573720.248</v>
      </c>
    </row>
    <row r="206" ht="15.75" customHeight="1">
      <c r="A206" s="10">
        <f t="shared" si="2"/>
        <v>8.776289259</v>
      </c>
      <c r="B206" s="6">
        <f>(I206*'Optimal Choice'!$B$6+J206*'Optimal Choice'!$B$11+K206*'Optimal Choice'!$B$16+L206*'Optimal Choice'!$B$21+M206*'Optimal Choice'!$B$26)*'Optimal Choice'!$B$30</f>
        <v>63358.61</v>
      </c>
      <c r="C206" s="10">
        <f>(O206/$B206)+(O206/'Optimal Choice'!$B$6)</f>
        <v>704.0318271</v>
      </c>
      <c r="D206" s="10">
        <f>(P206/$B206)+(P206/'Optimal Choice'!$B$11)</f>
        <v>698.995046</v>
      </c>
      <c r="E206" s="10">
        <f>(Q206/$B206)+(Q206/'Optimal Choice'!$B$16)</f>
        <v>785.9162257</v>
      </c>
      <c r="F206" s="10">
        <f>(R206/$B206)+(R206/'Optimal Choice'!$B$21)</f>
        <v>739.3810432</v>
      </c>
      <c r="G206" s="10">
        <f>(S206/$B206)+(S206/'Optimal Choice'!$B$26)</f>
        <v>753.4124902</v>
      </c>
      <c r="I206" s="11">
        <f t="shared" ref="I206:M206" si="205">if(min($C205:$G205)=C205,I205+1,I205)</f>
        <v>83</v>
      </c>
      <c r="J206" s="11">
        <f t="shared" si="205"/>
        <v>38</v>
      </c>
      <c r="K206" s="11">
        <f t="shared" si="205"/>
        <v>34</v>
      </c>
      <c r="L206" s="11">
        <f t="shared" si="205"/>
        <v>27</v>
      </c>
      <c r="M206" s="11">
        <f t="shared" si="205"/>
        <v>23</v>
      </c>
      <c r="O206" s="12">
        <f> 'Optimal Choice'!$B$7*'Optimal Choice'!$B$8^(I206+1)</f>
        <v>1175.702162</v>
      </c>
      <c r="P206" s="12">
        <f> 'Optimal Choice'!$B$12*'Optimal Choice'!$B$13^(J206+1)</f>
        <v>13975.48937</v>
      </c>
      <c r="Q206" s="12">
        <f> 'Optimal Choice'!$B$17*'Optimal Choice'!$B$18^(K206+1)</f>
        <v>70632.12838</v>
      </c>
      <c r="R206" s="12">
        <f> 'Optimal Choice'!$B$22*'Optimal Choice'!$B$23^(L206+1)</f>
        <v>264673.3169</v>
      </c>
      <c r="S206" s="12">
        <f> 'Optimal Choice'!$B$27*'Optimal Choice'!$B$28^(M206+1)</f>
        <v>1573720.248</v>
      </c>
    </row>
    <row r="207" ht="15.75" customHeight="1">
      <c r="A207" s="10">
        <f t="shared" si="2"/>
        <v>8.779965552</v>
      </c>
      <c r="B207" s="6">
        <f>(I207*'Optimal Choice'!$B$6+J207*'Optimal Choice'!$B$11+K207*'Optimal Choice'!$B$16+L207*'Optimal Choice'!$B$21+M207*'Optimal Choice'!$B$26)*'Optimal Choice'!$B$30</f>
        <v>63378.61</v>
      </c>
      <c r="C207" s="10">
        <f>(O207/$B207)+(O207/'Optimal Choice'!$B$6)</f>
        <v>704.0318212</v>
      </c>
      <c r="D207" s="10">
        <f>(P207/$B207)+(P207/'Optimal Choice'!$B$11)</f>
        <v>803.8442229</v>
      </c>
      <c r="E207" s="10">
        <f>(Q207/$B207)+(Q207/'Optimal Choice'!$B$16)</f>
        <v>785.9158739</v>
      </c>
      <c r="F207" s="10">
        <f>(R207/$B207)+(R207/'Optimal Choice'!$B$21)</f>
        <v>739.379725</v>
      </c>
      <c r="G207" s="10">
        <f>(S207/$B207)+(S207/'Optimal Choice'!$B$26)</f>
        <v>753.4046521</v>
      </c>
      <c r="I207" s="11">
        <f t="shared" ref="I207:M207" si="206">if(min($C206:$G206)=C206,I206+1,I206)</f>
        <v>83</v>
      </c>
      <c r="J207" s="11">
        <f t="shared" si="206"/>
        <v>39</v>
      </c>
      <c r="K207" s="11">
        <f t="shared" si="206"/>
        <v>34</v>
      </c>
      <c r="L207" s="11">
        <f t="shared" si="206"/>
        <v>27</v>
      </c>
      <c r="M207" s="11">
        <f t="shared" si="206"/>
        <v>23</v>
      </c>
      <c r="O207" s="12">
        <f> 'Optimal Choice'!$B$7*'Optimal Choice'!$B$8^(I207+1)</f>
        <v>1175.702162</v>
      </c>
      <c r="P207" s="12">
        <f> 'Optimal Choice'!$B$12*'Optimal Choice'!$B$13^(J207+1)</f>
        <v>16071.81277</v>
      </c>
      <c r="Q207" s="12">
        <f> 'Optimal Choice'!$B$17*'Optimal Choice'!$B$18^(K207+1)</f>
        <v>70632.12838</v>
      </c>
      <c r="R207" s="12">
        <f> 'Optimal Choice'!$B$22*'Optimal Choice'!$B$23^(L207+1)</f>
        <v>264673.3169</v>
      </c>
      <c r="S207" s="12">
        <f> 'Optimal Choice'!$B$27*'Optimal Choice'!$B$28^(M207+1)</f>
        <v>1573720.248</v>
      </c>
    </row>
    <row r="208" ht="15.75" customHeight="1">
      <c r="A208" s="10">
        <f t="shared" si="2"/>
        <v>8.780274726</v>
      </c>
      <c r="B208" s="6">
        <f>(I208*'Optimal Choice'!$B$6+J208*'Optimal Choice'!$B$11+K208*'Optimal Choice'!$B$16+L208*'Optimal Choice'!$B$21+M208*'Optimal Choice'!$B$26)*'Optimal Choice'!$B$30</f>
        <v>63380.28</v>
      </c>
      <c r="C208" s="10">
        <f>(O208/$B208)+(O208/'Optimal Choice'!$B$6)</f>
        <v>753.3140482</v>
      </c>
      <c r="D208" s="10">
        <f>(P208/$B208)+(P208/'Optimal Choice'!$B$11)</f>
        <v>803.8442162</v>
      </c>
      <c r="E208" s="10">
        <f>(Q208/$B208)+(Q208/'Optimal Choice'!$B$16)</f>
        <v>785.9158446</v>
      </c>
      <c r="F208" s="10">
        <f>(R208/$B208)+(R208/'Optimal Choice'!$B$21)</f>
        <v>739.3796149</v>
      </c>
      <c r="G208" s="10">
        <f>(S208/$B208)+(S208/'Optimal Choice'!$B$26)</f>
        <v>753.4039979</v>
      </c>
      <c r="I208" s="11">
        <f t="shared" ref="I208:M208" si="207">if(min($C207:$G207)=C207,I207+1,I207)</f>
        <v>84</v>
      </c>
      <c r="J208" s="11">
        <f t="shared" si="207"/>
        <v>39</v>
      </c>
      <c r="K208" s="11">
        <f t="shared" si="207"/>
        <v>34</v>
      </c>
      <c r="L208" s="11">
        <f t="shared" si="207"/>
        <v>27</v>
      </c>
      <c r="M208" s="11">
        <f t="shared" si="207"/>
        <v>23</v>
      </c>
      <c r="O208" s="12">
        <f> 'Optimal Choice'!$B$7*'Optimal Choice'!$B$8^(I208+1)</f>
        <v>1258.001314</v>
      </c>
      <c r="P208" s="12">
        <f> 'Optimal Choice'!$B$12*'Optimal Choice'!$B$13^(J208+1)</f>
        <v>16071.81277</v>
      </c>
      <c r="Q208" s="12">
        <f> 'Optimal Choice'!$B$17*'Optimal Choice'!$B$18^(K208+1)</f>
        <v>70632.12838</v>
      </c>
      <c r="R208" s="12">
        <f> 'Optimal Choice'!$B$22*'Optimal Choice'!$B$23^(L208+1)</f>
        <v>264673.3169</v>
      </c>
      <c r="S208" s="12">
        <f> 'Optimal Choice'!$B$27*'Optimal Choice'!$B$28^(M208+1)</f>
        <v>1573720.248</v>
      </c>
    </row>
    <row r="209" ht="15.75" customHeight="1">
      <c r="A209" s="10">
        <f t="shared" si="2"/>
        <v>8.849874008</v>
      </c>
      <c r="B209" s="6">
        <f>(I209*'Optimal Choice'!$B$6+J209*'Optimal Choice'!$B$11+K209*'Optimal Choice'!$B$16+L209*'Optimal Choice'!$B$21+M209*'Optimal Choice'!$B$26)*'Optimal Choice'!$B$30</f>
        <v>63740.28</v>
      </c>
      <c r="C209" s="10">
        <f>(O209/$B209)+(O209/'Optimal Choice'!$B$6)</f>
        <v>753.3139361</v>
      </c>
      <c r="D209" s="10">
        <f>(P209/$B209)+(P209/'Optimal Choice'!$B$11)</f>
        <v>803.842784</v>
      </c>
      <c r="E209" s="10">
        <f>(Q209/$B209)+(Q209/'Optimal Choice'!$B$16)</f>
        <v>785.9095504</v>
      </c>
      <c r="F209" s="10">
        <f>(R209/$B209)+(R209/'Optimal Choice'!$B$21)</f>
        <v>835.4723133</v>
      </c>
      <c r="G209" s="10">
        <f>(S209/$B209)+(S209/'Optimal Choice'!$B$26)</f>
        <v>753.2637611</v>
      </c>
      <c r="I209" s="11">
        <f t="shared" ref="I209:M209" si="208">if(min($C208:$G208)=C208,I208+1,I208)</f>
        <v>84</v>
      </c>
      <c r="J209" s="11">
        <f t="shared" si="208"/>
        <v>39</v>
      </c>
      <c r="K209" s="11">
        <f t="shared" si="208"/>
        <v>34</v>
      </c>
      <c r="L209" s="11">
        <f t="shared" si="208"/>
        <v>28</v>
      </c>
      <c r="M209" s="11">
        <f t="shared" si="208"/>
        <v>23</v>
      </c>
      <c r="O209" s="12">
        <f> 'Optimal Choice'!$B$7*'Optimal Choice'!$B$8^(I209+1)</f>
        <v>1258.001314</v>
      </c>
      <c r="P209" s="12">
        <f> 'Optimal Choice'!$B$12*'Optimal Choice'!$B$13^(J209+1)</f>
        <v>16071.81277</v>
      </c>
      <c r="Q209" s="12">
        <f> 'Optimal Choice'!$B$17*'Optimal Choice'!$B$18^(K209+1)</f>
        <v>70632.12838</v>
      </c>
      <c r="R209" s="12">
        <f> 'Optimal Choice'!$B$22*'Optimal Choice'!$B$23^(L209+1)</f>
        <v>299080.8481</v>
      </c>
      <c r="S209" s="12">
        <f> 'Optimal Choice'!$B$27*'Optimal Choice'!$B$28^(M209+1)</f>
        <v>1573720.248</v>
      </c>
    </row>
    <row r="210" ht="15.75" customHeight="1">
      <c r="A210" s="10">
        <f t="shared" si="2"/>
        <v>9.261366879</v>
      </c>
      <c r="B210" s="6">
        <f>(I210*'Optimal Choice'!$B$6+J210*'Optimal Choice'!$B$11+K210*'Optimal Choice'!$B$16+L210*'Optimal Choice'!$B$21+M210*'Optimal Choice'!$B$26)*'Optimal Choice'!$B$30</f>
        <v>65900.28</v>
      </c>
      <c r="C210" s="10">
        <f>(O210/$B210)+(O210/'Optimal Choice'!$B$6)</f>
        <v>753.3132892</v>
      </c>
      <c r="D210" s="10">
        <f>(P210/$B210)+(P210/'Optimal Choice'!$B$11)</f>
        <v>803.8345195</v>
      </c>
      <c r="E210" s="10">
        <f>(Q210/$B210)+(Q210/'Optimal Choice'!$B$16)</f>
        <v>785.8732297</v>
      </c>
      <c r="F210" s="10">
        <f>(R210/$B210)+(R210/'Optimal Choice'!$B$21)</f>
        <v>835.3185187</v>
      </c>
      <c r="G210" s="10">
        <f>(S210/$B210)+(S210/'Optimal Choice'!$B$26)</f>
        <v>842.749058</v>
      </c>
      <c r="I210" s="11">
        <f t="shared" ref="I210:M210" si="209">if(min($C209:$G209)=C209,I209+1,I209)</f>
        <v>84</v>
      </c>
      <c r="J210" s="11">
        <f t="shared" si="209"/>
        <v>39</v>
      </c>
      <c r="K210" s="11">
        <f t="shared" si="209"/>
        <v>34</v>
      </c>
      <c r="L210" s="11">
        <f t="shared" si="209"/>
        <v>28</v>
      </c>
      <c r="M210" s="11">
        <f t="shared" si="209"/>
        <v>24</v>
      </c>
      <c r="O210" s="12">
        <f> 'Optimal Choice'!$B$7*'Optimal Choice'!$B$8^(I210+1)</f>
        <v>1258.001314</v>
      </c>
      <c r="P210" s="12">
        <f> 'Optimal Choice'!$B$12*'Optimal Choice'!$B$13^(J210+1)</f>
        <v>16071.81277</v>
      </c>
      <c r="Q210" s="12">
        <f> 'Optimal Choice'!$B$17*'Optimal Choice'!$B$18^(K210+1)</f>
        <v>70632.12838</v>
      </c>
      <c r="R210" s="12">
        <f> 'Optimal Choice'!$B$22*'Optimal Choice'!$B$23^(L210+1)</f>
        <v>299080.8481</v>
      </c>
      <c r="S210" s="12">
        <f> 'Optimal Choice'!$B$27*'Optimal Choice'!$B$28^(M210+1)</f>
        <v>1762566.678</v>
      </c>
    </row>
    <row r="211" ht="15.75" customHeight="1">
      <c r="A211" s="10">
        <f t="shared" si="2"/>
        <v>9.261685036</v>
      </c>
      <c r="B211" s="6">
        <f>(I211*'Optimal Choice'!$B$6+J211*'Optimal Choice'!$B$11+K211*'Optimal Choice'!$B$16+L211*'Optimal Choice'!$B$21+M211*'Optimal Choice'!$B$26)*'Optimal Choice'!$B$30</f>
        <v>65901.95</v>
      </c>
      <c r="C211" s="10">
        <f>(O211/$B211)+(O211/'Optimal Choice'!$B$6)</f>
        <v>806.0452189</v>
      </c>
      <c r="D211" s="10">
        <f>(P211/$B211)+(P211/'Optimal Choice'!$B$11)</f>
        <v>803.8345133</v>
      </c>
      <c r="E211" s="10">
        <f>(Q211/$B211)+(Q211/'Optimal Choice'!$B$16)</f>
        <v>785.8732025</v>
      </c>
      <c r="F211" s="10">
        <f>(R211/$B211)+(R211/'Optimal Choice'!$B$21)</f>
        <v>835.3184037</v>
      </c>
      <c r="G211" s="10">
        <f>(S211/$B211)+(S211/'Optimal Choice'!$B$26)</f>
        <v>842.7483802</v>
      </c>
      <c r="I211" s="11">
        <f t="shared" ref="I211:M211" si="210">if(min($C210:$G210)=C210,I210+1,I210)</f>
        <v>85</v>
      </c>
      <c r="J211" s="11">
        <f t="shared" si="210"/>
        <v>39</v>
      </c>
      <c r="K211" s="11">
        <f t="shared" si="210"/>
        <v>34</v>
      </c>
      <c r="L211" s="11">
        <f t="shared" si="210"/>
        <v>28</v>
      </c>
      <c r="M211" s="11">
        <f t="shared" si="210"/>
        <v>24</v>
      </c>
      <c r="O211" s="12">
        <f> 'Optimal Choice'!$B$7*'Optimal Choice'!$B$8^(I211+1)</f>
        <v>1346.061405</v>
      </c>
      <c r="P211" s="12">
        <f> 'Optimal Choice'!$B$12*'Optimal Choice'!$B$13^(J211+1)</f>
        <v>16071.81277</v>
      </c>
      <c r="Q211" s="12">
        <f> 'Optimal Choice'!$B$17*'Optimal Choice'!$B$18^(K211+1)</f>
        <v>70632.12838</v>
      </c>
      <c r="R211" s="12">
        <f> 'Optimal Choice'!$B$22*'Optimal Choice'!$B$23^(L211+1)</f>
        <v>299080.8481</v>
      </c>
      <c r="S211" s="12">
        <f> 'Optimal Choice'!$B$27*'Optimal Choice'!$B$28^(M211+1)</f>
        <v>1762566.678</v>
      </c>
    </row>
    <row r="212" ht="15.75" customHeight="1">
      <c r="A212" s="10">
        <f t="shared" si="2"/>
        <v>9.27954797</v>
      </c>
      <c r="B212" s="6">
        <f>(I212*'Optimal Choice'!$B$6+J212*'Optimal Choice'!$B$11+K212*'Optimal Choice'!$B$16+L212*'Optimal Choice'!$B$21+M212*'Optimal Choice'!$B$26)*'Optimal Choice'!$B$30</f>
        <v>65991.95</v>
      </c>
      <c r="C212" s="10">
        <f>(O212/$B212)+(O212/'Optimal Choice'!$B$6)</f>
        <v>806.0451911</v>
      </c>
      <c r="D212" s="10">
        <f>(P212/$B212)+(P212/'Optimal Choice'!$B$11)</f>
        <v>803.8341807</v>
      </c>
      <c r="E212" s="10">
        <f>(Q212/$B212)+(Q212/'Optimal Choice'!$B$16)</f>
        <v>895.8937845</v>
      </c>
      <c r="F212" s="10">
        <f>(R212/$B212)+(R212/'Optimal Choice'!$B$21)</f>
        <v>835.3122144</v>
      </c>
      <c r="G212" s="10">
        <f>(S212/$B212)+(S212/'Optimal Choice'!$B$26)</f>
        <v>842.7119049</v>
      </c>
      <c r="I212" s="11">
        <f t="shared" ref="I212:M212" si="211">if(min($C211:$G211)=C211,I211+1,I211)</f>
        <v>85</v>
      </c>
      <c r="J212" s="11">
        <f t="shared" si="211"/>
        <v>39</v>
      </c>
      <c r="K212" s="11">
        <f t="shared" si="211"/>
        <v>35</v>
      </c>
      <c r="L212" s="11">
        <f t="shared" si="211"/>
        <v>28</v>
      </c>
      <c r="M212" s="11">
        <f t="shared" si="211"/>
        <v>24</v>
      </c>
      <c r="O212" s="12">
        <f> 'Optimal Choice'!$B$7*'Optimal Choice'!$B$8^(I212+1)</f>
        <v>1346.061405</v>
      </c>
      <c r="P212" s="12">
        <f> 'Optimal Choice'!$B$12*'Optimal Choice'!$B$13^(J212+1)</f>
        <v>16071.81277</v>
      </c>
      <c r="Q212" s="12">
        <f> 'Optimal Choice'!$B$17*'Optimal Choice'!$B$18^(K212+1)</f>
        <v>80520.62636</v>
      </c>
      <c r="R212" s="12">
        <f> 'Optimal Choice'!$B$22*'Optimal Choice'!$B$23^(L212+1)</f>
        <v>299080.8481</v>
      </c>
      <c r="S212" s="12">
        <f> 'Optimal Choice'!$B$27*'Optimal Choice'!$B$28^(M212+1)</f>
        <v>1762566.678</v>
      </c>
    </row>
    <row r="213" ht="15.75" customHeight="1">
      <c r="A213" s="10">
        <f t="shared" si="2"/>
        <v>9.283607003</v>
      </c>
      <c r="B213" s="6">
        <f>(I213*'Optimal Choice'!$B$6+J213*'Optimal Choice'!$B$11+K213*'Optimal Choice'!$B$16+L213*'Optimal Choice'!$B$21+M213*'Optimal Choice'!$B$26)*'Optimal Choice'!$B$30</f>
        <v>66011.95</v>
      </c>
      <c r="C213" s="10">
        <f>(O213/$B213)+(O213/'Optimal Choice'!$B$6)</f>
        <v>806.0451849</v>
      </c>
      <c r="D213" s="10">
        <f>(P213/$B213)+(P213/'Optimal Choice'!$B$11)</f>
        <v>924.409223</v>
      </c>
      <c r="E213" s="10">
        <f>(Q213/$B213)+(Q213/'Optimal Choice'!$B$16)</f>
        <v>895.8934148</v>
      </c>
      <c r="F213" s="10">
        <f>(R213/$B213)+(R213/'Optimal Choice'!$B$21)</f>
        <v>835.3108413</v>
      </c>
      <c r="G213" s="10">
        <f>(S213/$B213)+(S213/'Optimal Choice'!$B$26)</f>
        <v>842.7038128</v>
      </c>
      <c r="I213" s="11">
        <f t="shared" ref="I213:M213" si="212">if(min($C212:$G212)=C212,I212+1,I212)</f>
        <v>85</v>
      </c>
      <c r="J213" s="11">
        <f t="shared" si="212"/>
        <v>40</v>
      </c>
      <c r="K213" s="11">
        <f t="shared" si="212"/>
        <v>35</v>
      </c>
      <c r="L213" s="11">
        <f t="shared" si="212"/>
        <v>28</v>
      </c>
      <c r="M213" s="11">
        <f t="shared" si="212"/>
        <v>24</v>
      </c>
      <c r="O213" s="12">
        <f> 'Optimal Choice'!$B$7*'Optimal Choice'!$B$8^(I213+1)</f>
        <v>1346.061405</v>
      </c>
      <c r="P213" s="12">
        <f> 'Optimal Choice'!$B$12*'Optimal Choice'!$B$13^(J213+1)</f>
        <v>18482.58469</v>
      </c>
      <c r="Q213" s="12">
        <f> 'Optimal Choice'!$B$17*'Optimal Choice'!$B$18^(K213+1)</f>
        <v>80520.62636</v>
      </c>
      <c r="R213" s="12">
        <f> 'Optimal Choice'!$B$22*'Optimal Choice'!$B$23^(L213+1)</f>
        <v>299080.8481</v>
      </c>
      <c r="S213" s="12">
        <f> 'Optimal Choice'!$B$27*'Optimal Choice'!$B$28^(M213+1)</f>
        <v>1762566.678</v>
      </c>
    </row>
    <row r="214" ht="15.75" customHeight="1">
      <c r="A214" s="10">
        <f t="shared" si="2"/>
        <v>9.283946856</v>
      </c>
      <c r="B214" s="6">
        <f>(I214*'Optimal Choice'!$B$6+J214*'Optimal Choice'!$B$11+K214*'Optimal Choice'!$B$16+L214*'Optimal Choice'!$B$21+M214*'Optimal Choice'!$B$26)*'Optimal Choice'!$B$30</f>
        <v>66013.62</v>
      </c>
      <c r="C214" s="10">
        <f>(O214/$B214)+(O214/'Optimal Choice'!$B$6)</f>
        <v>862.4683473</v>
      </c>
      <c r="D214" s="10">
        <f>(P214/$B214)+(P214/'Optimal Choice'!$B$11)</f>
        <v>924.4092159</v>
      </c>
      <c r="E214" s="10">
        <f>(Q214/$B214)+(Q214/'Optimal Choice'!$B$16)</f>
        <v>895.893384</v>
      </c>
      <c r="F214" s="10">
        <f>(R214/$B214)+(R214/'Optimal Choice'!$B$21)</f>
        <v>835.3107267</v>
      </c>
      <c r="G214" s="10">
        <f>(S214/$B214)+(S214/'Optimal Choice'!$B$26)</f>
        <v>842.7031373</v>
      </c>
      <c r="I214" s="11">
        <f t="shared" ref="I214:M214" si="213">if(min($C213:$G213)=C213,I213+1,I213)</f>
        <v>86</v>
      </c>
      <c r="J214" s="11">
        <f t="shared" si="213"/>
        <v>40</v>
      </c>
      <c r="K214" s="11">
        <f t="shared" si="213"/>
        <v>35</v>
      </c>
      <c r="L214" s="11">
        <f t="shared" si="213"/>
        <v>28</v>
      </c>
      <c r="M214" s="11">
        <f t="shared" si="213"/>
        <v>24</v>
      </c>
      <c r="O214" s="12">
        <f> 'Optimal Choice'!$B$7*'Optimal Choice'!$B$8^(I214+1)</f>
        <v>1440.285704</v>
      </c>
      <c r="P214" s="12">
        <f> 'Optimal Choice'!$B$12*'Optimal Choice'!$B$13^(J214+1)</f>
        <v>18482.58469</v>
      </c>
      <c r="Q214" s="12">
        <f> 'Optimal Choice'!$B$17*'Optimal Choice'!$B$18^(K214+1)</f>
        <v>80520.62636</v>
      </c>
      <c r="R214" s="12">
        <f> 'Optimal Choice'!$B$22*'Optimal Choice'!$B$23^(L214+1)</f>
        <v>299080.8481</v>
      </c>
      <c r="S214" s="12">
        <f> 'Optimal Choice'!$B$27*'Optimal Choice'!$B$28^(M214+1)</f>
        <v>1762566.678</v>
      </c>
    </row>
    <row r="215" ht="15.75" customHeight="1">
      <c r="A215" s="10">
        <f t="shared" si="2"/>
        <v>9.359456741</v>
      </c>
      <c r="B215" s="6">
        <f>(I215*'Optimal Choice'!$B$6+J215*'Optimal Choice'!$B$11+K215*'Optimal Choice'!$B$16+L215*'Optimal Choice'!$B$21+M215*'Optimal Choice'!$B$26)*'Optimal Choice'!$B$30</f>
        <v>66373.62</v>
      </c>
      <c r="C215" s="10">
        <f>(O215/$B215)+(O215/'Optimal Choice'!$B$6)</f>
        <v>862.4682289</v>
      </c>
      <c r="D215" s="10">
        <f>(P215/$B215)+(P215/'Optimal Choice'!$B$11)</f>
        <v>924.4076973</v>
      </c>
      <c r="E215" s="10">
        <f>(Q215/$B215)+(Q215/'Optimal Choice'!$B$16)</f>
        <v>895.8867682</v>
      </c>
      <c r="F215" s="10">
        <f>(R215/$B215)+(R215/'Optimal Choice'!$B$21)</f>
        <v>943.8733534</v>
      </c>
      <c r="G215" s="10">
        <f>(S215/$B215)+(S215/'Optimal Choice'!$B$26)</f>
        <v>842.5583205</v>
      </c>
      <c r="I215" s="11">
        <f t="shared" ref="I215:M215" si="214">if(min($C214:$G214)=C214,I214+1,I214)</f>
        <v>86</v>
      </c>
      <c r="J215" s="11">
        <f t="shared" si="214"/>
        <v>40</v>
      </c>
      <c r="K215" s="11">
        <f t="shared" si="214"/>
        <v>35</v>
      </c>
      <c r="L215" s="11">
        <f t="shared" si="214"/>
        <v>29</v>
      </c>
      <c r="M215" s="11">
        <f t="shared" si="214"/>
        <v>24</v>
      </c>
      <c r="O215" s="12">
        <f> 'Optimal Choice'!$B$7*'Optimal Choice'!$B$8^(I215+1)</f>
        <v>1440.285704</v>
      </c>
      <c r="P215" s="12">
        <f> 'Optimal Choice'!$B$12*'Optimal Choice'!$B$13^(J215+1)</f>
        <v>18482.58469</v>
      </c>
      <c r="Q215" s="12">
        <f> 'Optimal Choice'!$B$17*'Optimal Choice'!$B$18^(K215+1)</f>
        <v>80520.62636</v>
      </c>
      <c r="R215" s="12">
        <f> 'Optimal Choice'!$B$22*'Optimal Choice'!$B$23^(L215+1)</f>
        <v>337961.3584</v>
      </c>
      <c r="S215" s="12">
        <f> 'Optimal Choice'!$B$27*'Optimal Choice'!$B$28^(M215+1)</f>
        <v>1762566.678</v>
      </c>
    </row>
    <row r="216" ht="15.75" customHeight="1">
      <c r="A216" s="10">
        <f t="shared" si="2"/>
        <v>9.80204389</v>
      </c>
      <c r="B216" s="6">
        <f>(I216*'Optimal Choice'!$B$6+J216*'Optimal Choice'!$B$11+K216*'Optimal Choice'!$B$16+L216*'Optimal Choice'!$B$21+M216*'Optimal Choice'!$B$26)*'Optimal Choice'!$B$30</f>
        <v>68533.62</v>
      </c>
      <c r="C216" s="10">
        <f>(O216/$B216)+(O216/'Optimal Choice'!$B$6)</f>
        <v>862.467545</v>
      </c>
      <c r="D216" s="10">
        <f>(P216/$B216)+(P216/'Optimal Choice'!$B$11)</f>
        <v>924.3989209</v>
      </c>
      <c r="E216" s="10">
        <f>(Q216/$B216)+(Q216/'Optimal Choice'!$B$16)</f>
        <v>895.8485332</v>
      </c>
      <c r="F216" s="10">
        <f>(R216/$B216)+(R216/'Optimal Choice'!$B$21)</f>
        <v>943.7128731</v>
      </c>
      <c r="G216" s="10">
        <f>(S216/$B216)+(S216/'Optimal Choice'!$B$26)</f>
        <v>942.7279336</v>
      </c>
      <c r="I216" s="11">
        <f t="shared" ref="I216:M216" si="215">if(min($C215:$G215)=C215,I215+1,I215)</f>
        <v>86</v>
      </c>
      <c r="J216" s="11">
        <f t="shared" si="215"/>
        <v>40</v>
      </c>
      <c r="K216" s="11">
        <f t="shared" si="215"/>
        <v>35</v>
      </c>
      <c r="L216" s="11">
        <f t="shared" si="215"/>
        <v>29</v>
      </c>
      <c r="M216" s="11">
        <f t="shared" si="215"/>
        <v>25</v>
      </c>
      <c r="O216" s="12">
        <f> 'Optimal Choice'!$B$7*'Optimal Choice'!$B$8^(I216+1)</f>
        <v>1440.285704</v>
      </c>
      <c r="P216" s="12">
        <f> 'Optimal Choice'!$B$12*'Optimal Choice'!$B$13^(J216+1)</f>
        <v>18482.58469</v>
      </c>
      <c r="Q216" s="12">
        <f> 'Optimal Choice'!$B$17*'Optimal Choice'!$B$18^(K216+1)</f>
        <v>80520.62636</v>
      </c>
      <c r="R216" s="12">
        <f> 'Optimal Choice'!$B$22*'Optimal Choice'!$B$23^(L216+1)</f>
        <v>337961.3584</v>
      </c>
      <c r="S216" s="12">
        <f> 'Optimal Choice'!$B$27*'Optimal Choice'!$B$28^(M216+1)</f>
        <v>1974074.679</v>
      </c>
    </row>
    <row r="217" ht="15.75" customHeight="1">
      <c r="A217" s="10">
        <f t="shared" si="2"/>
        <v>9.802394153</v>
      </c>
      <c r="B217" s="6">
        <f>(I217*'Optimal Choice'!$B$6+J217*'Optimal Choice'!$B$11+K217*'Optimal Choice'!$B$16+L217*'Optimal Choice'!$B$21+M217*'Optimal Choice'!$B$26)*'Optimal Choice'!$B$30</f>
        <v>68535.29</v>
      </c>
      <c r="C217" s="10">
        <f>(O217/$B217)+(O217/'Optimal Choice'!$B$6)</f>
        <v>922.8402726</v>
      </c>
      <c r="D217" s="10">
        <f>(P217/$B217)+(P217/'Optimal Choice'!$B$11)</f>
        <v>924.3989143</v>
      </c>
      <c r="E217" s="10">
        <f>(Q217/$B217)+(Q217/'Optimal Choice'!$B$16)</f>
        <v>895.8485045</v>
      </c>
      <c r="F217" s="10">
        <f>(R217/$B217)+(R217/'Optimal Choice'!$B$21)</f>
        <v>943.712753</v>
      </c>
      <c r="G217" s="10">
        <f>(S217/$B217)+(S217/'Optimal Choice'!$B$26)</f>
        <v>942.7272318</v>
      </c>
      <c r="I217" s="11">
        <f t="shared" ref="I217:M217" si="216">if(min($C216:$G216)=C216,I216+1,I216)</f>
        <v>87</v>
      </c>
      <c r="J217" s="11">
        <f t="shared" si="216"/>
        <v>40</v>
      </c>
      <c r="K217" s="11">
        <f t="shared" si="216"/>
        <v>35</v>
      </c>
      <c r="L217" s="11">
        <f t="shared" si="216"/>
        <v>29</v>
      </c>
      <c r="M217" s="11">
        <f t="shared" si="216"/>
        <v>25</v>
      </c>
      <c r="O217" s="12">
        <f> 'Optimal Choice'!$B$7*'Optimal Choice'!$B$8^(I217+1)</f>
        <v>1541.105703</v>
      </c>
      <c r="P217" s="12">
        <f> 'Optimal Choice'!$B$12*'Optimal Choice'!$B$13^(J217+1)</f>
        <v>18482.58469</v>
      </c>
      <c r="Q217" s="12">
        <f> 'Optimal Choice'!$B$17*'Optimal Choice'!$B$18^(K217+1)</f>
        <v>80520.62636</v>
      </c>
      <c r="R217" s="12">
        <f> 'Optimal Choice'!$B$22*'Optimal Choice'!$B$23^(L217+1)</f>
        <v>337961.3584</v>
      </c>
      <c r="S217" s="12">
        <f> 'Optimal Choice'!$B$27*'Optimal Choice'!$B$28^(M217+1)</f>
        <v>1974074.679</v>
      </c>
    </row>
    <row r="218" ht="15.75" customHeight="1">
      <c r="A218" s="10">
        <f t="shared" si="2"/>
        <v>9.821975458</v>
      </c>
      <c r="B218" s="6">
        <f>(I218*'Optimal Choice'!$B$6+J218*'Optimal Choice'!$B$11+K218*'Optimal Choice'!$B$16+L218*'Optimal Choice'!$B$21+M218*'Optimal Choice'!$B$26)*'Optimal Choice'!$B$30</f>
        <v>68625.29</v>
      </c>
      <c r="C218" s="10">
        <f>(O218/$B218)+(O218/'Optimal Choice'!$B$6)</f>
        <v>922.8402431</v>
      </c>
      <c r="D218" s="10">
        <f>(P218/$B218)+(P218/'Optimal Choice'!$B$11)</f>
        <v>924.3985607</v>
      </c>
      <c r="E218" s="10">
        <f>(Q218/$B218)+(Q218/'Optimal Choice'!$B$16)</f>
        <v>1021.265539</v>
      </c>
      <c r="F218" s="10">
        <f>(R218/$B218)+(R218/'Optimal Choice'!$B$21)</f>
        <v>943.7062858</v>
      </c>
      <c r="G218" s="10">
        <f>(S218/$B218)+(S218/'Optimal Choice'!$B$26)</f>
        <v>942.6894565</v>
      </c>
      <c r="I218" s="11">
        <f t="shared" ref="I218:M218" si="217">if(min($C217:$G217)=C217,I217+1,I217)</f>
        <v>87</v>
      </c>
      <c r="J218" s="11">
        <f t="shared" si="217"/>
        <v>40</v>
      </c>
      <c r="K218" s="11">
        <f t="shared" si="217"/>
        <v>36</v>
      </c>
      <c r="L218" s="11">
        <f t="shared" si="217"/>
        <v>29</v>
      </c>
      <c r="M218" s="11">
        <f t="shared" si="217"/>
        <v>25</v>
      </c>
      <c r="O218" s="12">
        <f> 'Optimal Choice'!$B$7*'Optimal Choice'!$B$8^(I218+1)</f>
        <v>1541.105703</v>
      </c>
      <c r="P218" s="12">
        <f> 'Optimal Choice'!$B$12*'Optimal Choice'!$B$13^(J218+1)</f>
        <v>18482.58469</v>
      </c>
      <c r="Q218" s="12">
        <f> 'Optimal Choice'!$B$17*'Optimal Choice'!$B$18^(K218+1)</f>
        <v>91793.51405</v>
      </c>
      <c r="R218" s="12">
        <f> 'Optimal Choice'!$B$22*'Optimal Choice'!$B$23^(L218+1)</f>
        <v>337961.3584</v>
      </c>
      <c r="S218" s="12">
        <f> 'Optimal Choice'!$B$27*'Optimal Choice'!$B$28^(M218+1)</f>
        <v>1974074.679</v>
      </c>
    </row>
    <row r="219" ht="15.75" customHeight="1">
      <c r="A219" s="10">
        <f t="shared" si="2"/>
        <v>9.822349739</v>
      </c>
      <c r="B219" s="6">
        <f>(I219*'Optimal Choice'!$B$6+J219*'Optimal Choice'!$B$11+K219*'Optimal Choice'!$B$16+L219*'Optimal Choice'!$B$21+M219*'Optimal Choice'!$B$26)*'Optimal Choice'!$B$30</f>
        <v>68626.96</v>
      </c>
      <c r="C219" s="10">
        <f>(O219/$B219)+(O219/'Optimal Choice'!$B$6)</f>
        <v>987.4390596</v>
      </c>
      <c r="D219" s="10">
        <f>(P219/$B219)+(P219/'Optimal Choice'!$B$11)</f>
        <v>924.3985541</v>
      </c>
      <c r="E219" s="10">
        <f>(Q219/$B219)+(Q219/'Optimal Choice'!$B$16)</f>
        <v>1021.265506</v>
      </c>
      <c r="F219" s="10">
        <f>(R219/$B219)+(R219/'Optimal Choice'!$B$21)</f>
        <v>943.706166</v>
      </c>
      <c r="G219" s="10">
        <f>(S219/$B219)+(S219/'Optimal Choice'!$B$26)</f>
        <v>942.6887565</v>
      </c>
      <c r="I219" s="11">
        <f t="shared" ref="I219:M219" si="218">if(min($C218:$G218)=C218,I218+1,I218)</f>
        <v>88</v>
      </c>
      <c r="J219" s="11">
        <f t="shared" si="218"/>
        <v>40</v>
      </c>
      <c r="K219" s="11">
        <f t="shared" si="218"/>
        <v>36</v>
      </c>
      <c r="L219" s="11">
        <f t="shared" si="218"/>
        <v>29</v>
      </c>
      <c r="M219" s="11">
        <f t="shared" si="218"/>
        <v>25</v>
      </c>
      <c r="O219" s="12">
        <f> 'Optimal Choice'!$B$7*'Optimal Choice'!$B$8^(I219+1)</f>
        <v>1648.983102</v>
      </c>
      <c r="P219" s="12">
        <f> 'Optimal Choice'!$B$12*'Optimal Choice'!$B$13^(J219+1)</f>
        <v>18482.58469</v>
      </c>
      <c r="Q219" s="12">
        <f> 'Optimal Choice'!$B$17*'Optimal Choice'!$B$18^(K219+1)</f>
        <v>91793.51405</v>
      </c>
      <c r="R219" s="12">
        <f> 'Optimal Choice'!$B$22*'Optimal Choice'!$B$23^(L219+1)</f>
        <v>337961.3584</v>
      </c>
      <c r="S219" s="12">
        <f> 'Optimal Choice'!$B$27*'Optimal Choice'!$B$28^(M219+1)</f>
        <v>1974074.679</v>
      </c>
    </row>
    <row r="220" ht="15.75" customHeight="1">
      <c r="A220" s="10">
        <f t="shared" si="2"/>
        <v>9.826838398</v>
      </c>
      <c r="B220" s="6">
        <f>(I220*'Optimal Choice'!$B$6+J220*'Optimal Choice'!$B$11+K220*'Optimal Choice'!$B$16+L220*'Optimal Choice'!$B$21+M220*'Optimal Choice'!$B$26)*'Optimal Choice'!$B$30</f>
        <v>68646.96</v>
      </c>
      <c r="C220" s="10">
        <f>(O220/$B220)+(O220/'Optimal Choice'!$B$6)</f>
        <v>987.4390526</v>
      </c>
      <c r="D220" s="10">
        <f>(P220/$B220)+(P220/'Optimal Choice'!$B$11)</f>
        <v>1063.058247</v>
      </c>
      <c r="E220" s="10">
        <f>(Q220/$B220)+(Q220/'Optimal Choice'!$B$16)</f>
        <v>1021.265116</v>
      </c>
      <c r="F220" s="10">
        <f>(R220/$B220)+(R220/'Optimal Choice'!$B$21)</f>
        <v>943.7047312</v>
      </c>
      <c r="G220" s="10">
        <f>(S220/$B220)+(S220/'Optimal Choice'!$B$26)</f>
        <v>942.6803758</v>
      </c>
      <c r="I220" s="11">
        <f t="shared" ref="I220:M220" si="219">if(min($C219:$G219)=C219,I219+1,I219)</f>
        <v>88</v>
      </c>
      <c r="J220" s="11">
        <f t="shared" si="219"/>
        <v>41</v>
      </c>
      <c r="K220" s="11">
        <f t="shared" si="219"/>
        <v>36</v>
      </c>
      <c r="L220" s="11">
        <f t="shared" si="219"/>
        <v>29</v>
      </c>
      <c r="M220" s="11">
        <f t="shared" si="219"/>
        <v>25</v>
      </c>
      <c r="O220" s="12">
        <f> 'Optimal Choice'!$B$7*'Optimal Choice'!$B$8^(I220+1)</f>
        <v>1648.983102</v>
      </c>
      <c r="P220" s="12">
        <f> 'Optimal Choice'!$B$12*'Optimal Choice'!$B$13^(J220+1)</f>
        <v>21254.97239</v>
      </c>
      <c r="Q220" s="12">
        <f> 'Optimal Choice'!$B$17*'Optimal Choice'!$B$18^(K220+1)</f>
        <v>91793.51405</v>
      </c>
      <c r="R220" s="12">
        <f> 'Optimal Choice'!$B$22*'Optimal Choice'!$B$23^(L220+1)</f>
        <v>337961.3584</v>
      </c>
      <c r="S220" s="12">
        <f> 'Optimal Choice'!$B$27*'Optimal Choice'!$B$28^(M220+1)</f>
        <v>1974074.679</v>
      </c>
    </row>
    <row r="221" ht="15.75" customHeight="1">
      <c r="A221" s="10">
        <f t="shared" si="2"/>
        <v>10.30612029</v>
      </c>
      <c r="B221" s="6">
        <f>(I221*'Optimal Choice'!$B$6+J221*'Optimal Choice'!$B$11+K221*'Optimal Choice'!$B$16+L221*'Optimal Choice'!$B$21+M221*'Optimal Choice'!$B$26)*'Optimal Choice'!$B$30</f>
        <v>70806.96</v>
      </c>
      <c r="C221" s="10">
        <f>(O221/$B221)+(O221/'Optimal Choice'!$B$6)</f>
        <v>987.4383198</v>
      </c>
      <c r="D221" s="10">
        <f>(P221/$B221)+(P221/'Optimal Choice'!$B$11)</f>
        <v>1063.048802</v>
      </c>
      <c r="E221" s="10">
        <f>(Q221/$B221)+(Q221/'Optimal Choice'!$B$16)</f>
        <v>1021.224325</v>
      </c>
      <c r="F221" s="10">
        <f>(R221/$B221)+(R221/'Optimal Choice'!$B$21)</f>
        <v>943.5545473</v>
      </c>
      <c r="G221" s="10">
        <f>(S221/$B221)+(S221/'Optimal Choice'!$B$26)</f>
        <v>1054.819508</v>
      </c>
      <c r="I221" s="11">
        <f t="shared" ref="I221:M221" si="220">if(min($C220:$G220)=C220,I220+1,I220)</f>
        <v>88</v>
      </c>
      <c r="J221" s="11">
        <f t="shared" si="220"/>
        <v>41</v>
      </c>
      <c r="K221" s="11">
        <f t="shared" si="220"/>
        <v>36</v>
      </c>
      <c r="L221" s="11">
        <f t="shared" si="220"/>
        <v>29</v>
      </c>
      <c r="M221" s="11">
        <f t="shared" si="220"/>
        <v>26</v>
      </c>
      <c r="O221" s="12">
        <f> 'Optimal Choice'!$B$7*'Optimal Choice'!$B$8^(I221+1)</f>
        <v>1648.983102</v>
      </c>
      <c r="P221" s="12">
        <f> 'Optimal Choice'!$B$12*'Optimal Choice'!$B$13^(J221+1)</f>
        <v>21254.97239</v>
      </c>
      <c r="Q221" s="12">
        <f> 'Optimal Choice'!$B$17*'Optimal Choice'!$B$18^(K221+1)</f>
        <v>91793.51405</v>
      </c>
      <c r="R221" s="12">
        <f> 'Optimal Choice'!$B$22*'Optimal Choice'!$B$23^(L221+1)</f>
        <v>337961.3584</v>
      </c>
      <c r="S221" s="12">
        <f> 'Optimal Choice'!$B$27*'Optimal Choice'!$B$28^(M221+1)</f>
        <v>2210963.64</v>
      </c>
    </row>
    <row r="222" ht="15.75" customHeight="1">
      <c r="A222" s="10">
        <f t="shared" si="2"/>
        <v>10.38567023</v>
      </c>
      <c r="B222" s="6">
        <f>(I222*'Optimal Choice'!$B$6+J222*'Optimal Choice'!$B$11+K222*'Optimal Choice'!$B$16+L222*'Optimal Choice'!$B$21+M222*'Optimal Choice'!$B$26)*'Optimal Choice'!$B$30</f>
        <v>71166.96</v>
      </c>
      <c r="C222" s="10">
        <f>(O222/$B222)+(O222/'Optimal Choice'!$B$6)</f>
        <v>987.438202</v>
      </c>
      <c r="D222" s="10">
        <f>(P222/$B222)+(P222/'Optimal Choice'!$B$11)</f>
        <v>1063.047283</v>
      </c>
      <c r="E222" s="10">
        <f>(Q222/$B222)+(Q222/'Optimal Choice'!$B$16)</f>
        <v>1021.217767</v>
      </c>
      <c r="F222" s="10">
        <f>(R222/$B222)+(R222/'Optimal Choice'!$B$21)</f>
        <v>1066.189355</v>
      </c>
      <c r="G222" s="10">
        <f>(S222/$B222)+(S222/'Optimal Choice'!$B$26)</f>
        <v>1054.661555</v>
      </c>
      <c r="I222" s="11">
        <f t="shared" ref="I222:M222" si="221">if(min($C221:$G221)=C221,I221+1,I221)</f>
        <v>88</v>
      </c>
      <c r="J222" s="11">
        <f t="shared" si="221"/>
        <v>41</v>
      </c>
      <c r="K222" s="11">
        <f t="shared" si="221"/>
        <v>36</v>
      </c>
      <c r="L222" s="11">
        <f t="shared" si="221"/>
        <v>30</v>
      </c>
      <c r="M222" s="11">
        <f t="shared" si="221"/>
        <v>26</v>
      </c>
      <c r="O222" s="12">
        <f> 'Optimal Choice'!$B$7*'Optimal Choice'!$B$8^(I222+1)</f>
        <v>1648.983102</v>
      </c>
      <c r="P222" s="12">
        <f> 'Optimal Choice'!$B$12*'Optimal Choice'!$B$13^(J222+1)</f>
        <v>21254.97239</v>
      </c>
      <c r="Q222" s="12">
        <f> 'Optimal Choice'!$B$17*'Optimal Choice'!$B$18^(K222+1)</f>
        <v>91793.51405</v>
      </c>
      <c r="R222" s="12">
        <f> 'Optimal Choice'!$B$22*'Optimal Choice'!$B$23^(L222+1)</f>
        <v>381896.3349</v>
      </c>
      <c r="S222" s="12">
        <f> 'Optimal Choice'!$B$27*'Optimal Choice'!$B$28^(M222+1)</f>
        <v>2210963.64</v>
      </c>
    </row>
    <row r="223" ht="15.75" customHeight="1">
      <c r="A223" s="10">
        <f t="shared" si="2"/>
        <v>10.3860564</v>
      </c>
      <c r="B223" s="6">
        <f>(I223*'Optimal Choice'!$B$6+J223*'Optimal Choice'!$B$11+K223*'Optimal Choice'!$B$16+L223*'Optimal Choice'!$B$21+M223*'Optimal Choice'!$B$26)*'Optimal Choice'!$B$30</f>
        <v>71168.63</v>
      </c>
      <c r="C223" s="10">
        <f>(O223/$B223)+(O223/'Optimal Choice'!$B$6)</f>
        <v>1056.558876</v>
      </c>
      <c r="D223" s="10">
        <f>(P223/$B223)+(P223/'Optimal Choice'!$B$11)</f>
        <v>1063.047276</v>
      </c>
      <c r="E223" s="10">
        <f>(Q223/$B223)+(Q223/'Optimal Choice'!$B$16)</f>
        <v>1021.217737</v>
      </c>
      <c r="F223" s="10">
        <f>(R223/$B223)+(R223/'Optimal Choice'!$B$21)</f>
        <v>1066.189229</v>
      </c>
      <c r="G223" s="10">
        <f>(S223/$B223)+(S223/'Optimal Choice'!$B$26)</f>
        <v>1054.660826</v>
      </c>
      <c r="I223" s="11">
        <f t="shared" ref="I223:M223" si="222">if(min($C222:$G222)=C222,I222+1,I222)</f>
        <v>89</v>
      </c>
      <c r="J223" s="11">
        <f t="shared" si="222"/>
        <v>41</v>
      </c>
      <c r="K223" s="11">
        <f t="shared" si="222"/>
        <v>36</v>
      </c>
      <c r="L223" s="11">
        <f t="shared" si="222"/>
        <v>30</v>
      </c>
      <c r="M223" s="11">
        <f t="shared" si="222"/>
        <v>26</v>
      </c>
      <c r="O223" s="12">
        <f> 'Optimal Choice'!$B$7*'Optimal Choice'!$B$8^(I223+1)</f>
        <v>1764.41192</v>
      </c>
      <c r="P223" s="12">
        <f> 'Optimal Choice'!$B$12*'Optimal Choice'!$B$13^(J223+1)</f>
        <v>21254.97239</v>
      </c>
      <c r="Q223" s="12">
        <f> 'Optimal Choice'!$B$17*'Optimal Choice'!$B$18^(K223+1)</f>
        <v>91793.51405</v>
      </c>
      <c r="R223" s="12">
        <f> 'Optimal Choice'!$B$22*'Optimal Choice'!$B$23^(L223+1)</f>
        <v>381896.3349</v>
      </c>
      <c r="S223" s="12">
        <f> 'Optimal Choice'!$B$27*'Optimal Choice'!$B$28^(M223+1)</f>
        <v>2210963.64</v>
      </c>
    </row>
    <row r="224" ht="15.75" customHeight="1">
      <c r="A224" s="10">
        <f t="shared" si="2"/>
        <v>10.40755312</v>
      </c>
      <c r="B224" s="6">
        <f>(I224*'Optimal Choice'!$B$6+J224*'Optimal Choice'!$B$11+K224*'Optimal Choice'!$B$16+L224*'Optimal Choice'!$B$21+M224*'Optimal Choice'!$B$26)*'Optimal Choice'!$B$30</f>
        <v>71258.63</v>
      </c>
      <c r="C224" s="10">
        <f>(O224/$B224)+(O224/'Optimal Choice'!$B$6)</f>
        <v>1056.558844</v>
      </c>
      <c r="D224" s="10">
        <f>(P224/$B224)+(P224/'Optimal Choice'!$B$11)</f>
        <v>1063.046899</v>
      </c>
      <c r="E224" s="10">
        <f>(Q224/$B224)+(Q224/'Optimal Choice'!$B$16)</f>
        <v>1164.186363</v>
      </c>
      <c r="F224" s="10">
        <f>(R224/$B224)+(R224/'Optimal Choice'!$B$21)</f>
        <v>1066.182452</v>
      </c>
      <c r="G224" s="10">
        <f>(S224/$B224)+(S224/'Optimal Choice'!$B$26)</f>
        <v>1054.621589</v>
      </c>
      <c r="I224" s="11">
        <f t="shared" ref="I224:M224" si="223">if(min($C223:$G223)=C223,I223+1,I223)</f>
        <v>89</v>
      </c>
      <c r="J224" s="11">
        <f t="shared" si="223"/>
        <v>41</v>
      </c>
      <c r="K224" s="11">
        <f t="shared" si="223"/>
        <v>37</v>
      </c>
      <c r="L224" s="11">
        <f t="shared" si="223"/>
        <v>30</v>
      </c>
      <c r="M224" s="11">
        <f t="shared" si="223"/>
        <v>26</v>
      </c>
      <c r="O224" s="12">
        <f> 'Optimal Choice'!$B$7*'Optimal Choice'!$B$8^(I224+1)</f>
        <v>1764.41192</v>
      </c>
      <c r="P224" s="12">
        <f> 'Optimal Choice'!$B$12*'Optimal Choice'!$B$13^(J224+1)</f>
        <v>21254.97239</v>
      </c>
      <c r="Q224" s="12">
        <f> 'Optimal Choice'!$B$17*'Optimal Choice'!$B$18^(K224+1)</f>
        <v>104644.606</v>
      </c>
      <c r="R224" s="12">
        <f> 'Optimal Choice'!$B$22*'Optimal Choice'!$B$23^(L224+1)</f>
        <v>381896.3349</v>
      </c>
      <c r="S224" s="12">
        <f> 'Optimal Choice'!$B$27*'Optimal Choice'!$B$28^(M224+1)</f>
        <v>2210963.64</v>
      </c>
    </row>
    <row r="225" ht="15.75" customHeight="1">
      <c r="A225" s="10">
        <f t="shared" si="2"/>
        <v>10.92467496</v>
      </c>
      <c r="B225" s="6">
        <f>(I225*'Optimal Choice'!$B$6+J225*'Optimal Choice'!$B$11+K225*'Optimal Choice'!$B$16+L225*'Optimal Choice'!$B$21+M225*'Optimal Choice'!$B$26)*'Optimal Choice'!$B$30</f>
        <v>73418.63</v>
      </c>
      <c r="C225" s="10">
        <f>(O225/$B225)+(O225/'Optimal Choice'!$B$6)</f>
        <v>1056.558116</v>
      </c>
      <c r="D225" s="10">
        <f>(P225/$B225)+(P225/'Optimal Choice'!$B$11)</f>
        <v>1063.038123</v>
      </c>
      <c r="E225" s="10">
        <f>(Q225/$B225)+(Q225/'Optimal Choice'!$B$16)</f>
        <v>1164.143159</v>
      </c>
      <c r="F225" s="10">
        <f>(R225/$B225)+(R225/'Optimal Choice'!$B$21)</f>
        <v>1066.02478</v>
      </c>
      <c r="G225" s="10">
        <f>(S225/$B225)+(S225/'Optimal Choice'!$B$26)</f>
        <v>1180.153806</v>
      </c>
      <c r="I225" s="11">
        <f t="shared" ref="I225:M225" si="224">if(min($C224:$G224)=C224,I224+1,I224)</f>
        <v>89</v>
      </c>
      <c r="J225" s="11">
        <f t="shared" si="224"/>
        <v>41</v>
      </c>
      <c r="K225" s="11">
        <f t="shared" si="224"/>
        <v>37</v>
      </c>
      <c r="L225" s="11">
        <f t="shared" si="224"/>
        <v>30</v>
      </c>
      <c r="M225" s="11">
        <f t="shared" si="224"/>
        <v>27</v>
      </c>
      <c r="O225" s="12">
        <f> 'Optimal Choice'!$B$7*'Optimal Choice'!$B$8^(I225+1)</f>
        <v>1764.41192</v>
      </c>
      <c r="P225" s="12">
        <f> 'Optimal Choice'!$B$12*'Optimal Choice'!$B$13^(J225+1)</f>
        <v>21254.97239</v>
      </c>
      <c r="Q225" s="12">
        <f> 'Optimal Choice'!$B$17*'Optimal Choice'!$B$18^(K225+1)</f>
        <v>104644.606</v>
      </c>
      <c r="R225" s="12">
        <f> 'Optimal Choice'!$B$22*'Optimal Choice'!$B$23^(L225+1)</f>
        <v>381896.3349</v>
      </c>
      <c r="S225" s="12">
        <f> 'Optimal Choice'!$B$27*'Optimal Choice'!$B$28^(M225+1)</f>
        <v>2476279.277</v>
      </c>
    </row>
    <row r="226" ht="15.75" customHeight="1">
      <c r="A226" s="10">
        <f t="shared" si="2"/>
        <v>10.9250755</v>
      </c>
      <c r="B226" s="6">
        <f>(I226*'Optimal Choice'!$B$6+J226*'Optimal Choice'!$B$11+K226*'Optimal Choice'!$B$16+L226*'Optimal Choice'!$B$21+M226*'Optimal Choice'!$B$26)*'Optimal Choice'!$B$30</f>
        <v>73420.3</v>
      </c>
      <c r="C226" s="10">
        <f>(O226/$B226)+(O226/'Optimal Choice'!$B$6)</f>
        <v>1130.517183</v>
      </c>
      <c r="D226" s="10">
        <f>(P226/$B226)+(P226/'Optimal Choice'!$B$11)</f>
        <v>1063.038117</v>
      </c>
      <c r="E226" s="10">
        <f>(Q226/$B226)+(Q226/'Optimal Choice'!$B$16)</f>
        <v>1164.143126</v>
      </c>
      <c r="F226" s="10">
        <f>(R226/$B226)+(R226/'Optimal Choice'!$B$21)</f>
        <v>1066.024661</v>
      </c>
      <c r="G226" s="10">
        <f>(S226/$B226)+(S226/'Optimal Choice'!$B$26)</f>
        <v>1180.153038</v>
      </c>
      <c r="I226" s="11">
        <f t="shared" ref="I226:M226" si="225">if(min($C225:$G225)=C225,I225+1,I225)</f>
        <v>90</v>
      </c>
      <c r="J226" s="11">
        <f t="shared" si="225"/>
        <v>41</v>
      </c>
      <c r="K226" s="11">
        <f t="shared" si="225"/>
        <v>37</v>
      </c>
      <c r="L226" s="11">
        <f t="shared" si="225"/>
        <v>30</v>
      </c>
      <c r="M226" s="11">
        <f t="shared" si="225"/>
        <v>27</v>
      </c>
      <c r="O226" s="12">
        <f> 'Optimal Choice'!$B$7*'Optimal Choice'!$B$8^(I226+1)</f>
        <v>1887.920754</v>
      </c>
      <c r="P226" s="12">
        <f> 'Optimal Choice'!$B$12*'Optimal Choice'!$B$13^(J226+1)</f>
        <v>21254.97239</v>
      </c>
      <c r="Q226" s="12">
        <f> 'Optimal Choice'!$B$17*'Optimal Choice'!$B$18^(K226+1)</f>
        <v>104644.606</v>
      </c>
      <c r="R226" s="12">
        <f> 'Optimal Choice'!$B$22*'Optimal Choice'!$B$23^(L226+1)</f>
        <v>381896.3349</v>
      </c>
      <c r="S226" s="12">
        <f> 'Optimal Choice'!$B$27*'Optimal Choice'!$B$28^(M226+1)</f>
        <v>2476279.277</v>
      </c>
    </row>
    <row r="227" ht="15.75" customHeight="1">
      <c r="A227" s="10">
        <f t="shared" si="2"/>
        <v>10.92990045</v>
      </c>
      <c r="B227" s="6">
        <f>(I227*'Optimal Choice'!$B$6+J227*'Optimal Choice'!$B$11+K227*'Optimal Choice'!$B$16+L227*'Optimal Choice'!$B$21+M227*'Optimal Choice'!$B$26)*'Optimal Choice'!$B$30</f>
        <v>73440.3</v>
      </c>
      <c r="C227" s="10">
        <f>(O227/$B227)+(O227/'Optimal Choice'!$B$6)</f>
        <v>1130.517176</v>
      </c>
      <c r="D227" s="10">
        <f>(P227/$B227)+(P227/'Optimal Choice'!$B$11)</f>
        <v>1222.493744</v>
      </c>
      <c r="E227" s="10">
        <f>(Q227/$B227)+(Q227/'Optimal Choice'!$B$16)</f>
        <v>1164.142738</v>
      </c>
      <c r="F227" s="10">
        <f>(R227/$B227)+(R227/'Optimal Choice'!$B$21)</f>
        <v>1066.023245</v>
      </c>
      <c r="G227" s="10">
        <f>(S227/$B227)+(S227/'Optimal Choice'!$B$26)</f>
        <v>1180.143853</v>
      </c>
      <c r="I227" s="11">
        <f t="shared" ref="I227:M227" si="226">if(min($C226:$G226)=C226,I226+1,I226)</f>
        <v>90</v>
      </c>
      <c r="J227" s="11">
        <f t="shared" si="226"/>
        <v>42</v>
      </c>
      <c r="K227" s="11">
        <f t="shared" si="226"/>
        <v>37</v>
      </c>
      <c r="L227" s="11">
        <f t="shared" si="226"/>
        <v>30</v>
      </c>
      <c r="M227" s="11">
        <f t="shared" si="226"/>
        <v>27</v>
      </c>
      <c r="O227" s="12">
        <f> 'Optimal Choice'!$B$7*'Optimal Choice'!$B$8^(I227+1)</f>
        <v>1887.920754</v>
      </c>
      <c r="P227" s="12">
        <f> 'Optimal Choice'!$B$12*'Optimal Choice'!$B$13^(J227+1)</f>
        <v>24443.21825</v>
      </c>
      <c r="Q227" s="12">
        <f> 'Optimal Choice'!$B$17*'Optimal Choice'!$B$18^(K227+1)</f>
        <v>104644.606</v>
      </c>
      <c r="R227" s="12">
        <f> 'Optimal Choice'!$B$22*'Optimal Choice'!$B$23^(L227+1)</f>
        <v>381896.3349</v>
      </c>
      <c r="S227" s="12">
        <f> 'Optimal Choice'!$B$27*'Optimal Choice'!$B$28^(M227+1)</f>
        <v>2476279.277</v>
      </c>
    </row>
    <row r="228" ht="15.75" customHeight="1">
      <c r="A228" s="10">
        <f t="shared" si="2"/>
        <v>11.01656866</v>
      </c>
      <c r="B228" s="6">
        <f>(I228*'Optimal Choice'!$B$6+J228*'Optimal Choice'!$B$11+K228*'Optimal Choice'!$B$16+L228*'Optimal Choice'!$B$21+M228*'Optimal Choice'!$B$26)*'Optimal Choice'!$B$30</f>
        <v>73800.3</v>
      </c>
      <c r="C228" s="10">
        <f>(O228/$B228)+(O228/'Optimal Choice'!$B$6)</f>
        <v>1130.517051</v>
      </c>
      <c r="D228" s="10">
        <f>(P228/$B228)+(P228/'Optimal Choice'!$B$11)</f>
        <v>1222.49212</v>
      </c>
      <c r="E228" s="10">
        <f>(Q228/$B228)+(Q228/'Optimal Choice'!$B$16)</f>
        <v>1164.135787</v>
      </c>
      <c r="F228" s="10">
        <f>(R228/$B228)+(R228/'Optimal Choice'!$B$21)</f>
        <v>1204.577603</v>
      </c>
      <c r="G228" s="10">
        <f>(S228/$B228)+(S228/'Optimal Choice'!$B$26)</f>
        <v>1179.979375</v>
      </c>
      <c r="I228" s="11">
        <f t="shared" ref="I228:M228" si="227">if(min($C227:$G227)=C227,I227+1,I227)</f>
        <v>90</v>
      </c>
      <c r="J228" s="11">
        <f t="shared" si="227"/>
        <v>42</v>
      </c>
      <c r="K228" s="11">
        <f t="shared" si="227"/>
        <v>37</v>
      </c>
      <c r="L228" s="11">
        <f t="shared" si="227"/>
        <v>31</v>
      </c>
      <c r="M228" s="11">
        <f t="shared" si="227"/>
        <v>27</v>
      </c>
      <c r="O228" s="12">
        <f> 'Optimal Choice'!$B$7*'Optimal Choice'!$B$8^(I228+1)</f>
        <v>1887.920754</v>
      </c>
      <c r="P228" s="12">
        <f> 'Optimal Choice'!$B$12*'Optimal Choice'!$B$13^(J228+1)</f>
        <v>24443.21825</v>
      </c>
      <c r="Q228" s="12">
        <f> 'Optimal Choice'!$B$17*'Optimal Choice'!$B$18^(K228+1)</f>
        <v>104644.606</v>
      </c>
      <c r="R228" s="12">
        <f> 'Optimal Choice'!$B$22*'Optimal Choice'!$B$23^(L228+1)</f>
        <v>431542.8585</v>
      </c>
      <c r="S228" s="12">
        <f> 'Optimal Choice'!$B$27*'Optimal Choice'!$B$28^(M228+1)</f>
        <v>2476279.277</v>
      </c>
    </row>
    <row r="229" ht="15.75" customHeight="1">
      <c r="A229" s="10">
        <f t="shared" si="2"/>
        <v>11.01699501</v>
      </c>
      <c r="B229" s="6">
        <f>(I229*'Optimal Choice'!$B$6+J229*'Optimal Choice'!$B$11+K229*'Optimal Choice'!$B$16+L229*'Optimal Choice'!$B$21+M229*'Optimal Choice'!$B$26)*'Optimal Choice'!$B$30</f>
        <v>73801.97</v>
      </c>
      <c r="C229" s="10">
        <f>(O229/$B229)+(O229/'Optimal Choice'!$B$6)</f>
        <v>1209.653244</v>
      </c>
      <c r="D229" s="10">
        <f>(P229/$B229)+(P229/'Optimal Choice'!$B$11)</f>
        <v>1222.492113</v>
      </c>
      <c r="E229" s="10">
        <f>(Q229/$B229)+(Q229/'Optimal Choice'!$B$16)</f>
        <v>1164.135755</v>
      </c>
      <c r="F229" s="10">
        <f>(R229/$B229)+(R229/'Optimal Choice'!$B$21)</f>
        <v>1204.577471</v>
      </c>
      <c r="G229" s="10">
        <f>(S229/$B229)+(S229/'Optimal Choice'!$B$26)</f>
        <v>1179.978615</v>
      </c>
      <c r="I229" s="11">
        <f t="shared" ref="I229:M229" si="228">if(min($C228:$G228)=C228,I228+1,I228)</f>
        <v>91</v>
      </c>
      <c r="J229" s="11">
        <f t="shared" si="228"/>
        <v>42</v>
      </c>
      <c r="K229" s="11">
        <f t="shared" si="228"/>
        <v>37</v>
      </c>
      <c r="L229" s="11">
        <f t="shared" si="228"/>
        <v>31</v>
      </c>
      <c r="M229" s="11">
        <f t="shared" si="228"/>
        <v>27</v>
      </c>
      <c r="O229" s="12">
        <f> 'Optimal Choice'!$B$7*'Optimal Choice'!$B$8^(I229+1)</f>
        <v>2020.075207</v>
      </c>
      <c r="P229" s="12">
        <f> 'Optimal Choice'!$B$12*'Optimal Choice'!$B$13^(J229+1)</f>
        <v>24443.21825</v>
      </c>
      <c r="Q229" s="12">
        <f> 'Optimal Choice'!$B$17*'Optimal Choice'!$B$18^(K229+1)</f>
        <v>104644.606</v>
      </c>
      <c r="R229" s="12">
        <f> 'Optimal Choice'!$B$22*'Optimal Choice'!$B$23^(L229+1)</f>
        <v>431542.8585</v>
      </c>
      <c r="S229" s="12">
        <f> 'Optimal Choice'!$B$27*'Optimal Choice'!$B$28^(M229+1)</f>
        <v>2476279.277</v>
      </c>
    </row>
    <row r="230" ht="15.75" customHeight="1">
      <c r="A230" s="10">
        <f t="shared" si="2"/>
        <v>11.04062686</v>
      </c>
      <c r="B230" s="6">
        <f>(I230*'Optimal Choice'!$B$6+J230*'Optimal Choice'!$B$11+K230*'Optimal Choice'!$B$16+L230*'Optimal Choice'!$B$21+M230*'Optimal Choice'!$B$26)*'Optimal Choice'!$B$30</f>
        <v>73891.97</v>
      </c>
      <c r="C230" s="10">
        <f>(O230/$B230)+(O230/'Optimal Choice'!$B$6)</f>
        <v>1209.65321</v>
      </c>
      <c r="D230" s="10">
        <f>(P230/$B230)+(P230/'Optimal Choice'!$B$11)</f>
        <v>1222.491709</v>
      </c>
      <c r="E230" s="10">
        <f>(Q230/$B230)+(Q230/'Optimal Choice'!$B$16)</f>
        <v>1327.112792</v>
      </c>
      <c r="F230" s="10">
        <f>(R230/$B230)+(R230/'Optimal Choice'!$B$21)</f>
        <v>1204.570349</v>
      </c>
      <c r="G230" s="10">
        <f>(S230/$B230)+(S230/'Optimal Choice'!$B$26)</f>
        <v>1179.937748</v>
      </c>
      <c r="I230" s="11">
        <f t="shared" ref="I230:M230" si="229">if(min($C229:$G229)=C229,I229+1,I229)</f>
        <v>91</v>
      </c>
      <c r="J230" s="11">
        <f t="shared" si="229"/>
        <v>42</v>
      </c>
      <c r="K230" s="11">
        <f t="shared" si="229"/>
        <v>38</v>
      </c>
      <c r="L230" s="11">
        <f t="shared" si="229"/>
        <v>31</v>
      </c>
      <c r="M230" s="11">
        <f t="shared" si="229"/>
        <v>27</v>
      </c>
      <c r="O230" s="12">
        <f> 'Optimal Choice'!$B$7*'Optimal Choice'!$B$8^(I230+1)</f>
        <v>2020.075207</v>
      </c>
      <c r="P230" s="12">
        <f> 'Optimal Choice'!$B$12*'Optimal Choice'!$B$13^(J230+1)</f>
        <v>24443.21825</v>
      </c>
      <c r="Q230" s="12">
        <f> 'Optimal Choice'!$B$17*'Optimal Choice'!$B$18^(K230+1)</f>
        <v>119294.8509</v>
      </c>
      <c r="R230" s="12">
        <f> 'Optimal Choice'!$B$22*'Optimal Choice'!$B$23^(L230+1)</f>
        <v>431542.8585</v>
      </c>
      <c r="S230" s="12">
        <f> 'Optimal Choice'!$B$27*'Optimal Choice'!$B$28^(M230+1)</f>
        <v>2476279.277</v>
      </c>
    </row>
    <row r="231" ht="15.75" customHeight="1">
      <c r="A231" s="10">
        <f t="shared" si="2"/>
        <v>11.59916281</v>
      </c>
      <c r="B231" s="6">
        <f>(I231*'Optimal Choice'!$B$6+J231*'Optimal Choice'!$B$11+K231*'Optimal Choice'!$B$16+L231*'Optimal Choice'!$B$21+M231*'Optimal Choice'!$B$26)*'Optimal Choice'!$B$30</f>
        <v>76051.97</v>
      </c>
      <c r="C231" s="10">
        <f>(O231/$B231)+(O231/'Optimal Choice'!$B$6)</f>
        <v>1209.652434</v>
      </c>
      <c r="D231" s="10">
        <f>(P231/$B231)+(P231/'Optimal Choice'!$B$11)</f>
        <v>1222.482314</v>
      </c>
      <c r="E231" s="10">
        <f>(Q231/$B231)+(Q231/'Optimal Choice'!$B$16)</f>
        <v>1327.066939</v>
      </c>
      <c r="F231" s="10">
        <f>(R231/$B231)+(R231/'Optimal Choice'!$B$21)</f>
        <v>1204.404478</v>
      </c>
      <c r="G231" s="10">
        <f>(S231/$B231)+(S231/'Optimal Choice'!$B$26)</f>
        <v>1320.464262</v>
      </c>
      <c r="I231" s="11">
        <f t="shared" ref="I231:M231" si="230">if(min($C230:$G230)=C230,I230+1,I230)</f>
        <v>91</v>
      </c>
      <c r="J231" s="11">
        <f t="shared" si="230"/>
        <v>42</v>
      </c>
      <c r="K231" s="11">
        <f t="shared" si="230"/>
        <v>38</v>
      </c>
      <c r="L231" s="11">
        <f t="shared" si="230"/>
        <v>31</v>
      </c>
      <c r="M231" s="11">
        <f t="shared" si="230"/>
        <v>28</v>
      </c>
      <c r="O231" s="12">
        <f> 'Optimal Choice'!$B$7*'Optimal Choice'!$B$8^(I231+1)</f>
        <v>2020.075207</v>
      </c>
      <c r="P231" s="12">
        <f> 'Optimal Choice'!$B$12*'Optimal Choice'!$B$13^(J231+1)</f>
        <v>24443.21825</v>
      </c>
      <c r="Q231" s="12">
        <f> 'Optimal Choice'!$B$17*'Optimal Choice'!$B$18^(K231+1)</f>
        <v>119294.8509</v>
      </c>
      <c r="R231" s="12">
        <f> 'Optimal Choice'!$B$22*'Optimal Choice'!$B$23^(L231+1)</f>
        <v>431542.8585</v>
      </c>
      <c r="S231" s="12">
        <f> 'Optimal Choice'!$B$27*'Optimal Choice'!$B$28^(M231+1)</f>
        <v>2773432.791</v>
      </c>
    </row>
    <row r="232" ht="15.75" customHeight="1">
      <c r="A232" s="10">
        <f t="shared" si="2"/>
        <v>11.69373473</v>
      </c>
      <c r="B232" s="6">
        <f>(I232*'Optimal Choice'!$B$6+J232*'Optimal Choice'!$B$11+K232*'Optimal Choice'!$B$16+L232*'Optimal Choice'!$B$21+M232*'Optimal Choice'!$B$26)*'Optimal Choice'!$B$30</f>
        <v>76411.97</v>
      </c>
      <c r="C232" s="10">
        <f>(O232/$B232)+(O232/'Optimal Choice'!$B$6)</f>
        <v>1209.652309</v>
      </c>
      <c r="D232" s="10">
        <f>(P232/$B232)+(P232/'Optimal Choice'!$B$11)</f>
        <v>1222.4808</v>
      </c>
      <c r="E232" s="10">
        <f>(Q232/$B232)+(Q232/'Optimal Choice'!$B$16)</f>
        <v>1327.059549</v>
      </c>
      <c r="F232" s="10">
        <f>(R232/$B232)+(R232/'Optimal Choice'!$B$21)</f>
        <v>1360.946851</v>
      </c>
      <c r="G232" s="10">
        <f>(S232/$B232)+(S232/'Optimal Choice'!$B$26)</f>
        <v>1320.292452</v>
      </c>
      <c r="I232" s="11">
        <f t="shared" ref="I232:M232" si="231">if(min($C231:$G231)=C231,I231+1,I231)</f>
        <v>91</v>
      </c>
      <c r="J232" s="11">
        <f t="shared" si="231"/>
        <v>42</v>
      </c>
      <c r="K232" s="11">
        <f t="shared" si="231"/>
        <v>38</v>
      </c>
      <c r="L232" s="11">
        <f t="shared" si="231"/>
        <v>32</v>
      </c>
      <c r="M232" s="11">
        <f t="shared" si="231"/>
        <v>28</v>
      </c>
      <c r="O232" s="12">
        <f> 'Optimal Choice'!$B$7*'Optimal Choice'!$B$8^(I232+1)</f>
        <v>2020.075207</v>
      </c>
      <c r="P232" s="12">
        <f> 'Optimal Choice'!$B$12*'Optimal Choice'!$B$13^(J232+1)</f>
        <v>24443.21825</v>
      </c>
      <c r="Q232" s="12">
        <f> 'Optimal Choice'!$B$17*'Optimal Choice'!$B$18^(K232+1)</f>
        <v>119294.8509</v>
      </c>
      <c r="R232" s="12">
        <f> 'Optimal Choice'!$B$22*'Optimal Choice'!$B$23^(L232+1)</f>
        <v>487643.4301</v>
      </c>
      <c r="S232" s="12">
        <f> 'Optimal Choice'!$B$27*'Optimal Choice'!$B$28^(M232+1)</f>
        <v>2773432.791</v>
      </c>
    </row>
    <row r="233" ht="15.75" customHeight="1">
      <c r="A233" s="10">
        <f t="shared" si="2"/>
        <v>11.69417534</v>
      </c>
      <c r="B233" s="6">
        <f>(I233*'Optimal Choice'!$B$6+J233*'Optimal Choice'!$B$11+K233*'Optimal Choice'!$B$16+L233*'Optimal Choice'!$B$21+M233*'Optimal Choice'!$B$26)*'Optimal Choice'!$B$30</f>
        <v>76413.64</v>
      </c>
      <c r="C233" s="10">
        <f>(O233/$B233)+(O233/'Optimal Choice'!$B$6)</f>
        <v>1294.32797</v>
      </c>
      <c r="D233" s="10">
        <f>(P233/$B233)+(P233/'Optimal Choice'!$B$11)</f>
        <v>1222.480793</v>
      </c>
      <c r="E233" s="10">
        <f>(Q233/$B233)+(Q233/'Optimal Choice'!$B$16)</f>
        <v>1327.059515</v>
      </c>
      <c r="F233" s="10">
        <f>(R233/$B233)+(R233/'Optimal Choice'!$B$21)</f>
        <v>1360.946712</v>
      </c>
      <c r="G233" s="10">
        <f>(S233/$B233)+(S233/'Optimal Choice'!$B$26)</f>
        <v>1320.291659</v>
      </c>
      <c r="I233" s="11">
        <f t="shared" ref="I233:M233" si="232">if(min($C232:$G232)=C232,I232+1,I232)</f>
        <v>92</v>
      </c>
      <c r="J233" s="11">
        <f t="shared" si="232"/>
        <v>42</v>
      </c>
      <c r="K233" s="11">
        <f t="shared" si="232"/>
        <v>38</v>
      </c>
      <c r="L233" s="11">
        <f t="shared" si="232"/>
        <v>32</v>
      </c>
      <c r="M233" s="11">
        <f t="shared" si="232"/>
        <v>28</v>
      </c>
      <c r="O233" s="12">
        <f> 'Optimal Choice'!$B$7*'Optimal Choice'!$B$8^(I233+1)</f>
        <v>2161.480471</v>
      </c>
      <c r="P233" s="12">
        <f> 'Optimal Choice'!$B$12*'Optimal Choice'!$B$13^(J233+1)</f>
        <v>24443.21825</v>
      </c>
      <c r="Q233" s="12">
        <f> 'Optimal Choice'!$B$17*'Optimal Choice'!$B$18^(K233+1)</f>
        <v>119294.8509</v>
      </c>
      <c r="R233" s="12">
        <f> 'Optimal Choice'!$B$22*'Optimal Choice'!$B$23^(L233+1)</f>
        <v>487643.4301</v>
      </c>
      <c r="S233" s="12">
        <f> 'Optimal Choice'!$B$27*'Optimal Choice'!$B$28^(M233+1)</f>
        <v>2773432.791</v>
      </c>
    </row>
    <row r="234" ht="15.75" customHeight="1">
      <c r="A234" s="10">
        <f t="shared" si="2"/>
        <v>11.69950668</v>
      </c>
      <c r="B234" s="6">
        <f>(I234*'Optimal Choice'!$B$6+J234*'Optimal Choice'!$B$11+K234*'Optimal Choice'!$B$16+L234*'Optimal Choice'!$B$21+M234*'Optimal Choice'!$B$26)*'Optimal Choice'!$B$30</f>
        <v>76433.64</v>
      </c>
      <c r="C234" s="10">
        <f>(O234/$B234)+(O234/'Optimal Choice'!$B$6)</f>
        <v>1294.327962</v>
      </c>
      <c r="D234" s="10">
        <f>(P234/$B234)+(P234/'Optimal Choice'!$B$11)</f>
        <v>1405.852816</v>
      </c>
      <c r="E234" s="10">
        <f>(Q234/$B234)+(Q234/'Optimal Choice'!$B$16)</f>
        <v>1327.059107</v>
      </c>
      <c r="F234" s="10">
        <f>(R234/$B234)+(R234/'Optimal Choice'!$B$21)</f>
        <v>1360.945042</v>
      </c>
      <c r="G234" s="10">
        <f>(S234/$B234)+(S234/'Optimal Choice'!$B$26)</f>
        <v>1320.282162</v>
      </c>
      <c r="I234" s="11">
        <f t="shared" ref="I234:M234" si="233">if(min($C233:$G233)=C233,I233+1,I233)</f>
        <v>92</v>
      </c>
      <c r="J234" s="11">
        <f t="shared" si="233"/>
        <v>43</v>
      </c>
      <c r="K234" s="11">
        <f t="shared" si="233"/>
        <v>38</v>
      </c>
      <c r="L234" s="11">
        <f t="shared" si="233"/>
        <v>32</v>
      </c>
      <c r="M234" s="11">
        <f t="shared" si="233"/>
        <v>28</v>
      </c>
      <c r="O234" s="12">
        <f> 'Optimal Choice'!$B$7*'Optimal Choice'!$B$8^(I234+1)</f>
        <v>2161.480471</v>
      </c>
      <c r="P234" s="12">
        <f> 'Optimal Choice'!$B$12*'Optimal Choice'!$B$13^(J234+1)</f>
        <v>28109.70099</v>
      </c>
      <c r="Q234" s="12">
        <f> 'Optimal Choice'!$B$17*'Optimal Choice'!$B$18^(K234+1)</f>
        <v>119294.8509</v>
      </c>
      <c r="R234" s="12">
        <f> 'Optimal Choice'!$B$22*'Optimal Choice'!$B$23^(L234+1)</f>
        <v>487643.4301</v>
      </c>
      <c r="S234" s="12">
        <f> 'Optimal Choice'!$B$27*'Optimal Choice'!$B$28^(M234+1)</f>
        <v>2773432.791</v>
      </c>
    </row>
    <row r="235" ht="15.75" customHeight="1">
      <c r="A235" s="10">
        <f t="shared" si="2"/>
        <v>11.699978</v>
      </c>
      <c r="B235" s="6">
        <f>(I235*'Optimal Choice'!$B$6+J235*'Optimal Choice'!$B$11+K235*'Optimal Choice'!$B$16+L235*'Optimal Choice'!$B$21+M235*'Optimal Choice'!$B$26)*'Optimal Choice'!$B$30</f>
        <v>76435.31</v>
      </c>
      <c r="C235" s="10">
        <f>(O235/$B235)+(O235/'Optimal Choice'!$B$6)</f>
        <v>1384.930919</v>
      </c>
      <c r="D235" s="10">
        <f>(P235/$B235)+(P235/'Optimal Choice'!$B$11)</f>
        <v>1405.852808</v>
      </c>
      <c r="E235" s="10">
        <f>(Q235/$B235)+(Q235/'Optimal Choice'!$B$16)</f>
        <v>1327.059072</v>
      </c>
      <c r="F235" s="10">
        <f>(R235/$B235)+(R235/'Optimal Choice'!$B$21)</f>
        <v>1360.944902</v>
      </c>
      <c r="G235" s="10">
        <f>(S235/$B235)+(S235/'Optimal Choice'!$B$26)</f>
        <v>1320.281369</v>
      </c>
      <c r="I235" s="11">
        <f t="shared" ref="I235:M235" si="234">if(min($C234:$G234)=C234,I234+1,I234)</f>
        <v>93</v>
      </c>
      <c r="J235" s="11">
        <f t="shared" si="234"/>
        <v>43</v>
      </c>
      <c r="K235" s="11">
        <f t="shared" si="234"/>
        <v>38</v>
      </c>
      <c r="L235" s="11">
        <f t="shared" si="234"/>
        <v>32</v>
      </c>
      <c r="M235" s="11">
        <f t="shared" si="234"/>
        <v>28</v>
      </c>
      <c r="O235" s="12">
        <f> 'Optimal Choice'!$B$7*'Optimal Choice'!$B$8^(I235+1)</f>
        <v>2312.784104</v>
      </c>
      <c r="P235" s="12">
        <f> 'Optimal Choice'!$B$12*'Optimal Choice'!$B$13^(J235+1)</f>
        <v>28109.70099</v>
      </c>
      <c r="Q235" s="12">
        <f> 'Optimal Choice'!$B$17*'Optimal Choice'!$B$18^(K235+1)</f>
        <v>119294.8509</v>
      </c>
      <c r="R235" s="12">
        <f> 'Optimal Choice'!$B$22*'Optimal Choice'!$B$23^(L235+1)</f>
        <v>487643.4301</v>
      </c>
      <c r="S235" s="12">
        <f> 'Optimal Choice'!$B$27*'Optimal Choice'!$B$28^(M235+1)</f>
        <v>2773432.791</v>
      </c>
    </row>
    <row r="236" ht="15.75" customHeight="1">
      <c r="A236" s="10">
        <f t="shared" si="2"/>
        <v>12.3047231</v>
      </c>
      <c r="B236" s="6">
        <f>(I236*'Optimal Choice'!$B$6+J236*'Optimal Choice'!$B$11+K236*'Optimal Choice'!$B$16+L236*'Optimal Choice'!$B$21+M236*'Optimal Choice'!$B$26)*'Optimal Choice'!$B$30</f>
        <v>78595.31</v>
      </c>
      <c r="C236" s="10">
        <f>(O236/$B236)+(O236/'Optimal Choice'!$B$6)</f>
        <v>1384.930088</v>
      </c>
      <c r="D236" s="10">
        <f>(P236/$B236)+(P236/'Optimal Choice'!$B$11)</f>
        <v>1405.842701</v>
      </c>
      <c r="E236" s="10">
        <f>(Q236/$B236)+(Q236/'Optimal Choice'!$B$16)</f>
        <v>1327.01618</v>
      </c>
      <c r="F236" s="10">
        <f>(R236/$B236)+(R236/'Optimal Choice'!$B$21)</f>
        <v>1360.769569</v>
      </c>
      <c r="G236" s="10">
        <f>(S236/$B236)+(S236/'Optimal Choice'!$B$26)</f>
        <v>1477.598273</v>
      </c>
      <c r="I236" s="11">
        <f t="shared" ref="I236:M236" si="235">if(min($C235:$G235)=C235,I235+1,I235)</f>
        <v>93</v>
      </c>
      <c r="J236" s="11">
        <f t="shared" si="235"/>
        <v>43</v>
      </c>
      <c r="K236" s="11">
        <f t="shared" si="235"/>
        <v>38</v>
      </c>
      <c r="L236" s="11">
        <f t="shared" si="235"/>
        <v>32</v>
      </c>
      <c r="M236" s="11">
        <f t="shared" si="235"/>
        <v>29</v>
      </c>
      <c r="O236" s="12">
        <f> 'Optimal Choice'!$B$7*'Optimal Choice'!$B$8^(I236+1)</f>
        <v>2312.784104</v>
      </c>
      <c r="P236" s="12">
        <f> 'Optimal Choice'!$B$12*'Optimal Choice'!$B$13^(J236+1)</f>
        <v>28109.70099</v>
      </c>
      <c r="Q236" s="12">
        <f> 'Optimal Choice'!$B$17*'Optimal Choice'!$B$18^(K236+1)</f>
        <v>119294.8509</v>
      </c>
      <c r="R236" s="12">
        <f> 'Optimal Choice'!$B$22*'Optimal Choice'!$B$23^(L236+1)</f>
        <v>487643.4301</v>
      </c>
      <c r="S236" s="12">
        <f> 'Optimal Choice'!$B$27*'Optimal Choice'!$B$28^(M236+1)</f>
        <v>3106244.725</v>
      </c>
    </row>
    <row r="237" ht="15.75" customHeight="1">
      <c r="A237" s="10">
        <f t="shared" si="2"/>
        <v>12.33002038</v>
      </c>
      <c r="B237" s="6">
        <f>(I237*'Optimal Choice'!$B$6+J237*'Optimal Choice'!$B$11+K237*'Optimal Choice'!$B$16+L237*'Optimal Choice'!$B$21+M237*'Optimal Choice'!$B$26)*'Optimal Choice'!$B$30</f>
        <v>78685.31</v>
      </c>
      <c r="C237" s="10">
        <f>(O237/$B237)+(O237/'Optimal Choice'!$B$6)</f>
        <v>1384.930054</v>
      </c>
      <c r="D237" s="10">
        <f>(P237/$B237)+(P237/'Optimal Choice'!$B$11)</f>
        <v>1405.842292</v>
      </c>
      <c r="E237" s="10">
        <f>(Q237/$B237)+(Q237/'Optimal Choice'!$B$16)</f>
        <v>1512.796466</v>
      </c>
      <c r="F237" s="10">
        <f>(R237/$B237)+(R237/'Optimal Choice'!$B$21)</f>
        <v>1360.762472</v>
      </c>
      <c r="G237" s="10">
        <f>(S237/$B237)+(S237/'Optimal Choice'!$B$26)</f>
        <v>1477.553068</v>
      </c>
      <c r="I237" s="11">
        <f t="shared" ref="I237:M237" si="236">if(min($C236:$G236)=C236,I236+1,I236)</f>
        <v>93</v>
      </c>
      <c r="J237" s="11">
        <f t="shared" si="236"/>
        <v>43</v>
      </c>
      <c r="K237" s="11">
        <f t="shared" si="236"/>
        <v>39</v>
      </c>
      <c r="L237" s="11">
        <f t="shared" si="236"/>
        <v>32</v>
      </c>
      <c r="M237" s="11">
        <f t="shared" si="236"/>
        <v>29</v>
      </c>
      <c r="O237" s="12">
        <f> 'Optimal Choice'!$B$7*'Optimal Choice'!$B$8^(I237+1)</f>
        <v>2312.784104</v>
      </c>
      <c r="P237" s="12">
        <f> 'Optimal Choice'!$B$12*'Optimal Choice'!$B$13^(J237+1)</f>
        <v>28109.70099</v>
      </c>
      <c r="Q237" s="12">
        <f> 'Optimal Choice'!$B$17*'Optimal Choice'!$B$18^(K237+1)</f>
        <v>135996.13</v>
      </c>
      <c r="R237" s="12">
        <f> 'Optimal Choice'!$B$22*'Optimal Choice'!$B$23^(L237+1)</f>
        <v>487643.4301</v>
      </c>
      <c r="S237" s="12">
        <f> 'Optimal Choice'!$B$27*'Optimal Choice'!$B$28^(M237+1)</f>
        <v>3106244.725</v>
      </c>
    </row>
    <row r="238" ht="15.75" customHeight="1">
      <c r="A238" s="10">
        <f t="shared" si="2"/>
        <v>12.43331019</v>
      </c>
      <c r="B238" s="6">
        <f>(I238*'Optimal Choice'!$B$6+J238*'Optimal Choice'!$B$11+K238*'Optimal Choice'!$B$16+L238*'Optimal Choice'!$B$21+M238*'Optimal Choice'!$B$26)*'Optimal Choice'!$B$30</f>
        <v>79045.31</v>
      </c>
      <c r="C238" s="10">
        <f>(O238/$B238)+(O238/'Optimal Choice'!$B$6)</f>
        <v>1384.92992</v>
      </c>
      <c r="D238" s="10">
        <f>(P238/$B238)+(P238/'Optimal Choice'!$B$11)</f>
        <v>1405.840665</v>
      </c>
      <c r="E238" s="10">
        <f>(Q238/$B238)+(Q238/'Optimal Choice'!$B$16)</f>
        <v>1512.788594</v>
      </c>
      <c r="F238" s="10">
        <f>(R238/$B238)+(R238/'Optimal Choice'!$B$21)</f>
        <v>1537.629699</v>
      </c>
      <c r="G238" s="10">
        <f>(S238/$B238)+(S238/'Optimal Choice'!$B$26)</f>
        <v>1477.373277</v>
      </c>
      <c r="I238" s="11">
        <f t="shared" ref="I238:M238" si="237">if(min($C237:$G237)=C237,I237+1,I237)</f>
        <v>93</v>
      </c>
      <c r="J238" s="11">
        <f t="shared" si="237"/>
        <v>43</v>
      </c>
      <c r="K238" s="11">
        <f t="shared" si="237"/>
        <v>39</v>
      </c>
      <c r="L238" s="11">
        <f t="shared" si="237"/>
        <v>33</v>
      </c>
      <c r="M238" s="11">
        <f t="shared" si="237"/>
        <v>29</v>
      </c>
      <c r="O238" s="12">
        <f> 'Optimal Choice'!$B$7*'Optimal Choice'!$B$8^(I238+1)</f>
        <v>2312.784104</v>
      </c>
      <c r="P238" s="12">
        <f> 'Optimal Choice'!$B$12*'Optimal Choice'!$B$13^(J238+1)</f>
        <v>28109.70099</v>
      </c>
      <c r="Q238" s="12">
        <f> 'Optimal Choice'!$B$17*'Optimal Choice'!$B$18^(K238+1)</f>
        <v>135996.13</v>
      </c>
      <c r="R238" s="12">
        <f> 'Optimal Choice'!$B$22*'Optimal Choice'!$B$23^(L238+1)</f>
        <v>551037.076</v>
      </c>
      <c r="S238" s="12">
        <f> 'Optimal Choice'!$B$27*'Optimal Choice'!$B$28^(M238+1)</f>
        <v>3106244.725</v>
      </c>
    </row>
    <row r="239" ht="15.75" customHeight="1">
      <c r="A239" s="10">
        <f t="shared" si="2"/>
        <v>12.43379784</v>
      </c>
      <c r="B239" s="6">
        <f>(I239*'Optimal Choice'!$B$6+J239*'Optimal Choice'!$B$11+K239*'Optimal Choice'!$B$16+L239*'Optimal Choice'!$B$21+M239*'Optimal Choice'!$B$26)*'Optimal Choice'!$B$30</f>
        <v>79046.98</v>
      </c>
      <c r="C239" s="10">
        <f>(O239/$B239)+(O239/'Optimal Choice'!$B$6)</f>
        <v>1481.875014</v>
      </c>
      <c r="D239" s="10">
        <f>(P239/$B239)+(P239/'Optimal Choice'!$B$11)</f>
        <v>1405.840657</v>
      </c>
      <c r="E239" s="10">
        <f>(Q239/$B239)+(Q239/'Optimal Choice'!$B$16)</f>
        <v>1512.788558</v>
      </c>
      <c r="F239" s="10">
        <f>(R239/$B239)+(R239/'Optimal Choice'!$B$21)</f>
        <v>1537.629552</v>
      </c>
      <c r="G239" s="10">
        <f>(S239/$B239)+(S239/'Optimal Choice'!$B$26)</f>
        <v>1477.372446</v>
      </c>
      <c r="I239" s="11">
        <f t="shared" ref="I239:M239" si="238">if(min($C238:$G238)=C238,I238+1,I238)</f>
        <v>94</v>
      </c>
      <c r="J239" s="11">
        <f t="shared" si="238"/>
        <v>43</v>
      </c>
      <c r="K239" s="11">
        <f t="shared" si="238"/>
        <v>39</v>
      </c>
      <c r="L239" s="11">
        <f t="shared" si="238"/>
        <v>33</v>
      </c>
      <c r="M239" s="11">
        <f t="shared" si="238"/>
        <v>29</v>
      </c>
      <c r="O239" s="12">
        <f> 'Optimal Choice'!$B$7*'Optimal Choice'!$B$8^(I239+1)</f>
        <v>2474.678991</v>
      </c>
      <c r="P239" s="12">
        <f> 'Optimal Choice'!$B$12*'Optimal Choice'!$B$13^(J239+1)</f>
        <v>28109.70099</v>
      </c>
      <c r="Q239" s="12">
        <f> 'Optimal Choice'!$B$17*'Optimal Choice'!$B$18^(K239+1)</f>
        <v>135996.13</v>
      </c>
      <c r="R239" s="12">
        <f> 'Optimal Choice'!$B$22*'Optimal Choice'!$B$23^(L239+1)</f>
        <v>551037.076</v>
      </c>
      <c r="S239" s="12">
        <f> 'Optimal Choice'!$B$27*'Optimal Choice'!$B$28^(M239+1)</f>
        <v>3106244.725</v>
      </c>
    </row>
    <row r="240" ht="15.75" customHeight="1">
      <c r="A240" s="10">
        <f t="shared" si="2"/>
        <v>12.43972463</v>
      </c>
      <c r="B240" s="6">
        <f>(I240*'Optimal Choice'!$B$6+J240*'Optimal Choice'!$B$11+K240*'Optimal Choice'!$B$16+L240*'Optimal Choice'!$B$21+M240*'Optimal Choice'!$B$26)*'Optimal Choice'!$B$30</f>
        <v>79066.98</v>
      </c>
      <c r="C240" s="10">
        <f>(O240/$B240)+(O240/'Optimal Choice'!$B$6)</f>
        <v>1481.875006</v>
      </c>
      <c r="D240" s="10">
        <f>(P240/$B240)+(P240/'Optimal Choice'!$B$11)</f>
        <v>1616.716652</v>
      </c>
      <c r="E240" s="10">
        <f>(Q240/$B240)+(Q240/'Optimal Choice'!$B$16)</f>
        <v>1512.788123</v>
      </c>
      <c r="F240" s="10">
        <f>(R240/$B240)+(R240/'Optimal Choice'!$B$21)</f>
        <v>1537.627788</v>
      </c>
      <c r="G240" s="10">
        <f>(S240/$B240)+(S240/'Optimal Choice'!$B$26)</f>
        <v>1477.362507</v>
      </c>
      <c r="I240" s="11">
        <f t="shared" ref="I240:M240" si="239">if(min($C239:$G239)=C239,I239+1,I239)</f>
        <v>94</v>
      </c>
      <c r="J240" s="11">
        <f t="shared" si="239"/>
        <v>44</v>
      </c>
      <c r="K240" s="11">
        <f t="shared" si="239"/>
        <v>39</v>
      </c>
      <c r="L240" s="11">
        <f t="shared" si="239"/>
        <v>33</v>
      </c>
      <c r="M240" s="11">
        <f t="shared" si="239"/>
        <v>29</v>
      </c>
      <c r="O240" s="12">
        <f> 'Optimal Choice'!$B$7*'Optimal Choice'!$B$8^(I240+1)</f>
        <v>2474.678991</v>
      </c>
      <c r="P240" s="12">
        <f> 'Optimal Choice'!$B$12*'Optimal Choice'!$B$13^(J240+1)</f>
        <v>32326.15614</v>
      </c>
      <c r="Q240" s="12">
        <f> 'Optimal Choice'!$B$17*'Optimal Choice'!$B$18^(K240+1)</f>
        <v>135996.13</v>
      </c>
      <c r="R240" s="12">
        <f> 'Optimal Choice'!$B$22*'Optimal Choice'!$B$23^(L240+1)</f>
        <v>551037.076</v>
      </c>
      <c r="S240" s="12">
        <f> 'Optimal Choice'!$B$27*'Optimal Choice'!$B$28^(M240+1)</f>
        <v>3106244.725</v>
      </c>
    </row>
    <row r="241" ht="15.75" customHeight="1">
      <c r="A241" s="10">
        <f t="shared" si="2"/>
        <v>13.09449538</v>
      </c>
      <c r="B241" s="6">
        <f>(I241*'Optimal Choice'!$B$6+J241*'Optimal Choice'!$B$11+K241*'Optimal Choice'!$B$16+L241*'Optimal Choice'!$B$21+M241*'Optimal Choice'!$B$26)*'Optimal Choice'!$B$30</f>
        <v>81226.98</v>
      </c>
      <c r="C241" s="10">
        <f>(O241/$B241)+(O241/'Optimal Choice'!$B$6)</f>
        <v>1481.874174</v>
      </c>
      <c r="D241" s="10">
        <f>(P241/$B241)+(P241/'Optimal Choice'!$B$11)</f>
        <v>1616.70578</v>
      </c>
      <c r="E241" s="10">
        <f>(Q241/$B241)+(Q241/'Optimal Choice'!$B$16)</f>
        <v>1512.742384</v>
      </c>
      <c r="F241" s="10">
        <f>(R241/$B241)+(R241/'Optimal Choice'!$B$21)</f>
        <v>1537.442461</v>
      </c>
      <c r="G241" s="10">
        <f>(S241/$B241)+(S241/'Optimal Choice'!$B$26)</f>
        <v>1653.475937</v>
      </c>
      <c r="I241" s="11">
        <f t="shared" ref="I241:M241" si="240">if(min($C240:$G240)=C240,I240+1,I240)</f>
        <v>94</v>
      </c>
      <c r="J241" s="11">
        <f t="shared" si="240"/>
        <v>44</v>
      </c>
      <c r="K241" s="11">
        <f t="shared" si="240"/>
        <v>39</v>
      </c>
      <c r="L241" s="11">
        <f t="shared" si="240"/>
        <v>33</v>
      </c>
      <c r="M241" s="11">
        <f t="shared" si="240"/>
        <v>30</v>
      </c>
      <c r="O241" s="12">
        <f> 'Optimal Choice'!$B$7*'Optimal Choice'!$B$8^(I241+1)</f>
        <v>2474.678991</v>
      </c>
      <c r="P241" s="12">
        <f> 'Optimal Choice'!$B$12*'Optimal Choice'!$B$13^(J241+1)</f>
        <v>32326.15614</v>
      </c>
      <c r="Q241" s="12">
        <f> 'Optimal Choice'!$B$17*'Optimal Choice'!$B$18^(K241+1)</f>
        <v>135996.13</v>
      </c>
      <c r="R241" s="12">
        <f> 'Optimal Choice'!$B$22*'Optimal Choice'!$B$23^(L241+1)</f>
        <v>551037.076</v>
      </c>
      <c r="S241" s="12">
        <f> 'Optimal Choice'!$B$27*'Optimal Choice'!$B$28^(M241+1)</f>
        <v>3478994.093</v>
      </c>
    </row>
    <row r="242" ht="15.75" customHeight="1">
      <c r="A242" s="10">
        <f t="shared" si="2"/>
        <v>13.09500315</v>
      </c>
      <c r="B242" s="6">
        <f>(I242*'Optimal Choice'!$B$6+J242*'Optimal Choice'!$B$11+K242*'Optimal Choice'!$B$16+L242*'Optimal Choice'!$B$21+M242*'Optimal Choice'!$B$26)*'Optimal Choice'!$B$30</f>
        <v>81228.65</v>
      </c>
      <c r="C242" s="10">
        <f>(O242/$B242)+(O242/'Optimal Choice'!$B$6)</f>
        <v>1585.605365</v>
      </c>
      <c r="D242" s="10">
        <f>(P242/$B242)+(P242/'Optimal Choice'!$B$11)</f>
        <v>1616.705772</v>
      </c>
      <c r="E242" s="10">
        <f>(Q242/$B242)+(Q242/'Optimal Choice'!$B$16)</f>
        <v>1512.742349</v>
      </c>
      <c r="F242" s="10">
        <f>(R242/$B242)+(R242/'Optimal Choice'!$B$21)</f>
        <v>1537.442322</v>
      </c>
      <c r="G242" s="10">
        <f>(S242/$B242)+(S242/'Optimal Choice'!$B$26)</f>
        <v>1653.475056</v>
      </c>
      <c r="I242" s="11">
        <f t="shared" ref="I242:M242" si="241">if(min($C241:$G241)=C241,I241+1,I241)</f>
        <v>95</v>
      </c>
      <c r="J242" s="11">
        <f t="shared" si="241"/>
        <v>44</v>
      </c>
      <c r="K242" s="11">
        <f t="shared" si="241"/>
        <v>39</v>
      </c>
      <c r="L242" s="11">
        <f t="shared" si="241"/>
        <v>33</v>
      </c>
      <c r="M242" s="11">
        <f t="shared" si="241"/>
        <v>30</v>
      </c>
      <c r="O242" s="12">
        <f> 'Optimal Choice'!$B$7*'Optimal Choice'!$B$8^(I242+1)</f>
        <v>2647.906521</v>
      </c>
      <c r="P242" s="12">
        <f> 'Optimal Choice'!$B$12*'Optimal Choice'!$B$13^(J242+1)</f>
        <v>32326.15614</v>
      </c>
      <c r="Q242" s="12">
        <f> 'Optimal Choice'!$B$17*'Optimal Choice'!$B$18^(K242+1)</f>
        <v>135996.13</v>
      </c>
      <c r="R242" s="12">
        <f> 'Optimal Choice'!$B$22*'Optimal Choice'!$B$23^(L242+1)</f>
        <v>551037.076</v>
      </c>
      <c r="S242" s="12">
        <f> 'Optimal Choice'!$B$27*'Optimal Choice'!$B$28^(M242+1)</f>
        <v>3478994.093</v>
      </c>
    </row>
    <row r="243" ht="15.75" customHeight="1">
      <c r="A243" s="10">
        <f t="shared" si="2"/>
        <v>13.12290712</v>
      </c>
      <c r="B243" s="6">
        <f>(I243*'Optimal Choice'!$B$6+J243*'Optimal Choice'!$B$11+K243*'Optimal Choice'!$B$16+L243*'Optimal Choice'!$B$21+M243*'Optimal Choice'!$B$26)*'Optimal Choice'!$B$30</f>
        <v>81318.65</v>
      </c>
      <c r="C243" s="10">
        <f>(O243/$B243)+(O243/'Optimal Choice'!$B$6)</f>
        <v>1585.605329</v>
      </c>
      <c r="D243" s="10">
        <f>(P243/$B243)+(P243/'Optimal Choice'!$B$11)</f>
        <v>1616.705331</v>
      </c>
      <c r="E243" s="10">
        <f>(Q243/$B243)+(Q243/'Optimal Choice'!$B$16)</f>
        <v>1724.524166</v>
      </c>
      <c r="F243" s="10">
        <f>(R243/$B243)+(R243/'Optimal Choice'!$B$21)</f>
        <v>1537.434814</v>
      </c>
      <c r="G243" s="10">
        <f>(S243/$B243)+(S243/'Optimal Choice'!$B$26)</f>
        <v>1653.427654</v>
      </c>
      <c r="I243" s="11">
        <f t="shared" ref="I243:M243" si="242">if(min($C242:$G242)=C242,I242+1,I242)</f>
        <v>95</v>
      </c>
      <c r="J243" s="11">
        <f t="shared" si="242"/>
        <v>44</v>
      </c>
      <c r="K243" s="11">
        <f t="shared" si="242"/>
        <v>40</v>
      </c>
      <c r="L243" s="11">
        <f t="shared" si="242"/>
        <v>33</v>
      </c>
      <c r="M243" s="11">
        <f t="shared" si="242"/>
        <v>30</v>
      </c>
      <c r="O243" s="12">
        <f> 'Optimal Choice'!$B$7*'Optimal Choice'!$B$8^(I243+1)</f>
        <v>2647.906521</v>
      </c>
      <c r="P243" s="12">
        <f> 'Optimal Choice'!$B$12*'Optimal Choice'!$B$13^(J243+1)</f>
        <v>32326.15614</v>
      </c>
      <c r="Q243" s="12">
        <f> 'Optimal Choice'!$B$17*'Optimal Choice'!$B$18^(K243+1)</f>
        <v>155035.5882</v>
      </c>
      <c r="R243" s="12">
        <f> 'Optimal Choice'!$B$22*'Optimal Choice'!$B$23^(L243+1)</f>
        <v>551037.076</v>
      </c>
      <c r="S243" s="12">
        <f> 'Optimal Choice'!$B$27*'Optimal Choice'!$B$28^(M243+1)</f>
        <v>3478994.093</v>
      </c>
    </row>
    <row r="244" ht="15.75" customHeight="1">
      <c r="A244" s="10">
        <f t="shared" si="2"/>
        <v>13.23584494</v>
      </c>
      <c r="B244" s="6">
        <f>(I244*'Optimal Choice'!$B$6+J244*'Optimal Choice'!$B$11+K244*'Optimal Choice'!$B$16+L244*'Optimal Choice'!$B$21+M244*'Optimal Choice'!$B$26)*'Optimal Choice'!$B$30</f>
        <v>81678.65</v>
      </c>
      <c r="C244" s="10">
        <f>(O244/$B244)+(O244/'Optimal Choice'!$B$6)</f>
        <v>1585.605186</v>
      </c>
      <c r="D244" s="10">
        <f>(P244/$B244)+(P244/'Optimal Choice'!$B$11)</f>
        <v>1616.703579</v>
      </c>
      <c r="E244" s="10">
        <f>(Q244/$B244)+(Q244/'Optimal Choice'!$B$16)</f>
        <v>1724.515763</v>
      </c>
      <c r="F244" s="10">
        <f>(R244/$B244)+(R244/'Optimal Choice'!$B$21)</f>
        <v>1737.26759</v>
      </c>
      <c r="G244" s="10">
        <f>(S244/$B244)+(S244/'Optimal Choice'!$B$26)</f>
        <v>1653.239091</v>
      </c>
      <c r="I244" s="11">
        <f t="shared" ref="I244:M244" si="243">if(min($C243:$G243)=C243,I243+1,I243)</f>
        <v>95</v>
      </c>
      <c r="J244" s="11">
        <f t="shared" si="243"/>
        <v>44</v>
      </c>
      <c r="K244" s="11">
        <f t="shared" si="243"/>
        <v>40</v>
      </c>
      <c r="L244" s="11">
        <f t="shared" si="243"/>
        <v>34</v>
      </c>
      <c r="M244" s="11">
        <f t="shared" si="243"/>
        <v>30</v>
      </c>
      <c r="O244" s="12">
        <f> 'Optimal Choice'!$B$7*'Optimal Choice'!$B$8^(I244+1)</f>
        <v>2647.906521</v>
      </c>
      <c r="P244" s="12">
        <f> 'Optimal Choice'!$B$12*'Optimal Choice'!$B$13^(J244+1)</f>
        <v>32326.15614</v>
      </c>
      <c r="Q244" s="12">
        <f> 'Optimal Choice'!$B$17*'Optimal Choice'!$B$18^(K244+1)</f>
        <v>155035.5882</v>
      </c>
      <c r="R244" s="12">
        <f> 'Optimal Choice'!$B$22*'Optimal Choice'!$B$23^(L244+1)</f>
        <v>622671.8959</v>
      </c>
      <c r="S244" s="12">
        <f> 'Optimal Choice'!$B$27*'Optimal Choice'!$B$28^(M244+1)</f>
        <v>3478994.093</v>
      </c>
    </row>
    <row r="245" ht="15.75" customHeight="1">
      <c r="A245" s="10">
        <f t="shared" si="2"/>
        <v>13.23638525</v>
      </c>
      <c r="B245" s="6">
        <f>(I245*'Optimal Choice'!$B$6+J245*'Optimal Choice'!$B$11+K245*'Optimal Choice'!$B$16+L245*'Optimal Choice'!$B$21+M245*'Optimal Choice'!$B$26)*'Optimal Choice'!$B$30</f>
        <v>81680.32</v>
      </c>
      <c r="C245" s="10">
        <f>(O245/$B245)+(O245/'Optimal Choice'!$B$6)</f>
        <v>1696.597548</v>
      </c>
      <c r="D245" s="10">
        <f>(P245/$B245)+(P245/'Optimal Choice'!$B$11)</f>
        <v>1616.703571</v>
      </c>
      <c r="E245" s="10">
        <f>(Q245/$B245)+(Q245/'Optimal Choice'!$B$16)</f>
        <v>1724.515724</v>
      </c>
      <c r="F245" s="10">
        <f>(R245/$B245)+(R245/'Optimal Choice'!$B$21)</f>
        <v>1737.267435</v>
      </c>
      <c r="G245" s="10">
        <f>(S245/$B245)+(S245/'Optimal Choice'!$B$26)</f>
        <v>1653.23822</v>
      </c>
      <c r="I245" s="11">
        <f t="shared" ref="I245:M245" si="244">if(min($C244:$G244)=C244,I244+1,I244)</f>
        <v>96</v>
      </c>
      <c r="J245" s="11">
        <f t="shared" si="244"/>
        <v>44</v>
      </c>
      <c r="K245" s="11">
        <f t="shared" si="244"/>
        <v>40</v>
      </c>
      <c r="L245" s="11">
        <f t="shared" si="244"/>
        <v>34</v>
      </c>
      <c r="M245" s="11">
        <f t="shared" si="244"/>
        <v>30</v>
      </c>
      <c r="O245" s="12">
        <f> 'Optimal Choice'!$B$7*'Optimal Choice'!$B$8^(I245+1)</f>
        <v>2833.259977</v>
      </c>
      <c r="P245" s="12">
        <f> 'Optimal Choice'!$B$12*'Optimal Choice'!$B$13^(J245+1)</f>
        <v>32326.15614</v>
      </c>
      <c r="Q245" s="12">
        <f> 'Optimal Choice'!$B$17*'Optimal Choice'!$B$18^(K245+1)</f>
        <v>155035.5882</v>
      </c>
      <c r="R245" s="12">
        <f> 'Optimal Choice'!$B$22*'Optimal Choice'!$B$23^(L245+1)</f>
        <v>622671.8959</v>
      </c>
      <c r="S245" s="12">
        <f> 'Optimal Choice'!$B$27*'Optimal Choice'!$B$28^(M245+1)</f>
        <v>3478994.093</v>
      </c>
    </row>
    <row r="246" ht="15.75" customHeight="1">
      <c r="A246" s="10">
        <f t="shared" si="2"/>
        <v>13.24298133</v>
      </c>
      <c r="B246" s="6">
        <f>(I246*'Optimal Choice'!$B$6+J246*'Optimal Choice'!$B$11+K246*'Optimal Choice'!$B$16+L246*'Optimal Choice'!$B$21+M246*'Optimal Choice'!$B$26)*'Optimal Choice'!$B$30</f>
        <v>81700.32</v>
      </c>
      <c r="C246" s="10">
        <f>(O246/$B246)+(O246/'Optimal Choice'!$B$6)</f>
        <v>1696.597539</v>
      </c>
      <c r="D246" s="10">
        <f>(P246/$B246)+(P246/'Optimal Choice'!$B$11)</f>
        <v>1859.208996</v>
      </c>
      <c r="E246" s="10">
        <f>(Q246/$B246)+(Q246/'Optimal Choice'!$B$16)</f>
        <v>1724.515259</v>
      </c>
      <c r="F246" s="10">
        <f>(R246/$B246)+(R246/'Optimal Choice'!$B$21)</f>
        <v>1737.265568</v>
      </c>
      <c r="G246" s="10">
        <f>(S246/$B246)+(S246/'Optimal Choice'!$B$26)</f>
        <v>1653.227793</v>
      </c>
      <c r="I246" s="11">
        <f t="shared" ref="I246:M246" si="245">if(min($C245:$G245)=C245,I245+1,I245)</f>
        <v>96</v>
      </c>
      <c r="J246" s="11">
        <f t="shared" si="245"/>
        <v>45</v>
      </c>
      <c r="K246" s="11">
        <f t="shared" si="245"/>
        <v>40</v>
      </c>
      <c r="L246" s="11">
        <f t="shared" si="245"/>
        <v>34</v>
      </c>
      <c r="M246" s="11">
        <f t="shared" si="245"/>
        <v>30</v>
      </c>
      <c r="O246" s="12">
        <f> 'Optimal Choice'!$B$7*'Optimal Choice'!$B$8^(I246+1)</f>
        <v>2833.259977</v>
      </c>
      <c r="P246" s="12">
        <f> 'Optimal Choice'!$B$12*'Optimal Choice'!$B$13^(J246+1)</f>
        <v>37175.07956</v>
      </c>
      <c r="Q246" s="12">
        <f> 'Optimal Choice'!$B$17*'Optimal Choice'!$B$18^(K246+1)</f>
        <v>155035.5882</v>
      </c>
      <c r="R246" s="12">
        <f> 'Optimal Choice'!$B$22*'Optimal Choice'!$B$23^(L246+1)</f>
        <v>622671.8959</v>
      </c>
      <c r="S246" s="12">
        <f> 'Optimal Choice'!$B$27*'Optimal Choice'!$B$28^(M246+1)</f>
        <v>3478994.093</v>
      </c>
    </row>
    <row r="247" ht="15.75" customHeight="1">
      <c r="A247" s="10">
        <f t="shared" si="2"/>
        <v>13.95268766</v>
      </c>
      <c r="B247" s="6">
        <f>(I247*'Optimal Choice'!$B$6+J247*'Optimal Choice'!$B$11+K247*'Optimal Choice'!$B$16+L247*'Optimal Choice'!$B$21+M247*'Optimal Choice'!$B$26)*'Optimal Choice'!$B$30</f>
        <v>83860.32</v>
      </c>
      <c r="C247" s="10">
        <f>(O247/$B247)+(O247/'Optimal Choice'!$B$6)</f>
        <v>1696.596646</v>
      </c>
      <c r="D247" s="10">
        <f>(P247/$B247)+(P247/'Optimal Choice'!$B$11)</f>
        <v>1859.197276</v>
      </c>
      <c r="E247" s="10">
        <f>(Q247/$B247)+(Q247/'Optimal Choice'!$B$16)</f>
        <v>1724.466382</v>
      </c>
      <c r="F247" s="10">
        <f>(R247/$B247)+(R247/'Optimal Choice'!$B$21)</f>
        <v>1737.069263</v>
      </c>
      <c r="G247" s="10">
        <f>(S247/$B247)+(S247/'Optimal Choice'!$B$26)</f>
        <v>1850.386713</v>
      </c>
      <c r="I247" s="11">
        <f t="shared" ref="I247:M247" si="246">if(min($C246:$G246)=C246,I246+1,I246)</f>
        <v>96</v>
      </c>
      <c r="J247" s="11">
        <f t="shared" si="246"/>
        <v>45</v>
      </c>
      <c r="K247" s="11">
        <f t="shared" si="246"/>
        <v>40</v>
      </c>
      <c r="L247" s="11">
        <f t="shared" si="246"/>
        <v>34</v>
      </c>
      <c r="M247" s="11">
        <f t="shared" si="246"/>
        <v>31</v>
      </c>
      <c r="O247" s="12">
        <f> 'Optimal Choice'!$B$7*'Optimal Choice'!$B$8^(I247+1)</f>
        <v>2833.259977</v>
      </c>
      <c r="P247" s="12">
        <f> 'Optimal Choice'!$B$12*'Optimal Choice'!$B$13^(J247+1)</f>
        <v>37175.07956</v>
      </c>
      <c r="Q247" s="12">
        <f> 'Optimal Choice'!$B$17*'Optimal Choice'!$B$18^(K247+1)</f>
        <v>155035.5882</v>
      </c>
      <c r="R247" s="12">
        <f> 'Optimal Choice'!$B$22*'Optimal Choice'!$B$23^(L247+1)</f>
        <v>622671.8959</v>
      </c>
      <c r="S247" s="12">
        <f> 'Optimal Choice'!$B$27*'Optimal Choice'!$B$28^(M247+1)</f>
        <v>3896473.384</v>
      </c>
    </row>
    <row r="248" ht="15.75" customHeight="1">
      <c r="A248" s="10">
        <f t="shared" si="2"/>
        <v>13.95325076</v>
      </c>
      <c r="B248" s="6">
        <f>(I248*'Optimal Choice'!$B$6+J248*'Optimal Choice'!$B$11+K248*'Optimal Choice'!$B$16+L248*'Optimal Choice'!$B$21+M248*'Optimal Choice'!$B$26)*'Optimal Choice'!$B$30</f>
        <v>83861.99</v>
      </c>
      <c r="C248" s="10">
        <f>(O248/$B248)+(O248/'Optimal Choice'!$B$6)</f>
        <v>1815.358411</v>
      </c>
      <c r="D248" s="10">
        <f>(P248/$B248)+(P248/'Optimal Choice'!$B$11)</f>
        <v>1859.197267</v>
      </c>
      <c r="E248" s="10">
        <f>(Q248/$B248)+(Q248/'Optimal Choice'!$B$16)</f>
        <v>1724.466346</v>
      </c>
      <c r="F248" s="10">
        <f>(R248/$B248)+(R248/'Optimal Choice'!$B$21)</f>
        <v>1737.069115</v>
      </c>
      <c r="G248" s="10">
        <f>(S248/$B248)+(S248/'Optimal Choice'!$B$26)</f>
        <v>1850.385788</v>
      </c>
      <c r="I248" s="11">
        <f t="shared" ref="I248:M248" si="247">if(min($C247:$G247)=C247,I247+1,I247)</f>
        <v>97</v>
      </c>
      <c r="J248" s="11">
        <f t="shared" si="247"/>
        <v>45</v>
      </c>
      <c r="K248" s="11">
        <f t="shared" si="247"/>
        <v>40</v>
      </c>
      <c r="L248" s="11">
        <f t="shared" si="247"/>
        <v>34</v>
      </c>
      <c r="M248" s="11">
        <f t="shared" si="247"/>
        <v>31</v>
      </c>
      <c r="O248" s="12">
        <f> 'Optimal Choice'!$B$7*'Optimal Choice'!$B$8^(I248+1)</f>
        <v>3031.588176</v>
      </c>
      <c r="P248" s="12">
        <f> 'Optimal Choice'!$B$12*'Optimal Choice'!$B$13^(J248+1)</f>
        <v>37175.07956</v>
      </c>
      <c r="Q248" s="12">
        <f> 'Optimal Choice'!$B$17*'Optimal Choice'!$B$18^(K248+1)</f>
        <v>155035.5882</v>
      </c>
      <c r="R248" s="12">
        <f> 'Optimal Choice'!$B$22*'Optimal Choice'!$B$23^(L248+1)</f>
        <v>622671.8959</v>
      </c>
      <c r="S248" s="12">
        <f> 'Optimal Choice'!$B$27*'Optimal Choice'!$B$28^(M248+1)</f>
        <v>3896473.384</v>
      </c>
    </row>
    <row r="249" ht="15.75" customHeight="1">
      <c r="A249" s="10">
        <f t="shared" si="2"/>
        <v>13.98406241</v>
      </c>
      <c r="B249" s="6">
        <f>(I249*'Optimal Choice'!$B$6+J249*'Optimal Choice'!$B$11+K249*'Optimal Choice'!$B$16+L249*'Optimal Choice'!$B$21+M249*'Optimal Choice'!$B$26)*'Optimal Choice'!$B$30</f>
        <v>83951.99</v>
      </c>
      <c r="C249" s="10">
        <f>(O249/$B249)+(O249/'Optimal Choice'!$B$6)</f>
        <v>1815.358372</v>
      </c>
      <c r="D249" s="10">
        <f>(P249/$B249)+(P249/'Optimal Choice'!$B$11)</f>
        <v>1859.196792</v>
      </c>
      <c r="E249" s="10">
        <f>(Q249/$B249)+(Q249/'Optimal Choice'!$B$16)</f>
        <v>1965.889375</v>
      </c>
      <c r="F249" s="10">
        <f>(R249/$B249)+(R249/'Optimal Choice'!$B$21)</f>
        <v>1737.061155</v>
      </c>
      <c r="G249" s="10">
        <f>(S249/$B249)+(S249/'Optimal Choice'!$B$26)</f>
        <v>1850.335978</v>
      </c>
      <c r="I249" s="11">
        <f t="shared" ref="I249:M249" si="248">if(min($C248:$G248)=C248,I248+1,I248)</f>
        <v>97</v>
      </c>
      <c r="J249" s="11">
        <f t="shared" si="248"/>
        <v>45</v>
      </c>
      <c r="K249" s="11">
        <f t="shared" si="248"/>
        <v>41</v>
      </c>
      <c r="L249" s="11">
        <f t="shared" si="248"/>
        <v>34</v>
      </c>
      <c r="M249" s="11">
        <f t="shared" si="248"/>
        <v>31</v>
      </c>
      <c r="O249" s="12">
        <f> 'Optimal Choice'!$B$7*'Optimal Choice'!$B$8^(I249+1)</f>
        <v>3031.588176</v>
      </c>
      <c r="P249" s="12">
        <f> 'Optimal Choice'!$B$12*'Optimal Choice'!$B$13^(J249+1)</f>
        <v>37175.07956</v>
      </c>
      <c r="Q249" s="12">
        <f> 'Optimal Choice'!$B$17*'Optimal Choice'!$B$18^(K249+1)</f>
        <v>176740.5705</v>
      </c>
      <c r="R249" s="12">
        <f> 'Optimal Choice'!$B$22*'Optimal Choice'!$B$23^(L249+1)</f>
        <v>622671.8959</v>
      </c>
      <c r="S249" s="12">
        <f> 'Optimal Choice'!$B$27*'Optimal Choice'!$B$28^(M249+1)</f>
        <v>3896473.384</v>
      </c>
    </row>
    <row r="250" ht="15.75" customHeight="1">
      <c r="A250" s="10">
        <f t="shared" si="2"/>
        <v>14.10767907</v>
      </c>
      <c r="B250" s="6">
        <f>(I250*'Optimal Choice'!$B$6+J250*'Optimal Choice'!$B$11+K250*'Optimal Choice'!$B$16+L250*'Optimal Choice'!$B$21+M250*'Optimal Choice'!$B$26)*'Optimal Choice'!$B$30</f>
        <v>84311.99</v>
      </c>
      <c r="C250" s="10">
        <f>(O250/$B250)+(O250/'Optimal Choice'!$B$6)</f>
        <v>1815.358218</v>
      </c>
      <c r="D250" s="10">
        <f>(P250/$B250)+(P250/'Optimal Choice'!$B$11)</f>
        <v>1859.194901</v>
      </c>
      <c r="E250" s="10">
        <f>(Q250/$B250)+(Q250/'Optimal Choice'!$B$16)</f>
        <v>1965.880385</v>
      </c>
      <c r="F250" s="10">
        <f>(R250/$B250)+(R250/'Optimal Choice'!$B$21)</f>
        <v>1962.843319</v>
      </c>
      <c r="G250" s="10">
        <f>(S250/$B250)+(S250/'Optimal Choice'!$B$26)</f>
        <v>1850.137801</v>
      </c>
      <c r="I250" s="11">
        <f t="shared" ref="I250:M250" si="249">if(min($C249:$G249)=C249,I249+1,I249)</f>
        <v>97</v>
      </c>
      <c r="J250" s="11">
        <f t="shared" si="249"/>
        <v>45</v>
      </c>
      <c r="K250" s="11">
        <f t="shared" si="249"/>
        <v>41</v>
      </c>
      <c r="L250" s="11">
        <f t="shared" si="249"/>
        <v>35</v>
      </c>
      <c r="M250" s="11">
        <f t="shared" si="249"/>
        <v>31</v>
      </c>
      <c r="O250" s="12">
        <f> 'Optimal Choice'!$B$7*'Optimal Choice'!$B$8^(I250+1)</f>
        <v>3031.588176</v>
      </c>
      <c r="P250" s="12">
        <f> 'Optimal Choice'!$B$12*'Optimal Choice'!$B$13^(J250+1)</f>
        <v>37175.07956</v>
      </c>
      <c r="Q250" s="12">
        <f> 'Optimal Choice'!$B$17*'Optimal Choice'!$B$18^(K250+1)</f>
        <v>176740.5705</v>
      </c>
      <c r="R250" s="12">
        <f> 'Optimal Choice'!$B$22*'Optimal Choice'!$B$23^(L250+1)</f>
        <v>703619.2423</v>
      </c>
      <c r="S250" s="12">
        <f> 'Optimal Choice'!$B$27*'Optimal Choice'!$B$28^(M250+1)</f>
        <v>3896473.384</v>
      </c>
    </row>
    <row r="251" ht="15.75" customHeight="1">
      <c r="A251" s="10">
        <f t="shared" si="2"/>
        <v>14.10827835</v>
      </c>
      <c r="B251" s="6">
        <f>(I251*'Optimal Choice'!$B$6+J251*'Optimal Choice'!$B$11+K251*'Optimal Choice'!$B$16+L251*'Optimal Choice'!$B$21+M251*'Optimal Choice'!$B$26)*'Optimal Choice'!$B$30</f>
        <v>84313.66</v>
      </c>
      <c r="C251" s="10">
        <f>(O251/$B251)+(O251/'Optimal Choice'!$B$6)</f>
        <v>1942.433292</v>
      </c>
      <c r="D251" s="10">
        <f>(P251/$B251)+(P251/'Optimal Choice'!$B$11)</f>
        <v>1859.194892</v>
      </c>
      <c r="E251" s="10">
        <f>(Q251/$B251)+(Q251/'Optimal Choice'!$B$16)</f>
        <v>1965.880344</v>
      </c>
      <c r="F251" s="10">
        <f>(R251/$B251)+(R251/'Optimal Choice'!$B$21)</f>
        <v>1962.843153</v>
      </c>
      <c r="G251" s="10">
        <f>(S251/$B251)+(S251/'Optimal Choice'!$B$26)</f>
        <v>1850.136885</v>
      </c>
      <c r="I251" s="11">
        <f t="shared" ref="I251:M251" si="250">if(min($C250:$G250)=C250,I250+1,I250)</f>
        <v>98</v>
      </c>
      <c r="J251" s="11">
        <f t="shared" si="250"/>
        <v>45</v>
      </c>
      <c r="K251" s="11">
        <f t="shared" si="250"/>
        <v>41</v>
      </c>
      <c r="L251" s="11">
        <f t="shared" si="250"/>
        <v>35</v>
      </c>
      <c r="M251" s="11">
        <f t="shared" si="250"/>
        <v>31</v>
      </c>
      <c r="O251" s="12">
        <f> 'Optimal Choice'!$B$7*'Optimal Choice'!$B$8^(I251+1)</f>
        <v>3243.799348</v>
      </c>
      <c r="P251" s="12">
        <f> 'Optimal Choice'!$B$12*'Optimal Choice'!$B$13^(J251+1)</f>
        <v>37175.07956</v>
      </c>
      <c r="Q251" s="12">
        <f> 'Optimal Choice'!$B$17*'Optimal Choice'!$B$18^(K251+1)</f>
        <v>176740.5705</v>
      </c>
      <c r="R251" s="12">
        <f> 'Optimal Choice'!$B$22*'Optimal Choice'!$B$23^(L251+1)</f>
        <v>703619.2423</v>
      </c>
      <c r="S251" s="12">
        <f> 'Optimal Choice'!$B$27*'Optimal Choice'!$B$28^(M251+1)</f>
        <v>3896473.384</v>
      </c>
    </row>
    <row r="252" ht="15.75" customHeight="1">
      <c r="A252" s="10">
        <f t="shared" si="2"/>
        <v>14.87851206</v>
      </c>
      <c r="B252" s="6">
        <f>(I252*'Optimal Choice'!$B$6+J252*'Optimal Choice'!$B$11+K252*'Optimal Choice'!$B$16+L252*'Optimal Choice'!$B$21+M252*'Optimal Choice'!$B$26)*'Optimal Choice'!$B$30</f>
        <v>86473.66</v>
      </c>
      <c r="C252" s="10">
        <f>(O252/$B252)+(O252/'Optimal Choice'!$B$6)</f>
        <v>1942.432331</v>
      </c>
      <c r="D252" s="10">
        <f>(P252/$B252)+(P252/'Optimal Choice'!$B$11)</f>
        <v>1859.183879</v>
      </c>
      <c r="E252" s="10">
        <f>(Q252/$B252)+(Q252/'Optimal Choice'!$B$16)</f>
        <v>1965.827983</v>
      </c>
      <c r="F252" s="10">
        <f>(R252/$B252)+(R252/'Optimal Choice'!$B$21)</f>
        <v>1962.6347</v>
      </c>
      <c r="G252" s="10">
        <f>(S252/$B252)+(S252/'Optimal Choice'!$B$26)</f>
        <v>2070.860421</v>
      </c>
      <c r="I252" s="11">
        <f t="shared" ref="I252:M252" si="251">if(min($C251:$G251)=C251,I251+1,I251)</f>
        <v>98</v>
      </c>
      <c r="J252" s="11">
        <f t="shared" si="251"/>
        <v>45</v>
      </c>
      <c r="K252" s="11">
        <f t="shared" si="251"/>
        <v>41</v>
      </c>
      <c r="L252" s="11">
        <f t="shared" si="251"/>
        <v>35</v>
      </c>
      <c r="M252" s="11">
        <f t="shared" si="251"/>
        <v>32</v>
      </c>
      <c r="O252" s="12">
        <f> 'Optimal Choice'!$B$7*'Optimal Choice'!$B$8^(I252+1)</f>
        <v>3243.799348</v>
      </c>
      <c r="P252" s="12">
        <f> 'Optimal Choice'!$B$12*'Optimal Choice'!$B$13^(J252+1)</f>
        <v>37175.07956</v>
      </c>
      <c r="Q252" s="12">
        <f> 'Optimal Choice'!$B$17*'Optimal Choice'!$B$18^(K252+1)</f>
        <v>176740.5705</v>
      </c>
      <c r="R252" s="12">
        <f> 'Optimal Choice'!$B$22*'Optimal Choice'!$B$23^(L252+1)</f>
        <v>703619.2423</v>
      </c>
      <c r="S252" s="12">
        <f> 'Optimal Choice'!$B$27*'Optimal Choice'!$B$28^(M252+1)</f>
        <v>4364050.19</v>
      </c>
    </row>
    <row r="253" ht="15.75" customHeight="1">
      <c r="A253" s="10">
        <f t="shared" si="2"/>
        <v>14.88567707</v>
      </c>
      <c r="B253" s="6">
        <f>(I253*'Optimal Choice'!$B$6+J253*'Optimal Choice'!$B$11+K253*'Optimal Choice'!$B$16+L253*'Optimal Choice'!$B$21+M253*'Optimal Choice'!$B$26)*'Optimal Choice'!$B$30</f>
        <v>86493.66</v>
      </c>
      <c r="C253" s="10">
        <f>(O253/$B253)+(O253/'Optimal Choice'!$B$6)</f>
        <v>1942.432322</v>
      </c>
      <c r="D253" s="10">
        <f>(P253/$B253)+(P253/'Optimal Choice'!$B$11)</f>
        <v>2138.061346</v>
      </c>
      <c r="E253" s="10">
        <f>(Q253/$B253)+(Q253/'Optimal Choice'!$B$16)</f>
        <v>1965.82751</v>
      </c>
      <c r="F253" s="10">
        <f>(R253/$B253)+(R253/'Optimal Choice'!$B$21)</f>
        <v>1962.632818</v>
      </c>
      <c r="G253" s="10">
        <f>(S253/$B253)+(S253/'Optimal Choice'!$B$26)</f>
        <v>2070.848752</v>
      </c>
      <c r="I253" s="11">
        <f t="shared" ref="I253:M253" si="252">if(min($C252:$G252)=C252,I252+1,I252)</f>
        <v>98</v>
      </c>
      <c r="J253" s="11">
        <f t="shared" si="252"/>
        <v>46</v>
      </c>
      <c r="K253" s="11">
        <f t="shared" si="252"/>
        <v>41</v>
      </c>
      <c r="L253" s="11">
        <f t="shared" si="252"/>
        <v>35</v>
      </c>
      <c r="M253" s="11">
        <f t="shared" si="252"/>
        <v>32</v>
      </c>
      <c r="O253" s="12">
        <f> 'Optimal Choice'!$B$7*'Optimal Choice'!$B$8^(I253+1)</f>
        <v>3243.799348</v>
      </c>
      <c r="P253" s="12">
        <f> 'Optimal Choice'!$B$12*'Optimal Choice'!$B$13^(J253+1)</f>
        <v>42751.34149</v>
      </c>
      <c r="Q253" s="12">
        <f> 'Optimal Choice'!$B$17*'Optimal Choice'!$B$18^(K253+1)</f>
        <v>176740.5705</v>
      </c>
      <c r="R253" s="12">
        <f> 'Optimal Choice'!$B$22*'Optimal Choice'!$B$23^(L253+1)</f>
        <v>703619.2423</v>
      </c>
      <c r="S253" s="12">
        <f> 'Optimal Choice'!$B$27*'Optimal Choice'!$B$28^(M253+1)</f>
        <v>4364050.19</v>
      </c>
    </row>
    <row r="254" ht="15.75" customHeight="1">
      <c r="A254" s="10">
        <f t="shared" si="2"/>
        <v>14.88630213</v>
      </c>
      <c r="B254" s="6">
        <f>(I254*'Optimal Choice'!$B$6+J254*'Optimal Choice'!$B$11+K254*'Optimal Choice'!$B$16+L254*'Optimal Choice'!$B$21+M254*'Optimal Choice'!$B$26)*'Optimal Choice'!$B$30</f>
        <v>86495.33</v>
      </c>
      <c r="C254" s="10">
        <f>(O254/$B254)+(O254/'Optimal Choice'!$B$6)</f>
        <v>2078.402584</v>
      </c>
      <c r="D254" s="10">
        <f>(P254/$B254)+(P254/'Optimal Choice'!$B$11)</f>
        <v>2138.061337</v>
      </c>
      <c r="E254" s="10">
        <f>(Q254/$B254)+(Q254/'Optimal Choice'!$B$16)</f>
        <v>1965.827471</v>
      </c>
      <c r="F254" s="10">
        <f>(R254/$B254)+(R254/'Optimal Choice'!$B$21)</f>
        <v>1962.632661</v>
      </c>
      <c r="G254" s="10">
        <f>(S254/$B254)+(S254/'Optimal Choice'!$B$26)</f>
        <v>2070.847778</v>
      </c>
      <c r="I254" s="11">
        <f t="shared" ref="I254:M254" si="253">if(min($C253:$G253)=C253,I253+1,I253)</f>
        <v>99</v>
      </c>
      <c r="J254" s="11">
        <f t="shared" si="253"/>
        <v>46</v>
      </c>
      <c r="K254" s="11">
        <f t="shared" si="253"/>
        <v>41</v>
      </c>
      <c r="L254" s="11">
        <f t="shared" si="253"/>
        <v>35</v>
      </c>
      <c r="M254" s="11">
        <f t="shared" si="253"/>
        <v>32</v>
      </c>
      <c r="O254" s="12">
        <f> 'Optimal Choice'!$B$7*'Optimal Choice'!$B$8^(I254+1)</f>
        <v>3470.865302</v>
      </c>
      <c r="P254" s="12">
        <f> 'Optimal Choice'!$B$12*'Optimal Choice'!$B$13^(J254+1)</f>
        <v>42751.34149</v>
      </c>
      <c r="Q254" s="12">
        <f> 'Optimal Choice'!$B$17*'Optimal Choice'!$B$18^(K254+1)</f>
        <v>176740.5705</v>
      </c>
      <c r="R254" s="12">
        <f> 'Optimal Choice'!$B$22*'Optimal Choice'!$B$23^(L254+1)</f>
        <v>703619.2423</v>
      </c>
      <c r="S254" s="12">
        <f> 'Optimal Choice'!$B$27*'Optimal Choice'!$B$28^(M254+1)</f>
        <v>4364050.19</v>
      </c>
    </row>
    <row r="255" ht="15.75" customHeight="1">
      <c r="A255" s="10">
        <f t="shared" si="2"/>
        <v>15.02188155</v>
      </c>
      <c r="B255" s="6">
        <f>(I255*'Optimal Choice'!$B$6+J255*'Optimal Choice'!$B$11+K255*'Optimal Choice'!$B$16+L255*'Optimal Choice'!$B$21+M255*'Optimal Choice'!$B$26)*'Optimal Choice'!$B$30</f>
        <v>86855.33</v>
      </c>
      <c r="C255" s="10">
        <f>(O255/$B255)+(O255/'Optimal Choice'!$B$6)</f>
        <v>2078.402418</v>
      </c>
      <c r="D255" s="10">
        <f>(P255/$B255)+(P255/'Optimal Choice'!$B$11)</f>
        <v>2138.059288</v>
      </c>
      <c r="E255" s="10">
        <f>(Q255/$B255)+(Q255/'Optimal Choice'!$B$16)</f>
        <v>1965.819001</v>
      </c>
      <c r="F255" s="10">
        <f>(R255/$B255)+(R255/'Optimal Choice'!$B$21)</f>
        <v>2217.736807</v>
      </c>
      <c r="G255" s="10">
        <f>(S255/$B255)+(S255/'Optimal Choice'!$B$26)</f>
        <v>2070.638654</v>
      </c>
      <c r="I255" s="11">
        <f t="shared" ref="I255:M255" si="254">if(min($C254:$G254)=C254,I254+1,I254)</f>
        <v>99</v>
      </c>
      <c r="J255" s="11">
        <f t="shared" si="254"/>
        <v>46</v>
      </c>
      <c r="K255" s="11">
        <f t="shared" si="254"/>
        <v>41</v>
      </c>
      <c r="L255" s="11">
        <f t="shared" si="254"/>
        <v>36</v>
      </c>
      <c r="M255" s="11">
        <f t="shared" si="254"/>
        <v>32</v>
      </c>
      <c r="O255" s="12">
        <f> 'Optimal Choice'!$B$7*'Optimal Choice'!$B$8^(I255+1)</f>
        <v>3470.865302</v>
      </c>
      <c r="P255" s="12">
        <f> 'Optimal Choice'!$B$12*'Optimal Choice'!$B$13^(J255+1)</f>
        <v>42751.34149</v>
      </c>
      <c r="Q255" s="12">
        <f> 'Optimal Choice'!$B$17*'Optimal Choice'!$B$18^(K255+1)</f>
        <v>176740.5705</v>
      </c>
      <c r="R255" s="12">
        <f> 'Optimal Choice'!$B$22*'Optimal Choice'!$B$23^(L255+1)</f>
        <v>795089.7438</v>
      </c>
      <c r="S255" s="12">
        <f> 'Optimal Choice'!$B$27*'Optimal Choice'!$B$28^(M255+1)</f>
        <v>4364050.19</v>
      </c>
    </row>
    <row r="256" ht="15.75" customHeight="1">
      <c r="A256" s="10">
        <f t="shared" si="2"/>
        <v>15.0557963</v>
      </c>
      <c r="B256" s="6">
        <f>(I256*'Optimal Choice'!$B$6+J256*'Optimal Choice'!$B$11+K256*'Optimal Choice'!$B$16+L256*'Optimal Choice'!$B$21+M256*'Optimal Choice'!$B$26)*'Optimal Choice'!$B$30</f>
        <v>86945.33</v>
      </c>
      <c r="C256" s="10">
        <f>(O256/$B256)+(O256/'Optimal Choice'!$B$6)</f>
        <v>2078.402377</v>
      </c>
      <c r="D256" s="10">
        <f>(P256/$B256)+(P256/'Optimal Choice'!$B$11)</f>
        <v>2138.058778</v>
      </c>
      <c r="E256" s="10">
        <f>(Q256/$B256)+(Q256/'Optimal Choice'!$B$16)</f>
        <v>2241.03126</v>
      </c>
      <c r="F256" s="10">
        <f>(R256/$B256)+(R256/'Optimal Choice'!$B$21)</f>
        <v>2217.727331</v>
      </c>
      <c r="G256" s="10">
        <f>(S256/$B256)+(S256/'Optimal Choice'!$B$26)</f>
        <v>2070.586644</v>
      </c>
      <c r="I256" s="11">
        <f t="shared" ref="I256:M256" si="255">if(min($C255:$G255)=C255,I255+1,I255)</f>
        <v>99</v>
      </c>
      <c r="J256" s="11">
        <f t="shared" si="255"/>
        <v>46</v>
      </c>
      <c r="K256" s="11">
        <f t="shared" si="255"/>
        <v>42</v>
      </c>
      <c r="L256" s="11">
        <f t="shared" si="255"/>
        <v>36</v>
      </c>
      <c r="M256" s="11">
        <f t="shared" si="255"/>
        <v>32</v>
      </c>
      <c r="O256" s="12">
        <f> 'Optimal Choice'!$B$7*'Optimal Choice'!$B$8^(I256+1)</f>
        <v>3470.865302</v>
      </c>
      <c r="P256" s="12">
        <f> 'Optimal Choice'!$B$12*'Optimal Choice'!$B$13^(J256+1)</f>
        <v>42751.34149</v>
      </c>
      <c r="Q256" s="12">
        <f> 'Optimal Choice'!$B$17*'Optimal Choice'!$B$18^(K256+1)</f>
        <v>201484.2504</v>
      </c>
      <c r="R256" s="12">
        <f> 'Optimal Choice'!$B$22*'Optimal Choice'!$B$23^(L256+1)</f>
        <v>795089.7438</v>
      </c>
      <c r="S256" s="12">
        <f> 'Optimal Choice'!$B$27*'Optimal Choice'!$B$28^(M256+1)</f>
        <v>4364050.19</v>
      </c>
    </row>
    <row r="257" ht="15.75" customHeight="1">
      <c r="A257" s="10">
        <f t="shared" si="2"/>
        <v>15.89234692</v>
      </c>
      <c r="B257" s="6">
        <f>(I257*'Optimal Choice'!$B$6+J257*'Optimal Choice'!$B$11+K257*'Optimal Choice'!$B$16+L257*'Optimal Choice'!$B$21+M257*'Optimal Choice'!$B$26)*'Optimal Choice'!$B$30</f>
        <v>89105.33</v>
      </c>
      <c r="C257" s="10">
        <f>(O257/$B257)+(O257/'Optimal Choice'!$B$6)</f>
        <v>2078.401409</v>
      </c>
      <c r="D257" s="10">
        <f>(P257/$B257)+(P257/'Optimal Choice'!$B$11)</f>
        <v>2138.046859</v>
      </c>
      <c r="E257" s="10">
        <f>(Q257/$B257)+(Q257/'Optimal Choice'!$B$16)</f>
        <v>2240.975085</v>
      </c>
      <c r="F257" s="10">
        <f>(R257/$B257)+(R257/'Optimal Choice'!$B$21)</f>
        <v>2217.505654</v>
      </c>
      <c r="G257" s="10">
        <f>(S257/$B257)+(S257/'Optimal Choice'!$B$26)</f>
        <v>2317.694305</v>
      </c>
      <c r="I257" s="11">
        <f t="shared" ref="I257:M257" si="256">if(min($C256:$G256)=C256,I256+1,I256)</f>
        <v>99</v>
      </c>
      <c r="J257" s="11">
        <f t="shared" si="256"/>
        <v>46</v>
      </c>
      <c r="K257" s="11">
        <f t="shared" si="256"/>
        <v>42</v>
      </c>
      <c r="L257" s="11">
        <f t="shared" si="256"/>
        <v>36</v>
      </c>
      <c r="M257" s="11">
        <f t="shared" si="256"/>
        <v>33</v>
      </c>
      <c r="O257" s="12">
        <f> 'Optimal Choice'!$B$7*'Optimal Choice'!$B$8^(I257+1)</f>
        <v>3470.865302</v>
      </c>
      <c r="P257" s="12">
        <f> 'Optimal Choice'!$B$12*'Optimal Choice'!$B$13^(J257+1)</f>
        <v>42751.34149</v>
      </c>
      <c r="Q257" s="12">
        <f> 'Optimal Choice'!$B$17*'Optimal Choice'!$B$18^(K257+1)</f>
        <v>201484.2504</v>
      </c>
      <c r="R257" s="12">
        <f> 'Optimal Choice'!$B$22*'Optimal Choice'!$B$23^(L257+1)</f>
        <v>795089.7438</v>
      </c>
      <c r="S257" s="12">
        <f> 'Optimal Choice'!$B$27*'Optimal Choice'!$B$28^(M257+1)</f>
        <v>4887736.212</v>
      </c>
    </row>
    <row r="258" ht="15.75" customHeight="1">
      <c r="A258" s="10">
        <f t="shared" si="2"/>
        <v>15.89299612</v>
      </c>
      <c r="B258" s="6">
        <f>(I258*'Optimal Choice'!$B$6+J258*'Optimal Choice'!$B$11+K258*'Optimal Choice'!$B$16+L258*'Optimal Choice'!$B$21+M258*'Optimal Choice'!$B$26)*'Optimal Choice'!$B$30</f>
        <v>89107</v>
      </c>
      <c r="C258" s="10">
        <f>(O258/$B258)+(O258/'Optimal Choice'!$B$6)</f>
        <v>2223.889507</v>
      </c>
      <c r="D258" s="10">
        <f>(P258/$B258)+(P258/'Optimal Choice'!$B$11)</f>
        <v>2138.04685</v>
      </c>
      <c r="E258" s="10">
        <f>(Q258/$B258)+(Q258/'Optimal Choice'!$B$16)</f>
        <v>2240.975043</v>
      </c>
      <c r="F258" s="10">
        <f>(R258/$B258)+(R258/'Optimal Choice'!$B$21)</f>
        <v>2217.505487</v>
      </c>
      <c r="G258" s="10">
        <f>(S258/$B258)+(S258/'Optimal Choice'!$B$26)</f>
        <v>2317.693277</v>
      </c>
      <c r="I258" s="11">
        <f t="shared" ref="I258:M258" si="257">if(min($C257:$G257)=C257,I257+1,I257)</f>
        <v>100</v>
      </c>
      <c r="J258" s="11">
        <f t="shared" si="257"/>
        <v>46</v>
      </c>
      <c r="K258" s="11">
        <f t="shared" si="257"/>
        <v>42</v>
      </c>
      <c r="L258" s="11">
        <f t="shared" si="257"/>
        <v>36</v>
      </c>
      <c r="M258" s="11">
        <f t="shared" si="257"/>
        <v>33</v>
      </c>
      <c r="O258" s="12">
        <f> 'Optimal Choice'!$B$7*'Optimal Choice'!$B$8^(I258+1)</f>
        <v>3713.825873</v>
      </c>
      <c r="P258" s="12">
        <f> 'Optimal Choice'!$B$12*'Optimal Choice'!$B$13^(J258+1)</f>
        <v>42751.34149</v>
      </c>
      <c r="Q258" s="12">
        <f> 'Optimal Choice'!$B$17*'Optimal Choice'!$B$18^(K258+1)</f>
        <v>201484.2504</v>
      </c>
      <c r="R258" s="12">
        <f> 'Optimal Choice'!$B$22*'Optimal Choice'!$B$23^(L258+1)</f>
        <v>795089.7438</v>
      </c>
      <c r="S258" s="12">
        <f> 'Optimal Choice'!$B$27*'Optimal Choice'!$B$28^(M258+1)</f>
        <v>4887736.212</v>
      </c>
    </row>
    <row r="259" ht="15.75" customHeight="1">
      <c r="A259" s="10">
        <f t="shared" si="2"/>
        <v>15.90099238</v>
      </c>
      <c r="B259" s="6">
        <f>(I259*'Optimal Choice'!$B$6+J259*'Optimal Choice'!$B$11+K259*'Optimal Choice'!$B$16+L259*'Optimal Choice'!$B$21+M259*'Optimal Choice'!$B$26)*'Optimal Choice'!$B$30</f>
        <v>89127</v>
      </c>
      <c r="C259" s="10">
        <f>(O259/$B259)+(O259/'Optimal Choice'!$B$6)</f>
        <v>2223.889497</v>
      </c>
      <c r="D259" s="10">
        <f>(P259/$B259)+(P259/'Optimal Choice'!$B$11)</f>
        <v>2458.753754</v>
      </c>
      <c r="E259" s="10">
        <f>(Q259/$B259)+(Q259/'Optimal Choice'!$B$16)</f>
        <v>2240.974535</v>
      </c>
      <c r="F259" s="10">
        <f>(R259/$B259)+(R259/'Optimal Choice'!$B$21)</f>
        <v>2217.503485</v>
      </c>
      <c r="G259" s="10">
        <f>(S259/$B259)+(S259/'Optimal Choice'!$B$26)</f>
        <v>2317.680968</v>
      </c>
      <c r="I259" s="11">
        <f t="shared" ref="I259:M259" si="258">if(min($C258:$G258)=C258,I258+1,I258)</f>
        <v>100</v>
      </c>
      <c r="J259" s="11">
        <f t="shared" si="258"/>
        <v>47</v>
      </c>
      <c r="K259" s="11">
        <f t="shared" si="258"/>
        <v>42</v>
      </c>
      <c r="L259" s="11">
        <f t="shared" si="258"/>
        <v>36</v>
      </c>
      <c r="M259" s="11">
        <f t="shared" si="258"/>
        <v>33</v>
      </c>
      <c r="O259" s="12">
        <f> 'Optimal Choice'!$B$7*'Optimal Choice'!$B$8^(I259+1)</f>
        <v>3713.825873</v>
      </c>
      <c r="P259" s="12">
        <f> 'Optimal Choice'!$B$12*'Optimal Choice'!$B$13^(J259+1)</f>
        <v>49164.04272</v>
      </c>
      <c r="Q259" s="12">
        <f> 'Optimal Choice'!$B$17*'Optimal Choice'!$B$18^(K259+1)</f>
        <v>201484.2504</v>
      </c>
      <c r="R259" s="12">
        <f> 'Optimal Choice'!$B$22*'Optimal Choice'!$B$23^(L259+1)</f>
        <v>795089.7438</v>
      </c>
      <c r="S259" s="12">
        <f> 'Optimal Choice'!$B$27*'Optimal Choice'!$B$28^(M259+1)</f>
        <v>4887736.212</v>
      </c>
    </row>
    <row r="260" ht="15.75" customHeight="1">
      <c r="A260" s="10">
        <f t="shared" si="2"/>
        <v>16.04967343</v>
      </c>
      <c r="B260" s="6">
        <f>(I260*'Optimal Choice'!$B$6+J260*'Optimal Choice'!$B$11+K260*'Optimal Choice'!$B$16+L260*'Optimal Choice'!$B$21+M260*'Optimal Choice'!$B$26)*'Optimal Choice'!$B$30</f>
        <v>89487</v>
      </c>
      <c r="C260" s="10">
        <f>(O260/$B260)+(O260/'Optimal Choice'!$B$6)</f>
        <v>2223.88933</v>
      </c>
      <c r="D260" s="10">
        <f>(P260/$B260)+(P260/'Optimal Choice'!$B$11)</f>
        <v>2458.751535</v>
      </c>
      <c r="E260" s="10">
        <f>(Q260/$B260)+(Q260/'Optimal Choice'!$B$16)</f>
        <v>2240.965441</v>
      </c>
      <c r="F260" s="10">
        <f>(R260/$B260)+(R260/'Optimal Choice'!$B$21)</f>
        <v>2505.738384</v>
      </c>
      <c r="G260" s="10">
        <f>(S260/$B260)+(S260/'Optimal Choice'!$B$26)</f>
        <v>2317.46035</v>
      </c>
      <c r="I260" s="11">
        <f t="shared" ref="I260:M260" si="259">if(min($C259:$G259)=C259,I259+1,I259)</f>
        <v>100</v>
      </c>
      <c r="J260" s="11">
        <f t="shared" si="259"/>
        <v>47</v>
      </c>
      <c r="K260" s="11">
        <f t="shared" si="259"/>
        <v>42</v>
      </c>
      <c r="L260" s="11">
        <f t="shared" si="259"/>
        <v>37</v>
      </c>
      <c r="M260" s="11">
        <f t="shared" si="259"/>
        <v>33</v>
      </c>
      <c r="O260" s="12">
        <f> 'Optimal Choice'!$B$7*'Optimal Choice'!$B$8^(I260+1)</f>
        <v>3713.825873</v>
      </c>
      <c r="P260" s="12">
        <f> 'Optimal Choice'!$B$12*'Optimal Choice'!$B$13^(J260+1)</f>
        <v>49164.04272</v>
      </c>
      <c r="Q260" s="12">
        <f> 'Optimal Choice'!$B$17*'Optimal Choice'!$B$18^(K260+1)</f>
        <v>201484.2504</v>
      </c>
      <c r="R260" s="12">
        <f> 'Optimal Choice'!$B$22*'Optimal Choice'!$B$23^(L260+1)</f>
        <v>898451.4105</v>
      </c>
      <c r="S260" s="12">
        <f> 'Optimal Choice'!$B$27*'Optimal Choice'!$B$28^(M260+1)</f>
        <v>4887736.212</v>
      </c>
    </row>
    <row r="261" ht="15.75" customHeight="1">
      <c r="A261" s="10">
        <f t="shared" si="2"/>
        <v>16.05036512</v>
      </c>
      <c r="B261" s="6">
        <f>(I261*'Optimal Choice'!$B$6+J261*'Optimal Choice'!$B$11+K261*'Optimal Choice'!$B$16+L261*'Optimal Choice'!$B$21+M261*'Optimal Choice'!$B$26)*'Optimal Choice'!$B$30</f>
        <v>89488.67</v>
      </c>
      <c r="C261" s="10">
        <f>(O261/$B261)+(O261/'Optimal Choice'!$B$6)</f>
        <v>2379.561582</v>
      </c>
      <c r="D261" s="10">
        <f>(P261/$B261)+(P261/'Optimal Choice'!$B$11)</f>
        <v>2458.751524</v>
      </c>
      <c r="E261" s="10">
        <f>(Q261/$B261)+(Q261/'Optimal Choice'!$B$16)</f>
        <v>2240.965399</v>
      </c>
      <c r="F261" s="10">
        <f>(R261/$B261)+(R261/'Optimal Choice'!$B$21)</f>
        <v>2505.738197</v>
      </c>
      <c r="G261" s="10">
        <f>(S261/$B261)+(S261/'Optimal Choice'!$B$26)</f>
        <v>2317.459331</v>
      </c>
      <c r="I261" s="11">
        <f t="shared" ref="I261:M261" si="260">if(min($C260:$G260)=C260,I260+1,I260)</f>
        <v>101</v>
      </c>
      <c r="J261" s="11">
        <f t="shared" si="260"/>
        <v>47</v>
      </c>
      <c r="K261" s="11">
        <f t="shared" si="260"/>
        <v>42</v>
      </c>
      <c r="L261" s="11">
        <f t="shared" si="260"/>
        <v>37</v>
      </c>
      <c r="M261" s="11">
        <f t="shared" si="260"/>
        <v>33</v>
      </c>
      <c r="O261" s="12">
        <f> 'Optimal Choice'!$B$7*'Optimal Choice'!$B$8^(I261+1)</f>
        <v>3973.793685</v>
      </c>
      <c r="P261" s="12">
        <f> 'Optimal Choice'!$B$12*'Optimal Choice'!$B$13^(J261+1)</f>
        <v>49164.04272</v>
      </c>
      <c r="Q261" s="12">
        <f> 'Optimal Choice'!$B$17*'Optimal Choice'!$B$18^(K261+1)</f>
        <v>201484.2504</v>
      </c>
      <c r="R261" s="12">
        <f> 'Optimal Choice'!$B$22*'Optimal Choice'!$B$23^(L261+1)</f>
        <v>898451.4105</v>
      </c>
      <c r="S261" s="12">
        <f> 'Optimal Choice'!$B$27*'Optimal Choice'!$B$28^(M261+1)</f>
        <v>4887736.212</v>
      </c>
    </row>
    <row r="262" ht="15.75" customHeight="1">
      <c r="A262" s="10">
        <f t="shared" si="2"/>
        <v>16.08789021</v>
      </c>
      <c r="B262" s="6">
        <f>(I262*'Optimal Choice'!$B$6+J262*'Optimal Choice'!$B$11+K262*'Optimal Choice'!$B$16+L262*'Optimal Choice'!$B$21+M262*'Optimal Choice'!$B$26)*'Optimal Choice'!$B$30</f>
        <v>89578.67</v>
      </c>
      <c r="C262" s="10">
        <f>(O262/$B262)+(O262/'Optimal Choice'!$B$6)</f>
        <v>2379.561537</v>
      </c>
      <c r="D262" s="10">
        <f>(P262/$B262)+(P262/'Optimal Choice'!$B$11)</f>
        <v>2458.750972</v>
      </c>
      <c r="E262" s="10">
        <f>(Q262/$B262)+(Q262/'Optimal Choice'!$B$16)</f>
        <v>2554.697976</v>
      </c>
      <c r="F262" s="10">
        <f>(R262/$B262)+(R262/'Optimal Choice'!$B$21)</f>
        <v>2505.72811</v>
      </c>
      <c r="G262" s="10">
        <f>(S262/$B262)+(S262/'Optimal Choice'!$B$26)</f>
        <v>2317.404456</v>
      </c>
      <c r="I262" s="11">
        <f t="shared" ref="I262:M262" si="261">if(min($C261:$G261)=C261,I261+1,I261)</f>
        <v>101</v>
      </c>
      <c r="J262" s="11">
        <f t="shared" si="261"/>
        <v>47</v>
      </c>
      <c r="K262" s="11">
        <f t="shared" si="261"/>
        <v>43</v>
      </c>
      <c r="L262" s="11">
        <f t="shared" si="261"/>
        <v>37</v>
      </c>
      <c r="M262" s="11">
        <f t="shared" si="261"/>
        <v>33</v>
      </c>
      <c r="O262" s="12">
        <f> 'Optimal Choice'!$B$7*'Optimal Choice'!$B$8^(I262+1)</f>
        <v>3973.793685</v>
      </c>
      <c r="P262" s="12">
        <f> 'Optimal Choice'!$B$12*'Optimal Choice'!$B$13^(J262+1)</f>
        <v>49164.04272</v>
      </c>
      <c r="Q262" s="12">
        <f> 'Optimal Choice'!$B$17*'Optimal Choice'!$B$18^(K262+1)</f>
        <v>229692.0454</v>
      </c>
      <c r="R262" s="12">
        <f> 'Optimal Choice'!$B$22*'Optimal Choice'!$B$23^(L262+1)</f>
        <v>898451.4105</v>
      </c>
      <c r="S262" s="12">
        <f> 'Optimal Choice'!$B$27*'Optimal Choice'!$B$28^(M262+1)</f>
        <v>4887736.212</v>
      </c>
    </row>
    <row r="263" ht="15.75" customHeight="1">
      <c r="A263" s="10">
        <f t="shared" si="2"/>
        <v>16.99728382</v>
      </c>
      <c r="B263" s="6">
        <f>(I263*'Optimal Choice'!$B$6+J263*'Optimal Choice'!$B$11+K263*'Optimal Choice'!$B$16+L263*'Optimal Choice'!$B$21+M263*'Optimal Choice'!$B$26)*'Optimal Choice'!$B$30</f>
        <v>91738.67</v>
      </c>
      <c r="C263" s="10">
        <f>(O263/$B263)+(O263/'Optimal Choice'!$B$6)</f>
        <v>2379.560493</v>
      </c>
      <c r="D263" s="10">
        <f>(P263/$B263)+(P263/'Optimal Choice'!$B$11)</f>
        <v>2458.73805</v>
      </c>
      <c r="E263" s="10">
        <f>(Q263/$B263)+(Q263/'Optimal Choice'!$B$16)</f>
        <v>2554.637603</v>
      </c>
      <c r="F263" s="10">
        <f>(R263/$B263)+(R263/'Optimal Choice'!$B$21)</f>
        <v>2505.491958</v>
      </c>
      <c r="G263" s="10">
        <f>(S263/$B263)+(S263/'Optimal Choice'!$B$26)</f>
        <v>2594.054117</v>
      </c>
      <c r="I263" s="11">
        <f t="shared" ref="I263:M263" si="262">if(min($C262:$G262)=C262,I262+1,I262)</f>
        <v>101</v>
      </c>
      <c r="J263" s="11">
        <f t="shared" si="262"/>
        <v>47</v>
      </c>
      <c r="K263" s="11">
        <f t="shared" si="262"/>
        <v>43</v>
      </c>
      <c r="L263" s="11">
        <f t="shared" si="262"/>
        <v>37</v>
      </c>
      <c r="M263" s="11">
        <f t="shared" si="262"/>
        <v>34</v>
      </c>
      <c r="O263" s="12">
        <f> 'Optimal Choice'!$B$7*'Optimal Choice'!$B$8^(I263+1)</f>
        <v>3973.793685</v>
      </c>
      <c r="P263" s="12">
        <f> 'Optimal Choice'!$B$12*'Optimal Choice'!$B$13^(J263+1)</f>
        <v>49164.04272</v>
      </c>
      <c r="Q263" s="12">
        <f> 'Optimal Choice'!$B$17*'Optimal Choice'!$B$18^(K263+1)</f>
        <v>229692.0454</v>
      </c>
      <c r="R263" s="12">
        <f> 'Optimal Choice'!$B$22*'Optimal Choice'!$B$23^(L263+1)</f>
        <v>898451.4105</v>
      </c>
      <c r="S263" s="12">
        <f> 'Optimal Choice'!$B$27*'Optimal Choice'!$B$28^(M263+1)</f>
        <v>5474264.558</v>
      </c>
    </row>
    <row r="264" ht="15.75" customHeight="1">
      <c r="A264" s="10">
        <f t="shared" si="2"/>
        <v>16.99800576</v>
      </c>
      <c r="B264" s="6">
        <f>(I264*'Optimal Choice'!$B$6+J264*'Optimal Choice'!$B$11+K264*'Optimal Choice'!$B$16+L264*'Optimal Choice'!$B$21+M264*'Optimal Choice'!$B$26)*'Optimal Choice'!$B$30</f>
        <v>91740.34</v>
      </c>
      <c r="C264" s="10">
        <f>(O264/$B264)+(O264/'Optimal Choice'!$B$6)</f>
        <v>2546.129726</v>
      </c>
      <c r="D264" s="10">
        <f>(P264/$B264)+(P264/'Optimal Choice'!$B$11)</f>
        <v>2458.73804</v>
      </c>
      <c r="E264" s="10">
        <f>(Q264/$B264)+(Q264/'Optimal Choice'!$B$16)</f>
        <v>2554.637557</v>
      </c>
      <c r="F264" s="10">
        <f>(R264/$B264)+(R264/'Optimal Choice'!$B$21)</f>
        <v>2505.49178</v>
      </c>
      <c r="G264" s="10">
        <f>(S264/$B264)+(S264/'Optimal Choice'!$B$26)</f>
        <v>2594.053031</v>
      </c>
      <c r="I264" s="11">
        <f t="shared" ref="I264:M264" si="263">if(min($C263:$G263)=C263,I263+1,I263)</f>
        <v>102</v>
      </c>
      <c r="J264" s="11">
        <f t="shared" si="263"/>
        <v>47</v>
      </c>
      <c r="K264" s="11">
        <f t="shared" si="263"/>
        <v>43</v>
      </c>
      <c r="L264" s="11">
        <f t="shared" si="263"/>
        <v>37</v>
      </c>
      <c r="M264" s="11">
        <f t="shared" si="263"/>
        <v>34</v>
      </c>
      <c r="O264" s="12">
        <f> 'Optimal Choice'!$B$7*'Optimal Choice'!$B$8^(I264+1)</f>
        <v>4251.959242</v>
      </c>
      <c r="P264" s="12">
        <f> 'Optimal Choice'!$B$12*'Optimal Choice'!$B$13^(J264+1)</f>
        <v>49164.04272</v>
      </c>
      <c r="Q264" s="12">
        <f> 'Optimal Choice'!$B$17*'Optimal Choice'!$B$18^(K264+1)</f>
        <v>229692.0454</v>
      </c>
      <c r="R264" s="12">
        <f> 'Optimal Choice'!$B$22*'Optimal Choice'!$B$23^(L264+1)</f>
        <v>898451.4105</v>
      </c>
      <c r="S264" s="12">
        <f> 'Optimal Choice'!$B$27*'Optimal Choice'!$B$28^(M264+1)</f>
        <v>5474264.558</v>
      </c>
    </row>
    <row r="265" ht="15.75" customHeight="1">
      <c r="A265" s="10">
        <f t="shared" si="2"/>
        <v>17.0069375</v>
      </c>
      <c r="B265" s="6">
        <f>(I265*'Optimal Choice'!$B$6+J265*'Optimal Choice'!$B$11+K265*'Optimal Choice'!$B$16+L265*'Optimal Choice'!$B$21+M265*'Optimal Choice'!$B$26)*'Optimal Choice'!$B$30</f>
        <v>91760.34</v>
      </c>
      <c r="C265" s="10">
        <f>(O265/$B265)+(O265/'Optimal Choice'!$B$6)</f>
        <v>2546.129716</v>
      </c>
      <c r="D265" s="10">
        <f>(P265/$B265)+(P265/'Optimal Choice'!$B$11)</f>
        <v>2827.548612</v>
      </c>
      <c r="E265" s="10">
        <f>(Q265/$B265)+(Q265/'Optimal Choice'!$B$16)</f>
        <v>2554.637012</v>
      </c>
      <c r="F265" s="10">
        <f>(R265/$B265)+(R265/'Optimal Choice'!$B$21)</f>
        <v>2505.489645</v>
      </c>
      <c r="G265" s="10">
        <f>(S265/$B265)+(S265/'Optimal Choice'!$B$26)</f>
        <v>2594.040025</v>
      </c>
      <c r="I265" s="11">
        <f t="shared" ref="I265:M265" si="264">if(min($C264:$G264)=C264,I264+1,I264)</f>
        <v>102</v>
      </c>
      <c r="J265" s="11">
        <f t="shared" si="264"/>
        <v>48</v>
      </c>
      <c r="K265" s="11">
        <f t="shared" si="264"/>
        <v>43</v>
      </c>
      <c r="L265" s="11">
        <f t="shared" si="264"/>
        <v>37</v>
      </c>
      <c r="M265" s="11">
        <f t="shared" si="264"/>
        <v>34</v>
      </c>
      <c r="O265" s="12">
        <f> 'Optimal Choice'!$B$7*'Optimal Choice'!$B$8^(I265+1)</f>
        <v>4251.959242</v>
      </c>
      <c r="P265" s="12">
        <f> 'Optimal Choice'!$B$12*'Optimal Choice'!$B$13^(J265+1)</f>
        <v>56538.64913</v>
      </c>
      <c r="Q265" s="12">
        <f> 'Optimal Choice'!$B$17*'Optimal Choice'!$B$18^(K265+1)</f>
        <v>229692.0454</v>
      </c>
      <c r="R265" s="12">
        <f> 'Optimal Choice'!$B$22*'Optimal Choice'!$B$23^(L265+1)</f>
        <v>898451.4105</v>
      </c>
      <c r="S265" s="12">
        <f> 'Optimal Choice'!$B$27*'Optimal Choice'!$B$28^(M265+1)</f>
        <v>5474264.558</v>
      </c>
    </row>
    <row r="266" ht="15.75" customHeight="1">
      <c r="A266" s="10">
        <f t="shared" si="2"/>
        <v>17.17012554</v>
      </c>
      <c r="B266" s="6">
        <f>(I266*'Optimal Choice'!$B$6+J266*'Optimal Choice'!$B$11+K266*'Optimal Choice'!$B$16+L266*'Optimal Choice'!$B$21+M266*'Optimal Choice'!$B$26)*'Optimal Choice'!$B$30</f>
        <v>92120.34</v>
      </c>
      <c r="C266" s="10">
        <f>(O266/$B266)+(O266/'Optimal Choice'!$B$6)</f>
        <v>2546.129535</v>
      </c>
      <c r="D266" s="10">
        <f>(P266/$B266)+(P266/'Optimal Choice'!$B$11)</f>
        <v>2827.546204</v>
      </c>
      <c r="E266" s="10">
        <f>(Q266/$B266)+(Q266/'Optimal Choice'!$B$16)</f>
        <v>2554.627229</v>
      </c>
      <c r="F266" s="10">
        <f>(R266/$B266)+(R266/'Optimal Choice'!$B$21)</f>
        <v>2831.160061</v>
      </c>
      <c r="G266" s="10">
        <f>(S266/$B266)+(S266/'Optimal Choice'!$B$26)</f>
        <v>2593.806885</v>
      </c>
      <c r="I266" s="11">
        <f t="shared" ref="I266:M266" si="265">if(min($C265:$G265)=C265,I265+1,I265)</f>
        <v>102</v>
      </c>
      <c r="J266" s="11">
        <f t="shared" si="265"/>
        <v>48</v>
      </c>
      <c r="K266" s="11">
        <f t="shared" si="265"/>
        <v>43</v>
      </c>
      <c r="L266" s="11">
        <f t="shared" si="265"/>
        <v>38</v>
      </c>
      <c r="M266" s="11">
        <f t="shared" si="265"/>
        <v>34</v>
      </c>
      <c r="O266" s="12">
        <f> 'Optimal Choice'!$B$7*'Optimal Choice'!$B$8^(I266+1)</f>
        <v>4251.959242</v>
      </c>
      <c r="P266" s="12">
        <f> 'Optimal Choice'!$B$12*'Optimal Choice'!$B$13^(J266+1)</f>
        <v>56538.64913</v>
      </c>
      <c r="Q266" s="12">
        <f> 'Optimal Choice'!$B$17*'Optimal Choice'!$B$18^(K266+1)</f>
        <v>229692.0454</v>
      </c>
      <c r="R266" s="12">
        <f> 'Optimal Choice'!$B$22*'Optimal Choice'!$B$23^(L266+1)</f>
        <v>1015250.094</v>
      </c>
      <c r="S266" s="12">
        <f> 'Optimal Choice'!$B$27*'Optimal Choice'!$B$28^(M266+1)</f>
        <v>5474264.558</v>
      </c>
    </row>
    <row r="267" ht="15.75" customHeight="1">
      <c r="A267" s="10">
        <f t="shared" si="2"/>
        <v>17.17089482</v>
      </c>
      <c r="B267" s="6">
        <f>(I267*'Optimal Choice'!$B$6+J267*'Optimal Choice'!$B$11+K267*'Optimal Choice'!$B$16+L267*'Optimal Choice'!$B$21+M267*'Optimal Choice'!$B$26)*'Optimal Choice'!$B$30</f>
        <v>92122.01</v>
      </c>
      <c r="C267" s="10">
        <f>(O267/$B267)+(O267/'Optimal Choice'!$B$6)</f>
        <v>2724.358602</v>
      </c>
      <c r="D267" s="10">
        <f>(P267/$B267)+(P267/'Optimal Choice'!$B$11)</f>
        <v>2827.546193</v>
      </c>
      <c r="E267" s="10">
        <f>(Q267/$B267)+(Q267/'Optimal Choice'!$B$16)</f>
        <v>2554.627184</v>
      </c>
      <c r="F267" s="10">
        <f>(R267/$B267)+(R267/'Optimal Choice'!$B$21)</f>
        <v>2831.159861</v>
      </c>
      <c r="G267" s="10">
        <f>(S267/$B267)+(S267/'Optimal Choice'!$B$26)</f>
        <v>2593.805807</v>
      </c>
      <c r="I267" s="11">
        <f t="shared" ref="I267:M267" si="266">if(min($C266:$G266)=C266,I266+1,I266)</f>
        <v>103</v>
      </c>
      <c r="J267" s="11">
        <f t="shared" si="266"/>
        <v>48</v>
      </c>
      <c r="K267" s="11">
        <f t="shared" si="266"/>
        <v>43</v>
      </c>
      <c r="L267" s="11">
        <f t="shared" si="266"/>
        <v>38</v>
      </c>
      <c r="M267" s="11">
        <f t="shared" si="266"/>
        <v>34</v>
      </c>
      <c r="O267" s="12">
        <f> 'Optimal Choice'!$B$7*'Optimal Choice'!$B$8^(I267+1)</f>
        <v>4549.596389</v>
      </c>
      <c r="P267" s="12">
        <f> 'Optimal Choice'!$B$12*'Optimal Choice'!$B$13^(J267+1)</f>
        <v>56538.64913</v>
      </c>
      <c r="Q267" s="12">
        <f> 'Optimal Choice'!$B$17*'Optimal Choice'!$B$18^(K267+1)</f>
        <v>229692.0454</v>
      </c>
      <c r="R267" s="12">
        <f> 'Optimal Choice'!$B$22*'Optimal Choice'!$B$23^(L267+1)</f>
        <v>1015250.094</v>
      </c>
      <c r="S267" s="12">
        <f> 'Optimal Choice'!$B$27*'Optimal Choice'!$B$28^(M267+1)</f>
        <v>5474264.558</v>
      </c>
    </row>
    <row r="268" ht="15.75" customHeight="1">
      <c r="A268" s="10">
        <f t="shared" si="2"/>
        <v>17.21245059</v>
      </c>
      <c r="B268" s="6">
        <f>(I268*'Optimal Choice'!$B$6+J268*'Optimal Choice'!$B$11+K268*'Optimal Choice'!$B$16+L268*'Optimal Choice'!$B$21+M268*'Optimal Choice'!$B$26)*'Optimal Choice'!$B$30</f>
        <v>92212.01</v>
      </c>
      <c r="C268" s="10">
        <f>(O268/$B268)+(O268/'Optimal Choice'!$B$6)</f>
        <v>2724.358554</v>
      </c>
      <c r="D268" s="10">
        <f>(P268/$B268)+(P268/'Optimal Choice'!$B$11)</f>
        <v>2827.545594</v>
      </c>
      <c r="E268" s="10">
        <f>(Q268/$B268)+(Q268/'Optimal Choice'!$B$16)</f>
        <v>2912.272216</v>
      </c>
      <c r="F268" s="10">
        <f>(R268/$B268)+(R268/'Optimal Choice'!$B$21)</f>
        <v>2831.149105</v>
      </c>
      <c r="G268" s="10">
        <f>(S268/$B268)+(S268/'Optimal Choice'!$B$26)</f>
        <v>2593.747809</v>
      </c>
      <c r="I268" s="11">
        <f t="shared" ref="I268:M268" si="267">if(min($C267:$G267)=C267,I267+1,I267)</f>
        <v>103</v>
      </c>
      <c r="J268" s="11">
        <f t="shared" si="267"/>
        <v>48</v>
      </c>
      <c r="K268" s="11">
        <f t="shared" si="267"/>
        <v>44</v>
      </c>
      <c r="L268" s="11">
        <f t="shared" si="267"/>
        <v>38</v>
      </c>
      <c r="M268" s="11">
        <f t="shared" si="267"/>
        <v>34</v>
      </c>
      <c r="O268" s="12">
        <f> 'Optimal Choice'!$B$7*'Optimal Choice'!$B$8^(I268+1)</f>
        <v>4549.596389</v>
      </c>
      <c r="P268" s="12">
        <f> 'Optimal Choice'!$B$12*'Optimal Choice'!$B$13^(J268+1)</f>
        <v>56538.64913</v>
      </c>
      <c r="Q268" s="12">
        <f> 'Optimal Choice'!$B$17*'Optimal Choice'!$B$18^(K268+1)</f>
        <v>261848.9318</v>
      </c>
      <c r="R268" s="12">
        <f> 'Optimal Choice'!$B$22*'Optimal Choice'!$B$23^(L268+1)</f>
        <v>1015250.094</v>
      </c>
      <c r="S268" s="12">
        <f> 'Optimal Choice'!$B$27*'Optimal Choice'!$B$28^(M268+1)</f>
        <v>5474264.558</v>
      </c>
    </row>
    <row r="269" ht="15.75" customHeight="1">
      <c r="A269" s="10">
        <f t="shared" si="2"/>
        <v>18.20188507</v>
      </c>
      <c r="B269" s="6">
        <f>(I269*'Optimal Choice'!$B$6+J269*'Optimal Choice'!$B$11+K269*'Optimal Choice'!$B$16+L269*'Optimal Choice'!$B$21+M269*'Optimal Choice'!$B$26)*'Optimal Choice'!$B$30</f>
        <v>94372.01</v>
      </c>
      <c r="C269" s="10">
        <f>(O269/$B269)+(O269/'Optimal Choice'!$B$6)</f>
        <v>2724.357424</v>
      </c>
      <c r="D269" s="10">
        <f>(P269/$B269)+(P269/'Optimal Choice'!$B$11)</f>
        <v>2827.53156</v>
      </c>
      <c r="E269" s="10">
        <f>(Q269/$B269)+(Q269/'Optimal Choice'!$B$16)</f>
        <v>2912.207222</v>
      </c>
      <c r="F269" s="10">
        <f>(R269/$B269)+(R269/'Optimal Choice'!$B$21)</f>
        <v>2830.897107</v>
      </c>
      <c r="G269" s="10">
        <f>(S269/$B269)+(S269/'Optimal Choice'!$B$26)</f>
        <v>2903.475713</v>
      </c>
      <c r="I269" s="11">
        <f t="shared" ref="I269:M269" si="268">if(min($C268:$G268)=C268,I268+1,I268)</f>
        <v>103</v>
      </c>
      <c r="J269" s="11">
        <f t="shared" si="268"/>
        <v>48</v>
      </c>
      <c r="K269" s="11">
        <f t="shared" si="268"/>
        <v>44</v>
      </c>
      <c r="L269" s="11">
        <f t="shared" si="268"/>
        <v>38</v>
      </c>
      <c r="M269" s="11">
        <f t="shared" si="268"/>
        <v>35</v>
      </c>
      <c r="O269" s="12">
        <f> 'Optimal Choice'!$B$7*'Optimal Choice'!$B$8^(I269+1)</f>
        <v>4549.596389</v>
      </c>
      <c r="P269" s="12">
        <f> 'Optimal Choice'!$B$12*'Optimal Choice'!$B$13^(J269+1)</f>
        <v>56538.64913</v>
      </c>
      <c r="Q269" s="12">
        <f> 'Optimal Choice'!$B$17*'Optimal Choice'!$B$18^(K269+1)</f>
        <v>261848.9318</v>
      </c>
      <c r="R269" s="12">
        <f> 'Optimal Choice'!$B$22*'Optimal Choice'!$B$23^(L269+1)</f>
        <v>1015250.094</v>
      </c>
      <c r="S269" s="12">
        <f> 'Optimal Choice'!$B$27*'Optimal Choice'!$B$28^(M269+1)</f>
        <v>6131176.305</v>
      </c>
    </row>
    <row r="270" ht="15.75" customHeight="1">
      <c r="A270" s="10">
        <f t="shared" si="2"/>
        <v>18.20268856</v>
      </c>
      <c r="B270" s="6">
        <f>(I270*'Optimal Choice'!$B$6+J270*'Optimal Choice'!$B$11+K270*'Optimal Choice'!$B$16+L270*'Optimal Choice'!$B$21+M270*'Optimal Choice'!$B$26)*'Optimal Choice'!$B$30</f>
        <v>94373.68</v>
      </c>
      <c r="C270" s="10">
        <f>(O270/$B270)+(O270/'Optimal Choice'!$B$6)</f>
        <v>2915.062443</v>
      </c>
      <c r="D270" s="10">
        <f>(P270/$B270)+(P270/'Optimal Choice'!$B$11)</f>
        <v>2827.53155</v>
      </c>
      <c r="E270" s="10">
        <f>(Q270/$B270)+(Q270/'Optimal Choice'!$B$16)</f>
        <v>2912.207173</v>
      </c>
      <c r="F270" s="10">
        <f>(R270/$B270)+(R270/'Optimal Choice'!$B$21)</f>
        <v>2830.896917</v>
      </c>
      <c r="G270" s="10">
        <f>(S270/$B270)+(S270/'Optimal Choice'!$B$26)</f>
        <v>2903.474564</v>
      </c>
      <c r="I270" s="11">
        <f t="shared" ref="I270:M270" si="269">if(min($C269:$G269)=C269,I269+1,I269)</f>
        <v>104</v>
      </c>
      <c r="J270" s="11">
        <f t="shared" si="269"/>
        <v>48</v>
      </c>
      <c r="K270" s="11">
        <f t="shared" si="269"/>
        <v>44</v>
      </c>
      <c r="L270" s="11">
        <f t="shared" si="269"/>
        <v>38</v>
      </c>
      <c r="M270" s="11">
        <f t="shared" si="269"/>
        <v>35</v>
      </c>
      <c r="O270" s="12">
        <f> 'Optimal Choice'!$B$7*'Optimal Choice'!$B$8^(I270+1)</f>
        <v>4868.068137</v>
      </c>
      <c r="P270" s="12">
        <f> 'Optimal Choice'!$B$12*'Optimal Choice'!$B$13^(J270+1)</f>
        <v>56538.64913</v>
      </c>
      <c r="Q270" s="12">
        <f> 'Optimal Choice'!$B$17*'Optimal Choice'!$B$18^(K270+1)</f>
        <v>261848.9318</v>
      </c>
      <c r="R270" s="12">
        <f> 'Optimal Choice'!$B$22*'Optimal Choice'!$B$23^(L270+1)</f>
        <v>1015250.094</v>
      </c>
      <c r="S270" s="12">
        <f> 'Optimal Choice'!$B$27*'Optimal Choice'!$B$28^(M270+1)</f>
        <v>6131176.305</v>
      </c>
    </row>
    <row r="271" ht="15.75" customHeight="1">
      <c r="A271" s="10">
        <f t="shared" si="2"/>
        <v>18.21267345</v>
      </c>
      <c r="B271" s="6">
        <f>(I271*'Optimal Choice'!$B$6+J271*'Optimal Choice'!$B$11+K271*'Optimal Choice'!$B$16+L271*'Optimal Choice'!$B$21+M271*'Optimal Choice'!$B$26)*'Optimal Choice'!$B$30</f>
        <v>94393.68</v>
      </c>
      <c r="C271" s="10">
        <f>(O271/$B271)+(O271/'Optimal Choice'!$B$6)</f>
        <v>2915.062432</v>
      </c>
      <c r="D271" s="10">
        <f>(P271/$B271)+(P271/'Optimal Choice'!$B$11)</f>
        <v>3251.661136</v>
      </c>
      <c r="E271" s="10">
        <f>(Q271/$B271)+(Q271/'Optimal Choice'!$B$16)</f>
        <v>2912.206585</v>
      </c>
      <c r="F271" s="10">
        <f>(R271/$B271)+(R271/'Optimal Choice'!$B$21)</f>
        <v>2830.894638</v>
      </c>
      <c r="G271" s="10">
        <f>(S271/$B271)+(S271/'Optimal Choice'!$B$26)</f>
        <v>2903.460799</v>
      </c>
      <c r="I271" s="11">
        <f t="shared" ref="I271:M271" si="270">if(min($C270:$G270)=C270,I270+1,I270)</f>
        <v>104</v>
      </c>
      <c r="J271" s="11">
        <f t="shared" si="270"/>
        <v>49</v>
      </c>
      <c r="K271" s="11">
        <f t="shared" si="270"/>
        <v>44</v>
      </c>
      <c r="L271" s="11">
        <f t="shared" si="270"/>
        <v>38</v>
      </c>
      <c r="M271" s="11">
        <f t="shared" si="270"/>
        <v>35</v>
      </c>
      <c r="O271" s="12">
        <f> 'Optimal Choice'!$B$7*'Optimal Choice'!$B$8^(I271+1)</f>
        <v>4868.068137</v>
      </c>
      <c r="P271" s="12">
        <f> 'Optimal Choice'!$B$12*'Optimal Choice'!$B$13^(J271+1)</f>
        <v>65019.4465</v>
      </c>
      <c r="Q271" s="12">
        <f> 'Optimal Choice'!$B$17*'Optimal Choice'!$B$18^(K271+1)</f>
        <v>261848.9318</v>
      </c>
      <c r="R271" s="12">
        <f> 'Optimal Choice'!$B$22*'Optimal Choice'!$B$23^(L271+1)</f>
        <v>1015250.094</v>
      </c>
      <c r="S271" s="12">
        <f> 'Optimal Choice'!$B$27*'Optimal Choice'!$B$28^(M271+1)</f>
        <v>6131176.305</v>
      </c>
    </row>
    <row r="272" ht="15.75" customHeight="1">
      <c r="A272" s="10">
        <f t="shared" si="2"/>
        <v>18.39193158</v>
      </c>
      <c r="B272" s="6">
        <f>(I272*'Optimal Choice'!$B$6+J272*'Optimal Choice'!$B$11+K272*'Optimal Choice'!$B$16+L272*'Optimal Choice'!$B$21+M272*'Optimal Choice'!$B$26)*'Optimal Choice'!$B$30</f>
        <v>94753.68</v>
      </c>
      <c r="C272" s="10">
        <f>(O272/$B272)+(O272/'Optimal Choice'!$B$6)</f>
        <v>2915.062236</v>
      </c>
      <c r="D272" s="10">
        <f>(P272/$B272)+(P272/'Optimal Choice'!$B$11)</f>
        <v>3251.658519</v>
      </c>
      <c r="E272" s="10">
        <f>(Q272/$B272)+(Q272/'Optimal Choice'!$B$16)</f>
        <v>2912.196045</v>
      </c>
      <c r="F272" s="10">
        <f>(R272/$B272)+(R272/'Optimal Choice'!$B$21)</f>
        <v>3198.864765</v>
      </c>
      <c r="G272" s="10">
        <f>(S272/$B272)+(S272/'Optimal Choice'!$B$26)</f>
        <v>2903.21402</v>
      </c>
      <c r="I272" s="11">
        <f t="shared" ref="I272:M272" si="271">if(min($C271:$G271)=C271,I271+1,I271)</f>
        <v>104</v>
      </c>
      <c r="J272" s="11">
        <f t="shared" si="271"/>
        <v>49</v>
      </c>
      <c r="K272" s="11">
        <f t="shared" si="271"/>
        <v>44</v>
      </c>
      <c r="L272" s="11">
        <f t="shared" si="271"/>
        <v>39</v>
      </c>
      <c r="M272" s="11">
        <f t="shared" si="271"/>
        <v>35</v>
      </c>
      <c r="O272" s="12">
        <f> 'Optimal Choice'!$B$7*'Optimal Choice'!$B$8^(I272+1)</f>
        <v>4868.068137</v>
      </c>
      <c r="P272" s="12">
        <f> 'Optimal Choice'!$B$12*'Optimal Choice'!$B$13^(J272+1)</f>
        <v>65019.4465</v>
      </c>
      <c r="Q272" s="12">
        <f> 'Optimal Choice'!$B$17*'Optimal Choice'!$B$18^(K272+1)</f>
        <v>261848.9318</v>
      </c>
      <c r="R272" s="12">
        <f> 'Optimal Choice'!$B$22*'Optimal Choice'!$B$23^(L272+1)</f>
        <v>1147232.606</v>
      </c>
      <c r="S272" s="12">
        <f> 'Optimal Choice'!$B$27*'Optimal Choice'!$B$28^(M272+1)</f>
        <v>6131176.305</v>
      </c>
    </row>
    <row r="273" ht="15.75" customHeight="1">
      <c r="A273" s="10">
        <f t="shared" si="2"/>
        <v>19.47037277</v>
      </c>
      <c r="B273" s="6">
        <f>(I273*'Optimal Choice'!$B$6+J273*'Optimal Choice'!$B$11+K273*'Optimal Choice'!$B$16+L273*'Optimal Choice'!$B$21+M273*'Optimal Choice'!$B$26)*'Optimal Choice'!$B$30</f>
        <v>96913.68</v>
      </c>
      <c r="C273" s="10">
        <f>(O273/$B273)+(O273/'Optimal Choice'!$B$6)</f>
        <v>2915.061091</v>
      </c>
      <c r="D273" s="10">
        <f>(P273/$B273)+(P273/'Optimal Choice'!$B$11)</f>
        <v>3251.643225</v>
      </c>
      <c r="E273" s="10">
        <f>(Q273/$B273)+(Q273/'Optimal Choice'!$B$16)</f>
        <v>2912.134454</v>
      </c>
      <c r="F273" s="10">
        <f>(R273/$B273)+(R273/'Optimal Choice'!$B$21)</f>
        <v>3198.594914</v>
      </c>
      <c r="G273" s="10">
        <f>(S273/$B273)+(S273/'Optimal Choice'!$B$26)</f>
        <v>3249.984472</v>
      </c>
      <c r="I273" s="11">
        <f t="shared" ref="I273:M273" si="272">if(min($C272:$G272)=C272,I272+1,I272)</f>
        <v>104</v>
      </c>
      <c r="J273" s="11">
        <f t="shared" si="272"/>
        <v>49</v>
      </c>
      <c r="K273" s="11">
        <f t="shared" si="272"/>
        <v>44</v>
      </c>
      <c r="L273" s="11">
        <f t="shared" si="272"/>
        <v>39</v>
      </c>
      <c r="M273" s="11">
        <f t="shared" si="272"/>
        <v>36</v>
      </c>
      <c r="O273" s="12">
        <f> 'Optimal Choice'!$B$7*'Optimal Choice'!$B$8^(I273+1)</f>
        <v>4868.068137</v>
      </c>
      <c r="P273" s="12">
        <f> 'Optimal Choice'!$B$12*'Optimal Choice'!$B$13^(J273+1)</f>
        <v>65019.4465</v>
      </c>
      <c r="Q273" s="12">
        <f> 'Optimal Choice'!$B$17*'Optimal Choice'!$B$18^(K273+1)</f>
        <v>261848.9318</v>
      </c>
      <c r="R273" s="12">
        <f> 'Optimal Choice'!$B$22*'Optimal Choice'!$B$23^(L273+1)</f>
        <v>1147232.606</v>
      </c>
      <c r="S273" s="12">
        <f> 'Optimal Choice'!$B$27*'Optimal Choice'!$B$28^(M273+1)</f>
        <v>6866917.462</v>
      </c>
    </row>
    <row r="274" ht="15.75" customHeight="1">
      <c r="A274" s="10">
        <f t="shared" si="2"/>
        <v>19.51540407</v>
      </c>
      <c r="B274" s="6">
        <f>(I274*'Optimal Choice'!$B$6+J274*'Optimal Choice'!$B$11+K274*'Optimal Choice'!$B$16+L274*'Optimal Choice'!$B$21+M274*'Optimal Choice'!$B$26)*'Optimal Choice'!$B$30</f>
        <v>97003.68</v>
      </c>
      <c r="C274" s="10">
        <f>(O274/$B274)+(O274/'Optimal Choice'!$B$6)</f>
        <v>2915.061045</v>
      </c>
      <c r="D274" s="10">
        <f>(P274/$B274)+(P274/'Optimal Choice'!$B$11)</f>
        <v>3251.642603</v>
      </c>
      <c r="E274" s="10">
        <f>(Q274/$B274)+(Q274/'Optimal Choice'!$B$16)</f>
        <v>3319.830419</v>
      </c>
      <c r="F274" s="10">
        <f>(R274/$B274)+(R274/'Optimal Choice'!$B$21)</f>
        <v>3198.583931</v>
      </c>
      <c r="G274" s="10">
        <f>(S274/$B274)+(S274/'Optimal Choice'!$B$26)</f>
        <v>3249.918732</v>
      </c>
      <c r="I274" s="11">
        <f t="shared" ref="I274:M274" si="273">if(min($C273:$G273)=C273,I273+1,I273)</f>
        <v>104</v>
      </c>
      <c r="J274" s="11">
        <f t="shared" si="273"/>
        <v>49</v>
      </c>
      <c r="K274" s="11">
        <f t="shared" si="273"/>
        <v>45</v>
      </c>
      <c r="L274" s="11">
        <f t="shared" si="273"/>
        <v>39</v>
      </c>
      <c r="M274" s="11">
        <f t="shared" si="273"/>
        <v>36</v>
      </c>
      <c r="O274" s="12">
        <f> 'Optimal Choice'!$B$7*'Optimal Choice'!$B$8^(I274+1)</f>
        <v>4868.068137</v>
      </c>
      <c r="P274" s="12">
        <f> 'Optimal Choice'!$B$12*'Optimal Choice'!$B$13^(J274+1)</f>
        <v>65019.4465</v>
      </c>
      <c r="Q274" s="12">
        <f> 'Optimal Choice'!$B$17*'Optimal Choice'!$B$18^(K274+1)</f>
        <v>298507.7823</v>
      </c>
      <c r="R274" s="12">
        <f> 'Optimal Choice'!$B$22*'Optimal Choice'!$B$23^(L274+1)</f>
        <v>1147232.606</v>
      </c>
      <c r="S274" s="12">
        <f> 'Optimal Choice'!$B$27*'Optimal Choice'!$B$28^(M274+1)</f>
        <v>6866917.462</v>
      </c>
    </row>
    <row r="275" ht="15.75" customHeight="1">
      <c r="A275" s="10">
        <f t="shared" si="2"/>
        <v>19.51624048</v>
      </c>
      <c r="B275" s="6">
        <f>(I275*'Optimal Choice'!$B$6+J275*'Optimal Choice'!$B$11+K275*'Optimal Choice'!$B$16+L275*'Optimal Choice'!$B$21+M275*'Optimal Choice'!$B$26)*'Optimal Choice'!$B$30</f>
        <v>97005.35</v>
      </c>
      <c r="C275" s="10">
        <f>(O275/$B275)+(O275/'Optimal Choice'!$B$6)</f>
        <v>3119.115317</v>
      </c>
      <c r="D275" s="10">
        <f>(P275/$B275)+(P275/'Optimal Choice'!$B$11)</f>
        <v>3251.642591</v>
      </c>
      <c r="E275" s="10">
        <f>(Q275/$B275)+(Q275/'Optimal Choice'!$B$16)</f>
        <v>3319.830366</v>
      </c>
      <c r="F275" s="10">
        <f>(R275/$B275)+(R275/'Optimal Choice'!$B$21)</f>
        <v>3198.583727</v>
      </c>
      <c r="G275" s="10">
        <f>(S275/$B275)+(S275/'Optimal Choice'!$B$26)</f>
        <v>3249.917514</v>
      </c>
      <c r="I275" s="11">
        <f t="shared" ref="I275:M275" si="274">if(min($C274:$G274)=C274,I274+1,I274)</f>
        <v>105</v>
      </c>
      <c r="J275" s="11">
        <f t="shared" si="274"/>
        <v>49</v>
      </c>
      <c r="K275" s="11">
        <f t="shared" si="274"/>
        <v>45</v>
      </c>
      <c r="L275" s="11">
        <f t="shared" si="274"/>
        <v>39</v>
      </c>
      <c r="M275" s="11">
        <f t="shared" si="274"/>
        <v>36</v>
      </c>
      <c r="O275" s="12">
        <f> 'Optimal Choice'!$B$7*'Optimal Choice'!$B$8^(I275+1)</f>
        <v>5208.832906</v>
      </c>
      <c r="P275" s="12">
        <f> 'Optimal Choice'!$B$12*'Optimal Choice'!$B$13^(J275+1)</f>
        <v>65019.4465</v>
      </c>
      <c r="Q275" s="12">
        <f> 'Optimal Choice'!$B$17*'Optimal Choice'!$B$18^(K275+1)</f>
        <v>298507.7823</v>
      </c>
      <c r="R275" s="12">
        <f> 'Optimal Choice'!$B$22*'Optimal Choice'!$B$23^(L275+1)</f>
        <v>1147232.606</v>
      </c>
      <c r="S275" s="12">
        <f> 'Optimal Choice'!$B$27*'Optimal Choice'!$B$28^(M275+1)</f>
        <v>6866917.462</v>
      </c>
    </row>
    <row r="276" ht="15.75" customHeight="1">
      <c r="A276" s="10">
        <f t="shared" si="2"/>
        <v>19.51713542</v>
      </c>
      <c r="B276" s="6">
        <f>(I276*'Optimal Choice'!$B$6+J276*'Optimal Choice'!$B$11+K276*'Optimal Choice'!$B$16+L276*'Optimal Choice'!$B$21+M276*'Optimal Choice'!$B$26)*'Optimal Choice'!$B$30</f>
        <v>97007.02</v>
      </c>
      <c r="C276" s="10">
        <f>(O276/$B276)+(O276/'Optimal Choice'!$B$6)</f>
        <v>3337.453388</v>
      </c>
      <c r="D276" s="10">
        <f>(P276/$B276)+(P276/'Optimal Choice'!$B$11)</f>
        <v>3251.64258</v>
      </c>
      <c r="E276" s="10">
        <f>(Q276/$B276)+(Q276/'Optimal Choice'!$B$16)</f>
        <v>3319.830313</v>
      </c>
      <c r="F276" s="10">
        <f>(R276/$B276)+(R276/'Optimal Choice'!$B$21)</f>
        <v>3198.583524</v>
      </c>
      <c r="G276" s="10">
        <f>(S276/$B276)+(S276/'Optimal Choice'!$B$26)</f>
        <v>3249.916295</v>
      </c>
      <c r="I276" s="11">
        <f t="shared" ref="I276:M276" si="275">if(min($C275:$G275)=C275,I275+1,I275)</f>
        <v>106</v>
      </c>
      <c r="J276" s="11">
        <f t="shared" si="275"/>
        <v>49</v>
      </c>
      <c r="K276" s="11">
        <f t="shared" si="275"/>
        <v>45</v>
      </c>
      <c r="L276" s="11">
        <f t="shared" si="275"/>
        <v>39</v>
      </c>
      <c r="M276" s="11">
        <f t="shared" si="275"/>
        <v>36</v>
      </c>
      <c r="O276" s="12">
        <f> 'Optimal Choice'!$B$7*'Optimal Choice'!$B$8^(I276+1)</f>
        <v>5573.45121</v>
      </c>
      <c r="P276" s="12">
        <f> 'Optimal Choice'!$B$12*'Optimal Choice'!$B$13^(J276+1)</f>
        <v>65019.4465</v>
      </c>
      <c r="Q276" s="12">
        <f> 'Optimal Choice'!$B$17*'Optimal Choice'!$B$18^(K276+1)</f>
        <v>298507.7823</v>
      </c>
      <c r="R276" s="12">
        <f> 'Optimal Choice'!$B$22*'Optimal Choice'!$B$23^(L276+1)</f>
        <v>1147232.606</v>
      </c>
      <c r="S276" s="12">
        <f> 'Optimal Choice'!$B$27*'Optimal Choice'!$B$28^(M276+1)</f>
        <v>6866917.462</v>
      </c>
    </row>
    <row r="277" ht="15.75" customHeight="1">
      <c r="A277" s="10">
        <f t="shared" si="2"/>
        <v>19.71424016</v>
      </c>
      <c r="B277" s="6">
        <f>(I277*'Optimal Choice'!$B$6+J277*'Optimal Choice'!$B$11+K277*'Optimal Choice'!$B$16+L277*'Optimal Choice'!$B$21+M277*'Optimal Choice'!$B$26)*'Optimal Choice'!$B$30</f>
        <v>97367.02</v>
      </c>
      <c r="C277" s="10">
        <f>(O277/$B277)+(O277/'Optimal Choice'!$B$6)</f>
        <v>3337.453176</v>
      </c>
      <c r="D277" s="10">
        <f>(P277/$B277)+(P277/'Optimal Choice'!$B$11)</f>
        <v>3251.640102</v>
      </c>
      <c r="E277" s="10">
        <f>(Q277/$B277)+(Q277/'Optimal Choice'!$B$16)</f>
        <v>3319.818936</v>
      </c>
      <c r="F277" s="10">
        <f>(R277/$B277)+(R277/'Optimal Choice'!$B$21)</f>
        <v>3614.349971</v>
      </c>
      <c r="G277" s="10">
        <f>(S277/$B277)+(S277/'Optimal Choice'!$B$26)</f>
        <v>3249.654567</v>
      </c>
      <c r="I277" s="11">
        <f t="shared" ref="I277:M277" si="276">if(min($C276:$G276)=C276,I276+1,I276)</f>
        <v>106</v>
      </c>
      <c r="J277" s="11">
        <f t="shared" si="276"/>
        <v>49</v>
      </c>
      <c r="K277" s="11">
        <f t="shared" si="276"/>
        <v>45</v>
      </c>
      <c r="L277" s="11">
        <f t="shared" si="276"/>
        <v>40</v>
      </c>
      <c r="M277" s="11">
        <f t="shared" si="276"/>
        <v>36</v>
      </c>
      <c r="O277" s="12">
        <f> 'Optimal Choice'!$B$7*'Optimal Choice'!$B$8^(I277+1)</f>
        <v>5573.45121</v>
      </c>
      <c r="P277" s="12">
        <f> 'Optimal Choice'!$B$12*'Optimal Choice'!$B$13^(J277+1)</f>
        <v>65019.4465</v>
      </c>
      <c r="Q277" s="12">
        <f> 'Optimal Choice'!$B$17*'Optimal Choice'!$B$18^(K277+1)</f>
        <v>298507.7823</v>
      </c>
      <c r="R277" s="12">
        <f> 'Optimal Choice'!$B$22*'Optimal Choice'!$B$23^(L277+1)</f>
        <v>1296372.845</v>
      </c>
      <c r="S277" s="12">
        <f> 'Optimal Choice'!$B$27*'Optimal Choice'!$B$28^(M277+1)</f>
        <v>6866917.462</v>
      </c>
    </row>
    <row r="278" ht="15.75" customHeight="1">
      <c r="A278" s="10">
        <f t="shared" si="2"/>
        <v>20.88967538</v>
      </c>
      <c r="B278" s="6">
        <f>(I278*'Optimal Choice'!$B$6+J278*'Optimal Choice'!$B$11+K278*'Optimal Choice'!$B$16+L278*'Optimal Choice'!$B$21+M278*'Optimal Choice'!$B$26)*'Optimal Choice'!$B$30</f>
        <v>99527.02</v>
      </c>
      <c r="C278" s="10">
        <f>(O278/$B278)+(O278/'Optimal Choice'!$B$6)</f>
        <v>3337.451933</v>
      </c>
      <c r="D278" s="10">
        <f>(P278/$B278)+(P278/'Optimal Choice'!$B$11)</f>
        <v>3251.625609</v>
      </c>
      <c r="E278" s="10">
        <f>(Q278/$B278)+(Q278/'Optimal Choice'!$B$16)</f>
        <v>3319.7524</v>
      </c>
      <c r="F278" s="10">
        <f>(R278/$B278)+(R278/'Optimal Choice'!$B$21)</f>
        <v>3614.061016</v>
      </c>
      <c r="G278" s="10">
        <f>(S278/$B278)+(S278/'Optimal Choice'!$B$26)</f>
        <v>3637.89884</v>
      </c>
      <c r="I278" s="11">
        <f t="shared" ref="I278:M278" si="277">if(min($C277:$G277)=C277,I277+1,I277)</f>
        <v>106</v>
      </c>
      <c r="J278" s="11">
        <f t="shared" si="277"/>
        <v>49</v>
      </c>
      <c r="K278" s="11">
        <f t="shared" si="277"/>
        <v>45</v>
      </c>
      <c r="L278" s="11">
        <f t="shared" si="277"/>
        <v>40</v>
      </c>
      <c r="M278" s="11">
        <f t="shared" si="277"/>
        <v>37</v>
      </c>
      <c r="O278" s="12">
        <f> 'Optimal Choice'!$B$7*'Optimal Choice'!$B$8^(I278+1)</f>
        <v>5573.45121</v>
      </c>
      <c r="P278" s="12">
        <f> 'Optimal Choice'!$B$12*'Optimal Choice'!$B$13^(J278+1)</f>
        <v>65019.4465</v>
      </c>
      <c r="Q278" s="12">
        <f> 'Optimal Choice'!$B$17*'Optimal Choice'!$B$18^(K278+1)</f>
        <v>298507.7823</v>
      </c>
      <c r="R278" s="12">
        <f> 'Optimal Choice'!$B$22*'Optimal Choice'!$B$23^(L278+1)</f>
        <v>1296372.845</v>
      </c>
      <c r="S278" s="12">
        <f> 'Optimal Choice'!$B$27*'Optimal Choice'!$B$28^(M278+1)</f>
        <v>7690947.557</v>
      </c>
    </row>
    <row r="279" ht="15.75" customHeight="1">
      <c r="A279" s="10">
        <f t="shared" si="2"/>
        <v>20.90056345</v>
      </c>
      <c r="B279" s="6">
        <f>(I279*'Optimal Choice'!$B$6+J279*'Optimal Choice'!$B$11+K279*'Optimal Choice'!$B$16+L279*'Optimal Choice'!$B$21+M279*'Optimal Choice'!$B$26)*'Optimal Choice'!$B$30</f>
        <v>99547.02</v>
      </c>
      <c r="C279" s="10">
        <f>(O279/$B279)+(O279/'Optimal Choice'!$B$6)</f>
        <v>3337.451922</v>
      </c>
      <c r="D279" s="10">
        <f>(P279/$B279)+(P279/'Optimal Choice'!$B$11)</f>
        <v>3739.3693</v>
      </c>
      <c r="E279" s="10">
        <f>(Q279/$B279)+(Q279/'Optimal Choice'!$B$16)</f>
        <v>3319.751797</v>
      </c>
      <c r="F279" s="10">
        <f>(R279/$B279)+(R279/'Optimal Choice'!$B$21)</f>
        <v>3614.058399</v>
      </c>
      <c r="G279" s="10">
        <f>(S279/$B279)+(S279/'Optimal Choice'!$B$26)</f>
        <v>3637.883314</v>
      </c>
      <c r="I279" s="11">
        <f t="shared" ref="I279:M279" si="278">if(min($C278:$G278)=C278,I278+1,I278)</f>
        <v>106</v>
      </c>
      <c r="J279" s="11">
        <f t="shared" si="278"/>
        <v>50</v>
      </c>
      <c r="K279" s="11">
        <f t="shared" si="278"/>
        <v>45</v>
      </c>
      <c r="L279" s="11">
        <f t="shared" si="278"/>
        <v>40</v>
      </c>
      <c r="M279" s="11">
        <f t="shared" si="278"/>
        <v>37</v>
      </c>
      <c r="O279" s="12">
        <f> 'Optimal Choice'!$B$7*'Optimal Choice'!$B$8^(I279+1)</f>
        <v>5573.45121</v>
      </c>
      <c r="P279" s="12">
        <f> 'Optimal Choice'!$B$12*'Optimal Choice'!$B$13^(J279+1)</f>
        <v>74772.36347</v>
      </c>
      <c r="Q279" s="12">
        <f> 'Optimal Choice'!$B$17*'Optimal Choice'!$B$18^(K279+1)</f>
        <v>298507.7823</v>
      </c>
      <c r="R279" s="12">
        <f> 'Optimal Choice'!$B$22*'Optimal Choice'!$B$23^(L279+1)</f>
        <v>1296372.845</v>
      </c>
      <c r="S279" s="12">
        <f> 'Optimal Choice'!$B$27*'Optimal Choice'!$B$28^(M279+1)</f>
        <v>7690947.557</v>
      </c>
    </row>
    <row r="280" ht="15.75" customHeight="1">
      <c r="A280" s="10">
        <f t="shared" si="2"/>
        <v>20.95054113</v>
      </c>
      <c r="B280" s="6">
        <f>(I280*'Optimal Choice'!$B$6+J280*'Optimal Choice'!$B$11+K280*'Optimal Choice'!$B$16+L280*'Optimal Choice'!$B$21+M280*'Optimal Choice'!$B$26)*'Optimal Choice'!$B$30</f>
        <v>99637.02</v>
      </c>
      <c r="C280" s="10">
        <f>(O280/$B280)+(O280/'Optimal Choice'!$B$6)</f>
        <v>3337.451872</v>
      </c>
      <c r="D280" s="10">
        <f>(P280/$B280)+(P280/'Optimal Choice'!$B$11)</f>
        <v>3739.368621</v>
      </c>
      <c r="E280" s="10">
        <f>(Q280/$B280)+(Q280/'Optimal Choice'!$B$16)</f>
        <v>3784.513961</v>
      </c>
      <c r="F280" s="10">
        <f>(R280/$B280)+(R280/'Optimal Choice'!$B$21)</f>
        <v>3614.046636</v>
      </c>
      <c r="G280" s="10">
        <f>(S280/$B280)+(S280/'Optimal Choice'!$B$26)</f>
        <v>3637.813528</v>
      </c>
      <c r="I280" s="11">
        <f t="shared" ref="I280:M280" si="279">if(min($C279:$G279)=C279,I279+1,I279)</f>
        <v>106</v>
      </c>
      <c r="J280" s="11">
        <f t="shared" si="279"/>
        <v>50</v>
      </c>
      <c r="K280" s="11">
        <f t="shared" si="279"/>
        <v>46</v>
      </c>
      <c r="L280" s="11">
        <f t="shared" si="279"/>
        <v>40</v>
      </c>
      <c r="M280" s="11">
        <f t="shared" si="279"/>
        <v>37</v>
      </c>
      <c r="O280" s="12">
        <f> 'Optimal Choice'!$B$7*'Optimal Choice'!$B$8^(I280+1)</f>
        <v>5573.45121</v>
      </c>
      <c r="P280" s="12">
        <f> 'Optimal Choice'!$B$12*'Optimal Choice'!$B$13^(J280+1)</f>
        <v>74772.36347</v>
      </c>
      <c r="Q280" s="12">
        <f> 'Optimal Choice'!$B$17*'Optimal Choice'!$B$18^(K280+1)</f>
        <v>340298.8718</v>
      </c>
      <c r="R280" s="12">
        <f> 'Optimal Choice'!$B$22*'Optimal Choice'!$B$23^(L280+1)</f>
        <v>1296372.845</v>
      </c>
      <c r="S280" s="12">
        <f> 'Optimal Choice'!$B$27*'Optimal Choice'!$B$28^(M280+1)</f>
        <v>7690947.557</v>
      </c>
    </row>
    <row r="281" ht="15.75" customHeight="1">
      <c r="A281" s="10">
        <f t="shared" si="2"/>
        <v>20.95147343</v>
      </c>
      <c r="B281" s="6">
        <f>(I281*'Optimal Choice'!$B$6+J281*'Optimal Choice'!$B$11+K281*'Optimal Choice'!$B$16+L281*'Optimal Choice'!$B$21+M281*'Optimal Choice'!$B$26)*'Optimal Choice'!$B$30</f>
        <v>99638.69</v>
      </c>
      <c r="C281" s="10">
        <f>(O281/$B281)+(O281/'Optimal Choice'!$B$6)</f>
        <v>3571.073502</v>
      </c>
      <c r="D281" s="10">
        <f>(P281/$B281)+(P281/'Optimal Choice'!$B$11)</f>
        <v>3739.368608</v>
      </c>
      <c r="E281" s="10">
        <f>(Q281/$B281)+(Q281/'Optimal Choice'!$B$16)</f>
        <v>3784.513904</v>
      </c>
      <c r="F281" s="10">
        <f>(R281/$B281)+(R281/'Optimal Choice'!$B$21)</f>
        <v>3614.046418</v>
      </c>
      <c r="G281" s="10">
        <f>(S281/$B281)+(S281/'Optimal Choice'!$B$26)</f>
        <v>3637.812234</v>
      </c>
      <c r="I281" s="11">
        <f t="shared" ref="I281:M281" si="280">if(min($C280:$G280)=C280,I280+1,I280)</f>
        <v>107</v>
      </c>
      <c r="J281" s="11">
        <f t="shared" si="280"/>
        <v>50</v>
      </c>
      <c r="K281" s="11">
        <f t="shared" si="280"/>
        <v>46</v>
      </c>
      <c r="L281" s="11">
        <f t="shared" si="280"/>
        <v>40</v>
      </c>
      <c r="M281" s="11">
        <f t="shared" si="280"/>
        <v>37</v>
      </c>
      <c r="O281" s="12">
        <f> 'Optimal Choice'!$B$7*'Optimal Choice'!$B$8^(I281+1)</f>
        <v>5963.592794</v>
      </c>
      <c r="P281" s="12">
        <f> 'Optimal Choice'!$B$12*'Optimal Choice'!$B$13^(J281+1)</f>
        <v>74772.36347</v>
      </c>
      <c r="Q281" s="12">
        <f> 'Optimal Choice'!$B$17*'Optimal Choice'!$B$18^(K281+1)</f>
        <v>340298.8718</v>
      </c>
      <c r="R281" s="12">
        <f> 'Optimal Choice'!$B$22*'Optimal Choice'!$B$23^(L281+1)</f>
        <v>1296372.845</v>
      </c>
      <c r="S281" s="12">
        <f> 'Optimal Choice'!$B$27*'Optimal Choice'!$B$28^(M281+1)</f>
        <v>7690947.557</v>
      </c>
    </row>
    <row r="282" ht="15.75" customHeight="1">
      <c r="A282" s="10">
        <f t="shared" si="2"/>
        <v>20.95247096</v>
      </c>
      <c r="B282" s="6">
        <f>(I282*'Optimal Choice'!$B$6+J282*'Optimal Choice'!$B$11+K282*'Optimal Choice'!$B$16+L282*'Optimal Choice'!$B$21+M282*'Optimal Choice'!$B$26)*'Optimal Choice'!$B$30</f>
        <v>99640.36</v>
      </c>
      <c r="C282" s="10">
        <f>(O282/$B282)+(O282/'Optimal Choice'!$B$6)</f>
        <v>3821.048646</v>
      </c>
      <c r="D282" s="10">
        <f>(P282/$B282)+(P282/'Optimal Choice'!$B$11)</f>
        <v>3739.368596</v>
      </c>
      <c r="E282" s="10">
        <f>(Q282/$B282)+(Q282/'Optimal Choice'!$B$16)</f>
        <v>3784.513847</v>
      </c>
      <c r="F282" s="10">
        <f>(R282/$B282)+(R282/'Optimal Choice'!$B$21)</f>
        <v>3614.0462</v>
      </c>
      <c r="G282" s="10">
        <f>(S282/$B282)+(S282/'Optimal Choice'!$B$26)</f>
        <v>3637.81094</v>
      </c>
      <c r="I282" s="11">
        <f t="shared" ref="I282:M282" si="281">if(min($C281:$G281)=C281,I281+1,I281)</f>
        <v>108</v>
      </c>
      <c r="J282" s="11">
        <f t="shared" si="281"/>
        <v>50</v>
      </c>
      <c r="K282" s="11">
        <f t="shared" si="281"/>
        <v>46</v>
      </c>
      <c r="L282" s="11">
        <f t="shared" si="281"/>
        <v>40</v>
      </c>
      <c r="M282" s="11">
        <f t="shared" si="281"/>
        <v>37</v>
      </c>
      <c r="O282" s="12">
        <f> 'Optimal Choice'!$B$7*'Optimal Choice'!$B$8^(I282+1)</f>
        <v>6381.04429</v>
      </c>
      <c r="P282" s="12">
        <f> 'Optimal Choice'!$B$12*'Optimal Choice'!$B$13^(J282+1)</f>
        <v>74772.36347</v>
      </c>
      <c r="Q282" s="12">
        <f> 'Optimal Choice'!$B$17*'Optimal Choice'!$B$18^(K282+1)</f>
        <v>340298.8718</v>
      </c>
      <c r="R282" s="12">
        <f> 'Optimal Choice'!$B$22*'Optimal Choice'!$B$23^(L282+1)</f>
        <v>1296372.845</v>
      </c>
      <c r="S282" s="12">
        <f> 'Optimal Choice'!$B$27*'Optimal Choice'!$B$28^(M282+1)</f>
        <v>7690947.557</v>
      </c>
    </row>
    <row r="283" ht="15.75" customHeight="1">
      <c r="A283" s="10">
        <f t="shared" si="2"/>
        <v>21.16931295</v>
      </c>
      <c r="B283" s="6">
        <f>(I283*'Optimal Choice'!$B$6+J283*'Optimal Choice'!$B$11+K283*'Optimal Choice'!$B$16+L283*'Optimal Choice'!$B$21+M283*'Optimal Choice'!$B$26)*'Optimal Choice'!$B$30</f>
        <v>100000.36</v>
      </c>
      <c r="C283" s="10">
        <f>(O283/$B283)+(O283/'Optimal Choice'!$B$6)</f>
        <v>3821.048415</v>
      </c>
      <c r="D283" s="10">
        <f>(P283/$B283)+(P283/'Optimal Choice'!$B$11)</f>
        <v>3739.365894</v>
      </c>
      <c r="E283" s="10">
        <f>(Q283/$B283)+(Q283/'Optimal Choice'!$B$16)</f>
        <v>3784.501552</v>
      </c>
      <c r="F283" s="10">
        <f>(R283/$B283)+(R283/'Optimal Choice'!$B$21)</f>
        <v>4083.819279</v>
      </c>
      <c r="G283" s="10">
        <f>(S283/$B283)+(S283/'Optimal Choice'!$B$26)</f>
        <v>3637.533068</v>
      </c>
      <c r="I283" s="11">
        <f t="shared" ref="I283:M283" si="282">if(min($C282:$G282)=C282,I282+1,I282)</f>
        <v>108</v>
      </c>
      <c r="J283" s="11">
        <f t="shared" si="282"/>
        <v>50</v>
      </c>
      <c r="K283" s="11">
        <f t="shared" si="282"/>
        <v>46</v>
      </c>
      <c r="L283" s="11">
        <f t="shared" si="282"/>
        <v>41</v>
      </c>
      <c r="M283" s="11">
        <f t="shared" si="282"/>
        <v>37</v>
      </c>
      <c r="O283" s="12">
        <f> 'Optimal Choice'!$B$7*'Optimal Choice'!$B$8^(I283+1)</f>
        <v>6381.04429</v>
      </c>
      <c r="P283" s="12">
        <f> 'Optimal Choice'!$B$12*'Optimal Choice'!$B$13^(J283+1)</f>
        <v>74772.36347</v>
      </c>
      <c r="Q283" s="12">
        <f> 'Optimal Choice'!$B$17*'Optimal Choice'!$B$18^(K283+1)</f>
        <v>340298.8718</v>
      </c>
      <c r="R283" s="12">
        <f> 'Optimal Choice'!$B$22*'Optimal Choice'!$B$23^(L283+1)</f>
        <v>1464901.315</v>
      </c>
      <c r="S283" s="12">
        <f> 'Optimal Choice'!$B$27*'Optimal Choice'!$B$28^(M283+1)</f>
        <v>7690947.557</v>
      </c>
    </row>
    <row r="284" ht="15.75" customHeight="1">
      <c r="A284" s="10">
        <f t="shared" si="2"/>
        <v>22.45113293</v>
      </c>
      <c r="B284" s="6">
        <f>(I284*'Optimal Choice'!$B$6+J284*'Optimal Choice'!$B$11+K284*'Optimal Choice'!$B$16+L284*'Optimal Choice'!$B$21+M284*'Optimal Choice'!$B$26)*'Optimal Choice'!$B$30</f>
        <v>102160.36</v>
      </c>
      <c r="C284" s="10">
        <f>(O284/$B284)+(O284/'Optimal Choice'!$B$6)</f>
        <v>3821.047066</v>
      </c>
      <c r="D284" s="10">
        <f>(P284/$B284)+(P284/'Optimal Choice'!$B$11)</f>
        <v>3739.350085</v>
      </c>
      <c r="E284" s="10">
        <f>(Q284/$B284)+(Q284/'Optimal Choice'!$B$16)</f>
        <v>3784.429602</v>
      </c>
      <c r="F284" s="10">
        <f>(R284/$B284)+(R284/'Optimal Choice'!$B$21)</f>
        <v>4083.509553</v>
      </c>
      <c r="G284" s="10">
        <f>(S284/$B284)+(S284/'Optimal Choice'!$B$26)</f>
        <v>4072.215794</v>
      </c>
      <c r="I284" s="11">
        <f t="shared" ref="I284:M284" si="283">if(min($C283:$G283)=C283,I283+1,I283)</f>
        <v>108</v>
      </c>
      <c r="J284" s="11">
        <f t="shared" si="283"/>
        <v>50</v>
      </c>
      <c r="K284" s="11">
        <f t="shared" si="283"/>
        <v>46</v>
      </c>
      <c r="L284" s="11">
        <f t="shared" si="283"/>
        <v>41</v>
      </c>
      <c r="M284" s="11">
        <f t="shared" si="283"/>
        <v>38</v>
      </c>
      <c r="O284" s="12">
        <f> 'Optimal Choice'!$B$7*'Optimal Choice'!$B$8^(I284+1)</f>
        <v>6381.04429</v>
      </c>
      <c r="P284" s="12">
        <f> 'Optimal Choice'!$B$12*'Optimal Choice'!$B$13^(J284+1)</f>
        <v>74772.36347</v>
      </c>
      <c r="Q284" s="12">
        <f> 'Optimal Choice'!$B$17*'Optimal Choice'!$B$18^(K284+1)</f>
        <v>340298.8718</v>
      </c>
      <c r="R284" s="12">
        <f> 'Optimal Choice'!$B$22*'Optimal Choice'!$B$23^(L284+1)</f>
        <v>1464901.315</v>
      </c>
      <c r="S284" s="12">
        <f> 'Optimal Choice'!$B$27*'Optimal Choice'!$B$28^(M284+1)</f>
        <v>8613861.264</v>
      </c>
    </row>
    <row r="285" ht="15.75" customHeight="1">
      <c r="A285" s="10">
        <f t="shared" si="2"/>
        <v>22.46333146</v>
      </c>
      <c r="B285" s="6">
        <f>(I285*'Optimal Choice'!$B$6+J285*'Optimal Choice'!$B$11+K285*'Optimal Choice'!$B$16+L285*'Optimal Choice'!$B$21+M285*'Optimal Choice'!$B$26)*'Optimal Choice'!$B$30</f>
        <v>102180.36</v>
      </c>
      <c r="C285" s="10">
        <f>(O285/$B285)+(O285/'Optimal Choice'!$B$6)</f>
        <v>3821.047054</v>
      </c>
      <c r="D285" s="10">
        <f>(P285/$B285)+(P285/'Optimal Choice'!$B$11)</f>
        <v>4300.252433</v>
      </c>
      <c r="E285" s="10">
        <f>(Q285/$B285)+(Q285/'Optimal Choice'!$B$16)</f>
        <v>3784.42895</v>
      </c>
      <c r="F285" s="10">
        <f>(R285/$B285)+(R285/'Optimal Choice'!$B$21)</f>
        <v>4083.506746</v>
      </c>
      <c r="G285" s="10">
        <f>(S285/$B285)+(S285/'Optimal Choice'!$B$26)</f>
        <v>4072.19929</v>
      </c>
      <c r="I285" s="11">
        <f t="shared" ref="I285:M285" si="284">if(min($C284:$G284)=C284,I284+1,I284)</f>
        <v>108</v>
      </c>
      <c r="J285" s="11">
        <f t="shared" si="284"/>
        <v>51</v>
      </c>
      <c r="K285" s="11">
        <f t="shared" si="284"/>
        <v>46</v>
      </c>
      <c r="L285" s="11">
        <f t="shared" si="284"/>
        <v>41</v>
      </c>
      <c r="M285" s="11">
        <f t="shared" si="284"/>
        <v>38</v>
      </c>
      <c r="O285" s="12">
        <f> 'Optimal Choice'!$B$7*'Optimal Choice'!$B$8^(I285+1)</f>
        <v>6381.04429</v>
      </c>
      <c r="P285" s="12">
        <f> 'Optimal Choice'!$B$12*'Optimal Choice'!$B$13^(J285+1)</f>
        <v>85988.21799</v>
      </c>
      <c r="Q285" s="12">
        <f> 'Optimal Choice'!$B$17*'Optimal Choice'!$B$18^(K285+1)</f>
        <v>340298.8718</v>
      </c>
      <c r="R285" s="12">
        <f> 'Optimal Choice'!$B$22*'Optimal Choice'!$B$23^(L285+1)</f>
        <v>1464901.315</v>
      </c>
      <c r="S285" s="12">
        <f> 'Optimal Choice'!$B$27*'Optimal Choice'!$B$28^(M285+1)</f>
        <v>8613861.264</v>
      </c>
    </row>
    <row r="286" ht="15.75" customHeight="1">
      <c r="A286" s="10">
        <f t="shared" si="2"/>
        <v>22.5188377</v>
      </c>
      <c r="B286" s="6">
        <f>(I286*'Optimal Choice'!$B$6+J286*'Optimal Choice'!$B$11+K286*'Optimal Choice'!$B$16+L286*'Optimal Choice'!$B$21+M286*'Optimal Choice'!$B$26)*'Optimal Choice'!$B$30</f>
        <v>102270.36</v>
      </c>
      <c r="C286" s="10">
        <f>(O286/$B286)+(O286/'Optimal Choice'!$B$6)</f>
        <v>3821.046999</v>
      </c>
      <c r="D286" s="10">
        <f>(P286/$B286)+(P286/'Optimal Choice'!$B$11)</f>
        <v>4300.251693</v>
      </c>
      <c r="E286" s="10">
        <f>(Q286/$B286)+(Q286/'Optimal Choice'!$B$16)</f>
        <v>4314.245662</v>
      </c>
      <c r="F286" s="10">
        <f>(R286/$B286)+(R286/'Optimal Choice'!$B$21)</f>
        <v>4083.49413</v>
      </c>
      <c r="G286" s="10">
        <f>(S286/$B286)+(S286/'Optimal Choice'!$B$26)</f>
        <v>4072.125104</v>
      </c>
      <c r="I286" s="11">
        <f t="shared" ref="I286:M286" si="285">if(min($C285:$G285)=C285,I285+1,I285)</f>
        <v>108</v>
      </c>
      <c r="J286" s="11">
        <f t="shared" si="285"/>
        <v>51</v>
      </c>
      <c r="K286" s="11">
        <f t="shared" si="285"/>
        <v>47</v>
      </c>
      <c r="L286" s="11">
        <f t="shared" si="285"/>
        <v>41</v>
      </c>
      <c r="M286" s="11">
        <f t="shared" si="285"/>
        <v>38</v>
      </c>
      <c r="O286" s="12">
        <f> 'Optimal Choice'!$B$7*'Optimal Choice'!$B$8^(I286+1)</f>
        <v>6381.04429</v>
      </c>
      <c r="P286" s="12">
        <f> 'Optimal Choice'!$B$12*'Optimal Choice'!$B$13^(J286+1)</f>
        <v>85988.21799</v>
      </c>
      <c r="Q286" s="12">
        <f> 'Optimal Choice'!$B$17*'Optimal Choice'!$B$18^(K286+1)</f>
        <v>387940.7138</v>
      </c>
      <c r="R286" s="12">
        <f> 'Optimal Choice'!$B$22*'Optimal Choice'!$B$23^(L286+1)</f>
        <v>1464901.315</v>
      </c>
      <c r="S286" s="12">
        <f> 'Optimal Choice'!$B$27*'Optimal Choice'!$B$28^(M286+1)</f>
        <v>8613861.264</v>
      </c>
    </row>
    <row r="287" ht="15.75" customHeight="1">
      <c r="A287" s="10">
        <f t="shared" si="2"/>
        <v>22.5198776</v>
      </c>
      <c r="B287" s="6">
        <f>(I287*'Optimal Choice'!$B$6+J287*'Optimal Choice'!$B$11+K287*'Optimal Choice'!$B$16+L287*'Optimal Choice'!$B$21+M287*'Optimal Choice'!$B$26)*'Optimal Choice'!$B$30</f>
        <v>102272.03</v>
      </c>
      <c r="C287" s="10">
        <f>(O287/$B287)+(O287/'Optimal Choice'!$B$6)</f>
        <v>4088.520287</v>
      </c>
      <c r="D287" s="10">
        <f>(P287/$B287)+(P287/'Optimal Choice'!$B$11)</f>
        <v>4300.251679</v>
      </c>
      <c r="E287" s="10">
        <f>(Q287/$B287)+(Q287/'Optimal Choice'!$B$16)</f>
        <v>4314.2456</v>
      </c>
      <c r="F287" s="10">
        <f>(R287/$B287)+(R287/'Optimal Choice'!$B$21)</f>
        <v>4083.493896</v>
      </c>
      <c r="G287" s="10">
        <f>(S287/$B287)+(S287/'Optimal Choice'!$B$26)</f>
        <v>4072.123729</v>
      </c>
      <c r="I287" s="11">
        <f t="shared" ref="I287:M287" si="286">if(min($C286:$G286)=C286,I286+1,I286)</f>
        <v>109</v>
      </c>
      <c r="J287" s="11">
        <f t="shared" si="286"/>
        <v>51</v>
      </c>
      <c r="K287" s="11">
        <f t="shared" si="286"/>
        <v>47</v>
      </c>
      <c r="L287" s="11">
        <f t="shared" si="286"/>
        <v>41</v>
      </c>
      <c r="M287" s="11">
        <f t="shared" si="286"/>
        <v>38</v>
      </c>
      <c r="O287" s="12">
        <f> 'Optimal Choice'!$B$7*'Optimal Choice'!$B$8^(I287+1)</f>
        <v>6827.71739</v>
      </c>
      <c r="P287" s="12">
        <f> 'Optimal Choice'!$B$12*'Optimal Choice'!$B$13^(J287+1)</f>
        <v>85988.21799</v>
      </c>
      <c r="Q287" s="12">
        <f> 'Optimal Choice'!$B$17*'Optimal Choice'!$B$18^(K287+1)</f>
        <v>387940.7138</v>
      </c>
      <c r="R287" s="12">
        <f> 'Optimal Choice'!$B$22*'Optimal Choice'!$B$23^(L287+1)</f>
        <v>1464901.315</v>
      </c>
      <c r="S287" s="12">
        <f> 'Optimal Choice'!$B$27*'Optimal Choice'!$B$28^(M287+1)</f>
        <v>8613861.264</v>
      </c>
    </row>
    <row r="288" ht="15.75" customHeight="1">
      <c r="A288" s="10">
        <f t="shared" si="2"/>
        <v>23.92362753</v>
      </c>
      <c r="B288" s="6">
        <f>(I288*'Optimal Choice'!$B$6+J288*'Optimal Choice'!$B$11+K288*'Optimal Choice'!$B$16+L288*'Optimal Choice'!$B$21+M288*'Optimal Choice'!$B$26)*'Optimal Choice'!$B$30</f>
        <v>104432.03</v>
      </c>
      <c r="C288" s="10">
        <f>(O288/$B288)+(O288/'Optimal Choice'!$B$6)</f>
        <v>4088.518907</v>
      </c>
      <c r="D288" s="10">
        <f>(P288/$B288)+(P288/'Optimal Choice'!$B$11)</f>
        <v>4300.234289</v>
      </c>
      <c r="E288" s="10">
        <f>(Q288/$B288)+(Q288/'Optimal Choice'!$B$16)</f>
        <v>4314.167143</v>
      </c>
      <c r="F288" s="10">
        <f>(R288/$B288)+(R288/'Optimal Choice'!$B$21)</f>
        <v>4083.197637</v>
      </c>
      <c r="G288" s="10">
        <f>(S288/$B288)+(S288/'Optimal Choice'!$B$26)</f>
        <v>4558.827478</v>
      </c>
      <c r="I288" s="11">
        <f t="shared" ref="I288:M288" si="287">if(min($C287:$G287)=C287,I287+1,I287)</f>
        <v>109</v>
      </c>
      <c r="J288" s="11">
        <f t="shared" si="287"/>
        <v>51</v>
      </c>
      <c r="K288" s="11">
        <f t="shared" si="287"/>
        <v>47</v>
      </c>
      <c r="L288" s="11">
        <f t="shared" si="287"/>
        <v>41</v>
      </c>
      <c r="M288" s="11">
        <f t="shared" si="287"/>
        <v>39</v>
      </c>
      <c r="O288" s="12">
        <f> 'Optimal Choice'!$B$7*'Optimal Choice'!$B$8^(I288+1)</f>
        <v>6827.71739</v>
      </c>
      <c r="P288" s="12">
        <f> 'Optimal Choice'!$B$12*'Optimal Choice'!$B$13^(J288+1)</f>
        <v>85988.21799</v>
      </c>
      <c r="Q288" s="12">
        <f> 'Optimal Choice'!$B$17*'Optimal Choice'!$B$18^(K288+1)</f>
        <v>387940.7138</v>
      </c>
      <c r="R288" s="12">
        <f> 'Optimal Choice'!$B$22*'Optimal Choice'!$B$23^(L288+1)</f>
        <v>1464901.315</v>
      </c>
      <c r="S288" s="12">
        <f> 'Optimal Choice'!$B$27*'Optimal Choice'!$B$28^(M288+1)</f>
        <v>9647524.615</v>
      </c>
    </row>
    <row r="289" ht="15.75" customHeight="1">
      <c r="A289" s="10">
        <f t="shared" si="2"/>
        <v>24.15741616</v>
      </c>
      <c r="B289" s="6">
        <f>(I289*'Optimal Choice'!$B$6+J289*'Optimal Choice'!$B$11+K289*'Optimal Choice'!$B$16+L289*'Optimal Choice'!$B$21+M289*'Optimal Choice'!$B$26)*'Optimal Choice'!$B$30</f>
        <v>104792.03</v>
      </c>
      <c r="C289" s="10">
        <f>(O289/$B289)+(O289/'Optimal Choice'!$B$6)</f>
        <v>4088.518682</v>
      </c>
      <c r="D289" s="10">
        <f>(P289/$B289)+(P289/'Optimal Choice'!$B$11)</f>
        <v>4300.23146</v>
      </c>
      <c r="E289" s="10">
        <f>(Q289/$B289)+(Q289/'Optimal Choice'!$B$16)</f>
        <v>4314.154382</v>
      </c>
      <c r="F289" s="10">
        <f>(R289/$B289)+(R289/'Optimal Choice'!$B$21)</f>
        <v>4613.958876</v>
      </c>
      <c r="G289" s="10">
        <f>(S289/$B289)+(S289/'Optimal Choice'!$B$26)</f>
        <v>4558.510115</v>
      </c>
      <c r="I289" s="11">
        <f t="shared" ref="I289:M289" si="288">if(min($C288:$G288)=C288,I288+1,I288)</f>
        <v>109</v>
      </c>
      <c r="J289" s="11">
        <f t="shared" si="288"/>
        <v>51</v>
      </c>
      <c r="K289" s="11">
        <f t="shared" si="288"/>
        <v>47</v>
      </c>
      <c r="L289" s="11">
        <f t="shared" si="288"/>
        <v>42</v>
      </c>
      <c r="M289" s="11">
        <f t="shared" si="288"/>
        <v>39</v>
      </c>
      <c r="O289" s="12">
        <f> 'Optimal Choice'!$B$7*'Optimal Choice'!$B$8^(I289+1)</f>
        <v>6827.71739</v>
      </c>
      <c r="P289" s="12">
        <f> 'Optimal Choice'!$B$12*'Optimal Choice'!$B$13^(J289+1)</f>
        <v>85988.21799</v>
      </c>
      <c r="Q289" s="12">
        <f> 'Optimal Choice'!$B$17*'Optimal Choice'!$B$18^(K289+1)</f>
        <v>387940.7138</v>
      </c>
      <c r="R289" s="12">
        <f> 'Optimal Choice'!$B$22*'Optimal Choice'!$B$23^(L289+1)</f>
        <v>1655338.486</v>
      </c>
      <c r="S289" s="12">
        <f> 'Optimal Choice'!$B$27*'Optimal Choice'!$B$28^(M289+1)</f>
        <v>9647524.615</v>
      </c>
    </row>
    <row r="290" ht="15.75" customHeight="1">
      <c r="A290" s="10">
        <f t="shared" si="2"/>
        <v>24.15850208</v>
      </c>
      <c r="B290" s="6">
        <f>(I290*'Optimal Choice'!$B$6+J290*'Optimal Choice'!$B$11+K290*'Optimal Choice'!$B$16+L290*'Optimal Choice'!$B$21+M290*'Optimal Choice'!$B$26)*'Optimal Choice'!$B$30</f>
        <v>104793.7</v>
      </c>
      <c r="C290" s="10">
        <f>(O290/$B290)+(O290/'Optimal Choice'!$B$6)</f>
        <v>4374.714989</v>
      </c>
      <c r="D290" s="10">
        <f>(P290/$B290)+(P290/'Optimal Choice'!$B$11)</f>
        <v>4300.231447</v>
      </c>
      <c r="E290" s="10">
        <f>(Q290/$B290)+(Q290/'Optimal Choice'!$B$16)</f>
        <v>4314.154323</v>
      </c>
      <c r="F290" s="10">
        <f>(R290/$B290)+(R290/'Optimal Choice'!$B$21)</f>
        <v>4613.958624</v>
      </c>
      <c r="G290" s="10">
        <f>(S290/$B290)+(S290/'Optimal Choice'!$B$26)</f>
        <v>4558.508648</v>
      </c>
      <c r="I290" s="11">
        <f t="shared" ref="I290:M290" si="289">if(min($C289:$G289)=C289,I289+1,I289)</f>
        <v>110</v>
      </c>
      <c r="J290" s="11">
        <f t="shared" si="289"/>
        <v>51</v>
      </c>
      <c r="K290" s="11">
        <f t="shared" si="289"/>
        <v>47</v>
      </c>
      <c r="L290" s="11">
        <f t="shared" si="289"/>
        <v>42</v>
      </c>
      <c r="M290" s="11">
        <f t="shared" si="289"/>
        <v>39</v>
      </c>
      <c r="O290" s="12">
        <f> 'Optimal Choice'!$B$7*'Optimal Choice'!$B$8^(I290+1)</f>
        <v>7305.657608</v>
      </c>
      <c r="P290" s="12">
        <f> 'Optimal Choice'!$B$12*'Optimal Choice'!$B$13^(J290+1)</f>
        <v>85988.21799</v>
      </c>
      <c r="Q290" s="12">
        <f> 'Optimal Choice'!$B$17*'Optimal Choice'!$B$18^(K290+1)</f>
        <v>387940.7138</v>
      </c>
      <c r="R290" s="12">
        <f> 'Optimal Choice'!$B$22*'Optimal Choice'!$B$23^(L290+1)</f>
        <v>1655338.486</v>
      </c>
      <c r="S290" s="12">
        <f> 'Optimal Choice'!$B$27*'Optimal Choice'!$B$28^(M290+1)</f>
        <v>9647524.615</v>
      </c>
    </row>
    <row r="291" ht="15.75" customHeight="1">
      <c r="A291" s="10">
        <f t="shared" si="2"/>
        <v>24.17217787</v>
      </c>
      <c r="B291" s="6">
        <f>(I291*'Optimal Choice'!$B$6+J291*'Optimal Choice'!$B$11+K291*'Optimal Choice'!$B$16+L291*'Optimal Choice'!$B$21+M291*'Optimal Choice'!$B$26)*'Optimal Choice'!$B$30</f>
        <v>104813.7</v>
      </c>
      <c r="C291" s="10">
        <f>(O291/$B291)+(O291/'Optimal Choice'!$B$6)</f>
        <v>4374.714975</v>
      </c>
      <c r="D291" s="10">
        <f>(P291/$B291)+(P291/'Optimal Choice'!$B$11)</f>
        <v>4945.265984</v>
      </c>
      <c r="E291" s="10">
        <f>(Q291/$B291)+(Q291/'Optimal Choice'!$B$16)</f>
        <v>4314.153616</v>
      </c>
      <c r="F291" s="10">
        <f>(R291/$B291)+(R291/'Optimal Choice'!$B$21)</f>
        <v>4613.95561</v>
      </c>
      <c r="G291" s="10">
        <f>(S291/$B291)+(S291/'Optimal Choice'!$B$26)</f>
        <v>4558.491081</v>
      </c>
      <c r="I291" s="11">
        <f t="shared" ref="I291:M291" si="290">if(min($C290:$G290)=C290,I290+1,I290)</f>
        <v>110</v>
      </c>
      <c r="J291" s="11">
        <f t="shared" si="290"/>
        <v>52</v>
      </c>
      <c r="K291" s="11">
        <f t="shared" si="290"/>
        <v>47</v>
      </c>
      <c r="L291" s="11">
        <f t="shared" si="290"/>
        <v>42</v>
      </c>
      <c r="M291" s="11">
        <f t="shared" si="290"/>
        <v>39</v>
      </c>
      <c r="O291" s="12">
        <f> 'Optimal Choice'!$B$7*'Optimal Choice'!$B$8^(I291+1)</f>
        <v>7305.657608</v>
      </c>
      <c r="P291" s="12">
        <f> 'Optimal Choice'!$B$12*'Optimal Choice'!$B$13^(J291+1)</f>
        <v>98886.45069</v>
      </c>
      <c r="Q291" s="12">
        <f> 'Optimal Choice'!$B$17*'Optimal Choice'!$B$18^(K291+1)</f>
        <v>387940.7138</v>
      </c>
      <c r="R291" s="12">
        <f> 'Optimal Choice'!$B$22*'Optimal Choice'!$B$23^(L291+1)</f>
        <v>1655338.486</v>
      </c>
      <c r="S291" s="12">
        <f> 'Optimal Choice'!$B$27*'Optimal Choice'!$B$28^(M291+1)</f>
        <v>9647524.615</v>
      </c>
    </row>
    <row r="292" ht="15.75" customHeight="1">
      <c r="A292" s="10">
        <f t="shared" si="2"/>
        <v>24.23386521</v>
      </c>
      <c r="B292" s="6">
        <f>(I292*'Optimal Choice'!$B$6+J292*'Optimal Choice'!$B$11+K292*'Optimal Choice'!$B$16+L292*'Optimal Choice'!$B$21+M292*'Optimal Choice'!$B$26)*'Optimal Choice'!$B$30</f>
        <v>104903.7</v>
      </c>
      <c r="C292" s="10">
        <f>(O292/$B292)+(O292/'Optimal Choice'!$B$6)</f>
        <v>4374.714916</v>
      </c>
      <c r="D292" s="10">
        <f>(P292/$B292)+(P292/'Optimal Choice'!$B$11)</f>
        <v>4945.265175</v>
      </c>
      <c r="E292" s="10">
        <f>(Q292/$B292)+(Q292/'Optimal Choice'!$B$16)</f>
        <v>4918.131503</v>
      </c>
      <c r="F292" s="10">
        <f>(R292/$B292)+(R292/'Optimal Choice'!$B$21)</f>
        <v>4613.942061</v>
      </c>
      <c r="G292" s="10">
        <f>(S292/$B292)+(S292/'Optimal Choice'!$B$26)</f>
        <v>4558.412114</v>
      </c>
      <c r="I292" s="11">
        <f t="shared" ref="I292:M292" si="291">if(min($C291:$G291)=C291,I291+1,I291)</f>
        <v>110</v>
      </c>
      <c r="J292" s="11">
        <f t="shared" si="291"/>
        <v>52</v>
      </c>
      <c r="K292" s="11">
        <f t="shared" si="291"/>
        <v>48</v>
      </c>
      <c r="L292" s="11">
        <f t="shared" si="291"/>
        <v>42</v>
      </c>
      <c r="M292" s="11">
        <f t="shared" si="291"/>
        <v>39</v>
      </c>
      <c r="O292" s="12">
        <f> 'Optimal Choice'!$B$7*'Optimal Choice'!$B$8^(I292+1)</f>
        <v>7305.657608</v>
      </c>
      <c r="P292" s="12">
        <f> 'Optimal Choice'!$B$12*'Optimal Choice'!$B$13^(J292+1)</f>
        <v>98886.45069</v>
      </c>
      <c r="Q292" s="12">
        <f> 'Optimal Choice'!$B$17*'Optimal Choice'!$B$18^(K292+1)</f>
        <v>442252.4138</v>
      </c>
      <c r="R292" s="12">
        <f> 'Optimal Choice'!$B$22*'Optimal Choice'!$B$23^(L292+1)</f>
        <v>1655338.486</v>
      </c>
      <c r="S292" s="12">
        <f> 'Optimal Choice'!$B$27*'Optimal Choice'!$B$28^(M292+1)</f>
        <v>9647524.615</v>
      </c>
    </row>
    <row r="293" ht="15.75" customHeight="1">
      <c r="A293" s="10">
        <f t="shared" si="2"/>
        <v>24.23502591</v>
      </c>
      <c r="B293" s="6">
        <f>(I293*'Optimal Choice'!$B$6+J293*'Optimal Choice'!$B$11+K293*'Optimal Choice'!$B$16+L293*'Optimal Choice'!$B$21+M293*'Optimal Choice'!$B$26)*'Optimal Choice'!$B$30</f>
        <v>104905.37</v>
      </c>
      <c r="C293" s="10">
        <f>(O293/$B293)+(O293/'Optimal Choice'!$B$6)</f>
        <v>4680.944959</v>
      </c>
      <c r="D293" s="10">
        <f>(P293/$B293)+(P293/'Optimal Choice'!$B$11)</f>
        <v>4945.26516</v>
      </c>
      <c r="E293" s="10">
        <f>(Q293/$B293)+(Q293/'Optimal Choice'!$B$16)</f>
        <v>4918.131436</v>
      </c>
      <c r="F293" s="10">
        <f>(R293/$B293)+(R293/'Optimal Choice'!$B$21)</f>
        <v>4613.94181</v>
      </c>
      <c r="G293" s="10">
        <f>(S293/$B293)+(S293/'Optimal Choice'!$B$26)</f>
        <v>4558.41065</v>
      </c>
      <c r="I293" s="11">
        <f t="shared" ref="I293:M293" si="292">if(min($C292:$G292)=C292,I292+1,I292)</f>
        <v>111</v>
      </c>
      <c r="J293" s="11">
        <f t="shared" si="292"/>
        <v>52</v>
      </c>
      <c r="K293" s="11">
        <f t="shared" si="292"/>
        <v>48</v>
      </c>
      <c r="L293" s="11">
        <f t="shared" si="292"/>
        <v>42</v>
      </c>
      <c r="M293" s="11">
        <f t="shared" si="292"/>
        <v>39</v>
      </c>
      <c r="O293" s="12">
        <f> 'Optimal Choice'!$B$7*'Optimal Choice'!$B$8^(I293+1)</f>
        <v>7817.05364</v>
      </c>
      <c r="P293" s="12">
        <f> 'Optimal Choice'!$B$12*'Optimal Choice'!$B$13^(J293+1)</f>
        <v>98886.45069</v>
      </c>
      <c r="Q293" s="12">
        <f> 'Optimal Choice'!$B$17*'Optimal Choice'!$B$18^(K293+1)</f>
        <v>442252.4138</v>
      </c>
      <c r="R293" s="12">
        <f> 'Optimal Choice'!$B$22*'Optimal Choice'!$B$23^(L293+1)</f>
        <v>1655338.486</v>
      </c>
      <c r="S293" s="12">
        <f> 'Optimal Choice'!$B$27*'Optimal Choice'!$B$28^(M293+1)</f>
        <v>9647524.615</v>
      </c>
    </row>
    <row r="294" ht="15.75" customHeight="1">
      <c r="A294" s="10">
        <f t="shared" si="2"/>
        <v>25.76776038</v>
      </c>
      <c r="B294" s="6">
        <f>(I294*'Optimal Choice'!$B$6+J294*'Optimal Choice'!$B$11+K294*'Optimal Choice'!$B$16+L294*'Optimal Choice'!$B$21+M294*'Optimal Choice'!$B$26)*'Optimal Choice'!$B$30</f>
        <v>107065.37</v>
      </c>
      <c r="C294" s="10">
        <f>(O294/$B294)+(O294/'Optimal Choice'!$B$6)</f>
        <v>4680.943455</v>
      </c>
      <c r="D294" s="10">
        <f>(P294/$B294)+(P294/'Optimal Choice'!$B$11)</f>
        <v>4945.246143</v>
      </c>
      <c r="E294" s="10">
        <f>(Q294/$B294)+(Q294/'Optimal Choice'!$B$16)</f>
        <v>4918.046385</v>
      </c>
      <c r="F294" s="10">
        <f>(R294/$B294)+(R294/'Optimal Choice'!$B$21)</f>
        <v>4613.623468</v>
      </c>
      <c r="G294" s="10">
        <f>(S294/$B294)+(S294/'Optimal Choice'!$B$26)</f>
        <v>5103.34195</v>
      </c>
      <c r="I294" s="11">
        <f t="shared" ref="I294:M294" si="293">if(min($C293:$G293)=C293,I293+1,I293)</f>
        <v>111</v>
      </c>
      <c r="J294" s="11">
        <f t="shared" si="293"/>
        <v>52</v>
      </c>
      <c r="K294" s="11">
        <f t="shared" si="293"/>
        <v>48</v>
      </c>
      <c r="L294" s="11">
        <f t="shared" si="293"/>
        <v>42</v>
      </c>
      <c r="M294" s="11">
        <f t="shared" si="293"/>
        <v>40</v>
      </c>
      <c r="O294" s="12">
        <f> 'Optimal Choice'!$B$7*'Optimal Choice'!$B$8^(I294+1)</f>
        <v>7817.05364</v>
      </c>
      <c r="P294" s="12">
        <f> 'Optimal Choice'!$B$12*'Optimal Choice'!$B$13^(J294+1)</f>
        <v>98886.45069</v>
      </c>
      <c r="Q294" s="12">
        <f> 'Optimal Choice'!$B$17*'Optimal Choice'!$B$18^(K294+1)</f>
        <v>442252.4138</v>
      </c>
      <c r="R294" s="12">
        <f> 'Optimal Choice'!$B$22*'Optimal Choice'!$B$23^(L294+1)</f>
        <v>1655338.486</v>
      </c>
      <c r="S294" s="12">
        <f> 'Optimal Choice'!$B$27*'Optimal Choice'!$B$28^(M294+1)</f>
        <v>10805227.57</v>
      </c>
    </row>
    <row r="295" ht="15.75" customHeight="1">
      <c r="A295" s="10">
        <f t="shared" si="2"/>
        <v>26.02544384</v>
      </c>
      <c r="B295" s="6">
        <f>(I295*'Optimal Choice'!$B$6+J295*'Optimal Choice'!$B$11+K295*'Optimal Choice'!$B$16+L295*'Optimal Choice'!$B$21+M295*'Optimal Choice'!$B$26)*'Optimal Choice'!$B$30</f>
        <v>107425.37</v>
      </c>
      <c r="C295" s="10">
        <f>(O295/$B295)+(O295/'Optimal Choice'!$B$6)</f>
        <v>4680.943211</v>
      </c>
      <c r="D295" s="10">
        <f>(P295/$B295)+(P295/'Optimal Choice'!$B$11)</f>
        <v>4945.243047</v>
      </c>
      <c r="E295" s="10">
        <f>(Q295/$B295)+(Q295/'Optimal Choice'!$B$16)</f>
        <v>4918.032542</v>
      </c>
      <c r="F295" s="10">
        <f>(R295/$B295)+(R295/'Optimal Choice'!$B$21)</f>
        <v>5213.33597</v>
      </c>
      <c r="G295" s="10">
        <f>(S295/$B295)+(S295/'Optimal Choice'!$B$26)</f>
        <v>5103.003744</v>
      </c>
      <c r="I295" s="11">
        <f t="shared" ref="I295:M295" si="294">if(min($C294:$G294)=C294,I294+1,I294)</f>
        <v>111</v>
      </c>
      <c r="J295" s="11">
        <f t="shared" si="294"/>
        <v>52</v>
      </c>
      <c r="K295" s="11">
        <f t="shared" si="294"/>
        <v>48</v>
      </c>
      <c r="L295" s="11">
        <f t="shared" si="294"/>
        <v>43</v>
      </c>
      <c r="M295" s="11">
        <f t="shared" si="294"/>
        <v>40</v>
      </c>
      <c r="O295" s="12">
        <f> 'Optimal Choice'!$B$7*'Optimal Choice'!$B$8^(I295+1)</f>
        <v>7817.05364</v>
      </c>
      <c r="P295" s="12">
        <f> 'Optimal Choice'!$B$12*'Optimal Choice'!$B$13^(J295+1)</f>
        <v>98886.45069</v>
      </c>
      <c r="Q295" s="12">
        <f> 'Optimal Choice'!$B$17*'Optimal Choice'!$B$18^(K295+1)</f>
        <v>442252.4138</v>
      </c>
      <c r="R295" s="12">
        <f> 'Optimal Choice'!$B$22*'Optimal Choice'!$B$23^(L295+1)</f>
        <v>1870532.489</v>
      </c>
      <c r="S295" s="12">
        <f> 'Optimal Choice'!$B$27*'Optimal Choice'!$B$28^(M295+1)</f>
        <v>10805227.57</v>
      </c>
    </row>
    <row r="296" ht="15.75" customHeight="1">
      <c r="A296" s="10">
        <f t="shared" si="2"/>
        <v>26.02665662</v>
      </c>
      <c r="B296" s="6">
        <f>(I296*'Optimal Choice'!$B$6+J296*'Optimal Choice'!$B$11+K296*'Optimal Choice'!$B$16+L296*'Optimal Choice'!$B$21+M296*'Optimal Choice'!$B$26)*'Optimal Choice'!$B$30</f>
        <v>107427.04</v>
      </c>
      <c r="C296" s="10">
        <f>(O296/$B296)+(O296/'Optimal Choice'!$B$6)</f>
        <v>5008.609234</v>
      </c>
      <c r="D296" s="10">
        <f>(P296/$B296)+(P296/'Optimal Choice'!$B$11)</f>
        <v>4945.243033</v>
      </c>
      <c r="E296" s="10">
        <f>(Q296/$B296)+(Q296/'Optimal Choice'!$B$16)</f>
        <v>4918.032478</v>
      </c>
      <c r="F296" s="10">
        <f>(R296/$B296)+(R296/'Optimal Choice'!$B$21)</f>
        <v>5213.3357</v>
      </c>
      <c r="G296" s="10">
        <f>(S296/$B296)+(S296/'Optimal Choice'!$B$26)</f>
        <v>5103.002181</v>
      </c>
      <c r="I296" s="11">
        <f t="shared" ref="I296:M296" si="295">if(min($C295:$G295)=C295,I295+1,I295)</f>
        <v>112</v>
      </c>
      <c r="J296" s="11">
        <f t="shared" si="295"/>
        <v>52</v>
      </c>
      <c r="K296" s="11">
        <f t="shared" si="295"/>
        <v>48</v>
      </c>
      <c r="L296" s="11">
        <f t="shared" si="295"/>
        <v>43</v>
      </c>
      <c r="M296" s="11">
        <f t="shared" si="295"/>
        <v>40</v>
      </c>
      <c r="O296" s="12">
        <f> 'Optimal Choice'!$B$7*'Optimal Choice'!$B$8^(I296+1)</f>
        <v>8364.247395</v>
      </c>
      <c r="P296" s="12">
        <f> 'Optimal Choice'!$B$12*'Optimal Choice'!$B$13^(J296+1)</f>
        <v>98886.45069</v>
      </c>
      <c r="Q296" s="12">
        <f> 'Optimal Choice'!$B$17*'Optimal Choice'!$B$18^(K296+1)</f>
        <v>442252.4138</v>
      </c>
      <c r="R296" s="12">
        <f> 'Optimal Choice'!$B$22*'Optimal Choice'!$B$23^(L296+1)</f>
        <v>1870532.489</v>
      </c>
      <c r="S296" s="12">
        <f> 'Optimal Choice'!$B$27*'Optimal Choice'!$B$28^(M296+1)</f>
        <v>10805227.57</v>
      </c>
    </row>
    <row r="297" ht="15.75" customHeight="1">
      <c r="A297" s="10">
        <f t="shared" si="2"/>
        <v>26.09526946</v>
      </c>
      <c r="B297" s="6">
        <f>(I297*'Optimal Choice'!$B$6+J297*'Optimal Choice'!$B$11+K297*'Optimal Choice'!$B$16+L297*'Optimal Choice'!$B$21+M297*'Optimal Choice'!$B$26)*'Optimal Choice'!$B$30</f>
        <v>107517.04</v>
      </c>
      <c r="C297" s="10">
        <f>(O297/$B297)+(O297/'Optimal Choice'!$B$6)</f>
        <v>5008.609169</v>
      </c>
      <c r="D297" s="10">
        <f>(P297/$B297)+(P297/'Optimal Choice'!$B$11)</f>
        <v>4945.242263</v>
      </c>
      <c r="E297" s="10">
        <f>(Q297/$B297)+(Q297/'Optimal Choice'!$B$16)</f>
        <v>5606.553097</v>
      </c>
      <c r="F297" s="10">
        <f>(R297/$B297)+(R297/'Optimal Choice'!$B$21)</f>
        <v>5213.321125</v>
      </c>
      <c r="G297" s="10">
        <f>(S297/$B297)+(S297/'Optimal Choice'!$B$26)</f>
        <v>5102.917986</v>
      </c>
      <c r="I297" s="11">
        <f t="shared" ref="I297:M297" si="296">if(min($C296:$G296)=C296,I296+1,I296)</f>
        <v>112</v>
      </c>
      <c r="J297" s="11">
        <f t="shared" si="296"/>
        <v>52</v>
      </c>
      <c r="K297" s="11">
        <f t="shared" si="296"/>
        <v>49</v>
      </c>
      <c r="L297" s="11">
        <f t="shared" si="296"/>
        <v>43</v>
      </c>
      <c r="M297" s="11">
        <f t="shared" si="296"/>
        <v>40</v>
      </c>
      <c r="O297" s="12">
        <f> 'Optimal Choice'!$B$7*'Optimal Choice'!$B$8^(I297+1)</f>
        <v>8364.247395</v>
      </c>
      <c r="P297" s="12">
        <f> 'Optimal Choice'!$B$12*'Optimal Choice'!$B$13^(J297+1)</f>
        <v>98886.45069</v>
      </c>
      <c r="Q297" s="12">
        <f> 'Optimal Choice'!$B$17*'Optimal Choice'!$B$18^(K297+1)</f>
        <v>504167.7517</v>
      </c>
      <c r="R297" s="12">
        <f> 'Optimal Choice'!$B$22*'Optimal Choice'!$B$23^(L297+1)</f>
        <v>1870532.489</v>
      </c>
      <c r="S297" s="12">
        <f> 'Optimal Choice'!$B$27*'Optimal Choice'!$B$28^(M297+1)</f>
        <v>10805227.57</v>
      </c>
    </row>
    <row r="298" ht="15.75" customHeight="1">
      <c r="A298" s="10">
        <f t="shared" si="2"/>
        <v>26.11059826</v>
      </c>
      <c r="B298" s="6">
        <f>(I298*'Optimal Choice'!$B$6+J298*'Optimal Choice'!$B$11+K298*'Optimal Choice'!$B$16+L298*'Optimal Choice'!$B$21+M298*'Optimal Choice'!$B$26)*'Optimal Choice'!$B$30</f>
        <v>107537.04</v>
      </c>
      <c r="C298" s="10">
        <f>(O298/$B298)+(O298/'Optimal Choice'!$B$6)</f>
        <v>5008.609154</v>
      </c>
      <c r="D298" s="10">
        <f>(P298/$B298)+(P298/'Optimal Choice'!$B$11)</f>
        <v>5687.028405</v>
      </c>
      <c r="E298" s="10">
        <f>(Q298/$B298)+(Q298/'Optimal Choice'!$B$16)</f>
        <v>5606.552225</v>
      </c>
      <c r="F298" s="10">
        <f>(R298/$B298)+(R298/'Optimal Choice'!$B$21)</f>
        <v>5213.317889</v>
      </c>
      <c r="G298" s="10">
        <f>(S298/$B298)+(S298/'Optimal Choice'!$B$26)</f>
        <v>5102.899295</v>
      </c>
      <c r="I298" s="11">
        <f t="shared" ref="I298:M298" si="297">if(min($C297:$G297)=C297,I297+1,I297)</f>
        <v>112</v>
      </c>
      <c r="J298" s="11">
        <f t="shared" si="297"/>
        <v>53</v>
      </c>
      <c r="K298" s="11">
        <f t="shared" si="297"/>
        <v>49</v>
      </c>
      <c r="L298" s="11">
        <f t="shared" si="297"/>
        <v>43</v>
      </c>
      <c r="M298" s="11">
        <f t="shared" si="297"/>
        <v>40</v>
      </c>
      <c r="O298" s="12">
        <f> 'Optimal Choice'!$B$7*'Optimal Choice'!$B$8^(I298+1)</f>
        <v>8364.247395</v>
      </c>
      <c r="P298" s="12">
        <f> 'Optimal Choice'!$B$12*'Optimal Choice'!$B$13^(J298+1)</f>
        <v>113719.4183</v>
      </c>
      <c r="Q298" s="12">
        <f> 'Optimal Choice'!$B$17*'Optimal Choice'!$B$18^(K298+1)</f>
        <v>504167.7517</v>
      </c>
      <c r="R298" s="12">
        <f> 'Optimal Choice'!$B$22*'Optimal Choice'!$B$23^(L298+1)</f>
        <v>1870532.489</v>
      </c>
      <c r="S298" s="12">
        <f> 'Optimal Choice'!$B$27*'Optimal Choice'!$B$28^(M298+1)</f>
        <v>10805227.57</v>
      </c>
    </row>
    <row r="299" ht="15.75" customHeight="1">
      <c r="A299" s="10">
        <f t="shared" si="2"/>
        <v>26.1118946</v>
      </c>
      <c r="B299" s="6">
        <f>(I299*'Optimal Choice'!$B$6+J299*'Optimal Choice'!$B$11+K299*'Optimal Choice'!$B$16+L299*'Optimal Choice'!$B$21+M299*'Optimal Choice'!$B$26)*'Optimal Choice'!$B$30</f>
        <v>107538.71</v>
      </c>
      <c r="C299" s="10">
        <f>(O299/$B299)+(O299/'Optimal Choice'!$B$6)</f>
        <v>5359.211794</v>
      </c>
      <c r="D299" s="10">
        <f>(P299/$B299)+(P299/'Optimal Choice'!$B$11)</f>
        <v>5687.028389</v>
      </c>
      <c r="E299" s="10">
        <f>(Q299/$B299)+(Q299/'Optimal Choice'!$B$16)</f>
        <v>5606.552152</v>
      </c>
      <c r="F299" s="10">
        <f>(R299/$B299)+(R299/'Optimal Choice'!$B$21)</f>
        <v>5213.317619</v>
      </c>
      <c r="G299" s="10">
        <f>(S299/$B299)+(S299/'Optimal Choice'!$B$26)</f>
        <v>5102.897734</v>
      </c>
      <c r="I299" s="11">
        <f t="shared" ref="I299:M299" si="298">if(min($C298:$G298)=C298,I298+1,I298)</f>
        <v>113</v>
      </c>
      <c r="J299" s="11">
        <f t="shared" si="298"/>
        <v>53</v>
      </c>
      <c r="K299" s="11">
        <f t="shared" si="298"/>
        <v>49</v>
      </c>
      <c r="L299" s="11">
        <f t="shared" si="298"/>
        <v>43</v>
      </c>
      <c r="M299" s="11">
        <f t="shared" si="298"/>
        <v>40</v>
      </c>
      <c r="O299" s="12">
        <f> 'Optimal Choice'!$B$7*'Optimal Choice'!$B$8^(I299+1)</f>
        <v>8949.744713</v>
      </c>
      <c r="P299" s="12">
        <f> 'Optimal Choice'!$B$12*'Optimal Choice'!$B$13^(J299+1)</f>
        <v>113719.4183</v>
      </c>
      <c r="Q299" s="12">
        <f> 'Optimal Choice'!$B$17*'Optimal Choice'!$B$18^(K299+1)</f>
        <v>504167.7517</v>
      </c>
      <c r="R299" s="12">
        <f> 'Optimal Choice'!$B$22*'Optimal Choice'!$B$23^(L299+1)</f>
        <v>1870532.489</v>
      </c>
      <c r="S299" s="12">
        <f> 'Optimal Choice'!$B$27*'Optimal Choice'!$B$28^(M299+1)</f>
        <v>10805227.57</v>
      </c>
    </row>
    <row r="300" ht="15.75" customHeight="1">
      <c r="A300" s="10">
        <f t="shared" si="2"/>
        <v>27.78652066</v>
      </c>
      <c r="B300" s="6">
        <f>(I300*'Optimal Choice'!$B$6+J300*'Optimal Choice'!$B$11+K300*'Optimal Choice'!$B$16+L300*'Optimal Choice'!$B$21+M300*'Optimal Choice'!$B$26)*'Optimal Choice'!$B$30</f>
        <v>109698.71</v>
      </c>
      <c r="C300" s="10">
        <f>(O300/$B300)+(O300/'Optimal Choice'!$B$6)</f>
        <v>5359.210155</v>
      </c>
      <c r="D300" s="10">
        <f>(P300/$B300)+(P300/'Optimal Choice'!$B$11)</f>
        <v>5687.007567</v>
      </c>
      <c r="E300" s="10">
        <f>(Q300/$B300)+(Q300/'Optimal Choice'!$B$16)</f>
        <v>5606.459839</v>
      </c>
      <c r="F300" s="10">
        <f>(R300/$B300)+(R300/'Optimal Choice'!$B$21)</f>
        <v>5212.975125</v>
      </c>
      <c r="G300" s="10">
        <f>(S300/$B300)+(S300/'Optimal Choice'!$B$26)</f>
        <v>5713.029618</v>
      </c>
      <c r="I300" s="11">
        <f t="shared" ref="I300:M300" si="299">if(min($C299:$G299)=C299,I299+1,I299)</f>
        <v>113</v>
      </c>
      <c r="J300" s="11">
        <f t="shared" si="299"/>
        <v>53</v>
      </c>
      <c r="K300" s="11">
        <f t="shared" si="299"/>
        <v>49</v>
      </c>
      <c r="L300" s="11">
        <f t="shared" si="299"/>
        <v>43</v>
      </c>
      <c r="M300" s="11">
        <f t="shared" si="299"/>
        <v>41</v>
      </c>
      <c r="O300" s="12">
        <f> 'Optimal Choice'!$B$7*'Optimal Choice'!$B$8^(I300+1)</f>
        <v>8949.744713</v>
      </c>
      <c r="P300" s="12">
        <f> 'Optimal Choice'!$B$12*'Optimal Choice'!$B$13^(J300+1)</f>
        <v>113719.4183</v>
      </c>
      <c r="Q300" s="12">
        <f> 'Optimal Choice'!$B$17*'Optimal Choice'!$B$18^(K300+1)</f>
        <v>504167.7517</v>
      </c>
      <c r="R300" s="12">
        <f> 'Optimal Choice'!$B$22*'Optimal Choice'!$B$23^(L300+1)</f>
        <v>1870532.489</v>
      </c>
      <c r="S300" s="12">
        <f> 'Optimal Choice'!$B$27*'Optimal Choice'!$B$28^(M300+1)</f>
        <v>12101854.88</v>
      </c>
    </row>
    <row r="301" ht="15.75" customHeight="1">
      <c r="A301" s="10">
        <f t="shared" si="2"/>
        <v>28.07071307</v>
      </c>
      <c r="B301" s="6">
        <f>(I301*'Optimal Choice'!$B$6+J301*'Optimal Choice'!$B$11+K301*'Optimal Choice'!$B$16+L301*'Optimal Choice'!$B$21+M301*'Optimal Choice'!$B$26)*'Optimal Choice'!$B$30</f>
        <v>110058.71</v>
      </c>
      <c r="C301" s="10">
        <f>(O301/$B301)+(O301/'Optimal Choice'!$B$6)</f>
        <v>5359.209888</v>
      </c>
      <c r="D301" s="10">
        <f>(P301/$B301)+(P301/'Optimal Choice'!$B$11)</f>
        <v>5687.004176</v>
      </c>
      <c r="E301" s="10">
        <f>(Q301/$B301)+(Q301/'Optimal Choice'!$B$16)</f>
        <v>5606.444806</v>
      </c>
      <c r="F301" s="10">
        <f>(R301/$B301)+(R301/'Optimal Choice'!$B$21)</f>
        <v>5890.598865</v>
      </c>
      <c r="G301" s="10">
        <f>(S301/$B301)+(S301/'Optimal Choice'!$B$26)</f>
        <v>5712.668766</v>
      </c>
      <c r="I301" s="11">
        <f t="shared" ref="I301:M301" si="300">if(min($C300:$G300)=C300,I300+1,I300)</f>
        <v>113</v>
      </c>
      <c r="J301" s="11">
        <f t="shared" si="300"/>
        <v>53</v>
      </c>
      <c r="K301" s="11">
        <f t="shared" si="300"/>
        <v>49</v>
      </c>
      <c r="L301" s="11">
        <f t="shared" si="300"/>
        <v>44</v>
      </c>
      <c r="M301" s="11">
        <f t="shared" si="300"/>
        <v>41</v>
      </c>
      <c r="O301" s="12">
        <f> 'Optimal Choice'!$B$7*'Optimal Choice'!$B$8^(I301+1)</f>
        <v>8949.744713</v>
      </c>
      <c r="P301" s="12">
        <f> 'Optimal Choice'!$B$12*'Optimal Choice'!$B$13^(J301+1)</f>
        <v>113719.4183</v>
      </c>
      <c r="Q301" s="12">
        <f> 'Optimal Choice'!$B$17*'Optimal Choice'!$B$18^(K301+1)</f>
        <v>504167.7517</v>
      </c>
      <c r="R301" s="12">
        <f> 'Optimal Choice'!$B$22*'Optimal Choice'!$B$23^(L301+1)</f>
        <v>2113701.712</v>
      </c>
      <c r="S301" s="12">
        <f> 'Optimal Choice'!$B$27*'Optimal Choice'!$B$28^(M301+1)</f>
        <v>12101854.88</v>
      </c>
    </row>
    <row r="302" ht="15.75" customHeight="1">
      <c r="A302" s="10">
        <f t="shared" si="2"/>
        <v>28.07206837</v>
      </c>
      <c r="B302" s="6">
        <f>(I302*'Optimal Choice'!$B$6+J302*'Optimal Choice'!$B$11+K302*'Optimal Choice'!$B$16+L302*'Optimal Choice'!$B$21+M302*'Optimal Choice'!$B$26)*'Optimal Choice'!$B$30</f>
        <v>110060.38</v>
      </c>
      <c r="C302" s="10">
        <f>(O302/$B302)+(O302/'Optimal Choice'!$B$6)</f>
        <v>5734.354579</v>
      </c>
      <c r="D302" s="10">
        <f>(P302/$B302)+(P302/'Optimal Choice'!$B$11)</f>
        <v>5687.00416</v>
      </c>
      <c r="E302" s="10">
        <f>(Q302/$B302)+(Q302/'Optimal Choice'!$B$16)</f>
        <v>5606.444736</v>
      </c>
      <c r="F302" s="10">
        <f>(R302/$B302)+(R302/'Optimal Choice'!$B$21)</f>
        <v>5890.598574</v>
      </c>
      <c r="G302" s="10">
        <f>(S302/$B302)+(S302/'Optimal Choice'!$B$26)</f>
        <v>5712.667098</v>
      </c>
      <c r="I302" s="11">
        <f t="shared" ref="I302:M302" si="301">if(min($C301:$G301)=C301,I301+1,I301)</f>
        <v>114</v>
      </c>
      <c r="J302" s="11">
        <f t="shared" si="301"/>
        <v>53</v>
      </c>
      <c r="K302" s="11">
        <f t="shared" si="301"/>
        <v>49</v>
      </c>
      <c r="L302" s="11">
        <f t="shared" si="301"/>
        <v>44</v>
      </c>
      <c r="M302" s="11">
        <f t="shared" si="301"/>
        <v>41</v>
      </c>
      <c r="O302" s="12">
        <f> 'Optimal Choice'!$B$7*'Optimal Choice'!$B$8^(I302+1)</f>
        <v>9576.226843</v>
      </c>
      <c r="P302" s="12">
        <f> 'Optimal Choice'!$B$12*'Optimal Choice'!$B$13^(J302+1)</f>
        <v>113719.4183</v>
      </c>
      <c r="Q302" s="12">
        <f> 'Optimal Choice'!$B$17*'Optimal Choice'!$B$18^(K302+1)</f>
        <v>504167.7517</v>
      </c>
      <c r="R302" s="12">
        <f> 'Optimal Choice'!$B$22*'Optimal Choice'!$B$23^(L302+1)</f>
        <v>2113701.712</v>
      </c>
      <c r="S302" s="12">
        <f> 'Optimal Choice'!$B$27*'Optimal Choice'!$B$28^(M302+1)</f>
        <v>12101854.88</v>
      </c>
    </row>
    <row r="303" ht="15.75" customHeight="1">
      <c r="A303" s="10">
        <f t="shared" si="2"/>
        <v>28.14841552</v>
      </c>
      <c r="B303" s="6">
        <f>(I303*'Optimal Choice'!$B$6+J303*'Optimal Choice'!$B$11+K303*'Optimal Choice'!$B$16+L303*'Optimal Choice'!$B$21+M303*'Optimal Choice'!$B$26)*'Optimal Choice'!$B$30</f>
        <v>110150.38</v>
      </c>
      <c r="C303" s="10">
        <f>(O303/$B303)+(O303/'Optimal Choice'!$B$6)</f>
        <v>5734.354508</v>
      </c>
      <c r="D303" s="10">
        <f>(P303/$B303)+(P303/'Optimal Choice'!$B$11)</f>
        <v>5687.003316</v>
      </c>
      <c r="E303" s="10">
        <f>(Q303/$B303)+(Q303/'Optimal Choice'!$B$16)</f>
        <v>6391.342733</v>
      </c>
      <c r="F303" s="10">
        <f>(R303/$B303)+(R303/'Optimal Choice'!$B$21)</f>
        <v>5890.582882</v>
      </c>
      <c r="G303" s="10">
        <f>(S303/$B303)+(S303/'Optimal Choice'!$B$26)</f>
        <v>5712.577256</v>
      </c>
      <c r="I303" s="11">
        <f t="shared" ref="I303:M303" si="302">if(min($C302:$G302)=C302,I302+1,I302)</f>
        <v>114</v>
      </c>
      <c r="J303" s="11">
        <f t="shared" si="302"/>
        <v>53</v>
      </c>
      <c r="K303" s="11">
        <f t="shared" si="302"/>
        <v>50</v>
      </c>
      <c r="L303" s="11">
        <f t="shared" si="302"/>
        <v>44</v>
      </c>
      <c r="M303" s="11">
        <f t="shared" si="302"/>
        <v>41</v>
      </c>
      <c r="O303" s="12">
        <f> 'Optimal Choice'!$B$7*'Optimal Choice'!$B$8^(I303+1)</f>
        <v>9576.226843</v>
      </c>
      <c r="P303" s="12">
        <f> 'Optimal Choice'!$B$12*'Optimal Choice'!$B$13^(J303+1)</f>
        <v>113719.4183</v>
      </c>
      <c r="Q303" s="12">
        <f> 'Optimal Choice'!$B$17*'Optimal Choice'!$B$18^(K303+1)</f>
        <v>574751.2369</v>
      </c>
      <c r="R303" s="12">
        <f> 'Optimal Choice'!$B$22*'Optimal Choice'!$B$23^(L303+1)</f>
        <v>2113701.712</v>
      </c>
      <c r="S303" s="12">
        <f> 'Optimal Choice'!$B$27*'Optimal Choice'!$B$28^(M303+1)</f>
        <v>12101854.88</v>
      </c>
    </row>
    <row r="304" ht="15.75" customHeight="1">
      <c r="A304" s="10">
        <f t="shared" si="2"/>
        <v>28.16562221</v>
      </c>
      <c r="B304" s="6">
        <f>(I304*'Optimal Choice'!$B$6+J304*'Optimal Choice'!$B$11+K304*'Optimal Choice'!$B$16+L304*'Optimal Choice'!$B$21+M304*'Optimal Choice'!$B$26)*'Optimal Choice'!$B$30</f>
        <v>110170.38</v>
      </c>
      <c r="C304" s="10">
        <f>(O304/$B304)+(O304/'Optimal Choice'!$B$6)</f>
        <v>5734.354492</v>
      </c>
      <c r="D304" s="10">
        <f>(P304/$B304)+(P304/'Optimal Choice'!$B$11)</f>
        <v>6540.053598</v>
      </c>
      <c r="E304" s="10">
        <f>(Q304/$B304)+(Q304/'Optimal Choice'!$B$16)</f>
        <v>6391.341785</v>
      </c>
      <c r="F304" s="10">
        <f>(R304/$B304)+(R304/'Optimal Choice'!$B$21)</f>
        <v>5890.579399</v>
      </c>
      <c r="G304" s="10">
        <f>(S304/$B304)+(S304/'Optimal Choice'!$B$26)</f>
        <v>5712.557311</v>
      </c>
      <c r="I304" s="11">
        <f t="shared" ref="I304:M304" si="303">if(min($C303:$G303)=C303,I303+1,I303)</f>
        <v>114</v>
      </c>
      <c r="J304" s="11">
        <f t="shared" si="303"/>
        <v>54</v>
      </c>
      <c r="K304" s="11">
        <f t="shared" si="303"/>
        <v>50</v>
      </c>
      <c r="L304" s="11">
        <f t="shared" si="303"/>
        <v>44</v>
      </c>
      <c r="M304" s="11">
        <f t="shared" si="303"/>
        <v>41</v>
      </c>
      <c r="O304" s="12">
        <f> 'Optimal Choice'!$B$7*'Optimal Choice'!$B$8^(I304+1)</f>
        <v>9576.226843</v>
      </c>
      <c r="P304" s="12">
        <f> 'Optimal Choice'!$B$12*'Optimal Choice'!$B$13^(J304+1)</f>
        <v>130777.331</v>
      </c>
      <c r="Q304" s="12">
        <f> 'Optimal Choice'!$B$17*'Optimal Choice'!$B$18^(K304+1)</f>
        <v>574751.2369</v>
      </c>
      <c r="R304" s="12">
        <f> 'Optimal Choice'!$B$22*'Optimal Choice'!$B$23^(L304+1)</f>
        <v>2113701.712</v>
      </c>
      <c r="S304" s="12">
        <f> 'Optimal Choice'!$B$27*'Optimal Choice'!$B$28^(M304+1)</f>
        <v>12101854.88</v>
      </c>
    </row>
    <row r="305" ht="15.75" customHeight="1">
      <c r="A305" s="10">
        <f t="shared" si="2"/>
        <v>29.99640087</v>
      </c>
      <c r="B305" s="6">
        <f>(I305*'Optimal Choice'!$B$6+J305*'Optimal Choice'!$B$11+K305*'Optimal Choice'!$B$16+L305*'Optimal Choice'!$B$21+M305*'Optimal Choice'!$B$26)*'Optimal Choice'!$B$30</f>
        <v>112330.38</v>
      </c>
      <c r="C305" s="10">
        <f>(O305/$B305)+(O305/'Optimal Choice'!$B$6)</f>
        <v>5734.352821</v>
      </c>
      <c r="D305" s="10">
        <f>(P305/$B305)+(P305/'Optimal Choice'!$B$11)</f>
        <v>6540.030772</v>
      </c>
      <c r="E305" s="10">
        <f>(Q305/$B305)+(Q305/'Optimal Choice'!$B$16)</f>
        <v>6391.241469</v>
      </c>
      <c r="F305" s="10">
        <f>(R305/$B305)+(R305/'Optimal Choice'!$B$21)</f>
        <v>5890.210476</v>
      </c>
      <c r="G305" s="10">
        <f>(S305/$B305)+(S305/'Optimal Choice'!$B$26)</f>
        <v>6395.698478</v>
      </c>
      <c r="I305" s="11">
        <f t="shared" ref="I305:M305" si="304">if(min($C304:$G304)=C304,I304+1,I304)</f>
        <v>114</v>
      </c>
      <c r="J305" s="11">
        <f t="shared" si="304"/>
        <v>54</v>
      </c>
      <c r="K305" s="11">
        <f t="shared" si="304"/>
        <v>50</v>
      </c>
      <c r="L305" s="11">
        <f t="shared" si="304"/>
        <v>44</v>
      </c>
      <c r="M305" s="11">
        <f t="shared" si="304"/>
        <v>42</v>
      </c>
      <c r="O305" s="12">
        <f> 'Optimal Choice'!$B$7*'Optimal Choice'!$B$8^(I305+1)</f>
        <v>9576.226843</v>
      </c>
      <c r="P305" s="12">
        <f> 'Optimal Choice'!$B$12*'Optimal Choice'!$B$13^(J305+1)</f>
        <v>130777.331</v>
      </c>
      <c r="Q305" s="12">
        <f> 'Optimal Choice'!$B$17*'Optimal Choice'!$B$18^(K305+1)</f>
        <v>574751.2369</v>
      </c>
      <c r="R305" s="12">
        <f> 'Optimal Choice'!$B$22*'Optimal Choice'!$B$23^(L305+1)</f>
        <v>2113701.712</v>
      </c>
      <c r="S305" s="12">
        <f> 'Optimal Choice'!$B$27*'Optimal Choice'!$B$28^(M305+1)</f>
        <v>13554077.46</v>
      </c>
    </row>
    <row r="306" ht="15.75" customHeight="1">
      <c r="A306" s="10">
        <f t="shared" si="2"/>
        <v>29.99782172</v>
      </c>
      <c r="B306" s="6">
        <f>(I306*'Optimal Choice'!$B$6+J306*'Optimal Choice'!$B$11+K306*'Optimal Choice'!$B$16+L306*'Optimal Choice'!$B$21+M306*'Optimal Choice'!$B$26)*'Optimal Choice'!$B$30</f>
        <v>112332.05</v>
      </c>
      <c r="C306" s="10">
        <f>(O306/$B306)+(O306/'Optimal Choice'!$B$6)</f>
        <v>6135.757517</v>
      </c>
      <c r="D306" s="10">
        <f>(P306/$B306)+(P306/'Optimal Choice'!$B$11)</f>
        <v>6540.030755</v>
      </c>
      <c r="E306" s="10">
        <f>(Q306/$B306)+(Q306/'Optimal Choice'!$B$16)</f>
        <v>6391.241393</v>
      </c>
      <c r="F306" s="10">
        <f>(R306/$B306)+(R306/'Optimal Choice'!$B$21)</f>
        <v>5890.210196</v>
      </c>
      <c r="G306" s="10">
        <f>(S306/$B306)+(S306/'Optimal Choice'!$B$26)</f>
        <v>6395.696684</v>
      </c>
      <c r="I306" s="11">
        <f t="shared" ref="I306:M306" si="305">if(min($C305:$G305)=C305,I305+1,I305)</f>
        <v>115</v>
      </c>
      <c r="J306" s="11">
        <f t="shared" si="305"/>
        <v>54</v>
      </c>
      <c r="K306" s="11">
        <f t="shared" si="305"/>
        <v>50</v>
      </c>
      <c r="L306" s="11">
        <f t="shared" si="305"/>
        <v>44</v>
      </c>
      <c r="M306" s="11">
        <f t="shared" si="305"/>
        <v>42</v>
      </c>
      <c r="O306" s="12">
        <f> 'Optimal Choice'!$B$7*'Optimal Choice'!$B$8^(I306+1)</f>
        <v>10246.56272</v>
      </c>
      <c r="P306" s="12">
        <f> 'Optimal Choice'!$B$12*'Optimal Choice'!$B$13^(J306+1)</f>
        <v>130777.331</v>
      </c>
      <c r="Q306" s="12">
        <f> 'Optimal Choice'!$B$17*'Optimal Choice'!$B$18^(K306+1)</f>
        <v>574751.2369</v>
      </c>
      <c r="R306" s="12">
        <f> 'Optimal Choice'!$B$22*'Optimal Choice'!$B$23^(L306+1)</f>
        <v>2113701.712</v>
      </c>
      <c r="S306" s="12">
        <f> 'Optimal Choice'!$B$27*'Optimal Choice'!$B$28^(M306+1)</f>
        <v>13554077.46</v>
      </c>
    </row>
    <row r="307" ht="15.75" customHeight="1">
      <c r="A307" s="10">
        <f t="shared" si="2"/>
        <v>30.31143089</v>
      </c>
      <c r="B307" s="6">
        <f>(I307*'Optimal Choice'!$B$6+J307*'Optimal Choice'!$B$11+K307*'Optimal Choice'!$B$16+L307*'Optimal Choice'!$B$21+M307*'Optimal Choice'!$B$26)*'Optimal Choice'!$B$30</f>
        <v>112692.05</v>
      </c>
      <c r="C307" s="10">
        <f>(O307/$B307)+(O307/'Optimal Choice'!$B$6)</f>
        <v>6135.757226</v>
      </c>
      <c r="D307" s="10">
        <f>(P307/$B307)+(P307/'Optimal Choice'!$B$11)</f>
        <v>6540.027036</v>
      </c>
      <c r="E307" s="10">
        <f>(Q307/$B307)+(Q307/'Optimal Choice'!$B$16)</f>
        <v>6391.225048</v>
      </c>
      <c r="F307" s="10">
        <f>(R307/$B307)+(R307/'Optimal Choice'!$B$21)</f>
        <v>6655.869597</v>
      </c>
      <c r="G307" s="10">
        <f>(S307/$B307)+(S307/'Optimal Choice'!$B$26)</f>
        <v>6395.311228</v>
      </c>
      <c r="I307" s="11">
        <f t="shared" ref="I307:M307" si="306">if(min($C306:$G306)=C306,I306+1,I306)</f>
        <v>115</v>
      </c>
      <c r="J307" s="11">
        <f t="shared" si="306"/>
        <v>54</v>
      </c>
      <c r="K307" s="11">
        <f t="shared" si="306"/>
        <v>50</v>
      </c>
      <c r="L307" s="11">
        <f t="shared" si="306"/>
        <v>45</v>
      </c>
      <c r="M307" s="11">
        <f t="shared" si="306"/>
        <v>42</v>
      </c>
      <c r="O307" s="12">
        <f> 'Optimal Choice'!$B$7*'Optimal Choice'!$B$8^(I307+1)</f>
        <v>10246.56272</v>
      </c>
      <c r="P307" s="12">
        <f> 'Optimal Choice'!$B$12*'Optimal Choice'!$B$13^(J307+1)</f>
        <v>130777.331</v>
      </c>
      <c r="Q307" s="12">
        <f> 'Optimal Choice'!$B$17*'Optimal Choice'!$B$18^(K307+1)</f>
        <v>574751.2369</v>
      </c>
      <c r="R307" s="12">
        <f> 'Optimal Choice'!$B$22*'Optimal Choice'!$B$23^(L307+1)</f>
        <v>2388482.935</v>
      </c>
      <c r="S307" s="12">
        <f> 'Optimal Choice'!$B$27*'Optimal Choice'!$B$28^(M307+1)</f>
        <v>13554077.46</v>
      </c>
    </row>
    <row r="308" ht="15.75" customHeight="1">
      <c r="A308" s="10">
        <f t="shared" si="2"/>
        <v>30.31294632</v>
      </c>
      <c r="B308" s="6">
        <f>(I308*'Optimal Choice'!$B$6+J308*'Optimal Choice'!$B$11+K308*'Optimal Choice'!$B$16+L308*'Optimal Choice'!$B$21+M308*'Optimal Choice'!$B$26)*'Optimal Choice'!$B$30</f>
        <v>112693.72</v>
      </c>
      <c r="C308" s="10">
        <f>(O308/$B308)+(O308/'Optimal Choice'!$B$6)</f>
        <v>6565.26023</v>
      </c>
      <c r="D308" s="10">
        <f>(P308/$B308)+(P308/'Optimal Choice'!$B$11)</f>
        <v>6540.027019</v>
      </c>
      <c r="E308" s="10">
        <f>(Q308/$B308)+(Q308/'Optimal Choice'!$B$16)</f>
        <v>6391.224972</v>
      </c>
      <c r="F308" s="10">
        <f>(R308/$B308)+(R308/'Optimal Choice'!$B$21)</f>
        <v>6655.869283</v>
      </c>
      <c r="G308" s="10">
        <f>(S308/$B308)+(S308/'Optimal Choice'!$B$26)</f>
        <v>6395.309445</v>
      </c>
      <c r="I308" s="11">
        <f t="shared" ref="I308:M308" si="307">if(min($C307:$G307)=C307,I307+1,I307)</f>
        <v>116</v>
      </c>
      <c r="J308" s="11">
        <f t="shared" si="307"/>
        <v>54</v>
      </c>
      <c r="K308" s="11">
        <f t="shared" si="307"/>
        <v>50</v>
      </c>
      <c r="L308" s="11">
        <f t="shared" si="307"/>
        <v>45</v>
      </c>
      <c r="M308" s="11">
        <f t="shared" si="307"/>
        <v>42</v>
      </c>
      <c r="O308" s="12">
        <f> 'Optimal Choice'!$B$7*'Optimal Choice'!$B$8^(I308+1)</f>
        <v>10963.82211</v>
      </c>
      <c r="P308" s="12">
        <f> 'Optimal Choice'!$B$12*'Optimal Choice'!$B$13^(J308+1)</f>
        <v>130777.331</v>
      </c>
      <c r="Q308" s="12">
        <f> 'Optimal Choice'!$B$17*'Optimal Choice'!$B$18^(K308+1)</f>
        <v>574751.2369</v>
      </c>
      <c r="R308" s="12">
        <f> 'Optimal Choice'!$B$22*'Optimal Choice'!$B$23^(L308+1)</f>
        <v>2388482.935</v>
      </c>
      <c r="S308" s="12">
        <f> 'Optimal Choice'!$B$27*'Optimal Choice'!$B$28^(M308+1)</f>
        <v>13554077.46</v>
      </c>
    </row>
    <row r="309" ht="15.75" customHeight="1">
      <c r="A309" s="10">
        <f t="shared" si="2"/>
        <v>30.39794828</v>
      </c>
      <c r="B309" s="6">
        <f>(I309*'Optimal Choice'!$B$6+J309*'Optimal Choice'!$B$11+K309*'Optimal Choice'!$B$16+L309*'Optimal Choice'!$B$21+M309*'Optimal Choice'!$B$26)*'Optimal Choice'!$B$30</f>
        <v>112783.72</v>
      </c>
      <c r="C309" s="10">
        <f>(O309/$B309)+(O309/'Optimal Choice'!$B$6)</f>
        <v>6565.260152</v>
      </c>
      <c r="D309" s="10">
        <f>(P309/$B309)+(P309/'Optimal Choice'!$B$11)</f>
        <v>6540.026093</v>
      </c>
      <c r="E309" s="10">
        <f>(Q309/$B309)+(Q309/'Optimal Choice'!$B$16)</f>
        <v>7285.991829</v>
      </c>
      <c r="F309" s="10">
        <f>(R309/$B309)+(R309/'Optimal Choice'!$B$21)</f>
        <v>6655.85237</v>
      </c>
      <c r="G309" s="10">
        <f>(S309/$B309)+(S309/'Optimal Choice'!$B$26)</f>
        <v>6395.213468</v>
      </c>
      <c r="I309" s="11">
        <f t="shared" ref="I309:M309" si="308">if(min($C308:$G308)=C308,I308+1,I308)</f>
        <v>116</v>
      </c>
      <c r="J309" s="11">
        <f t="shared" si="308"/>
        <v>54</v>
      </c>
      <c r="K309" s="11">
        <f t="shared" si="308"/>
        <v>51</v>
      </c>
      <c r="L309" s="11">
        <f t="shared" si="308"/>
        <v>45</v>
      </c>
      <c r="M309" s="11">
        <f t="shared" si="308"/>
        <v>42</v>
      </c>
      <c r="O309" s="12">
        <f> 'Optimal Choice'!$B$7*'Optimal Choice'!$B$8^(I309+1)</f>
        <v>10963.82211</v>
      </c>
      <c r="P309" s="12">
        <f> 'Optimal Choice'!$B$12*'Optimal Choice'!$B$13^(J309+1)</f>
        <v>130777.331</v>
      </c>
      <c r="Q309" s="12">
        <f> 'Optimal Choice'!$B$17*'Optimal Choice'!$B$18^(K309+1)</f>
        <v>655216.4101</v>
      </c>
      <c r="R309" s="12">
        <f> 'Optimal Choice'!$B$22*'Optimal Choice'!$B$23^(L309+1)</f>
        <v>2388482.935</v>
      </c>
      <c r="S309" s="12">
        <f> 'Optimal Choice'!$B$27*'Optimal Choice'!$B$28^(M309+1)</f>
        <v>13554077.46</v>
      </c>
    </row>
    <row r="310" ht="15.75" customHeight="1">
      <c r="A310" s="10">
        <f t="shared" si="2"/>
        <v>32.40090838</v>
      </c>
      <c r="B310" s="6">
        <f>(I310*'Optimal Choice'!$B$6+J310*'Optimal Choice'!$B$11+K310*'Optimal Choice'!$B$16+L310*'Optimal Choice'!$B$21+M310*'Optimal Choice'!$B$26)*'Optimal Choice'!$B$30</f>
        <v>114943.72</v>
      </c>
      <c r="C310" s="10">
        <f>(O310/$B310)+(O310/'Optimal Choice'!$B$6)</f>
        <v>6565.258326</v>
      </c>
      <c r="D310" s="10">
        <f>(P310/$B310)+(P310/'Optimal Choice'!$B$11)</f>
        <v>6540.004303</v>
      </c>
      <c r="E310" s="10">
        <f>(Q310/$B310)+(Q310/'Optimal Choice'!$B$16)</f>
        <v>7285.882658</v>
      </c>
      <c r="F310" s="10">
        <f>(R310/$B310)+(R310/'Optimal Choice'!$B$21)</f>
        <v>6655.454405</v>
      </c>
      <c r="G310" s="10">
        <f>(S310/$B310)+(S310/'Optimal Choice'!$B$26)</f>
        <v>7160.109728</v>
      </c>
      <c r="I310" s="11">
        <f t="shared" ref="I310:M310" si="309">if(min($C309:$G309)=C309,I309+1,I309)</f>
        <v>116</v>
      </c>
      <c r="J310" s="11">
        <f t="shared" si="309"/>
        <v>54</v>
      </c>
      <c r="K310" s="11">
        <f t="shared" si="309"/>
        <v>51</v>
      </c>
      <c r="L310" s="11">
        <f t="shared" si="309"/>
        <v>45</v>
      </c>
      <c r="M310" s="11">
        <f t="shared" si="309"/>
        <v>43</v>
      </c>
      <c r="O310" s="12">
        <f> 'Optimal Choice'!$B$7*'Optimal Choice'!$B$8^(I310+1)</f>
        <v>10963.82211</v>
      </c>
      <c r="P310" s="12">
        <f> 'Optimal Choice'!$B$12*'Optimal Choice'!$B$13^(J310+1)</f>
        <v>130777.331</v>
      </c>
      <c r="Q310" s="12">
        <f> 'Optimal Choice'!$B$17*'Optimal Choice'!$B$18^(K310+1)</f>
        <v>655216.4101</v>
      </c>
      <c r="R310" s="12">
        <f> 'Optimal Choice'!$B$22*'Optimal Choice'!$B$23^(L310+1)</f>
        <v>2388482.935</v>
      </c>
      <c r="S310" s="12">
        <f> 'Optimal Choice'!$B$27*'Optimal Choice'!$B$28^(M310+1)</f>
        <v>15180566.76</v>
      </c>
    </row>
    <row r="311" ht="15.75" customHeight="1">
      <c r="A311" s="10">
        <f t="shared" si="2"/>
        <v>32.41987089</v>
      </c>
      <c r="B311" s="6">
        <f>(I311*'Optimal Choice'!$B$6+J311*'Optimal Choice'!$B$11+K311*'Optimal Choice'!$B$16+L311*'Optimal Choice'!$B$21+M311*'Optimal Choice'!$B$26)*'Optimal Choice'!$B$30</f>
        <v>114963.72</v>
      </c>
      <c r="C311" s="10">
        <f>(O311/$B311)+(O311/'Optimal Choice'!$B$6)</f>
        <v>6565.258309</v>
      </c>
      <c r="D311" s="10">
        <f>(P311/$B311)+(P311/'Optimal Choice'!$B$11)</f>
        <v>7521.004721</v>
      </c>
      <c r="E311" s="10">
        <f>(Q311/$B311)+(Q311/'Optimal Choice'!$B$16)</f>
        <v>7285.881666</v>
      </c>
      <c r="F311" s="10">
        <f>(R311/$B311)+(R311/'Optimal Choice'!$B$21)</f>
        <v>6655.45079</v>
      </c>
      <c r="G311" s="10">
        <f>(S311/$B311)+(S311/'Optimal Choice'!$B$26)</f>
        <v>7160.086752</v>
      </c>
      <c r="I311" s="11">
        <f t="shared" ref="I311:M311" si="310">if(min($C310:$G310)=C310,I310+1,I310)</f>
        <v>116</v>
      </c>
      <c r="J311" s="11">
        <f t="shared" si="310"/>
        <v>55</v>
      </c>
      <c r="K311" s="11">
        <f t="shared" si="310"/>
        <v>51</v>
      </c>
      <c r="L311" s="11">
        <f t="shared" si="310"/>
        <v>45</v>
      </c>
      <c r="M311" s="11">
        <f t="shared" si="310"/>
        <v>43</v>
      </c>
      <c r="O311" s="12">
        <f> 'Optimal Choice'!$B$7*'Optimal Choice'!$B$8^(I311+1)</f>
        <v>10963.82211</v>
      </c>
      <c r="P311" s="12">
        <f> 'Optimal Choice'!$B$12*'Optimal Choice'!$B$13^(J311+1)</f>
        <v>150393.9307</v>
      </c>
      <c r="Q311" s="12">
        <f> 'Optimal Choice'!$B$17*'Optimal Choice'!$B$18^(K311+1)</f>
        <v>655216.4101</v>
      </c>
      <c r="R311" s="12">
        <f> 'Optimal Choice'!$B$22*'Optimal Choice'!$B$23^(L311+1)</f>
        <v>2388482.935</v>
      </c>
      <c r="S311" s="12">
        <f> 'Optimal Choice'!$B$27*'Optimal Choice'!$B$28^(M311+1)</f>
        <v>15180566.76</v>
      </c>
    </row>
    <row r="312" ht="15.75" customHeight="1">
      <c r="A312" s="10">
        <f t="shared" si="2"/>
        <v>32.42146036</v>
      </c>
      <c r="B312" s="6">
        <f>(I312*'Optimal Choice'!$B$6+J312*'Optimal Choice'!$B$11+K312*'Optimal Choice'!$B$16+L312*'Optimal Choice'!$B$21+M312*'Optimal Choice'!$B$26)*'Optimal Choice'!$B$30</f>
        <v>114965.39</v>
      </c>
      <c r="C312" s="10">
        <f>(O312/$B312)+(O312/'Optimal Choice'!$B$6)</f>
        <v>7024.826389</v>
      </c>
      <c r="D312" s="10">
        <f>(P312/$B312)+(P312/'Optimal Choice'!$B$11)</f>
        <v>7521.004702</v>
      </c>
      <c r="E312" s="10">
        <f>(Q312/$B312)+(Q312/'Optimal Choice'!$B$16)</f>
        <v>7285.881584</v>
      </c>
      <c r="F312" s="10">
        <f>(R312/$B312)+(R312/'Optimal Choice'!$B$21)</f>
        <v>6655.450489</v>
      </c>
      <c r="G312" s="10">
        <f>(S312/$B312)+(S312/'Optimal Choice'!$B$26)</f>
        <v>7160.084834</v>
      </c>
      <c r="I312" s="11">
        <f t="shared" ref="I312:M312" si="311">if(min($C311:$G311)=C311,I311+1,I311)</f>
        <v>117</v>
      </c>
      <c r="J312" s="11">
        <f t="shared" si="311"/>
        <v>55</v>
      </c>
      <c r="K312" s="11">
        <f t="shared" si="311"/>
        <v>51</v>
      </c>
      <c r="L312" s="11">
        <f t="shared" si="311"/>
        <v>45</v>
      </c>
      <c r="M312" s="11">
        <f t="shared" si="311"/>
        <v>43</v>
      </c>
      <c r="O312" s="12">
        <f> 'Optimal Choice'!$B$7*'Optimal Choice'!$B$8^(I312+1)</f>
        <v>11731.28966</v>
      </c>
      <c r="P312" s="12">
        <f> 'Optimal Choice'!$B$12*'Optimal Choice'!$B$13^(J312+1)</f>
        <v>150393.9307</v>
      </c>
      <c r="Q312" s="12">
        <f> 'Optimal Choice'!$B$17*'Optimal Choice'!$B$18^(K312+1)</f>
        <v>655216.4101</v>
      </c>
      <c r="R312" s="12">
        <f> 'Optimal Choice'!$B$22*'Optimal Choice'!$B$23^(L312+1)</f>
        <v>2388482.935</v>
      </c>
      <c r="S312" s="12">
        <f> 'Optimal Choice'!$B$27*'Optimal Choice'!$B$28^(M312+1)</f>
        <v>15180566.76</v>
      </c>
    </row>
    <row r="313" ht="15.75" customHeight="1">
      <c r="A313" s="10">
        <f t="shared" si="2"/>
        <v>32.76772151</v>
      </c>
      <c r="B313" s="6">
        <f>(I313*'Optimal Choice'!$B$6+J313*'Optimal Choice'!$B$11+K313*'Optimal Choice'!$B$16+L313*'Optimal Choice'!$B$21+M313*'Optimal Choice'!$B$26)*'Optimal Choice'!$B$30</f>
        <v>115325.39</v>
      </c>
      <c r="C313" s="10">
        <f>(O313/$B313)+(O313/'Optimal Choice'!$B$6)</f>
        <v>7024.826071</v>
      </c>
      <c r="D313" s="10">
        <f>(P313/$B313)+(P313/'Optimal Choice'!$B$11)</f>
        <v>7521.000618</v>
      </c>
      <c r="E313" s="10">
        <f>(Q313/$B313)+(Q313/'Optimal Choice'!$B$16)</f>
        <v>7285.863793</v>
      </c>
      <c r="F313" s="10">
        <f>(R313/$B313)+(R313/'Optimal Choice'!$B$21)</f>
        <v>7520.585768</v>
      </c>
      <c r="G313" s="10">
        <f>(S313/$B313)+(S313/'Optimal Choice'!$B$26)</f>
        <v>7159.672643</v>
      </c>
      <c r="I313" s="11">
        <f t="shared" ref="I313:M313" si="312">if(min($C312:$G312)=C312,I312+1,I312)</f>
        <v>117</v>
      </c>
      <c r="J313" s="11">
        <f t="shared" si="312"/>
        <v>55</v>
      </c>
      <c r="K313" s="11">
        <f t="shared" si="312"/>
        <v>51</v>
      </c>
      <c r="L313" s="11">
        <f t="shared" si="312"/>
        <v>46</v>
      </c>
      <c r="M313" s="11">
        <f t="shared" si="312"/>
        <v>43</v>
      </c>
      <c r="O313" s="12">
        <f> 'Optimal Choice'!$B$7*'Optimal Choice'!$B$8^(I313+1)</f>
        <v>11731.28966</v>
      </c>
      <c r="P313" s="12">
        <f> 'Optimal Choice'!$B$12*'Optimal Choice'!$B$13^(J313+1)</f>
        <v>150393.9307</v>
      </c>
      <c r="Q313" s="12">
        <f> 'Optimal Choice'!$B$17*'Optimal Choice'!$B$18^(K313+1)</f>
        <v>655216.4101</v>
      </c>
      <c r="R313" s="12">
        <f> 'Optimal Choice'!$B$22*'Optimal Choice'!$B$23^(L313+1)</f>
        <v>2698985.716</v>
      </c>
      <c r="S313" s="12">
        <f> 'Optimal Choice'!$B$27*'Optimal Choice'!$B$28^(M313+1)</f>
        <v>15180566.76</v>
      </c>
    </row>
    <row r="314" ht="15.75" customHeight="1">
      <c r="A314" s="10">
        <f t="shared" si="2"/>
        <v>32.7694169</v>
      </c>
      <c r="B314" s="6">
        <f>(I314*'Optimal Choice'!$B$6+J314*'Optimal Choice'!$B$11+K314*'Optimal Choice'!$B$16+L314*'Optimal Choice'!$B$21+M314*'Optimal Choice'!$B$26)*'Optimal Choice'!$B$30</f>
        <v>115327.06</v>
      </c>
      <c r="C314" s="10">
        <f>(O314/$B314)+(O314/'Optimal Choice'!$B$6)</f>
        <v>7516.563894</v>
      </c>
      <c r="D314" s="10">
        <f>(P314/$B314)+(P314/'Optimal Choice'!$B$11)</f>
        <v>7521.000599</v>
      </c>
      <c r="E314" s="10">
        <f>(Q314/$B314)+(Q314/'Optimal Choice'!$B$16)</f>
        <v>7285.863711</v>
      </c>
      <c r="F314" s="10">
        <f>(R314/$B314)+(R314/'Optimal Choice'!$B$21)</f>
        <v>7520.585429</v>
      </c>
      <c r="G314" s="10">
        <f>(S314/$B314)+(S314/'Optimal Choice'!$B$26)</f>
        <v>7159.670737</v>
      </c>
      <c r="I314" s="11">
        <f t="shared" ref="I314:M314" si="313">if(min($C313:$G313)=C313,I313+1,I313)</f>
        <v>118</v>
      </c>
      <c r="J314" s="11">
        <f t="shared" si="313"/>
        <v>55</v>
      </c>
      <c r="K314" s="11">
        <f t="shared" si="313"/>
        <v>51</v>
      </c>
      <c r="L314" s="11">
        <f t="shared" si="313"/>
        <v>46</v>
      </c>
      <c r="M314" s="11">
        <f t="shared" si="313"/>
        <v>43</v>
      </c>
      <c r="O314" s="12">
        <f> 'Optimal Choice'!$B$7*'Optimal Choice'!$B$8^(I314+1)</f>
        <v>12552.47994</v>
      </c>
      <c r="P314" s="12">
        <f> 'Optimal Choice'!$B$12*'Optimal Choice'!$B$13^(J314+1)</f>
        <v>150393.9307</v>
      </c>
      <c r="Q314" s="12">
        <f> 'Optimal Choice'!$B$17*'Optimal Choice'!$B$18^(K314+1)</f>
        <v>655216.4101</v>
      </c>
      <c r="R314" s="12">
        <f> 'Optimal Choice'!$B$22*'Optimal Choice'!$B$23^(L314+1)</f>
        <v>2698985.716</v>
      </c>
      <c r="S314" s="12">
        <f> 'Optimal Choice'!$B$27*'Optimal Choice'!$B$28^(M314+1)</f>
        <v>15180566.76</v>
      </c>
    </row>
    <row r="315" ht="15.75" customHeight="1">
      <c r="A315" s="10">
        <f t="shared" si="2"/>
        <v>34.96325975</v>
      </c>
      <c r="B315" s="6">
        <f>(I315*'Optimal Choice'!$B$6+J315*'Optimal Choice'!$B$11+K315*'Optimal Choice'!$B$16+L315*'Optimal Choice'!$B$21+M315*'Optimal Choice'!$B$26)*'Optimal Choice'!$B$30</f>
        <v>117487.06</v>
      </c>
      <c r="C315" s="10">
        <f>(O315/$B315)+(O315/'Optimal Choice'!$B$6)</f>
        <v>7516.561893</v>
      </c>
      <c r="D315" s="10">
        <f>(P315/$B315)+(P315/'Optimal Choice'!$B$11)</f>
        <v>7520.976624</v>
      </c>
      <c r="E315" s="10">
        <f>(Q315/$B315)+(Q315/'Optimal Choice'!$B$16)</f>
        <v>7285.759258</v>
      </c>
      <c r="F315" s="10">
        <f>(R315/$B315)+(R315/'Optimal Choice'!$B$21)</f>
        <v>7520.155167</v>
      </c>
      <c r="G315" s="10">
        <f>(S315/$B315)+(S315/'Optimal Choice'!$B$26)</f>
        <v>8016.120793</v>
      </c>
      <c r="I315" s="11">
        <f t="shared" ref="I315:M315" si="314">if(min($C314:$G314)=C314,I314+1,I314)</f>
        <v>118</v>
      </c>
      <c r="J315" s="11">
        <f t="shared" si="314"/>
        <v>55</v>
      </c>
      <c r="K315" s="11">
        <f t="shared" si="314"/>
        <v>51</v>
      </c>
      <c r="L315" s="11">
        <f t="shared" si="314"/>
        <v>46</v>
      </c>
      <c r="M315" s="11">
        <f t="shared" si="314"/>
        <v>44</v>
      </c>
      <c r="O315" s="12">
        <f> 'Optimal Choice'!$B$7*'Optimal Choice'!$B$8^(I315+1)</f>
        <v>12552.47994</v>
      </c>
      <c r="P315" s="12">
        <f> 'Optimal Choice'!$B$12*'Optimal Choice'!$B$13^(J315+1)</f>
        <v>150393.9307</v>
      </c>
      <c r="Q315" s="12">
        <f> 'Optimal Choice'!$B$17*'Optimal Choice'!$B$18^(K315+1)</f>
        <v>655216.4101</v>
      </c>
      <c r="R315" s="12">
        <f> 'Optimal Choice'!$B$22*'Optimal Choice'!$B$23^(L315+1)</f>
        <v>2698985.716</v>
      </c>
      <c r="S315" s="12">
        <f> 'Optimal Choice'!$B$27*'Optimal Choice'!$B$28^(M315+1)</f>
        <v>17002234.77</v>
      </c>
    </row>
    <row r="316" ht="15.75" customHeight="1">
      <c r="A316" s="10">
        <f t="shared" si="2"/>
        <v>35.05620849</v>
      </c>
      <c r="B316" s="6">
        <f>(I316*'Optimal Choice'!$B$6+J316*'Optimal Choice'!$B$11+K316*'Optimal Choice'!$B$16+L316*'Optimal Choice'!$B$21+M316*'Optimal Choice'!$B$26)*'Optimal Choice'!$B$30</f>
        <v>117577.06</v>
      </c>
      <c r="C316" s="10">
        <f>(O316/$B316)+(O316/'Optimal Choice'!$B$6)</f>
        <v>7516.561811</v>
      </c>
      <c r="D316" s="10">
        <f>(P316/$B316)+(P316/'Optimal Choice'!$B$11)</f>
        <v>7520.975644</v>
      </c>
      <c r="E316" s="10">
        <f>(Q316/$B316)+(Q316/'Optimal Choice'!$B$16)</f>
        <v>8305.760688</v>
      </c>
      <c r="F316" s="10">
        <f>(R316/$B316)+(R316/'Optimal Choice'!$B$21)</f>
        <v>7520.137582</v>
      </c>
      <c r="G316" s="10">
        <f>(S316/$B316)+(S316/'Optimal Choice'!$B$26)</f>
        <v>8016.01002</v>
      </c>
      <c r="I316" s="11">
        <f t="shared" ref="I316:M316" si="315">if(min($C315:$G315)=C315,I315+1,I315)</f>
        <v>118</v>
      </c>
      <c r="J316" s="11">
        <f t="shared" si="315"/>
        <v>55</v>
      </c>
      <c r="K316" s="11">
        <f t="shared" si="315"/>
        <v>52</v>
      </c>
      <c r="L316" s="11">
        <f t="shared" si="315"/>
        <v>46</v>
      </c>
      <c r="M316" s="11">
        <f t="shared" si="315"/>
        <v>44</v>
      </c>
      <c r="O316" s="12">
        <f> 'Optimal Choice'!$B$7*'Optimal Choice'!$B$8^(I316+1)</f>
        <v>12552.47994</v>
      </c>
      <c r="P316" s="12">
        <f> 'Optimal Choice'!$B$12*'Optimal Choice'!$B$13^(J316+1)</f>
        <v>150393.9307</v>
      </c>
      <c r="Q316" s="12">
        <f> 'Optimal Choice'!$B$17*'Optimal Choice'!$B$18^(K316+1)</f>
        <v>746946.7075</v>
      </c>
      <c r="R316" s="12">
        <f> 'Optimal Choice'!$B$22*'Optimal Choice'!$B$23^(L316+1)</f>
        <v>2698985.716</v>
      </c>
      <c r="S316" s="12">
        <f> 'Optimal Choice'!$B$27*'Optimal Choice'!$B$28^(M316+1)</f>
        <v>17002234.77</v>
      </c>
    </row>
    <row r="317" ht="15.75" customHeight="1">
      <c r="A317" s="10">
        <f t="shared" si="2"/>
        <v>35.05798781</v>
      </c>
      <c r="B317" s="6">
        <f>(I317*'Optimal Choice'!$B$6+J317*'Optimal Choice'!$B$11+K317*'Optimal Choice'!$B$16+L317*'Optimal Choice'!$B$21+M317*'Optimal Choice'!$B$26)*'Optimal Choice'!$B$30</f>
        <v>117578.73</v>
      </c>
      <c r="C317" s="10">
        <f>(O317/$B317)+(O317/'Optimal Choice'!$B$6)</f>
        <v>8042.721136</v>
      </c>
      <c r="D317" s="10">
        <f>(P317/$B317)+(P317/'Optimal Choice'!$B$11)</f>
        <v>7520.975626</v>
      </c>
      <c r="E317" s="10">
        <f>(Q317/$B317)+(Q317/'Optimal Choice'!$B$16)</f>
        <v>8305.760598</v>
      </c>
      <c r="F317" s="10">
        <f>(R317/$B317)+(R317/'Optimal Choice'!$B$21)</f>
        <v>7520.137256</v>
      </c>
      <c r="G317" s="10">
        <f>(S317/$B317)+(S317/'Optimal Choice'!$B$26)</f>
        <v>8016.007966</v>
      </c>
      <c r="I317" s="11">
        <f t="shared" ref="I317:M317" si="316">if(min($C316:$G316)=C316,I316+1,I316)</f>
        <v>119</v>
      </c>
      <c r="J317" s="11">
        <f t="shared" si="316"/>
        <v>55</v>
      </c>
      <c r="K317" s="11">
        <f t="shared" si="316"/>
        <v>52</v>
      </c>
      <c r="L317" s="11">
        <f t="shared" si="316"/>
        <v>46</v>
      </c>
      <c r="M317" s="11">
        <f t="shared" si="316"/>
        <v>44</v>
      </c>
      <c r="O317" s="12">
        <f> 'Optimal Choice'!$B$7*'Optimal Choice'!$B$8^(I317+1)</f>
        <v>13431.15353</v>
      </c>
      <c r="P317" s="12">
        <f> 'Optimal Choice'!$B$12*'Optimal Choice'!$B$13^(J317+1)</f>
        <v>150393.9307</v>
      </c>
      <c r="Q317" s="12">
        <f> 'Optimal Choice'!$B$17*'Optimal Choice'!$B$18^(K317+1)</f>
        <v>746946.7075</v>
      </c>
      <c r="R317" s="12">
        <f> 'Optimal Choice'!$B$22*'Optimal Choice'!$B$23^(L317+1)</f>
        <v>2698985.716</v>
      </c>
      <c r="S317" s="12">
        <f> 'Optimal Choice'!$B$27*'Optimal Choice'!$B$28^(M317+1)</f>
        <v>17002234.77</v>
      </c>
    </row>
    <row r="318" ht="15.75" customHeight="1">
      <c r="A318" s="10">
        <f t="shared" si="2"/>
        <v>35.44056632</v>
      </c>
      <c r="B318" s="6">
        <f>(I318*'Optimal Choice'!$B$6+J318*'Optimal Choice'!$B$11+K318*'Optimal Choice'!$B$16+L318*'Optimal Choice'!$B$21+M318*'Optimal Choice'!$B$26)*'Optimal Choice'!$B$30</f>
        <v>117938.73</v>
      </c>
      <c r="C318" s="10">
        <f>(O318/$B318)+(O318/'Optimal Choice'!$B$6)</f>
        <v>8042.720788</v>
      </c>
      <c r="D318" s="10">
        <f>(P318/$B318)+(P318/'Optimal Choice'!$B$11)</f>
        <v>7520.971721</v>
      </c>
      <c r="E318" s="10">
        <f>(Q318/$B318)+(Q318/'Optimal Choice'!$B$16)</f>
        <v>8305.741207</v>
      </c>
      <c r="F318" s="10">
        <f>(R318/$B318)+(R318/'Optimal Choice'!$B$21)</f>
        <v>8497.675923</v>
      </c>
      <c r="G318" s="10">
        <f>(S318/$B318)+(S318/'Optimal Choice'!$B$26)</f>
        <v>8015.566575</v>
      </c>
      <c r="I318" s="11">
        <f t="shared" ref="I318:M318" si="317">if(min($C317:$G317)=C317,I317+1,I317)</f>
        <v>119</v>
      </c>
      <c r="J318" s="11">
        <f t="shared" si="317"/>
        <v>55</v>
      </c>
      <c r="K318" s="11">
        <f t="shared" si="317"/>
        <v>52</v>
      </c>
      <c r="L318" s="11">
        <f t="shared" si="317"/>
        <v>47</v>
      </c>
      <c r="M318" s="11">
        <f t="shared" si="317"/>
        <v>44</v>
      </c>
      <c r="O318" s="12">
        <f> 'Optimal Choice'!$B$7*'Optimal Choice'!$B$8^(I318+1)</f>
        <v>13431.15353</v>
      </c>
      <c r="P318" s="12">
        <f> 'Optimal Choice'!$B$12*'Optimal Choice'!$B$13^(J318+1)</f>
        <v>150393.9307</v>
      </c>
      <c r="Q318" s="12">
        <f> 'Optimal Choice'!$B$17*'Optimal Choice'!$B$18^(K318+1)</f>
        <v>746946.7075</v>
      </c>
      <c r="R318" s="12">
        <f> 'Optimal Choice'!$B$22*'Optimal Choice'!$B$23^(L318+1)</f>
        <v>3049853.86</v>
      </c>
      <c r="S318" s="12">
        <f> 'Optimal Choice'!$B$27*'Optimal Choice'!$B$28^(M318+1)</f>
        <v>17002234.77</v>
      </c>
    </row>
    <row r="319" ht="15.75" customHeight="1">
      <c r="A319" s="10">
        <f t="shared" si="2"/>
        <v>35.46181944</v>
      </c>
      <c r="B319" s="6">
        <f>(I319*'Optimal Choice'!$B$6+J319*'Optimal Choice'!$B$11+K319*'Optimal Choice'!$B$16+L319*'Optimal Choice'!$B$21+M319*'Optimal Choice'!$B$26)*'Optimal Choice'!$B$30</f>
        <v>117958.73</v>
      </c>
      <c r="C319" s="10">
        <f>(O319/$B319)+(O319/'Optimal Choice'!$B$6)</f>
        <v>8042.720768</v>
      </c>
      <c r="D319" s="10">
        <f>(P319/$B319)+(P319/'Optimal Choice'!$B$11)</f>
        <v>8649.117231</v>
      </c>
      <c r="E319" s="10">
        <f>(Q319/$B319)+(Q319/'Optimal Choice'!$B$16)</f>
        <v>8305.740133</v>
      </c>
      <c r="F319" s="10">
        <f>(R319/$B319)+(R319/'Optimal Choice'!$B$21)</f>
        <v>8497.671539</v>
      </c>
      <c r="G319" s="10">
        <f>(S319/$B319)+(S319/'Optimal Choice'!$B$26)</f>
        <v>8015.542132</v>
      </c>
      <c r="I319" s="11">
        <f t="shared" ref="I319:M319" si="318">if(min($C318:$G318)=C318,I318+1,I318)</f>
        <v>119</v>
      </c>
      <c r="J319" s="11">
        <f t="shared" si="318"/>
        <v>56</v>
      </c>
      <c r="K319" s="11">
        <f t="shared" si="318"/>
        <v>52</v>
      </c>
      <c r="L319" s="11">
        <f t="shared" si="318"/>
        <v>47</v>
      </c>
      <c r="M319" s="11">
        <f t="shared" si="318"/>
        <v>44</v>
      </c>
      <c r="O319" s="12">
        <f> 'Optimal Choice'!$B$7*'Optimal Choice'!$B$8^(I319+1)</f>
        <v>13431.15353</v>
      </c>
      <c r="P319" s="12">
        <f> 'Optimal Choice'!$B$12*'Optimal Choice'!$B$13^(J319+1)</f>
        <v>172953.0203</v>
      </c>
      <c r="Q319" s="12">
        <f> 'Optimal Choice'!$B$17*'Optimal Choice'!$B$18^(K319+1)</f>
        <v>746946.7075</v>
      </c>
      <c r="R319" s="12">
        <f> 'Optimal Choice'!$B$22*'Optimal Choice'!$B$23^(L319+1)</f>
        <v>3049853.86</v>
      </c>
      <c r="S319" s="12">
        <f> 'Optimal Choice'!$B$27*'Optimal Choice'!$B$28^(M319+1)</f>
        <v>17002234.77</v>
      </c>
    </row>
    <row r="320" ht="15.75" customHeight="1">
      <c r="A320" s="10">
        <f t="shared" si="2"/>
        <v>37.86410522</v>
      </c>
      <c r="B320" s="6">
        <f>(I320*'Optimal Choice'!$B$6+J320*'Optimal Choice'!$B$11+K320*'Optimal Choice'!$B$16+L320*'Optimal Choice'!$B$21+M320*'Optimal Choice'!$B$26)*'Optimal Choice'!$B$30</f>
        <v>120118.73</v>
      </c>
      <c r="C320" s="10">
        <f>(O320/$B320)+(O320/'Optimal Choice'!$B$6)</f>
        <v>8042.718721</v>
      </c>
      <c r="D320" s="10">
        <f>(P320/$B320)+(P320/'Optimal Choice'!$B$11)</f>
        <v>8649.090865</v>
      </c>
      <c r="E320" s="10">
        <f>(Q320/$B320)+(Q320/'Optimal Choice'!$B$16)</f>
        <v>8305.626265</v>
      </c>
      <c r="F320" s="10">
        <f>(R320/$B320)+(R320/'Optimal Choice'!$B$21)</f>
        <v>8497.206604</v>
      </c>
      <c r="G320" s="10">
        <f>(S320/$B320)+(S320/'Optimal Choice'!$B$26)</f>
        <v>8974.504256</v>
      </c>
      <c r="I320" s="11">
        <f t="shared" ref="I320:M320" si="319">if(min($C319:$G319)=C319,I319+1,I319)</f>
        <v>119</v>
      </c>
      <c r="J320" s="11">
        <f t="shared" si="319"/>
        <v>56</v>
      </c>
      <c r="K320" s="11">
        <f t="shared" si="319"/>
        <v>52</v>
      </c>
      <c r="L320" s="11">
        <f t="shared" si="319"/>
        <v>47</v>
      </c>
      <c r="M320" s="11">
        <f t="shared" si="319"/>
        <v>45</v>
      </c>
      <c r="O320" s="12">
        <f> 'Optimal Choice'!$B$7*'Optimal Choice'!$B$8^(I320+1)</f>
        <v>13431.15353</v>
      </c>
      <c r="P320" s="12">
        <f> 'Optimal Choice'!$B$12*'Optimal Choice'!$B$13^(J320+1)</f>
        <v>172953.0203</v>
      </c>
      <c r="Q320" s="12">
        <f> 'Optimal Choice'!$B$17*'Optimal Choice'!$B$18^(K320+1)</f>
        <v>746946.7075</v>
      </c>
      <c r="R320" s="12">
        <f> 'Optimal Choice'!$B$22*'Optimal Choice'!$B$23^(L320+1)</f>
        <v>3049853.86</v>
      </c>
      <c r="S320" s="12">
        <f> 'Optimal Choice'!$B$27*'Optimal Choice'!$B$28^(M320+1)</f>
        <v>19042502.94</v>
      </c>
    </row>
    <row r="321" ht="15.75" customHeight="1">
      <c r="A321" s="10">
        <f t="shared" si="2"/>
        <v>37.86596881</v>
      </c>
      <c r="B321" s="6">
        <f>(I321*'Optimal Choice'!$B$6+J321*'Optimal Choice'!$B$11+K321*'Optimal Choice'!$B$16+L321*'Optimal Choice'!$B$21+M321*'Optimal Choice'!$B$26)*'Optimal Choice'!$B$30</f>
        <v>120120.4</v>
      </c>
      <c r="C321" s="10">
        <f>(O321/$B321)+(O321/'Optimal Choice'!$B$6)</f>
        <v>8605.70903</v>
      </c>
      <c r="D321" s="10">
        <f>(P321/$B321)+(P321/'Optimal Choice'!$B$11)</f>
        <v>8649.090845</v>
      </c>
      <c r="E321" s="10">
        <f>(Q321/$B321)+(Q321/'Optimal Choice'!$B$16)</f>
        <v>8305.626178</v>
      </c>
      <c r="F321" s="10">
        <f>(R321/$B321)+(R321/'Optimal Choice'!$B$21)</f>
        <v>8497.206251</v>
      </c>
      <c r="G321" s="10">
        <f>(S321/$B321)+(S321/'Optimal Choice'!$B$26)</f>
        <v>8974.502052</v>
      </c>
      <c r="I321" s="11">
        <f t="shared" ref="I321:M321" si="320">if(min($C320:$G320)=C320,I320+1,I320)</f>
        <v>120</v>
      </c>
      <c r="J321" s="11">
        <f t="shared" si="320"/>
        <v>56</v>
      </c>
      <c r="K321" s="11">
        <f t="shared" si="320"/>
        <v>52</v>
      </c>
      <c r="L321" s="11">
        <f t="shared" si="320"/>
        <v>47</v>
      </c>
      <c r="M321" s="11">
        <f t="shared" si="320"/>
        <v>45</v>
      </c>
      <c r="O321" s="12">
        <f> 'Optimal Choice'!$B$7*'Optimal Choice'!$B$8^(I321+1)</f>
        <v>14371.33428</v>
      </c>
      <c r="P321" s="12">
        <f> 'Optimal Choice'!$B$12*'Optimal Choice'!$B$13^(J321+1)</f>
        <v>172953.0203</v>
      </c>
      <c r="Q321" s="12">
        <f> 'Optimal Choice'!$B$17*'Optimal Choice'!$B$18^(K321+1)</f>
        <v>746946.7075</v>
      </c>
      <c r="R321" s="12">
        <f> 'Optimal Choice'!$B$22*'Optimal Choice'!$B$23^(L321+1)</f>
        <v>3049853.86</v>
      </c>
      <c r="S321" s="12">
        <f> 'Optimal Choice'!$B$27*'Optimal Choice'!$B$28^(M321+1)</f>
        <v>19042502.94</v>
      </c>
    </row>
    <row r="322" ht="15.75" customHeight="1">
      <c r="A322" s="10">
        <f t="shared" si="2"/>
        <v>37.96960743</v>
      </c>
      <c r="B322" s="6">
        <f>(I322*'Optimal Choice'!$B$6+J322*'Optimal Choice'!$B$11+K322*'Optimal Choice'!$B$16+L322*'Optimal Choice'!$B$21+M322*'Optimal Choice'!$B$26)*'Optimal Choice'!$B$30</f>
        <v>120210.4</v>
      </c>
      <c r="C322" s="10">
        <f>(O322/$B322)+(O322/'Optimal Choice'!$B$6)</f>
        <v>8605.70894</v>
      </c>
      <c r="D322" s="10">
        <f>(P322/$B322)+(P322/'Optimal Choice'!$B$11)</f>
        <v>8649.089767</v>
      </c>
      <c r="E322" s="10">
        <f>(Q322/$B322)+(Q322/'Optimal Choice'!$B$16)</f>
        <v>9468.408536</v>
      </c>
      <c r="F322" s="10">
        <f>(R322/$B322)+(R322/'Optimal Choice'!$B$21)</f>
        <v>8497.187242</v>
      </c>
      <c r="G322" s="10">
        <f>(S322/$B322)+(S322/'Optimal Choice'!$B$26)</f>
        <v>8974.383363</v>
      </c>
      <c r="I322" s="11">
        <f t="shared" ref="I322:M322" si="321">if(min($C321:$G321)=C321,I321+1,I321)</f>
        <v>120</v>
      </c>
      <c r="J322" s="11">
        <f t="shared" si="321"/>
        <v>56</v>
      </c>
      <c r="K322" s="11">
        <f t="shared" si="321"/>
        <v>53</v>
      </c>
      <c r="L322" s="11">
        <f t="shared" si="321"/>
        <v>47</v>
      </c>
      <c r="M322" s="11">
        <f t="shared" si="321"/>
        <v>45</v>
      </c>
      <c r="O322" s="12">
        <f> 'Optimal Choice'!$B$7*'Optimal Choice'!$B$8^(I322+1)</f>
        <v>14371.33428</v>
      </c>
      <c r="P322" s="12">
        <f> 'Optimal Choice'!$B$12*'Optimal Choice'!$B$13^(J322+1)</f>
        <v>172953.0203</v>
      </c>
      <c r="Q322" s="12">
        <f> 'Optimal Choice'!$B$17*'Optimal Choice'!$B$18^(K322+1)</f>
        <v>851519.2466</v>
      </c>
      <c r="R322" s="12">
        <f> 'Optimal Choice'!$B$22*'Optimal Choice'!$B$23^(L322+1)</f>
        <v>3049853.86</v>
      </c>
      <c r="S322" s="12">
        <f> 'Optimal Choice'!$B$27*'Optimal Choice'!$B$28^(M322+1)</f>
        <v>19042502.94</v>
      </c>
    </row>
    <row r="323" ht="15.75" customHeight="1">
      <c r="A323" s="10">
        <f t="shared" si="2"/>
        <v>38.39245684</v>
      </c>
      <c r="B323" s="6">
        <f>(I323*'Optimal Choice'!$B$6+J323*'Optimal Choice'!$B$11+K323*'Optimal Choice'!$B$16+L323*'Optimal Choice'!$B$21+M323*'Optimal Choice'!$B$26)*'Optimal Choice'!$B$30</f>
        <v>120570.4</v>
      </c>
      <c r="C323" s="10">
        <f>(O323/$B323)+(O323/'Optimal Choice'!$B$6)</f>
        <v>8605.708583</v>
      </c>
      <c r="D323" s="10">
        <f>(P323/$B323)+(P323/'Optimal Choice'!$B$11)</f>
        <v>8649.085471</v>
      </c>
      <c r="E323" s="10">
        <f>(Q323/$B323)+(Q323/'Optimal Choice'!$B$16)</f>
        <v>9468.387385</v>
      </c>
      <c r="F323" s="10">
        <f>(R323/$B323)+(R323/'Optimal Choice'!$B$21)</f>
        <v>9601.735983</v>
      </c>
      <c r="G323" s="10">
        <f>(S323/$B323)+(S323/'Optimal Choice'!$B$26)</f>
        <v>8973.910382</v>
      </c>
      <c r="I323" s="11">
        <f t="shared" ref="I323:M323" si="322">if(min($C322:$G322)=C322,I322+1,I322)</f>
        <v>120</v>
      </c>
      <c r="J323" s="11">
        <f t="shared" si="322"/>
        <v>56</v>
      </c>
      <c r="K323" s="11">
        <f t="shared" si="322"/>
        <v>53</v>
      </c>
      <c r="L323" s="11">
        <f t="shared" si="322"/>
        <v>48</v>
      </c>
      <c r="M323" s="11">
        <f t="shared" si="322"/>
        <v>45</v>
      </c>
      <c r="O323" s="12">
        <f> 'Optimal Choice'!$B$7*'Optimal Choice'!$B$8^(I323+1)</f>
        <v>14371.33428</v>
      </c>
      <c r="P323" s="12">
        <f> 'Optimal Choice'!$B$12*'Optimal Choice'!$B$13^(J323+1)</f>
        <v>172953.0203</v>
      </c>
      <c r="Q323" s="12">
        <f> 'Optimal Choice'!$B$17*'Optimal Choice'!$B$18^(K323+1)</f>
        <v>851519.2466</v>
      </c>
      <c r="R323" s="12">
        <f> 'Optimal Choice'!$B$22*'Optimal Choice'!$B$23^(L323+1)</f>
        <v>3446334.861</v>
      </c>
      <c r="S323" s="12">
        <f> 'Optimal Choice'!$B$27*'Optimal Choice'!$B$28^(M323+1)</f>
        <v>19042502.94</v>
      </c>
    </row>
    <row r="324" ht="15.75" customHeight="1">
      <c r="A324" s="10">
        <f t="shared" si="2"/>
        <v>38.39444342</v>
      </c>
      <c r="B324" s="6">
        <f>(I324*'Optimal Choice'!$B$6+J324*'Optimal Choice'!$B$11+K324*'Optimal Choice'!$B$16+L324*'Optimal Choice'!$B$21+M324*'Optimal Choice'!$B$26)*'Optimal Choice'!$B$30</f>
        <v>120572.07</v>
      </c>
      <c r="C324" s="10">
        <f>(O324/$B324)+(O324/'Optimal Choice'!$B$6)</f>
        <v>9208.108182</v>
      </c>
      <c r="D324" s="10">
        <f>(P324/$B324)+(P324/'Optimal Choice'!$B$11)</f>
        <v>8649.085452</v>
      </c>
      <c r="E324" s="10">
        <f>(Q324/$B324)+(Q324/'Optimal Choice'!$B$16)</f>
        <v>9468.387288</v>
      </c>
      <c r="F324" s="10">
        <f>(R324/$B324)+(R324/'Optimal Choice'!$B$21)</f>
        <v>9601.735587</v>
      </c>
      <c r="G324" s="10">
        <f>(S324/$B324)+(S324/'Optimal Choice'!$B$26)</f>
        <v>8973.908195</v>
      </c>
      <c r="I324" s="11">
        <f t="shared" ref="I324:M324" si="323">if(min($C323:$G323)=C323,I323+1,I323)</f>
        <v>121</v>
      </c>
      <c r="J324" s="11">
        <f t="shared" si="323"/>
        <v>56</v>
      </c>
      <c r="K324" s="11">
        <f t="shared" si="323"/>
        <v>53</v>
      </c>
      <c r="L324" s="11">
        <f t="shared" si="323"/>
        <v>48</v>
      </c>
      <c r="M324" s="11">
        <f t="shared" si="323"/>
        <v>45</v>
      </c>
      <c r="O324" s="12">
        <f> 'Optimal Choice'!$B$7*'Optimal Choice'!$B$8^(I324+1)</f>
        <v>15377.32768</v>
      </c>
      <c r="P324" s="12">
        <f> 'Optimal Choice'!$B$12*'Optimal Choice'!$B$13^(J324+1)</f>
        <v>172953.0203</v>
      </c>
      <c r="Q324" s="12">
        <f> 'Optimal Choice'!$B$17*'Optimal Choice'!$B$18^(K324+1)</f>
        <v>851519.2466</v>
      </c>
      <c r="R324" s="12">
        <f> 'Optimal Choice'!$B$22*'Optimal Choice'!$B$23^(L324+1)</f>
        <v>3446334.861</v>
      </c>
      <c r="S324" s="12">
        <f> 'Optimal Choice'!$B$27*'Optimal Choice'!$B$28^(M324+1)</f>
        <v>19042502.94</v>
      </c>
    </row>
    <row r="325" ht="15.75" customHeight="1">
      <c r="A325" s="10">
        <f t="shared" si="2"/>
        <v>38.4183507</v>
      </c>
      <c r="B325" s="6">
        <f>(I325*'Optimal Choice'!$B$6+J325*'Optimal Choice'!$B$11+K325*'Optimal Choice'!$B$16+L325*'Optimal Choice'!$B$21+M325*'Optimal Choice'!$B$26)*'Optimal Choice'!$B$30</f>
        <v>120592.07</v>
      </c>
      <c r="C325" s="10">
        <f>(O325/$B325)+(O325/'Optimal Choice'!$B$6)</f>
        <v>9208.108161</v>
      </c>
      <c r="D325" s="10">
        <f>(P325/$B325)+(P325/'Optimal Choice'!$B$11)</f>
        <v>9946.447996</v>
      </c>
      <c r="E325" s="10">
        <f>(Q325/$B325)+(Q325/'Optimal Choice'!$B$16)</f>
        <v>9468.386116</v>
      </c>
      <c r="F325" s="10">
        <f>(R325/$B325)+(R325/'Optimal Choice'!$B$21)</f>
        <v>9601.730846</v>
      </c>
      <c r="G325" s="10">
        <f>(S325/$B325)+(S325/'Optimal Choice'!$B$26)</f>
        <v>8973.882002</v>
      </c>
      <c r="I325" s="11">
        <f t="shared" ref="I325:M325" si="324">if(min($C324:$G324)=C324,I324+1,I324)</f>
        <v>121</v>
      </c>
      <c r="J325" s="11">
        <f t="shared" si="324"/>
        <v>57</v>
      </c>
      <c r="K325" s="11">
        <f t="shared" si="324"/>
        <v>53</v>
      </c>
      <c r="L325" s="11">
        <f t="shared" si="324"/>
        <v>48</v>
      </c>
      <c r="M325" s="11">
        <f t="shared" si="324"/>
        <v>45</v>
      </c>
      <c r="O325" s="12">
        <f> 'Optimal Choice'!$B$7*'Optimal Choice'!$B$8^(I325+1)</f>
        <v>15377.32768</v>
      </c>
      <c r="P325" s="12">
        <f> 'Optimal Choice'!$B$12*'Optimal Choice'!$B$13^(J325+1)</f>
        <v>198895.9733</v>
      </c>
      <c r="Q325" s="12">
        <f> 'Optimal Choice'!$B$17*'Optimal Choice'!$B$18^(K325+1)</f>
        <v>851519.2466</v>
      </c>
      <c r="R325" s="12">
        <f> 'Optimal Choice'!$B$22*'Optimal Choice'!$B$23^(L325+1)</f>
        <v>3446334.861</v>
      </c>
      <c r="S325" s="12">
        <f> 'Optimal Choice'!$B$27*'Optimal Choice'!$B$28^(M325+1)</f>
        <v>19042502.94</v>
      </c>
    </row>
    <row r="326" ht="15.75" customHeight="1">
      <c r="A326" s="10">
        <f t="shared" si="2"/>
        <v>41.05015766</v>
      </c>
      <c r="B326" s="6">
        <f>(I326*'Optimal Choice'!$B$6+J326*'Optimal Choice'!$B$11+K326*'Optimal Choice'!$B$16+L326*'Optimal Choice'!$B$21+M326*'Optimal Choice'!$B$26)*'Optimal Choice'!$B$30</f>
        <v>122752.07</v>
      </c>
      <c r="C326" s="10">
        <f>(O326/$B326)+(O326/'Optimal Choice'!$B$6)</f>
        <v>9208.105917</v>
      </c>
      <c r="D326" s="10">
        <f>(P326/$B326)+(P326/'Optimal Choice'!$B$11)</f>
        <v>9946.418973</v>
      </c>
      <c r="E326" s="10">
        <f>(Q326/$B326)+(Q326/'Optimal Choice'!$B$16)</f>
        <v>9468.261865</v>
      </c>
      <c r="F326" s="10">
        <f>(R326/$B326)+(R326/'Optimal Choice'!$B$21)</f>
        <v>9601.227967</v>
      </c>
      <c r="G326" s="10">
        <f>(S326/$B326)+(S326/'Optimal Choice'!$B$26)</f>
        <v>10047.63578</v>
      </c>
      <c r="I326" s="11">
        <f t="shared" ref="I326:M326" si="325">if(min($C325:$G325)=C325,I325+1,I325)</f>
        <v>121</v>
      </c>
      <c r="J326" s="11">
        <f t="shared" si="325"/>
        <v>57</v>
      </c>
      <c r="K326" s="11">
        <f t="shared" si="325"/>
        <v>53</v>
      </c>
      <c r="L326" s="11">
        <f t="shared" si="325"/>
        <v>48</v>
      </c>
      <c r="M326" s="11">
        <f t="shared" si="325"/>
        <v>46</v>
      </c>
      <c r="O326" s="12">
        <f> 'Optimal Choice'!$B$7*'Optimal Choice'!$B$8^(I326+1)</f>
        <v>15377.32768</v>
      </c>
      <c r="P326" s="12">
        <f> 'Optimal Choice'!$B$12*'Optimal Choice'!$B$13^(J326+1)</f>
        <v>198895.9733</v>
      </c>
      <c r="Q326" s="12">
        <f> 'Optimal Choice'!$B$17*'Optimal Choice'!$B$18^(K326+1)</f>
        <v>851519.2466</v>
      </c>
      <c r="R326" s="12">
        <f> 'Optimal Choice'!$B$22*'Optimal Choice'!$B$23^(L326+1)</f>
        <v>3446334.861</v>
      </c>
      <c r="S326" s="12">
        <f> 'Optimal Choice'!$B$27*'Optimal Choice'!$B$28^(M326+1)</f>
        <v>21327603.29</v>
      </c>
    </row>
    <row r="327" ht="15.75" customHeight="1">
      <c r="A327" s="10">
        <f t="shared" si="2"/>
        <v>41.05224552</v>
      </c>
      <c r="B327" s="6">
        <f>(I327*'Optimal Choice'!$B$6+J327*'Optimal Choice'!$B$11+K327*'Optimal Choice'!$B$16+L327*'Optimal Choice'!$B$21+M327*'Optimal Choice'!$B$26)*'Optimal Choice'!$B$30</f>
        <v>122753.74</v>
      </c>
      <c r="C327" s="10">
        <f>(O327/$B327)+(O327/'Optimal Choice'!$B$6)</f>
        <v>9852.673329</v>
      </c>
      <c r="D327" s="10">
        <f>(P327/$B327)+(P327/'Optimal Choice'!$B$11)</f>
        <v>9946.418951</v>
      </c>
      <c r="E327" s="10">
        <f>(Q327/$B327)+(Q327/'Optimal Choice'!$B$16)</f>
        <v>9468.261771</v>
      </c>
      <c r="F327" s="10">
        <f>(R327/$B327)+(R327/'Optimal Choice'!$B$21)</f>
        <v>9601.227585</v>
      </c>
      <c r="G327" s="10">
        <f>(S327/$B327)+(S327/'Optimal Choice'!$B$26)</f>
        <v>10047.63342</v>
      </c>
      <c r="I327" s="11">
        <f t="shared" ref="I327:M327" si="326">if(min($C326:$G326)=C326,I326+1,I326)</f>
        <v>122</v>
      </c>
      <c r="J327" s="11">
        <f t="shared" si="326"/>
        <v>57</v>
      </c>
      <c r="K327" s="11">
        <f t="shared" si="326"/>
        <v>53</v>
      </c>
      <c r="L327" s="11">
        <f t="shared" si="326"/>
        <v>48</v>
      </c>
      <c r="M327" s="11">
        <f t="shared" si="326"/>
        <v>46</v>
      </c>
      <c r="O327" s="12">
        <f> 'Optimal Choice'!$B$7*'Optimal Choice'!$B$8^(I327+1)</f>
        <v>16453.74062</v>
      </c>
      <c r="P327" s="12">
        <f> 'Optimal Choice'!$B$12*'Optimal Choice'!$B$13^(J327+1)</f>
        <v>198895.9733</v>
      </c>
      <c r="Q327" s="12">
        <f> 'Optimal Choice'!$B$17*'Optimal Choice'!$B$18^(K327+1)</f>
        <v>851519.2466</v>
      </c>
      <c r="R327" s="12">
        <f> 'Optimal Choice'!$B$22*'Optimal Choice'!$B$23^(L327+1)</f>
        <v>3446334.861</v>
      </c>
      <c r="S327" s="12">
        <f> 'Optimal Choice'!$B$27*'Optimal Choice'!$B$28^(M327+1)</f>
        <v>21327603.29</v>
      </c>
    </row>
    <row r="328" ht="15.75" customHeight="1">
      <c r="A328" s="10">
        <f t="shared" si="2"/>
        <v>41.167859</v>
      </c>
      <c r="B328" s="6">
        <f>(I328*'Optimal Choice'!$B$6+J328*'Optimal Choice'!$B$11+K328*'Optimal Choice'!$B$16+L328*'Optimal Choice'!$B$21+M328*'Optimal Choice'!$B$26)*'Optimal Choice'!$B$30</f>
        <v>122843.74</v>
      </c>
      <c r="C328" s="10">
        <f>(O328/$B328)+(O328/'Optimal Choice'!$B$6)</f>
        <v>9852.673231</v>
      </c>
      <c r="D328" s="10">
        <f>(P328/$B328)+(P328/'Optimal Choice'!$B$11)</f>
        <v>9946.417764</v>
      </c>
      <c r="E328" s="10">
        <f>(Q328/$B328)+(Q328/'Optimal Choice'!$B$16)</f>
        <v>10793.81263</v>
      </c>
      <c r="F328" s="10">
        <f>(R328/$B328)+(R328/'Optimal Choice'!$B$21)</f>
        <v>9601.207016</v>
      </c>
      <c r="G328" s="10">
        <f>(S328/$B328)+(S328/'Optimal Choice'!$B$26)</f>
        <v>10047.50613</v>
      </c>
      <c r="I328" s="11">
        <f t="shared" ref="I328:M328" si="327">if(min($C327:$G327)=C327,I327+1,I327)</f>
        <v>122</v>
      </c>
      <c r="J328" s="11">
        <f t="shared" si="327"/>
        <v>57</v>
      </c>
      <c r="K328" s="11">
        <f t="shared" si="327"/>
        <v>54</v>
      </c>
      <c r="L328" s="11">
        <f t="shared" si="327"/>
        <v>48</v>
      </c>
      <c r="M328" s="11">
        <f t="shared" si="327"/>
        <v>46</v>
      </c>
      <c r="O328" s="12">
        <f> 'Optimal Choice'!$B$7*'Optimal Choice'!$B$8^(I328+1)</f>
        <v>16453.74062</v>
      </c>
      <c r="P328" s="12">
        <f> 'Optimal Choice'!$B$12*'Optimal Choice'!$B$13^(J328+1)</f>
        <v>198895.9733</v>
      </c>
      <c r="Q328" s="12">
        <f> 'Optimal Choice'!$B$17*'Optimal Choice'!$B$18^(K328+1)</f>
        <v>970731.9411</v>
      </c>
      <c r="R328" s="12">
        <f> 'Optimal Choice'!$B$22*'Optimal Choice'!$B$23^(L328+1)</f>
        <v>3446334.861</v>
      </c>
      <c r="S328" s="12">
        <f> 'Optimal Choice'!$B$27*'Optimal Choice'!$B$28^(M328+1)</f>
        <v>21327603.29</v>
      </c>
    </row>
    <row r="329" ht="15.75" customHeight="1">
      <c r="A329" s="10">
        <f t="shared" si="2"/>
        <v>41.63543606</v>
      </c>
      <c r="B329" s="6">
        <f>(I329*'Optimal Choice'!$B$6+J329*'Optimal Choice'!$B$11+K329*'Optimal Choice'!$B$16+L329*'Optimal Choice'!$B$21+M329*'Optimal Choice'!$B$26)*'Optimal Choice'!$B$30</f>
        <v>123203.74</v>
      </c>
      <c r="C329" s="10">
        <f>(O329/$B329)+(O329/'Optimal Choice'!$B$6)</f>
        <v>9852.67284</v>
      </c>
      <c r="D329" s="10">
        <f>(P329/$B329)+(P329/'Optimal Choice'!$B$11)</f>
        <v>9946.413033</v>
      </c>
      <c r="E329" s="10">
        <f>(Q329/$B329)+(Q329/'Optimal Choice'!$B$16)</f>
        <v>10793.78953</v>
      </c>
      <c r="F329" s="10">
        <f>(R329/$B329)+(R329/'Optimal Choice'!$B$21)</f>
        <v>10849.2713</v>
      </c>
      <c r="G329" s="10">
        <f>(S329/$B329)+(S329/'Optimal Choice'!$B$26)</f>
        <v>10046.99882</v>
      </c>
      <c r="I329" s="11">
        <f t="shared" ref="I329:M329" si="328">if(min($C328:$G328)=C328,I328+1,I328)</f>
        <v>122</v>
      </c>
      <c r="J329" s="11">
        <f t="shared" si="328"/>
        <v>57</v>
      </c>
      <c r="K329" s="11">
        <f t="shared" si="328"/>
        <v>54</v>
      </c>
      <c r="L329" s="11">
        <f t="shared" si="328"/>
        <v>49</v>
      </c>
      <c r="M329" s="11">
        <f t="shared" si="328"/>
        <v>46</v>
      </c>
      <c r="O329" s="12">
        <f> 'Optimal Choice'!$B$7*'Optimal Choice'!$B$8^(I329+1)</f>
        <v>16453.74062</v>
      </c>
      <c r="P329" s="12">
        <f> 'Optimal Choice'!$B$12*'Optimal Choice'!$B$13^(J329+1)</f>
        <v>198895.9733</v>
      </c>
      <c r="Q329" s="12">
        <f> 'Optimal Choice'!$B$17*'Optimal Choice'!$B$18^(K329+1)</f>
        <v>970731.9411</v>
      </c>
      <c r="R329" s="12">
        <f> 'Optimal Choice'!$B$22*'Optimal Choice'!$B$23^(L329+1)</f>
        <v>3894358.393</v>
      </c>
      <c r="S329" s="12">
        <f> 'Optimal Choice'!$B$27*'Optimal Choice'!$B$28^(M329+1)</f>
        <v>21327603.29</v>
      </c>
    </row>
    <row r="330" ht="15.75" customHeight="1">
      <c r="A330" s="10">
        <f t="shared" si="2"/>
        <v>41.63766187</v>
      </c>
      <c r="B330" s="6">
        <f>(I330*'Optimal Choice'!$B$6+J330*'Optimal Choice'!$B$11+K330*'Optimal Choice'!$B$16+L330*'Optimal Choice'!$B$21+M330*'Optimal Choice'!$B$26)*'Optimal Choice'!$B$30</f>
        <v>123205.41</v>
      </c>
      <c r="C330" s="10">
        <f>(O330/$B330)+(O330/'Optimal Choice'!$B$6)</f>
        <v>10542.35994</v>
      </c>
      <c r="D330" s="10">
        <f>(P330/$B330)+(P330/'Optimal Choice'!$B$11)</f>
        <v>9946.413011</v>
      </c>
      <c r="E330" s="10">
        <f>(Q330/$B330)+(Q330/'Optimal Choice'!$B$16)</f>
        <v>10793.78943</v>
      </c>
      <c r="F330" s="10">
        <f>(R330/$B330)+(R330/'Optimal Choice'!$B$21)</f>
        <v>10849.27087</v>
      </c>
      <c r="G330" s="10">
        <f>(S330/$B330)+(S330/'Optimal Choice'!$B$26)</f>
        <v>10046.99648</v>
      </c>
      <c r="I330" s="11">
        <f t="shared" ref="I330:M330" si="329">if(min($C329:$G329)=C329,I329+1,I329)</f>
        <v>123</v>
      </c>
      <c r="J330" s="11">
        <f t="shared" si="329"/>
        <v>57</v>
      </c>
      <c r="K330" s="11">
        <f t="shared" si="329"/>
        <v>54</v>
      </c>
      <c r="L330" s="11">
        <f t="shared" si="329"/>
        <v>49</v>
      </c>
      <c r="M330" s="11">
        <f t="shared" si="329"/>
        <v>46</v>
      </c>
      <c r="O330" s="12">
        <f> 'Optimal Choice'!$B$7*'Optimal Choice'!$B$8^(I330+1)</f>
        <v>17605.50246</v>
      </c>
      <c r="P330" s="12">
        <f> 'Optimal Choice'!$B$12*'Optimal Choice'!$B$13^(J330+1)</f>
        <v>198895.9733</v>
      </c>
      <c r="Q330" s="12">
        <f> 'Optimal Choice'!$B$17*'Optimal Choice'!$B$18^(K330+1)</f>
        <v>970731.9411</v>
      </c>
      <c r="R330" s="12">
        <f> 'Optimal Choice'!$B$22*'Optimal Choice'!$B$23^(L330+1)</f>
        <v>3894358.393</v>
      </c>
      <c r="S330" s="12">
        <f> 'Optimal Choice'!$B$27*'Optimal Choice'!$B$28^(M330+1)</f>
        <v>21327603.29</v>
      </c>
    </row>
    <row r="331" ht="15.75" customHeight="1">
      <c r="A331" s="10">
        <f t="shared" si="2"/>
        <v>41.66456761</v>
      </c>
      <c r="B331" s="6">
        <f>(I331*'Optimal Choice'!$B$6+J331*'Optimal Choice'!$B$11+K331*'Optimal Choice'!$B$16+L331*'Optimal Choice'!$B$21+M331*'Optimal Choice'!$B$26)*'Optimal Choice'!$B$30</f>
        <v>123225.41</v>
      </c>
      <c r="C331" s="10">
        <f>(O331/$B331)+(O331/'Optimal Choice'!$B$6)</f>
        <v>10542.35991</v>
      </c>
      <c r="D331" s="10">
        <f>(P331/$B331)+(P331/'Optimal Choice'!$B$11)</f>
        <v>11438.37466</v>
      </c>
      <c r="E331" s="10">
        <f>(Q331/$B331)+(Q331/'Optimal Choice'!$B$16)</f>
        <v>10793.78815</v>
      </c>
      <c r="F331" s="10">
        <f>(R331/$B331)+(R331/'Optimal Choice'!$B$21)</f>
        <v>10849.26574</v>
      </c>
      <c r="G331" s="10">
        <f>(S331/$B331)+(S331/'Optimal Choice'!$B$26)</f>
        <v>10046.96838</v>
      </c>
      <c r="I331" s="11">
        <f t="shared" ref="I331:M331" si="330">if(min($C330:$G330)=C330,I330+1,I330)</f>
        <v>123</v>
      </c>
      <c r="J331" s="11">
        <f t="shared" si="330"/>
        <v>58</v>
      </c>
      <c r="K331" s="11">
        <f t="shared" si="330"/>
        <v>54</v>
      </c>
      <c r="L331" s="11">
        <f t="shared" si="330"/>
        <v>49</v>
      </c>
      <c r="M331" s="11">
        <f t="shared" si="330"/>
        <v>46</v>
      </c>
      <c r="O331" s="12">
        <f> 'Optimal Choice'!$B$7*'Optimal Choice'!$B$8^(I331+1)</f>
        <v>17605.50246</v>
      </c>
      <c r="P331" s="12">
        <f> 'Optimal Choice'!$B$12*'Optimal Choice'!$B$13^(J331+1)</f>
        <v>228730.3693</v>
      </c>
      <c r="Q331" s="12">
        <f> 'Optimal Choice'!$B$17*'Optimal Choice'!$B$18^(K331+1)</f>
        <v>970731.9411</v>
      </c>
      <c r="R331" s="12">
        <f> 'Optimal Choice'!$B$22*'Optimal Choice'!$B$23^(L331+1)</f>
        <v>3894358.393</v>
      </c>
      <c r="S331" s="12">
        <f> 'Optimal Choice'!$B$27*'Optimal Choice'!$B$28^(M331+1)</f>
        <v>21327603.29</v>
      </c>
    </row>
    <row r="332" ht="15.75" customHeight="1">
      <c r="A332" s="10">
        <f t="shared" si="2"/>
        <v>44.54920038</v>
      </c>
      <c r="B332" s="6">
        <f>(I332*'Optimal Choice'!$B$6+J332*'Optimal Choice'!$B$11+K332*'Optimal Choice'!$B$16+L332*'Optimal Choice'!$B$21+M332*'Optimal Choice'!$B$26)*'Optimal Choice'!$B$30</f>
        <v>125385.41</v>
      </c>
      <c r="C332" s="10">
        <f>(O332/$B332)+(O332/'Optimal Choice'!$B$6)</f>
        <v>10542.35745</v>
      </c>
      <c r="D332" s="10">
        <f>(P332/$B332)+(P332/'Optimal Choice'!$B$11)</f>
        <v>11438.34269</v>
      </c>
      <c r="E332" s="10">
        <f>(Q332/$B332)+(Q332/'Optimal Choice'!$B$16)</f>
        <v>10793.65244</v>
      </c>
      <c r="F332" s="10">
        <f>(R332/$B332)+(R332/'Optimal Choice'!$B$21)</f>
        <v>10848.72131</v>
      </c>
      <c r="G332" s="10">
        <f>(S332/$B332)+(S332/'Optimal Choice'!$B$26)</f>
        <v>11249.2652</v>
      </c>
      <c r="I332" s="11">
        <f t="shared" ref="I332:M332" si="331">if(min($C331:$G331)=C331,I331+1,I331)</f>
        <v>123</v>
      </c>
      <c r="J332" s="11">
        <f t="shared" si="331"/>
        <v>58</v>
      </c>
      <c r="K332" s="11">
        <f t="shared" si="331"/>
        <v>54</v>
      </c>
      <c r="L332" s="11">
        <f t="shared" si="331"/>
        <v>49</v>
      </c>
      <c r="M332" s="11">
        <f t="shared" si="331"/>
        <v>47</v>
      </c>
      <c r="O332" s="12">
        <f> 'Optimal Choice'!$B$7*'Optimal Choice'!$B$8^(I332+1)</f>
        <v>17605.50246</v>
      </c>
      <c r="P332" s="12">
        <f> 'Optimal Choice'!$B$12*'Optimal Choice'!$B$13^(J332+1)</f>
        <v>228730.3693</v>
      </c>
      <c r="Q332" s="12">
        <f> 'Optimal Choice'!$B$17*'Optimal Choice'!$B$18^(K332+1)</f>
        <v>970731.9411</v>
      </c>
      <c r="R332" s="12">
        <f> 'Optimal Choice'!$B$22*'Optimal Choice'!$B$23^(L332+1)</f>
        <v>3894358.393</v>
      </c>
      <c r="S332" s="12">
        <f> 'Optimal Choice'!$B$27*'Optimal Choice'!$B$28^(M332+1)</f>
        <v>23886915.69</v>
      </c>
    </row>
    <row r="333" ht="15.75" customHeight="1">
      <c r="A333" s="10">
        <f t="shared" si="2"/>
        <v>44.55154056</v>
      </c>
      <c r="B333" s="6">
        <f>(I333*'Optimal Choice'!$B$6+J333*'Optimal Choice'!$B$11+K333*'Optimal Choice'!$B$16+L333*'Optimal Choice'!$B$21+M333*'Optimal Choice'!$B$26)*'Optimal Choice'!$B$30</f>
        <v>125387.08</v>
      </c>
      <c r="C333" s="10">
        <f>(O333/$B333)+(O333/'Optimal Choice'!$B$6)</f>
        <v>11280.32247</v>
      </c>
      <c r="D333" s="10">
        <f>(P333/$B333)+(P333/'Optimal Choice'!$B$11)</f>
        <v>11438.34266</v>
      </c>
      <c r="E333" s="10">
        <f>(Q333/$B333)+(Q333/'Optimal Choice'!$B$16)</f>
        <v>10793.65234</v>
      </c>
      <c r="F333" s="10">
        <f>(R333/$B333)+(R333/'Optimal Choice'!$B$21)</f>
        <v>10848.72089</v>
      </c>
      <c r="G333" s="10">
        <f>(S333/$B333)+(S333/'Optimal Choice'!$B$26)</f>
        <v>11249.26266</v>
      </c>
      <c r="I333" s="11">
        <f t="shared" ref="I333:M333" si="332">if(min($C332:$G332)=C332,I332+1,I332)</f>
        <v>124</v>
      </c>
      <c r="J333" s="11">
        <f t="shared" si="332"/>
        <v>58</v>
      </c>
      <c r="K333" s="11">
        <f t="shared" si="332"/>
        <v>54</v>
      </c>
      <c r="L333" s="11">
        <f t="shared" si="332"/>
        <v>49</v>
      </c>
      <c r="M333" s="11">
        <f t="shared" si="332"/>
        <v>47</v>
      </c>
      <c r="O333" s="12">
        <f> 'Optimal Choice'!$B$7*'Optimal Choice'!$B$8^(I333+1)</f>
        <v>18837.88763</v>
      </c>
      <c r="P333" s="12">
        <f> 'Optimal Choice'!$B$12*'Optimal Choice'!$B$13^(J333+1)</f>
        <v>228730.3693</v>
      </c>
      <c r="Q333" s="12">
        <f> 'Optimal Choice'!$B$17*'Optimal Choice'!$B$18^(K333+1)</f>
        <v>970731.9411</v>
      </c>
      <c r="R333" s="12">
        <f> 'Optimal Choice'!$B$22*'Optimal Choice'!$B$23^(L333+1)</f>
        <v>3894358.393</v>
      </c>
      <c r="S333" s="12">
        <f> 'Optimal Choice'!$B$27*'Optimal Choice'!$B$28^(M333+1)</f>
        <v>23886915.69</v>
      </c>
    </row>
    <row r="334" ht="15.75" customHeight="1">
      <c r="A334" s="10">
        <f t="shared" si="2"/>
        <v>44.68057192</v>
      </c>
      <c r="B334" s="6">
        <f>(I334*'Optimal Choice'!$B$6+J334*'Optimal Choice'!$B$11+K334*'Optimal Choice'!$B$16+L334*'Optimal Choice'!$B$21+M334*'Optimal Choice'!$B$26)*'Optimal Choice'!$B$30</f>
        <v>125477.08</v>
      </c>
      <c r="C334" s="10">
        <f>(O334/$B334)+(O334/'Optimal Choice'!$B$6)</f>
        <v>11280.32236</v>
      </c>
      <c r="D334" s="10">
        <f>(P334/$B334)+(P334/'Optimal Choice'!$B$11)</f>
        <v>11438.34135</v>
      </c>
      <c r="E334" s="10">
        <f>(Q334/$B334)+(Q334/'Optimal Choice'!$B$16)</f>
        <v>12304.75734</v>
      </c>
      <c r="F334" s="10">
        <f>(R334/$B334)+(R334/'Optimal Choice'!$B$21)</f>
        <v>10848.69862</v>
      </c>
      <c r="G334" s="10">
        <f>(S334/$B334)+(S334/'Optimal Choice'!$B$26)</f>
        <v>11249.12602</v>
      </c>
      <c r="I334" s="11">
        <f t="shared" ref="I334:M334" si="333">if(min($C333:$G333)=C333,I333+1,I333)</f>
        <v>124</v>
      </c>
      <c r="J334" s="11">
        <f t="shared" si="333"/>
        <v>58</v>
      </c>
      <c r="K334" s="11">
        <f t="shared" si="333"/>
        <v>55</v>
      </c>
      <c r="L334" s="11">
        <f t="shared" si="333"/>
        <v>49</v>
      </c>
      <c r="M334" s="11">
        <f t="shared" si="333"/>
        <v>47</v>
      </c>
      <c r="O334" s="12">
        <f> 'Optimal Choice'!$B$7*'Optimal Choice'!$B$8^(I334+1)</f>
        <v>18837.88763</v>
      </c>
      <c r="P334" s="12">
        <f> 'Optimal Choice'!$B$12*'Optimal Choice'!$B$13^(J334+1)</f>
        <v>228730.3693</v>
      </c>
      <c r="Q334" s="12">
        <f> 'Optimal Choice'!$B$17*'Optimal Choice'!$B$18^(K334+1)</f>
        <v>1106634.413</v>
      </c>
      <c r="R334" s="12">
        <f> 'Optimal Choice'!$B$22*'Optimal Choice'!$B$23^(L334+1)</f>
        <v>3894358.393</v>
      </c>
      <c r="S334" s="12">
        <f> 'Optimal Choice'!$B$27*'Optimal Choice'!$B$28^(M334+1)</f>
        <v>23886915.69</v>
      </c>
    </row>
    <row r="335" ht="15.75" customHeight="1">
      <c r="A335" s="10">
        <f t="shared" si="2"/>
        <v>45.19784546</v>
      </c>
      <c r="B335" s="6">
        <f>(I335*'Optimal Choice'!$B$6+J335*'Optimal Choice'!$B$11+K335*'Optimal Choice'!$B$16+L335*'Optimal Choice'!$B$21+M335*'Optimal Choice'!$B$26)*'Optimal Choice'!$B$30</f>
        <v>125837.08</v>
      </c>
      <c r="C335" s="10">
        <f>(O335/$B335)+(O335/'Optimal Choice'!$B$6)</f>
        <v>11280.32193</v>
      </c>
      <c r="D335" s="10">
        <f>(P335/$B335)+(P335/'Optimal Choice'!$B$11)</f>
        <v>11438.33614</v>
      </c>
      <c r="E335" s="10">
        <f>(Q335/$B335)+(Q335/'Optimal Choice'!$B$16)</f>
        <v>12304.7321</v>
      </c>
      <c r="F335" s="10">
        <f>(R335/$B335)+(R335/'Optimal Choice'!$B$21)</f>
        <v>12258.9291</v>
      </c>
      <c r="G335" s="10">
        <f>(S335/$B335)+(S335/'Optimal Choice'!$B$26)</f>
        <v>11248.58141</v>
      </c>
      <c r="I335" s="11">
        <f t="shared" ref="I335:M335" si="334">if(min($C334:$G334)=C334,I334+1,I334)</f>
        <v>124</v>
      </c>
      <c r="J335" s="11">
        <f t="shared" si="334"/>
        <v>58</v>
      </c>
      <c r="K335" s="11">
        <f t="shared" si="334"/>
        <v>55</v>
      </c>
      <c r="L335" s="11">
        <f t="shared" si="334"/>
        <v>50</v>
      </c>
      <c r="M335" s="11">
        <f t="shared" si="334"/>
        <v>47</v>
      </c>
      <c r="O335" s="12">
        <f> 'Optimal Choice'!$B$7*'Optimal Choice'!$B$8^(I335+1)</f>
        <v>18837.88763</v>
      </c>
      <c r="P335" s="12">
        <f> 'Optimal Choice'!$B$12*'Optimal Choice'!$B$13^(J335+1)</f>
        <v>228730.3693</v>
      </c>
      <c r="Q335" s="12">
        <f> 'Optimal Choice'!$B$17*'Optimal Choice'!$B$18^(K335+1)</f>
        <v>1106634.413</v>
      </c>
      <c r="R335" s="12">
        <f> 'Optimal Choice'!$B$22*'Optimal Choice'!$B$23^(L335+1)</f>
        <v>4400624.985</v>
      </c>
      <c r="S335" s="12">
        <f> 'Optimal Choice'!$B$27*'Optimal Choice'!$B$28^(M335+1)</f>
        <v>23886915.69</v>
      </c>
    </row>
    <row r="336" ht="15.75" customHeight="1">
      <c r="A336" s="10">
        <f t="shared" si="2"/>
        <v>48.36158116</v>
      </c>
      <c r="B336" s="6">
        <f>(I336*'Optimal Choice'!$B$6+J336*'Optimal Choice'!$B$11+K336*'Optimal Choice'!$B$16+L336*'Optimal Choice'!$B$21+M336*'Optimal Choice'!$B$26)*'Optimal Choice'!$B$30</f>
        <v>127997.08</v>
      </c>
      <c r="C336" s="10">
        <f>(O336/$B336)+(O336/'Optimal Choice'!$B$6)</f>
        <v>11280.31941</v>
      </c>
      <c r="D336" s="10">
        <f>(P336/$B336)+(P336/'Optimal Choice'!$B$11)</f>
        <v>11438.30546</v>
      </c>
      <c r="E336" s="10">
        <f>(Q336/$B336)+(Q336/'Optimal Choice'!$B$16)</f>
        <v>12304.5837</v>
      </c>
      <c r="F336" s="10">
        <f>(R336/$B336)+(R336/'Optimal Choice'!$B$21)</f>
        <v>12258.33896</v>
      </c>
      <c r="G336" s="10">
        <f>(S336/$B336)+(S336/'Optimal Choice'!$B$26)</f>
        <v>12594.82342</v>
      </c>
      <c r="I336" s="11">
        <f t="shared" ref="I336:M336" si="335">if(min($C335:$G335)=C335,I335+1,I335)</f>
        <v>124</v>
      </c>
      <c r="J336" s="11">
        <f t="shared" si="335"/>
        <v>58</v>
      </c>
      <c r="K336" s="11">
        <f t="shared" si="335"/>
        <v>55</v>
      </c>
      <c r="L336" s="11">
        <f t="shared" si="335"/>
        <v>50</v>
      </c>
      <c r="M336" s="11">
        <f t="shared" si="335"/>
        <v>48</v>
      </c>
      <c r="O336" s="12">
        <f> 'Optimal Choice'!$B$7*'Optimal Choice'!$B$8^(I336+1)</f>
        <v>18837.88763</v>
      </c>
      <c r="P336" s="12">
        <f> 'Optimal Choice'!$B$12*'Optimal Choice'!$B$13^(J336+1)</f>
        <v>228730.3693</v>
      </c>
      <c r="Q336" s="12">
        <f> 'Optimal Choice'!$B$17*'Optimal Choice'!$B$18^(K336+1)</f>
        <v>1106634.413</v>
      </c>
      <c r="R336" s="12">
        <f> 'Optimal Choice'!$B$22*'Optimal Choice'!$B$23^(L336+1)</f>
        <v>4400624.985</v>
      </c>
      <c r="S336" s="12">
        <f> 'Optimal Choice'!$B$27*'Optimal Choice'!$B$28^(M336+1)</f>
        <v>26753345.57</v>
      </c>
    </row>
    <row r="337" ht="15.75" customHeight="1">
      <c r="A337" s="10">
        <f t="shared" si="2"/>
        <v>48.36403406</v>
      </c>
      <c r="B337" s="6">
        <f>(I337*'Optimal Choice'!$B$6+J337*'Optimal Choice'!$B$11+K337*'Optimal Choice'!$B$16+L337*'Optimal Choice'!$B$21+M337*'Optimal Choice'!$B$26)*'Optimal Choice'!$B$30</f>
        <v>127998.75</v>
      </c>
      <c r="C337" s="10">
        <f>(O337/$B337)+(O337/'Optimal Choice'!$B$6)</f>
        <v>12069.94177</v>
      </c>
      <c r="D337" s="10">
        <f>(P337/$B337)+(P337/'Optimal Choice'!$B$11)</f>
        <v>11438.30544</v>
      </c>
      <c r="E337" s="10">
        <f>(Q337/$B337)+(Q337/'Optimal Choice'!$B$16)</f>
        <v>12304.58359</v>
      </c>
      <c r="F337" s="10">
        <f>(R337/$B337)+(R337/'Optimal Choice'!$B$21)</f>
        <v>12258.33851</v>
      </c>
      <c r="G337" s="10">
        <f>(S337/$B337)+(S337/'Optimal Choice'!$B$26)</f>
        <v>12594.82069</v>
      </c>
      <c r="I337" s="11">
        <f t="shared" ref="I337:M337" si="336">if(min($C336:$G336)=C336,I336+1,I336)</f>
        <v>125</v>
      </c>
      <c r="J337" s="11">
        <f t="shared" si="336"/>
        <v>58</v>
      </c>
      <c r="K337" s="11">
        <f t="shared" si="336"/>
        <v>55</v>
      </c>
      <c r="L337" s="11">
        <f t="shared" si="336"/>
        <v>50</v>
      </c>
      <c r="M337" s="11">
        <f t="shared" si="336"/>
        <v>48</v>
      </c>
      <c r="O337" s="12">
        <f> 'Optimal Choice'!$B$7*'Optimal Choice'!$B$8^(I337+1)</f>
        <v>20156.53977</v>
      </c>
      <c r="P337" s="12">
        <f> 'Optimal Choice'!$B$12*'Optimal Choice'!$B$13^(J337+1)</f>
        <v>228730.3693</v>
      </c>
      <c r="Q337" s="12">
        <f> 'Optimal Choice'!$B$17*'Optimal Choice'!$B$18^(K337+1)</f>
        <v>1106634.413</v>
      </c>
      <c r="R337" s="12">
        <f> 'Optimal Choice'!$B$22*'Optimal Choice'!$B$23^(L337+1)</f>
        <v>4400624.985</v>
      </c>
      <c r="S337" s="12">
        <f> 'Optimal Choice'!$B$27*'Optimal Choice'!$B$28^(M337+1)</f>
        <v>26753345.57</v>
      </c>
    </row>
    <row r="338" ht="15.75" customHeight="1">
      <c r="A338" s="10">
        <f t="shared" si="2"/>
        <v>48.39381695</v>
      </c>
      <c r="B338" s="6">
        <f>(I338*'Optimal Choice'!$B$6+J338*'Optimal Choice'!$B$11+K338*'Optimal Choice'!$B$16+L338*'Optimal Choice'!$B$21+M338*'Optimal Choice'!$B$26)*'Optimal Choice'!$B$30</f>
        <v>128018.75</v>
      </c>
      <c r="C338" s="10">
        <f>(O338/$B338)+(O338/'Optimal Choice'!$B$6)</f>
        <v>12069.94174</v>
      </c>
      <c r="D338" s="10">
        <f>(P338/$B338)+(P338/'Optimal Choice'!$B$11)</f>
        <v>13154.05094</v>
      </c>
      <c r="E338" s="10">
        <f>(Q338/$B338)+(Q338/'Optimal Choice'!$B$16)</f>
        <v>12304.58224</v>
      </c>
      <c r="F338" s="10">
        <f>(R338/$B338)+(R338/'Optimal Choice'!$B$21)</f>
        <v>12258.33314</v>
      </c>
      <c r="G338" s="10">
        <f>(S338/$B338)+(S338/'Optimal Choice'!$B$26)</f>
        <v>12594.78804</v>
      </c>
      <c r="I338" s="11">
        <f t="shared" ref="I338:M338" si="337">if(min($C337:$G337)=C337,I337+1,I337)</f>
        <v>125</v>
      </c>
      <c r="J338" s="11">
        <f t="shared" si="337"/>
        <v>59</v>
      </c>
      <c r="K338" s="11">
        <f t="shared" si="337"/>
        <v>55</v>
      </c>
      <c r="L338" s="11">
        <f t="shared" si="337"/>
        <v>50</v>
      </c>
      <c r="M338" s="11">
        <f t="shared" si="337"/>
        <v>48</v>
      </c>
      <c r="O338" s="12">
        <f> 'Optimal Choice'!$B$7*'Optimal Choice'!$B$8^(I338+1)</f>
        <v>20156.53977</v>
      </c>
      <c r="P338" s="12">
        <f> 'Optimal Choice'!$B$12*'Optimal Choice'!$B$13^(J338+1)</f>
        <v>263039.9247</v>
      </c>
      <c r="Q338" s="12">
        <f> 'Optimal Choice'!$B$17*'Optimal Choice'!$B$18^(K338+1)</f>
        <v>1106634.413</v>
      </c>
      <c r="R338" s="12">
        <f> 'Optimal Choice'!$B$22*'Optimal Choice'!$B$23^(L338+1)</f>
        <v>4400624.985</v>
      </c>
      <c r="S338" s="12">
        <f> 'Optimal Choice'!$B$27*'Optimal Choice'!$B$28^(M338+1)</f>
        <v>26753345.57</v>
      </c>
    </row>
    <row r="339" ht="15.75" customHeight="1">
      <c r="A339" s="10">
        <f t="shared" si="2"/>
        <v>48.39644112</v>
      </c>
      <c r="B339" s="6">
        <f>(I339*'Optimal Choice'!$B$6+J339*'Optimal Choice'!$B$11+K339*'Optimal Choice'!$B$16+L339*'Optimal Choice'!$B$21+M339*'Optimal Choice'!$B$26)*'Optimal Choice'!$B$30</f>
        <v>128020.42</v>
      </c>
      <c r="C339" s="10">
        <f>(O339/$B339)+(O339/'Optimal Choice'!$B$6)</f>
        <v>12914.83766</v>
      </c>
      <c r="D339" s="10">
        <f>(P339/$B339)+(P339/'Optimal Choice'!$B$11)</f>
        <v>13154.05091</v>
      </c>
      <c r="E339" s="10">
        <f>(Q339/$B339)+(Q339/'Optimal Choice'!$B$16)</f>
        <v>12304.58212</v>
      </c>
      <c r="F339" s="10">
        <f>(R339/$B339)+(R339/'Optimal Choice'!$B$21)</f>
        <v>12258.33269</v>
      </c>
      <c r="G339" s="10">
        <f>(S339/$B339)+(S339/'Optimal Choice'!$B$26)</f>
        <v>12594.78531</v>
      </c>
      <c r="I339" s="11">
        <f t="shared" ref="I339:M339" si="338">if(min($C338:$G338)=C338,I338+1,I338)</f>
        <v>126</v>
      </c>
      <c r="J339" s="11">
        <f t="shared" si="338"/>
        <v>59</v>
      </c>
      <c r="K339" s="11">
        <f t="shared" si="338"/>
        <v>55</v>
      </c>
      <c r="L339" s="11">
        <f t="shared" si="338"/>
        <v>50</v>
      </c>
      <c r="M339" s="11">
        <f t="shared" si="338"/>
        <v>48</v>
      </c>
      <c r="O339" s="12">
        <f> 'Optimal Choice'!$B$7*'Optimal Choice'!$B$8^(I339+1)</f>
        <v>21567.49755</v>
      </c>
      <c r="P339" s="12">
        <f> 'Optimal Choice'!$B$12*'Optimal Choice'!$B$13^(J339+1)</f>
        <v>263039.9247</v>
      </c>
      <c r="Q339" s="12">
        <f> 'Optimal Choice'!$B$17*'Optimal Choice'!$B$18^(K339+1)</f>
        <v>1106634.413</v>
      </c>
      <c r="R339" s="12">
        <f> 'Optimal Choice'!$B$22*'Optimal Choice'!$B$23^(L339+1)</f>
        <v>4400624.985</v>
      </c>
      <c r="S339" s="12">
        <f> 'Optimal Choice'!$B$27*'Optimal Choice'!$B$28^(M339+1)</f>
        <v>26753345.57</v>
      </c>
    </row>
    <row r="340" ht="15.75" customHeight="1">
      <c r="A340" s="10">
        <f t="shared" si="2"/>
        <v>48.96934777</v>
      </c>
      <c r="B340" s="6">
        <f>(I340*'Optimal Choice'!$B$6+J340*'Optimal Choice'!$B$11+K340*'Optimal Choice'!$B$16+L340*'Optimal Choice'!$B$21+M340*'Optimal Choice'!$B$26)*'Optimal Choice'!$B$30</f>
        <v>128380.42</v>
      </c>
      <c r="C340" s="10">
        <f>(O340/$B340)+(O340/'Optimal Choice'!$B$6)</f>
        <v>12914.83719</v>
      </c>
      <c r="D340" s="10">
        <f>(P340/$B340)+(P340/'Optimal Choice'!$B$11)</f>
        <v>13154.04515</v>
      </c>
      <c r="E340" s="10">
        <f>(Q340/$B340)+(Q340/'Optimal Choice'!$B$16)</f>
        <v>12304.55788</v>
      </c>
      <c r="F340" s="10">
        <f>(R340/$B340)+(R340/'Optimal Choice'!$B$21)</f>
        <v>13851.80702</v>
      </c>
      <c r="G340" s="10">
        <f>(S340/$B340)+(S340/'Optimal Choice'!$B$26)</f>
        <v>12594.1993</v>
      </c>
      <c r="I340" s="11">
        <f t="shared" ref="I340:M340" si="339">if(min($C339:$G339)=C339,I339+1,I339)</f>
        <v>126</v>
      </c>
      <c r="J340" s="11">
        <f t="shared" si="339"/>
        <v>59</v>
      </c>
      <c r="K340" s="11">
        <f t="shared" si="339"/>
        <v>55</v>
      </c>
      <c r="L340" s="11">
        <f t="shared" si="339"/>
        <v>51</v>
      </c>
      <c r="M340" s="11">
        <f t="shared" si="339"/>
        <v>48</v>
      </c>
      <c r="O340" s="12">
        <f> 'Optimal Choice'!$B$7*'Optimal Choice'!$B$8^(I340+1)</f>
        <v>21567.49755</v>
      </c>
      <c r="P340" s="12">
        <f> 'Optimal Choice'!$B$12*'Optimal Choice'!$B$13^(J340+1)</f>
        <v>263039.9247</v>
      </c>
      <c r="Q340" s="12">
        <f> 'Optimal Choice'!$B$17*'Optimal Choice'!$B$18^(K340+1)</f>
        <v>1106634.413</v>
      </c>
      <c r="R340" s="12">
        <f> 'Optimal Choice'!$B$22*'Optimal Choice'!$B$23^(L340+1)</f>
        <v>4972706.232</v>
      </c>
      <c r="S340" s="12">
        <f> 'Optimal Choice'!$B$27*'Optimal Choice'!$B$28^(M340+1)</f>
        <v>26753345.57</v>
      </c>
    </row>
    <row r="341" ht="15.75" customHeight="1">
      <c r="A341" s="10">
        <f t="shared" si="2"/>
        <v>49.11301381</v>
      </c>
      <c r="B341" s="6">
        <f>(I341*'Optimal Choice'!$B$6+J341*'Optimal Choice'!$B$11+K341*'Optimal Choice'!$B$16+L341*'Optimal Choice'!$B$21+M341*'Optimal Choice'!$B$26)*'Optimal Choice'!$B$30</f>
        <v>128470.42</v>
      </c>
      <c r="C341" s="10">
        <f>(O341/$B341)+(O341/'Optimal Choice'!$B$6)</f>
        <v>12914.83707</v>
      </c>
      <c r="D341" s="10">
        <f>(P341/$B341)+(P341/'Optimal Choice'!$B$11)</f>
        <v>13154.04371</v>
      </c>
      <c r="E341" s="10">
        <f>(Q341/$B341)+(Q341/'Optimal Choice'!$B$16)</f>
        <v>14027.1891</v>
      </c>
      <c r="F341" s="10">
        <f>(R341/$B341)+(R341/'Optimal Choice'!$B$21)</f>
        <v>13851.77988</v>
      </c>
      <c r="G341" s="10">
        <f>(S341/$B341)+(S341/'Optimal Choice'!$B$26)</f>
        <v>12594.05331</v>
      </c>
      <c r="I341" s="11">
        <f t="shared" ref="I341:M341" si="340">if(min($C340:$G340)=C340,I340+1,I340)</f>
        <v>126</v>
      </c>
      <c r="J341" s="11">
        <f t="shared" si="340"/>
        <v>59</v>
      </c>
      <c r="K341" s="11">
        <f t="shared" si="340"/>
        <v>56</v>
      </c>
      <c r="L341" s="11">
        <f t="shared" si="340"/>
        <v>51</v>
      </c>
      <c r="M341" s="11">
        <f t="shared" si="340"/>
        <v>48</v>
      </c>
      <c r="O341" s="12">
        <f> 'Optimal Choice'!$B$7*'Optimal Choice'!$B$8^(I341+1)</f>
        <v>21567.49755</v>
      </c>
      <c r="P341" s="12">
        <f> 'Optimal Choice'!$B$12*'Optimal Choice'!$B$13^(J341+1)</f>
        <v>263039.9247</v>
      </c>
      <c r="Q341" s="12">
        <f> 'Optimal Choice'!$B$17*'Optimal Choice'!$B$18^(K341+1)</f>
        <v>1261563.231</v>
      </c>
      <c r="R341" s="12">
        <f> 'Optimal Choice'!$B$22*'Optimal Choice'!$B$23^(L341+1)</f>
        <v>4972706.232</v>
      </c>
      <c r="S341" s="12">
        <f> 'Optimal Choice'!$B$27*'Optimal Choice'!$B$28^(M341+1)</f>
        <v>26753345.57</v>
      </c>
    </row>
    <row r="342" ht="15.75" customHeight="1">
      <c r="A342" s="10">
        <f t="shared" si="2"/>
        <v>52.58376679</v>
      </c>
      <c r="B342" s="6">
        <f>(I342*'Optimal Choice'!$B$6+J342*'Optimal Choice'!$B$11+K342*'Optimal Choice'!$B$16+L342*'Optimal Choice'!$B$21+M342*'Optimal Choice'!$B$26)*'Optimal Choice'!$B$30</f>
        <v>130630.42</v>
      </c>
      <c r="C342" s="10">
        <f>(O342/$B342)+(O342/'Optimal Choice'!$B$6)</f>
        <v>12914.83429</v>
      </c>
      <c r="D342" s="10">
        <f>(P342/$B342)+(P342/'Optimal Choice'!$B$11)</f>
        <v>13154.00986</v>
      </c>
      <c r="E342" s="10">
        <f>(Q342/$B342)+(Q342/'Optimal Choice'!$B$16)</f>
        <v>14027.02673</v>
      </c>
      <c r="F342" s="10">
        <f>(R342/$B342)+(R342/'Optimal Choice'!$B$21)</f>
        <v>13851.13985</v>
      </c>
      <c r="G342" s="10">
        <f>(S342/$B342)+(S342/'Optimal Choice'!$B$26)</f>
        <v>14101.48313</v>
      </c>
      <c r="I342" s="11">
        <f t="shared" ref="I342:M342" si="341">if(min($C341:$G341)=C341,I341+1,I341)</f>
        <v>126</v>
      </c>
      <c r="J342" s="11">
        <f t="shared" si="341"/>
        <v>59</v>
      </c>
      <c r="K342" s="11">
        <f t="shared" si="341"/>
        <v>56</v>
      </c>
      <c r="L342" s="11">
        <f t="shared" si="341"/>
        <v>51</v>
      </c>
      <c r="M342" s="11">
        <f t="shared" si="341"/>
        <v>49</v>
      </c>
      <c r="O342" s="12">
        <f> 'Optimal Choice'!$B$7*'Optimal Choice'!$B$8^(I342+1)</f>
        <v>21567.49755</v>
      </c>
      <c r="P342" s="12">
        <f> 'Optimal Choice'!$B$12*'Optimal Choice'!$B$13^(J342+1)</f>
        <v>263039.9247</v>
      </c>
      <c r="Q342" s="12">
        <f> 'Optimal Choice'!$B$17*'Optimal Choice'!$B$18^(K342+1)</f>
        <v>1261563.231</v>
      </c>
      <c r="R342" s="12">
        <f> 'Optimal Choice'!$B$22*'Optimal Choice'!$B$23^(L342+1)</f>
        <v>4972706.232</v>
      </c>
      <c r="S342" s="12">
        <f> 'Optimal Choice'!$B$27*'Optimal Choice'!$B$28^(M342+1)</f>
        <v>29963747.04</v>
      </c>
    </row>
    <row r="343" ht="15.75" customHeight="1">
      <c r="A343" s="10">
        <f t="shared" si="2"/>
        <v>52.58651851</v>
      </c>
      <c r="B343" s="6">
        <f>(I343*'Optimal Choice'!$B$6+J343*'Optimal Choice'!$B$11+K343*'Optimal Choice'!$B$16+L343*'Optimal Choice'!$B$21+M343*'Optimal Choice'!$B$26)*'Optimal Choice'!$B$30</f>
        <v>130632.09</v>
      </c>
      <c r="C343" s="10">
        <f>(O343/$B343)+(O343/'Optimal Choice'!$B$6)</f>
        <v>13818.87269</v>
      </c>
      <c r="D343" s="10">
        <f>(P343/$B343)+(P343/'Optimal Choice'!$B$11)</f>
        <v>13154.00983</v>
      </c>
      <c r="E343" s="10">
        <f>(Q343/$B343)+(Q343/'Optimal Choice'!$B$16)</f>
        <v>14027.02661</v>
      </c>
      <c r="F343" s="10">
        <f>(R343/$B343)+(R343/'Optimal Choice'!$B$21)</f>
        <v>13851.13937</v>
      </c>
      <c r="G343" s="10">
        <f>(S343/$B343)+(S343/'Optimal Choice'!$B$26)</f>
        <v>14101.4802</v>
      </c>
      <c r="I343" s="11">
        <f t="shared" ref="I343:M343" si="342">if(min($C342:$G342)=C342,I342+1,I342)</f>
        <v>127</v>
      </c>
      <c r="J343" s="11">
        <f t="shared" si="342"/>
        <v>59</v>
      </c>
      <c r="K343" s="11">
        <f t="shared" si="342"/>
        <v>56</v>
      </c>
      <c r="L343" s="11">
        <f t="shared" si="342"/>
        <v>51</v>
      </c>
      <c r="M343" s="11">
        <f t="shared" si="342"/>
        <v>49</v>
      </c>
      <c r="O343" s="12">
        <f> 'Optimal Choice'!$B$7*'Optimal Choice'!$B$8^(I343+1)</f>
        <v>23077.22238</v>
      </c>
      <c r="P343" s="12">
        <f> 'Optimal Choice'!$B$12*'Optimal Choice'!$B$13^(J343+1)</f>
        <v>263039.9247</v>
      </c>
      <c r="Q343" s="12">
        <f> 'Optimal Choice'!$B$17*'Optimal Choice'!$B$18^(K343+1)</f>
        <v>1261563.231</v>
      </c>
      <c r="R343" s="12">
        <f> 'Optimal Choice'!$B$22*'Optimal Choice'!$B$23^(L343+1)</f>
        <v>4972706.232</v>
      </c>
      <c r="S343" s="12">
        <f> 'Optimal Choice'!$B$27*'Optimal Choice'!$B$28^(M343+1)</f>
        <v>29963747.04</v>
      </c>
    </row>
    <row r="344" ht="15.75" customHeight="1">
      <c r="A344" s="10">
        <f t="shared" si="2"/>
        <v>52.6200784</v>
      </c>
      <c r="B344" s="6">
        <f>(I344*'Optimal Choice'!$B$6+J344*'Optimal Choice'!$B$11+K344*'Optimal Choice'!$B$16+L344*'Optimal Choice'!$B$21+M344*'Optimal Choice'!$B$26)*'Optimal Choice'!$B$30</f>
        <v>130652.09</v>
      </c>
      <c r="C344" s="10">
        <f>(O344/$B344)+(O344/'Optimal Choice'!$B$6)</f>
        <v>13818.87267</v>
      </c>
      <c r="D344" s="10">
        <f>(P344/$B344)+(P344/'Optimal Choice'!$B$11)</f>
        <v>15127.11095</v>
      </c>
      <c r="E344" s="10">
        <f>(Q344/$B344)+(Q344/'Optimal Choice'!$B$16)</f>
        <v>14027.02513</v>
      </c>
      <c r="F344" s="10">
        <f>(R344/$B344)+(R344/'Optimal Choice'!$B$21)</f>
        <v>13851.13354</v>
      </c>
      <c r="G344" s="10">
        <f>(S344/$B344)+(S344/'Optimal Choice'!$B$26)</f>
        <v>14101.44509</v>
      </c>
      <c r="I344" s="11">
        <f t="shared" ref="I344:M344" si="343">if(min($C343:$G343)=C343,I343+1,I343)</f>
        <v>127</v>
      </c>
      <c r="J344" s="11">
        <f t="shared" si="343"/>
        <v>60</v>
      </c>
      <c r="K344" s="11">
        <f t="shared" si="343"/>
        <v>56</v>
      </c>
      <c r="L344" s="11">
        <f t="shared" si="343"/>
        <v>51</v>
      </c>
      <c r="M344" s="11">
        <f t="shared" si="343"/>
        <v>49</v>
      </c>
      <c r="O344" s="12">
        <f> 'Optimal Choice'!$B$7*'Optimal Choice'!$B$8^(I344+1)</f>
        <v>23077.22238</v>
      </c>
      <c r="P344" s="12">
        <f> 'Optimal Choice'!$B$12*'Optimal Choice'!$B$13^(J344+1)</f>
        <v>302495.9135</v>
      </c>
      <c r="Q344" s="12">
        <f> 'Optimal Choice'!$B$17*'Optimal Choice'!$B$18^(K344+1)</f>
        <v>1261563.231</v>
      </c>
      <c r="R344" s="12">
        <f> 'Optimal Choice'!$B$22*'Optimal Choice'!$B$23^(L344+1)</f>
        <v>4972706.232</v>
      </c>
      <c r="S344" s="12">
        <f> 'Optimal Choice'!$B$27*'Optimal Choice'!$B$28^(M344+1)</f>
        <v>29963747.04</v>
      </c>
    </row>
    <row r="345" ht="15.75" customHeight="1">
      <c r="A345" s="10">
        <f t="shared" si="2"/>
        <v>52.62302225</v>
      </c>
      <c r="B345" s="6">
        <f>(I345*'Optimal Choice'!$B$6+J345*'Optimal Choice'!$B$11+K345*'Optimal Choice'!$B$16+L345*'Optimal Choice'!$B$21+M345*'Optimal Choice'!$B$26)*'Optimal Choice'!$B$30</f>
        <v>130653.76</v>
      </c>
      <c r="C345" s="10">
        <f>(O345/$B345)+(O345/'Optimal Choice'!$B$6)</f>
        <v>14786.19375</v>
      </c>
      <c r="D345" s="10">
        <f>(P345/$B345)+(P345/'Optimal Choice'!$B$11)</f>
        <v>15127.11092</v>
      </c>
      <c r="E345" s="10">
        <f>(Q345/$B345)+(Q345/'Optimal Choice'!$B$16)</f>
        <v>14027.025</v>
      </c>
      <c r="F345" s="10">
        <f>(R345/$B345)+(R345/'Optimal Choice'!$B$21)</f>
        <v>13851.13305</v>
      </c>
      <c r="G345" s="10">
        <f>(S345/$B345)+(S345/'Optimal Choice'!$B$26)</f>
        <v>14101.44216</v>
      </c>
      <c r="I345" s="11">
        <f t="shared" ref="I345:M345" si="344">if(min($C344:$G344)=C344,I344+1,I344)</f>
        <v>128</v>
      </c>
      <c r="J345" s="11">
        <f t="shared" si="344"/>
        <v>60</v>
      </c>
      <c r="K345" s="11">
        <f t="shared" si="344"/>
        <v>56</v>
      </c>
      <c r="L345" s="11">
        <f t="shared" si="344"/>
        <v>51</v>
      </c>
      <c r="M345" s="11">
        <f t="shared" si="344"/>
        <v>49</v>
      </c>
      <c r="O345" s="12">
        <f> 'Optimal Choice'!$B$7*'Optimal Choice'!$B$8^(I345+1)</f>
        <v>24692.62794</v>
      </c>
      <c r="P345" s="12">
        <f> 'Optimal Choice'!$B$12*'Optimal Choice'!$B$13^(J345+1)</f>
        <v>302495.9135</v>
      </c>
      <c r="Q345" s="12">
        <f> 'Optimal Choice'!$B$17*'Optimal Choice'!$B$18^(K345+1)</f>
        <v>1261563.231</v>
      </c>
      <c r="R345" s="12">
        <f> 'Optimal Choice'!$B$22*'Optimal Choice'!$B$23^(L345+1)</f>
        <v>4972706.232</v>
      </c>
      <c r="S345" s="12">
        <f> 'Optimal Choice'!$B$27*'Optimal Choice'!$B$28^(M345+1)</f>
        <v>29963747.04</v>
      </c>
    </row>
    <row r="346" ht="15.75" customHeight="1">
      <c r="A346" s="10">
        <f t="shared" si="2"/>
        <v>53.25735866</v>
      </c>
      <c r="B346" s="6">
        <f>(I346*'Optimal Choice'!$B$6+J346*'Optimal Choice'!$B$11+K346*'Optimal Choice'!$B$16+L346*'Optimal Choice'!$B$21+M346*'Optimal Choice'!$B$26)*'Optimal Choice'!$B$30</f>
        <v>131013.76</v>
      </c>
      <c r="C346" s="10">
        <f>(O346/$B346)+(O346/'Optimal Choice'!$B$6)</f>
        <v>14786.19323</v>
      </c>
      <c r="D346" s="10">
        <f>(P346/$B346)+(P346/'Optimal Choice'!$B$11)</f>
        <v>15127.10456</v>
      </c>
      <c r="E346" s="10">
        <f>(Q346/$B346)+(Q346/'Optimal Choice'!$B$16)</f>
        <v>14026.99847</v>
      </c>
      <c r="F346" s="10">
        <f>(R346/$B346)+(R346/'Optimal Choice'!$B$21)</f>
        <v>15651.66217</v>
      </c>
      <c r="G346" s="10">
        <f>(S346/$B346)+(S346/'Optimal Choice'!$B$26)</f>
        <v>14100.81198</v>
      </c>
      <c r="I346" s="11">
        <f t="shared" ref="I346:M346" si="345">if(min($C345:$G345)=C345,I345+1,I345)</f>
        <v>128</v>
      </c>
      <c r="J346" s="11">
        <f t="shared" si="345"/>
        <v>60</v>
      </c>
      <c r="K346" s="11">
        <f t="shared" si="345"/>
        <v>56</v>
      </c>
      <c r="L346" s="11">
        <f t="shared" si="345"/>
        <v>52</v>
      </c>
      <c r="M346" s="11">
        <f t="shared" si="345"/>
        <v>49</v>
      </c>
      <c r="O346" s="12">
        <f> 'Optimal Choice'!$B$7*'Optimal Choice'!$B$8^(I346+1)</f>
        <v>24692.62794</v>
      </c>
      <c r="P346" s="12">
        <f> 'Optimal Choice'!$B$12*'Optimal Choice'!$B$13^(J346+1)</f>
        <v>302495.9135</v>
      </c>
      <c r="Q346" s="12">
        <f> 'Optimal Choice'!$B$17*'Optimal Choice'!$B$18^(K346+1)</f>
        <v>1261563.231</v>
      </c>
      <c r="R346" s="12">
        <f> 'Optimal Choice'!$B$22*'Optimal Choice'!$B$23^(L346+1)</f>
        <v>5619158.043</v>
      </c>
      <c r="S346" s="12">
        <f> 'Optimal Choice'!$B$27*'Optimal Choice'!$B$28^(M346+1)</f>
        <v>29963747.04</v>
      </c>
    </row>
    <row r="347" ht="15.75" customHeight="1">
      <c r="A347" s="10">
        <f t="shared" si="2"/>
        <v>53.41784603</v>
      </c>
      <c r="B347" s="6">
        <f>(I347*'Optimal Choice'!$B$6+J347*'Optimal Choice'!$B$11+K347*'Optimal Choice'!$B$16+L347*'Optimal Choice'!$B$21+M347*'Optimal Choice'!$B$26)*'Optimal Choice'!$B$30</f>
        <v>131103.76</v>
      </c>
      <c r="C347" s="10">
        <f>(O347/$B347)+(O347/'Optimal Choice'!$B$6)</f>
        <v>14786.1931</v>
      </c>
      <c r="D347" s="10">
        <f>(P347/$B347)+(P347/'Optimal Choice'!$B$11)</f>
        <v>15127.10297</v>
      </c>
      <c r="E347" s="10">
        <f>(Q347/$B347)+(Q347/'Optimal Choice'!$B$16)</f>
        <v>15990.77072</v>
      </c>
      <c r="F347" s="10">
        <f>(R347/$B347)+(R347/'Optimal Choice'!$B$21)</f>
        <v>15651.63273</v>
      </c>
      <c r="G347" s="10">
        <f>(S347/$B347)+(S347/'Optimal Choice'!$B$26)</f>
        <v>14100.65498</v>
      </c>
      <c r="I347" s="11">
        <f t="shared" ref="I347:M347" si="346">if(min($C346:$G346)=C346,I346+1,I346)</f>
        <v>128</v>
      </c>
      <c r="J347" s="11">
        <f t="shared" si="346"/>
        <v>60</v>
      </c>
      <c r="K347" s="11">
        <f t="shared" si="346"/>
        <v>57</v>
      </c>
      <c r="L347" s="11">
        <f t="shared" si="346"/>
        <v>52</v>
      </c>
      <c r="M347" s="11">
        <f t="shared" si="346"/>
        <v>49</v>
      </c>
      <c r="O347" s="12">
        <f> 'Optimal Choice'!$B$7*'Optimal Choice'!$B$8^(I347+1)</f>
        <v>24692.62794</v>
      </c>
      <c r="P347" s="12">
        <f> 'Optimal Choice'!$B$12*'Optimal Choice'!$B$13^(J347+1)</f>
        <v>302495.9135</v>
      </c>
      <c r="Q347" s="12">
        <f> 'Optimal Choice'!$B$17*'Optimal Choice'!$B$18^(K347+1)</f>
        <v>1438182.083</v>
      </c>
      <c r="R347" s="12">
        <f> 'Optimal Choice'!$B$22*'Optimal Choice'!$B$23^(L347+1)</f>
        <v>5619158.043</v>
      </c>
      <c r="S347" s="12">
        <f> 'Optimal Choice'!$B$27*'Optimal Choice'!$B$28^(M347+1)</f>
        <v>29963747.04</v>
      </c>
    </row>
    <row r="348" ht="15.75" customHeight="1">
      <c r="A348" s="10">
        <f t="shared" si="2"/>
        <v>57.2270105</v>
      </c>
      <c r="B348" s="6">
        <f>(I348*'Optimal Choice'!$B$6+J348*'Optimal Choice'!$B$11+K348*'Optimal Choice'!$B$16+L348*'Optimal Choice'!$B$21+M348*'Optimal Choice'!$B$26)*'Optimal Choice'!$B$30</f>
        <v>133263.76</v>
      </c>
      <c r="C348" s="10">
        <f>(O348/$B348)+(O348/'Optimal Choice'!$B$6)</f>
        <v>14786.19005</v>
      </c>
      <c r="D348" s="10">
        <f>(P348/$B348)+(P348/'Optimal Choice'!$B$11)</f>
        <v>15127.06558</v>
      </c>
      <c r="E348" s="10">
        <f>(Q348/$B348)+(Q348/'Optimal Choice'!$B$16)</f>
        <v>15990.59292</v>
      </c>
      <c r="F348" s="10">
        <f>(R348/$B348)+(R348/'Optimal Choice'!$B$21)</f>
        <v>15650.93803</v>
      </c>
      <c r="G348" s="10">
        <f>(S348/$B348)+(S348/'Optimal Choice'!$B$26)</f>
        <v>15788.5846</v>
      </c>
      <c r="I348" s="11">
        <f t="shared" ref="I348:M348" si="347">if(min($C347:$G347)=C347,I347+1,I347)</f>
        <v>128</v>
      </c>
      <c r="J348" s="11">
        <f t="shared" si="347"/>
        <v>60</v>
      </c>
      <c r="K348" s="11">
        <f t="shared" si="347"/>
        <v>57</v>
      </c>
      <c r="L348" s="11">
        <f t="shared" si="347"/>
        <v>52</v>
      </c>
      <c r="M348" s="11">
        <f t="shared" si="347"/>
        <v>50</v>
      </c>
      <c r="O348" s="12">
        <f> 'Optimal Choice'!$B$7*'Optimal Choice'!$B$8^(I348+1)</f>
        <v>24692.62794</v>
      </c>
      <c r="P348" s="12">
        <f> 'Optimal Choice'!$B$12*'Optimal Choice'!$B$13^(J348+1)</f>
        <v>302495.9135</v>
      </c>
      <c r="Q348" s="12">
        <f> 'Optimal Choice'!$B$17*'Optimal Choice'!$B$18^(K348+1)</f>
        <v>1438182.083</v>
      </c>
      <c r="R348" s="12">
        <f> 'Optimal Choice'!$B$22*'Optimal Choice'!$B$23^(L348+1)</f>
        <v>5619158.043</v>
      </c>
      <c r="S348" s="12">
        <f> 'Optimal Choice'!$B$27*'Optimal Choice'!$B$28^(M348+1)</f>
        <v>33559396.69</v>
      </c>
    </row>
    <row r="349" ht="15.75" customHeight="1">
      <c r="A349" s="10">
        <f t="shared" si="2"/>
        <v>57.23009869</v>
      </c>
      <c r="B349" s="6">
        <f>(I349*'Optimal Choice'!$B$6+J349*'Optimal Choice'!$B$11+K349*'Optimal Choice'!$B$16+L349*'Optimal Choice'!$B$21+M349*'Optimal Choice'!$B$26)*'Optimal Choice'!$B$30</f>
        <v>133265.43</v>
      </c>
      <c r="C349" s="10">
        <f>(O349/$B349)+(O349/'Optimal Choice'!$B$6)</f>
        <v>15821.22335</v>
      </c>
      <c r="D349" s="10">
        <f>(P349/$B349)+(P349/'Optimal Choice'!$B$11)</f>
        <v>15127.06555</v>
      </c>
      <c r="E349" s="10">
        <f>(Q349/$B349)+(Q349/'Optimal Choice'!$B$16)</f>
        <v>15990.59278</v>
      </c>
      <c r="F349" s="10">
        <f>(R349/$B349)+(R349/'Optimal Choice'!$B$21)</f>
        <v>15650.9375</v>
      </c>
      <c r="G349" s="10">
        <f>(S349/$B349)+(S349/'Optimal Choice'!$B$26)</f>
        <v>15788.58145</v>
      </c>
      <c r="I349" s="11">
        <f t="shared" ref="I349:M349" si="348">if(min($C348:$G348)=C348,I348+1,I348)</f>
        <v>129</v>
      </c>
      <c r="J349" s="11">
        <f t="shared" si="348"/>
        <v>60</v>
      </c>
      <c r="K349" s="11">
        <f t="shared" si="348"/>
        <v>57</v>
      </c>
      <c r="L349" s="11">
        <f t="shared" si="348"/>
        <v>52</v>
      </c>
      <c r="M349" s="11">
        <f t="shared" si="348"/>
        <v>50</v>
      </c>
      <c r="O349" s="12">
        <f> 'Optimal Choice'!$B$7*'Optimal Choice'!$B$8^(I349+1)</f>
        <v>26421.1119</v>
      </c>
      <c r="P349" s="12">
        <f> 'Optimal Choice'!$B$12*'Optimal Choice'!$B$13^(J349+1)</f>
        <v>302495.9135</v>
      </c>
      <c r="Q349" s="12">
        <f> 'Optimal Choice'!$B$17*'Optimal Choice'!$B$18^(K349+1)</f>
        <v>1438182.083</v>
      </c>
      <c r="R349" s="12">
        <f> 'Optimal Choice'!$B$22*'Optimal Choice'!$B$23^(L349+1)</f>
        <v>5619158.043</v>
      </c>
      <c r="S349" s="12">
        <f> 'Optimal Choice'!$B$27*'Optimal Choice'!$B$28^(M349+1)</f>
        <v>33559396.69</v>
      </c>
    </row>
    <row r="350" ht="15.75" customHeight="1">
      <c r="A350" s="10">
        <f t="shared" si="2"/>
        <v>57.26792994</v>
      </c>
      <c r="B350" s="6">
        <f>(I350*'Optimal Choice'!$B$6+J350*'Optimal Choice'!$B$11+K350*'Optimal Choice'!$B$16+L350*'Optimal Choice'!$B$21+M350*'Optimal Choice'!$B$26)*'Optimal Choice'!$B$30</f>
        <v>133285.43</v>
      </c>
      <c r="C350" s="10">
        <f>(O350/$B350)+(O350/'Optimal Choice'!$B$6)</f>
        <v>15821.22332</v>
      </c>
      <c r="D350" s="10">
        <f>(P350/$B350)+(P350/'Optimal Choice'!$B$11)</f>
        <v>17396.12499</v>
      </c>
      <c r="E350" s="10">
        <f>(Q350/$B350)+(Q350/'Optimal Choice'!$B$16)</f>
        <v>15990.59116</v>
      </c>
      <c r="F350" s="10">
        <f>(R350/$B350)+(R350/'Optimal Choice'!$B$21)</f>
        <v>15650.93117</v>
      </c>
      <c r="G350" s="10">
        <f>(S350/$B350)+(S350/'Optimal Choice'!$B$26)</f>
        <v>15788.54366</v>
      </c>
      <c r="I350" s="11">
        <f t="shared" ref="I350:M350" si="349">if(min($C349:$G349)=C349,I349+1,I349)</f>
        <v>129</v>
      </c>
      <c r="J350" s="11">
        <f t="shared" si="349"/>
        <v>61</v>
      </c>
      <c r="K350" s="11">
        <f t="shared" si="349"/>
        <v>57</v>
      </c>
      <c r="L350" s="11">
        <f t="shared" si="349"/>
        <v>52</v>
      </c>
      <c r="M350" s="11">
        <f t="shared" si="349"/>
        <v>50</v>
      </c>
      <c r="O350" s="12">
        <f> 'Optimal Choice'!$B$7*'Optimal Choice'!$B$8^(I350+1)</f>
        <v>26421.1119</v>
      </c>
      <c r="P350" s="12">
        <f> 'Optimal Choice'!$B$12*'Optimal Choice'!$B$13^(J350+1)</f>
        <v>347870.3005</v>
      </c>
      <c r="Q350" s="12">
        <f> 'Optimal Choice'!$B$17*'Optimal Choice'!$B$18^(K350+1)</f>
        <v>1438182.083</v>
      </c>
      <c r="R350" s="12">
        <f> 'Optimal Choice'!$B$22*'Optimal Choice'!$B$23^(L350+1)</f>
        <v>5619158.043</v>
      </c>
      <c r="S350" s="12">
        <f> 'Optimal Choice'!$B$27*'Optimal Choice'!$B$28^(M350+1)</f>
        <v>33559396.69</v>
      </c>
    </row>
    <row r="351" ht="15.75" customHeight="1">
      <c r="A351" s="10">
        <f t="shared" si="2"/>
        <v>57.97057714</v>
      </c>
      <c r="B351" s="6">
        <f>(I351*'Optimal Choice'!$B$6+J351*'Optimal Choice'!$B$11+K351*'Optimal Choice'!$B$16+L351*'Optimal Choice'!$B$21+M351*'Optimal Choice'!$B$26)*'Optimal Choice'!$B$30</f>
        <v>133645.43</v>
      </c>
      <c r="C351" s="10">
        <f>(O351/$B351)+(O351/'Optimal Choice'!$B$6)</f>
        <v>15821.22279</v>
      </c>
      <c r="D351" s="10">
        <f>(P351/$B351)+(P351/'Optimal Choice'!$B$11)</f>
        <v>17396.11796</v>
      </c>
      <c r="E351" s="10">
        <f>(Q351/$B351)+(Q351/'Optimal Choice'!$B$16)</f>
        <v>15990.5621</v>
      </c>
      <c r="F351" s="10">
        <f>(R351/$B351)+(R351/'Optimal Choice'!$B$21)</f>
        <v>17685.4239</v>
      </c>
      <c r="G351" s="10">
        <f>(S351/$B351)+(S351/'Optimal Choice'!$B$26)</f>
        <v>15787.86543</v>
      </c>
      <c r="I351" s="11">
        <f t="shared" ref="I351:M351" si="350">if(min($C350:$G350)=C350,I350+1,I350)</f>
        <v>129</v>
      </c>
      <c r="J351" s="11">
        <f t="shared" si="350"/>
        <v>61</v>
      </c>
      <c r="K351" s="11">
        <f t="shared" si="350"/>
        <v>57</v>
      </c>
      <c r="L351" s="11">
        <f t="shared" si="350"/>
        <v>53</v>
      </c>
      <c r="M351" s="11">
        <f t="shared" si="350"/>
        <v>50</v>
      </c>
      <c r="O351" s="12">
        <f> 'Optimal Choice'!$B$7*'Optimal Choice'!$B$8^(I351+1)</f>
        <v>26421.1119</v>
      </c>
      <c r="P351" s="12">
        <f> 'Optimal Choice'!$B$12*'Optimal Choice'!$B$13^(J351+1)</f>
        <v>347870.3005</v>
      </c>
      <c r="Q351" s="12">
        <f> 'Optimal Choice'!$B$17*'Optimal Choice'!$B$18^(K351+1)</f>
        <v>1438182.083</v>
      </c>
      <c r="R351" s="12">
        <f> 'Optimal Choice'!$B$22*'Optimal Choice'!$B$23^(L351+1)</f>
        <v>6349648.588</v>
      </c>
      <c r="S351" s="12">
        <f> 'Optimal Choice'!$B$27*'Optimal Choice'!$B$28^(M351+1)</f>
        <v>33559396.69</v>
      </c>
    </row>
    <row r="352" ht="15.75" customHeight="1">
      <c r="A352" s="10">
        <f t="shared" si="2"/>
        <v>62.15570549</v>
      </c>
      <c r="B352" s="6">
        <f>(I352*'Optimal Choice'!$B$6+J352*'Optimal Choice'!$B$11+K352*'Optimal Choice'!$B$16+L352*'Optimal Choice'!$B$21+M352*'Optimal Choice'!$B$26)*'Optimal Choice'!$B$30</f>
        <v>135805.43</v>
      </c>
      <c r="C352" s="10">
        <f>(O352/$B352)+(O352/'Optimal Choice'!$B$6)</f>
        <v>15821.21964</v>
      </c>
      <c r="D352" s="10">
        <f>(P352/$B352)+(P352/'Optimal Choice'!$B$11)</f>
        <v>17396.07656</v>
      </c>
      <c r="E352" s="10">
        <f>(Q352/$B352)+(Q352/'Optimal Choice'!$B$16)</f>
        <v>15990.39094</v>
      </c>
      <c r="F352" s="10">
        <f>(R352/$B352)+(R352/'Optimal Choice'!$B$21)</f>
        <v>17684.66823</v>
      </c>
      <c r="G352" s="10">
        <f>(S352/$B352)+(S352/'Optimal Choice'!$B$26)</f>
        <v>17677.93612</v>
      </c>
      <c r="I352" s="11">
        <f t="shared" ref="I352:M352" si="351">if(min($C351:$G351)=C351,I351+1,I351)</f>
        <v>129</v>
      </c>
      <c r="J352" s="11">
        <f t="shared" si="351"/>
        <v>61</v>
      </c>
      <c r="K352" s="11">
        <f t="shared" si="351"/>
        <v>57</v>
      </c>
      <c r="L352" s="11">
        <f t="shared" si="351"/>
        <v>53</v>
      </c>
      <c r="M352" s="11">
        <f t="shared" si="351"/>
        <v>51</v>
      </c>
      <c r="O352" s="12">
        <f> 'Optimal Choice'!$B$7*'Optimal Choice'!$B$8^(I352+1)</f>
        <v>26421.1119</v>
      </c>
      <c r="P352" s="12">
        <f> 'Optimal Choice'!$B$12*'Optimal Choice'!$B$13^(J352+1)</f>
        <v>347870.3005</v>
      </c>
      <c r="Q352" s="12">
        <f> 'Optimal Choice'!$B$17*'Optimal Choice'!$B$18^(K352+1)</f>
        <v>1438182.083</v>
      </c>
      <c r="R352" s="12">
        <f> 'Optimal Choice'!$B$22*'Optimal Choice'!$B$23^(L352+1)</f>
        <v>6349648.588</v>
      </c>
      <c r="S352" s="12">
        <f> 'Optimal Choice'!$B$27*'Optimal Choice'!$B$28^(M352+1)</f>
        <v>37586524.29</v>
      </c>
    </row>
    <row r="353" ht="15.75" customHeight="1">
      <c r="A353" s="10">
        <f t="shared" si="2"/>
        <v>62.15894801</v>
      </c>
      <c r="B353" s="6">
        <f>(I353*'Optimal Choice'!$B$6+J353*'Optimal Choice'!$B$11+K353*'Optimal Choice'!$B$16+L353*'Optimal Choice'!$B$21+M353*'Optimal Choice'!$B$26)*'Optimal Choice'!$B$30</f>
        <v>135807.1</v>
      </c>
      <c r="C353" s="10">
        <f>(O353/$B353)+(O353/'Optimal Choice'!$B$6)</f>
        <v>16928.70501</v>
      </c>
      <c r="D353" s="10">
        <f>(P353/$B353)+(P353/'Optimal Choice'!$B$11)</f>
        <v>17396.07653</v>
      </c>
      <c r="E353" s="10">
        <f>(Q353/$B353)+(Q353/'Optimal Choice'!$B$16)</f>
        <v>15990.39081</v>
      </c>
      <c r="F353" s="10">
        <f>(R353/$B353)+(R353/'Optimal Choice'!$B$21)</f>
        <v>17684.66765</v>
      </c>
      <c r="G353" s="10">
        <f>(S353/$B353)+(S353/'Optimal Choice'!$B$26)</f>
        <v>17677.93271</v>
      </c>
      <c r="I353" s="11">
        <f t="shared" ref="I353:M353" si="352">if(min($C352:$G352)=C352,I352+1,I352)</f>
        <v>130</v>
      </c>
      <c r="J353" s="11">
        <f t="shared" si="352"/>
        <v>61</v>
      </c>
      <c r="K353" s="11">
        <f t="shared" si="352"/>
        <v>57</v>
      </c>
      <c r="L353" s="11">
        <f t="shared" si="352"/>
        <v>53</v>
      </c>
      <c r="M353" s="11">
        <f t="shared" si="352"/>
        <v>51</v>
      </c>
      <c r="O353" s="12">
        <f> 'Optimal Choice'!$B$7*'Optimal Choice'!$B$8^(I353+1)</f>
        <v>28270.58973</v>
      </c>
      <c r="P353" s="12">
        <f> 'Optimal Choice'!$B$12*'Optimal Choice'!$B$13^(J353+1)</f>
        <v>347870.3005</v>
      </c>
      <c r="Q353" s="12">
        <f> 'Optimal Choice'!$B$17*'Optimal Choice'!$B$18^(K353+1)</f>
        <v>1438182.083</v>
      </c>
      <c r="R353" s="12">
        <f> 'Optimal Choice'!$B$22*'Optimal Choice'!$B$23^(L353+1)</f>
        <v>6349648.588</v>
      </c>
      <c r="S353" s="12">
        <f> 'Optimal Choice'!$B$27*'Optimal Choice'!$B$28^(M353+1)</f>
        <v>37586524.29</v>
      </c>
    </row>
    <row r="354" ht="15.75" customHeight="1">
      <c r="A354" s="10">
        <f t="shared" si="2"/>
        <v>62.33544616</v>
      </c>
      <c r="B354" s="6">
        <f>(I354*'Optimal Choice'!$B$6+J354*'Optimal Choice'!$B$11+K354*'Optimal Choice'!$B$16+L354*'Optimal Choice'!$B$21+M354*'Optimal Choice'!$B$26)*'Optimal Choice'!$B$30</f>
        <v>135897.1</v>
      </c>
      <c r="C354" s="10">
        <f>(O354/$B354)+(O354/'Optimal Choice'!$B$6)</f>
        <v>16928.70488</v>
      </c>
      <c r="D354" s="10">
        <f>(P354/$B354)+(P354/'Optimal Choice'!$B$11)</f>
        <v>17396.07483</v>
      </c>
      <c r="E354" s="10">
        <f>(Q354/$B354)+(Q354/'Optimal Choice'!$B$16)</f>
        <v>18229.03753</v>
      </c>
      <c r="F354" s="10">
        <f>(R354/$B354)+(R354/'Optimal Choice'!$B$21)</f>
        <v>17684.63669</v>
      </c>
      <c r="G354" s="10">
        <f>(S354/$B354)+(S354/'Optimal Choice'!$B$26)</f>
        <v>17677.74942</v>
      </c>
      <c r="I354" s="11">
        <f t="shared" ref="I354:M354" si="353">if(min($C353:$G353)=C353,I353+1,I353)</f>
        <v>130</v>
      </c>
      <c r="J354" s="11">
        <f t="shared" si="353"/>
        <v>61</v>
      </c>
      <c r="K354" s="11">
        <f t="shared" si="353"/>
        <v>58</v>
      </c>
      <c r="L354" s="11">
        <f t="shared" si="353"/>
        <v>53</v>
      </c>
      <c r="M354" s="11">
        <f t="shared" si="353"/>
        <v>51</v>
      </c>
      <c r="O354" s="12">
        <f> 'Optimal Choice'!$B$7*'Optimal Choice'!$B$8^(I354+1)</f>
        <v>28270.58973</v>
      </c>
      <c r="P354" s="12">
        <f> 'Optimal Choice'!$B$12*'Optimal Choice'!$B$13^(J354+1)</f>
        <v>347870.3005</v>
      </c>
      <c r="Q354" s="12">
        <f> 'Optimal Choice'!$B$17*'Optimal Choice'!$B$18^(K354+1)</f>
        <v>1639527.575</v>
      </c>
      <c r="R354" s="12">
        <f> 'Optimal Choice'!$B$22*'Optimal Choice'!$B$23^(L354+1)</f>
        <v>6349648.588</v>
      </c>
      <c r="S354" s="12">
        <f> 'Optimal Choice'!$B$27*'Optimal Choice'!$B$28^(M354+1)</f>
        <v>37586524.29</v>
      </c>
    </row>
    <row r="355" ht="15.75" customHeight="1">
      <c r="A355" s="10">
        <f t="shared" si="2"/>
        <v>62.33891332</v>
      </c>
      <c r="B355" s="6">
        <f>(I355*'Optimal Choice'!$B$6+J355*'Optimal Choice'!$B$11+K355*'Optimal Choice'!$B$16+L355*'Optimal Choice'!$B$21+M355*'Optimal Choice'!$B$26)*'Optimal Choice'!$B$30</f>
        <v>135898.77</v>
      </c>
      <c r="C355" s="10">
        <f>(O355/$B355)+(O355/'Optimal Choice'!$B$6)</f>
        <v>18113.71421</v>
      </c>
      <c r="D355" s="10">
        <f>(P355/$B355)+(P355/'Optimal Choice'!$B$11)</f>
        <v>17396.0748</v>
      </c>
      <c r="E355" s="10">
        <f>(Q355/$B355)+(Q355/'Optimal Choice'!$B$16)</f>
        <v>18229.03738</v>
      </c>
      <c r="F355" s="10">
        <f>(R355/$B355)+(R355/'Optimal Choice'!$B$21)</f>
        <v>17684.63612</v>
      </c>
      <c r="G355" s="10">
        <f>(S355/$B355)+(S355/'Optimal Choice'!$B$26)</f>
        <v>17677.74602</v>
      </c>
      <c r="I355" s="11">
        <f t="shared" ref="I355:M355" si="354">if(min($C354:$G354)=C354,I354+1,I354)</f>
        <v>131</v>
      </c>
      <c r="J355" s="11">
        <f t="shared" si="354"/>
        <v>61</v>
      </c>
      <c r="K355" s="11">
        <f t="shared" si="354"/>
        <v>58</v>
      </c>
      <c r="L355" s="11">
        <f t="shared" si="354"/>
        <v>53</v>
      </c>
      <c r="M355" s="11">
        <f t="shared" si="354"/>
        <v>51</v>
      </c>
      <c r="O355" s="12">
        <f> 'Optimal Choice'!$B$7*'Optimal Choice'!$B$8^(I355+1)</f>
        <v>30249.53101</v>
      </c>
      <c r="P355" s="12">
        <f> 'Optimal Choice'!$B$12*'Optimal Choice'!$B$13^(J355+1)</f>
        <v>347870.3005</v>
      </c>
      <c r="Q355" s="12">
        <f> 'Optimal Choice'!$B$17*'Optimal Choice'!$B$18^(K355+1)</f>
        <v>1639527.575</v>
      </c>
      <c r="R355" s="12">
        <f> 'Optimal Choice'!$B$22*'Optimal Choice'!$B$23^(L355+1)</f>
        <v>6349648.588</v>
      </c>
      <c r="S355" s="12">
        <f> 'Optimal Choice'!$B$27*'Optimal Choice'!$B$28^(M355+1)</f>
        <v>37586524.29</v>
      </c>
    </row>
    <row r="356" ht="15.75" customHeight="1">
      <c r="A356" s="10">
        <f t="shared" si="2"/>
        <v>62.38157624</v>
      </c>
      <c r="B356" s="6">
        <f>(I356*'Optimal Choice'!$B$6+J356*'Optimal Choice'!$B$11+K356*'Optimal Choice'!$B$16+L356*'Optimal Choice'!$B$21+M356*'Optimal Choice'!$B$26)*'Optimal Choice'!$B$30</f>
        <v>135918.77</v>
      </c>
      <c r="C356" s="10">
        <f>(O356/$B356)+(O356/'Optimal Choice'!$B$6)</f>
        <v>18113.71418</v>
      </c>
      <c r="D356" s="10">
        <f>(P356/$B356)+(P356/'Optimal Choice'!$B$11)</f>
        <v>20005.48559</v>
      </c>
      <c r="E356" s="10">
        <f>(Q356/$B356)+(Q356/'Optimal Choice'!$B$16)</f>
        <v>18229.0356</v>
      </c>
      <c r="F356" s="10">
        <f>(R356/$B356)+(R356/'Optimal Choice'!$B$21)</f>
        <v>17684.62924</v>
      </c>
      <c r="G356" s="10">
        <f>(S356/$B356)+(S356/'Optimal Choice'!$B$26)</f>
        <v>17677.70532</v>
      </c>
      <c r="I356" s="11">
        <f t="shared" ref="I356:M356" si="355">if(min($C355:$G355)=C355,I355+1,I355)</f>
        <v>131</v>
      </c>
      <c r="J356" s="11">
        <f t="shared" si="355"/>
        <v>62</v>
      </c>
      <c r="K356" s="11">
        <f t="shared" si="355"/>
        <v>58</v>
      </c>
      <c r="L356" s="11">
        <f t="shared" si="355"/>
        <v>53</v>
      </c>
      <c r="M356" s="11">
        <f t="shared" si="355"/>
        <v>51</v>
      </c>
      <c r="O356" s="12">
        <f> 'Optimal Choice'!$B$7*'Optimal Choice'!$B$8^(I356+1)</f>
        <v>30249.53101</v>
      </c>
      <c r="P356" s="12">
        <f> 'Optimal Choice'!$B$12*'Optimal Choice'!$B$13^(J356+1)</f>
        <v>400050.8455</v>
      </c>
      <c r="Q356" s="12">
        <f> 'Optimal Choice'!$B$17*'Optimal Choice'!$B$18^(K356+1)</f>
        <v>1639527.575</v>
      </c>
      <c r="R356" s="12">
        <f> 'Optimal Choice'!$B$22*'Optimal Choice'!$B$23^(L356+1)</f>
        <v>6349648.588</v>
      </c>
      <c r="S356" s="12">
        <f> 'Optimal Choice'!$B$27*'Optimal Choice'!$B$28^(M356+1)</f>
        <v>37586524.29</v>
      </c>
    </row>
    <row r="357" ht="15.75" customHeight="1">
      <c r="A357" s="10">
        <f t="shared" si="2"/>
        <v>66.99052077</v>
      </c>
      <c r="B357" s="6">
        <f>(I357*'Optimal Choice'!$B$6+J357*'Optimal Choice'!$B$11+K357*'Optimal Choice'!$B$16+L357*'Optimal Choice'!$B$21+M357*'Optimal Choice'!$B$26)*'Optimal Choice'!$B$30</f>
        <v>138078.77</v>
      </c>
      <c r="C357" s="10">
        <f>(O357/$B357)+(O357/'Optimal Choice'!$B$6)</f>
        <v>18113.7107</v>
      </c>
      <c r="D357" s="10">
        <f>(P357/$B357)+(P357/'Optimal Choice'!$B$11)</f>
        <v>20005.43954</v>
      </c>
      <c r="E357" s="10">
        <f>(Q357/$B357)+(Q357/'Optimal Choice'!$B$16)</f>
        <v>18228.84691</v>
      </c>
      <c r="F357" s="10">
        <f>(R357/$B357)+(R357/'Optimal Choice'!$B$21)</f>
        <v>17683.89844</v>
      </c>
      <c r="G357" s="10">
        <f>(S357/$B357)+(S357/'Optimal Choice'!$B$26)</f>
        <v>19794.18492</v>
      </c>
      <c r="I357" s="11">
        <f t="shared" ref="I357:M357" si="356">if(min($C356:$G356)=C356,I356+1,I356)</f>
        <v>131</v>
      </c>
      <c r="J357" s="11">
        <f t="shared" si="356"/>
        <v>62</v>
      </c>
      <c r="K357" s="11">
        <f t="shared" si="356"/>
        <v>58</v>
      </c>
      <c r="L357" s="11">
        <f t="shared" si="356"/>
        <v>53</v>
      </c>
      <c r="M357" s="11">
        <f t="shared" si="356"/>
        <v>52</v>
      </c>
      <c r="O357" s="12">
        <f> 'Optimal Choice'!$B$7*'Optimal Choice'!$B$8^(I357+1)</f>
        <v>30249.53101</v>
      </c>
      <c r="P357" s="12">
        <f> 'Optimal Choice'!$B$12*'Optimal Choice'!$B$13^(J357+1)</f>
        <v>400050.8455</v>
      </c>
      <c r="Q357" s="12">
        <f> 'Optimal Choice'!$B$17*'Optimal Choice'!$B$18^(K357+1)</f>
        <v>1639527.575</v>
      </c>
      <c r="R357" s="12">
        <f> 'Optimal Choice'!$B$22*'Optimal Choice'!$B$23^(L357+1)</f>
        <v>6349648.588</v>
      </c>
      <c r="S357" s="12">
        <f> 'Optimal Choice'!$B$27*'Optimal Choice'!$B$28^(M357+1)</f>
        <v>42096907.2</v>
      </c>
    </row>
    <row r="358" ht="15.75" customHeight="1">
      <c r="A358" s="10">
        <f t="shared" si="2"/>
        <v>67.75694906</v>
      </c>
      <c r="B358" s="6">
        <f>(I358*'Optimal Choice'!$B$6+J358*'Optimal Choice'!$B$11+K358*'Optimal Choice'!$B$16+L358*'Optimal Choice'!$B$21+M358*'Optimal Choice'!$B$26)*'Optimal Choice'!$B$30</f>
        <v>138438.77</v>
      </c>
      <c r="C358" s="10">
        <f>(O358/$B358)+(O358/'Optimal Choice'!$B$6)</f>
        <v>18113.71013</v>
      </c>
      <c r="D358" s="10">
        <f>(P358/$B358)+(P358/'Optimal Choice'!$B$11)</f>
        <v>20005.43201</v>
      </c>
      <c r="E358" s="10">
        <f>(Q358/$B358)+(Q358/'Optimal Choice'!$B$16)</f>
        <v>18228.81603</v>
      </c>
      <c r="F358" s="10">
        <f>(R358/$B358)+(R358/'Optimal Choice'!$B$21)</f>
        <v>19982.67011</v>
      </c>
      <c r="G358" s="10">
        <f>(S358/$B358)+(S358/'Optimal Choice'!$B$26)</f>
        <v>19793.39211</v>
      </c>
      <c r="I358" s="11">
        <f t="shared" ref="I358:M358" si="357">if(min($C357:$G357)=C357,I357+1,I357)</f>
        <v>131</v>
      </c>
      <c r="J358" s="11">
        <f t="shared" si="357"/>
        <v>62</v>
      </c>
      <c r="K358" s="11">
        <f t="shared" si="357"/>
        <v>58</v>
      </c>
      <c r="L358" s="11">
        <f t="shared" si="357"/>
        <v>54</v>
      </c>
      <c r="M358" s="11">
        <f t="shared" si="357"/>
        <v>52</v>
      </c>
      <c r="O358" s="12">
        <f> 'Optimal Choice'!$B$7*'Optimal Choice'!$B$8^(I358+1)</f>
        <v>30249.53101</v>
      </c>
      <c r="P358" s="12">
        <f> 'Optimal Choice'!$B$12*'Optimal Choice'!$B$13^(J358+1)</f>
        <v>400050.8455</v>
      </c>
      <c r="Q358" s="12">
        <f> 'Optimal Choice'!$B$17*'Optimal Choice'!$B$18^(K358+1)</f>
        <v>1639527.575</v>
      </c>
      <c r="R358" s="12">
        <f> 'Optimal Choice'!$B$22*'Optimal Choice'!$B$23^(L358+1)</f>
        <v>7175102.905</v>
      </c>
      <c r="S358" s="12">
        <f> 'Optimal Choice'!$B$27*'Optimal Choice'!$B$28^(M358+1)</f>
        <v>42096907.2</v>
      </c>
    </row>
    <row r="359" ht="15.75" customHeight="1">
      <c r="A359" s="10">
        <f t="shared" si="2"/>
        <v>67.76059081</v>
      </c>
      <c r="B359" s="6">
        <f>(I359*'Optimal Choice'!$B$6+J359*'Optimal Choice'!$B$11+K359*'Optimal Choice'!$B$16+L359*'Optimal Choice'!$B$21+M359*'Optimal Choice'!$B$26)*'Optimal Choice'!$B$30</f>
        <v>138440.44</v>
      </c>
      <c r="C359" s="10">
        <f>(O359/$B359)+(O359/'Optimal Choice'!$B$6)</f>
        <v>19381.66984</v>
      </c>
      <c r="D359" s="10">
        <f>(P359/$B359)+(P359/'Optimal Choice'!$B$11)</f>
        <v>20005.43197</v>
      </c>
      <c r="E359" s="10">
        <f>(Q359/$B359)+(Q359/'Optimal Choice'!$B$16)</f>
        <v>18228.81589</v>
      </c>
      <c r="F359" s="10">
        <f>(R359/$B359)+(R359/'Optimal Choice'!$B$21)</f>
        <v>19982.66949</v>
      </c>
      <c r="G359" s="10">
        <f>(S359/$B359)+(S359/'Optimal Choice'!$B$26)</f>
        <v>19793.38844</v>
      </c>
      <c r="I359" s="11">
        <f t="shared" ref="I359:M359" si="358">if(min($C358:$G358)=C358,I358+1,I358)</f>
        <v>132</v>
      </c>
      <c r="J359" s="11">
        <f t="shared" si="358"/>
        <v>62</v>
      </c>
      <c r="K359" s="11">
        <f t="shared" si="358"/>
        <v>58</v>
      </c>
      <c r="L359" s="11">
        <f t="shared" si="358"/>
        <v>54</v>
      </c>
      <c r="M359" s="11">
        <f t="shared" si="358"/>
        <v>52</v>
      </c>
      <c r="O359" s="12">
        <f> 'Optimal Choice'!$B$7*'Optimal Choice'!$B$8^(I359+1)</f>
        <v>32366.99818</v>
      </c>
      <c r="P359" s="12">
        <f> 'Optimal Choice'!$B$12*'Optimal Choice'!$B$13^(J359+1)</f>
        <v>400050.8455</v>
      </c>
      <c r="Q359" s="12">
        <f> 'Optimal Choice'!$B$17*'Optimal Choice'!$B$18^(K359+1)</f>
        <v>1639527.575</v>
      </c>
      <c r="R359" s="12">
        <f> 'Optimal Choice'!$B$22*'Optimal Choice'!$B$23^(L359+1)</f>
        <v>7175102.905</v>
      </c>
      <c r="S359" s="12">
        <f> 'Optimal Choice'!$B$27*'Optimal Choice'!$B$28^(M359+1)</f>
        <v>42096907.2</v>
      </c>
    </row>
    <row r="360" ht="15.75" customHeight="1">
      <c r="A360" s="10">
        <f t="shared" si="2"/>
        <v>67.95797143</v>
      </c>
      <c r="B360" s="6">
        <f>(I360*'Optimal Choice'!$B$6+J360*'Optimal Choice'!$B$11+K360*'Optimal Choice'!$B$16+L360*'Optimal Choice'!$B$21+M360*'Optimal Choice'!$B$26)*'Optimal Choice'!$B$30</f>
        <v>138530.44</v>
      </c>
      <c r="C360" s="10">
        <f>(O360/$B360)+(O360/'Optimal Choice'!$B$6)</f>
        <v>19381.66968</v>
      </c>
      <c r="D360" s="10">
        <f>(P360/$B360)+(P360/'Optimal Choice'!$B$11)</f>
        <v>20005.4301</v>
      </c>
      <c r="E360" s="10">
        <f>(Q360/$B360)+(Q360/'Optimal Choice'!$B$16)</f>
        <v>20780.84134</v>
      </c>
      <c r="F360" s="10">
        <f>(R360/$B360)+(R360/'Optimal Choice'!$B$21)</f>
        <v>19982.63582</v>
      </c>
      <c r="G360" s="10">
        <f>(S360/$B360)+(S360/'Optimal Choice'!$B$26)</f>
        <v>19793.19089</v>
      </c>
      <c r="I360" s="11">
        <f t="shared" ref="I360:M360" si="359">if(min($C359:$G359)=C359,I359+1,I359)</f>
        <v>132</v>
      </c>
      <c r="J360" s="11">
        <f t="shared" si="359"/>
        <v>62</v>
      </c>
      <c r="K360" s="11">
        <f t="shared" si="359"/>
        <v>59</v>
      </c>
      <c r="L360" s="11">
        <f t="shared" si="359"/>
        <v>54</v>
      </c>
      <c r="M360" s="11">
        <f t="shared" si="359"/>
        <v>52</v>
      </c>
      <c r="O360" s="12">
        <f> 'Optimal Choice'!$B$7*'Optimal Choice'!$B$8^(I360+1)</f>
        <v>32366.99818</v>
      </c>
      <c r="P360" s="12">
        <f> 'Optimal Choice'!$B$12*'Optimal Choice'!$B$13^(J360+1)</f>
        <v>400050.8455</v>
      </c>
      <c r="Q360" s="12">
        <f> 'Optimal Choice'!$B$17*'Optimal Choice'!$B$18^(K360+1)</f>
        <v>1869061.435</v>
      </c>
      <c r="R360" s="12">
        <f> 'Optimal Choice'!$B$22*'Optimal Choice'!$B$23^(L360+1)</f>
        <v>7175102.905</v>
      </c>
      <c r="S360" s="12">
        <f> 'Optimal Choice'!$B$27*'Optimal Choice'!$B$28^(M360+1)</f>
        <v>42096907.2</v>
      </c>
    </row>
    <row r="361" ht="15.75" customHeight="1">
      <c r="A361" s="10">
        <f t="shared" si="2"/>
        <v>67.96186552</v>
      </c>
      <c r="B361" s="6">
        <f>(I361*'Optimal Choice'!$B$6+J361*'Optimal Choice'!$B$11+K361*'Optimal Choice'!$B$16+L361*'Optimal Choice'!$B$21+M361*'Optimal Choice'!$B$26)*'Optimal Choice'!$B$30</f>
        <v>138532.11</v>
      </c>
      <c r="C361" s="10">
        <f>(O361/$B361)+(O361/'Optimal Choice'!$B$6)</f>
        <v>20738.38656</v>
      </c>
      <c r="D361" s="10">
        <f>(P361/$B361)+(P361/'Optimal Choice'!$B$11)</f>
        <v>20005.43006</v>
      </c>
      <c r="E361" s="10">
        <f>(Q361/$B361)+(Q361/'Optimal Choice'!$B$16)</f>
        <v>20780.84118</v>
      </c>
      <c r="F361" s="10">
        <f>(R361/$B361)+(R361/'Optimal Choice'!$B$21)</f>
        <v>19982.63519</v>
      </c>
      <c r="G361" s="10">
        <f>(S361/$B361)+(S361/'Optimal Choice'!$B$26)</f>
        <v>19793.18723</v>
      </c>
      <c r="I361" s="11">
        <f t="shared" ref="I361:M361" si="360">if(min($C360:$G360)=C360,I360+1,I360)</f>
        <v>133</v>
      </c>
      <c r="J361" s="11">
        <f t="shared" si="360"/>
        <v>62</v>
      </c>
      <c r="K361" s="11">
        <f t="shared" si="360"/>
        <v>59</v>
      </c>
      <c r="L361" s="11">
        <f t="shared" si="360"/>
        <v>54</v>
      </c>
      <c r="M361" s="11">
        <f t="shared" si="360"/>
        <v>52</v>
      </c>
      <c r="O361" s="12">
        <f> 'Optimal Choice'!$B$7*'Optimal Choice'!$B$8^(I361+1)</f>
        <v>34632.68806</v>
      </c>
      <c r="P361" s="12">
        <f> 'Optimal Choice'!$B$12*'Optimal Choice'!$B$13^(J361+1)</f>
        <v>400050.8455</v>
      </c>
      <c r="Q361" s="12">
        <f> 'Optimal Choice'!$B$17*'Optimal Choice'!$B$18^(K361+1)</f>
        <v>1869061.435</v>
      </c>
      <c r="R361" s="12">
        <f> 'Optimal Choice'!$B$22*'Optimal Choice'!$B$23^(L361+1)</f>
        <v>7175102.905</v>
      </c>
      <c r="S361" s="12">
        <f> 'Optimal Choice'!$B$27*'Optimal Choice'!$B$28^(M361+1)</f>
        <v>42096907.2</v>
      </c>
    </row>
    <row r="362" ht="15.75" customHeight="1">
      <c r="A362" s="10">
        <f t="shared" si="2"/>
        <v>73.02650447</v>
      </c>
      <c r="B362" s="6">
        <f>(I362*'Optimal Choice'!$B$6+J362*'Optimal Choice'!$B$11+K362*'Optimal Choice'!$B$16+L362*'Optimal Choice'!$B$21+M362*'Optimal Choice'!$B$26)*'Optimal Choice'!$B$30</f>
        <v>140692.11</v>
      </c>
      <c r="C362" s="10">
        <f>(O362/$B362)+(O362/'Optimal Choice'!$B$6)</f>
        <v>20738.38272</v>
      </c>
      <c r="D362" s="10">
        <f>(P362/$B362)+(P362/'Optimal Choice'!$B$11)</f>
        <v>20005.38573</v>
      </c>
      <c r="E362" s="10">
        <f>(Q362/$B362)+(Q362/'Optimal Choice'!$B$16)</f>
        <v>20780.63404</v>
      </c>
      <c r="F362" s="10">
        <f>(R362/$B362)+(R362/'Optimal Choice'!$B$21)</f>
        <v>19981.84002</v>
      </c>
      <c r="G362" s="10">
        <f>(S362/$B362)+(S362/'Optimal Choice'!$B$26)</f>
        <v>22163.14451</v>
      </c>
      <c r="I362" s="11">
        <f t="shared" ref="I362:M362" si="361">if(min($C361:$G361)=C361,I361+1,I361)</f>
        <v>133</v>
      </c>
      <c r="J362" s="11">
        <f t="shared" si="361"/>
        <v>62</v>
      </c>
      <c r="K362" s="11">
        <f t="shared" si="361"/>
        <v>59</v>
      </c>
      <c r="L362" s="11">
        <f t="shared" si="361"/>
        <v>54</v>
      </c>
      <c r="M362" s="11">
        <f t="shared" si="361"/>
        <v>53</v>
      </c>
      <c r="O362" s="12">
        <f> 'Optimal Choice'!$B$7*'Optimal Choice'!$B$8^(I362+1)</f>
        <v>34632.68806</v>
      </c>
      <c r="P362" s="12">
        <f> 'Optimal Choice'!$B$12*'Optimal Choice'!$B$13^(J362+1)</f>
        <v>400050.8455</v>
      </c>
      <c r="Q362" s="12">
        <f> 'Optimal Choice'!$B$17*'Optimal Choice'!$B$18^(K362+1)</f>
        <v>1869061.435</v>
      </c>
      <c r="R362" s="12">
        <f> 'Optimal Choice'!$B$22*'Optimal Choice'!$B$23^(L362+1)</f>
        <v>7175102.905</v>
      </c>
      <c r="S362" s="12">
        <f> 'Optimal Choice'!$B$27*'Optimal Choice'!$B$28^(M362+1)</f>
        <v>47148536.07</v>
      </c>
    </row>
    <row r="363" ht="15.75" customHeight="1">
      <c r="A363" s="10">
        <f t="shared" si="2"/>
        <v>73.8764814</v>
      </c>
      <c r="B363" s="6">
        <f>(I363*'Optimal Choice'!$B$6+J363*'Optimal Choice'!$B$11+K363*'Optimal Choice'!$B$16+L363*'Optimal Choice'!$B$21+M363*'Optimal Choice'!$B$26)*'Optimal Choice'!$B$30</f>
        <v>141052.11</v>
      </c>
      <c r="C363" s="10">
        <f>(O363/$B363)+(O363/'Optimal Choice'!$B$6)</f>
        <v>20738.38209</v>
      </c>
      <c r="D363" s="10">
        <f>(P363/$B363)+(P363/'Optimal Choice'!$B$11)</f>
        <v>20005.37847</v>
      </c>
      <c r="E363" s="10">
        <f>(Q363/$B363)+(Q363/'Optimal Choice'!$B$16)</f>
        <v>20780.60013</v>
      </c>
      <c r="F363" s="10">
        <f>(R363/$B363)+(R363/'Optimal Choice'!$B$21)</f>
        <v>22579.33214</v>
      </c>
      <c r="G363" s="10">
        <f>(S363/$B363)+(S363/'Optimal Choice'!$B$26)</f>
        <v>22162.2892</v>
      </c>
      <c r="I363" s="11">
        <f t="shared" ref="I363:M363" si="362">if(min($C362:$G362)=C362,I362+1,I362)</f>
        <v>133</v>
      </c>
      <c r="J363" s="11">
        <f t="shared" si="362"/>
        <v>62</v>
      </c>
      <c r="K363" s="11">
        <f t="shared" si="362"/>
        <v>59</v>
      </c>
      <c r="L363" s="11">
        <f t="shared" si="362"/>
        <v>55</v>
      </c>
      <c r="M363" s="11">
        <f t="shared" si="362"/>
        <v>53</v>
      </c>
      <c r="O363" s="12">
        <f> 'Optimal Choice'!$B$7*'Optimal Choice'!$B$8^(I363+1)</f>
        <v>34632.68806</v>
      </c>
      <c r="P363" s="12">
        <f> 'Optimal Choice'!$B$12*'Optimal Choice'!$B$13^(J363+1)</f>
        <v>400050.8455</v>
      </c>
      <c r="Q363" s="12">
        <f> 'Optimal Choice'!$B$17*'Optimal Choice'!$B$18^(K363+1)</f>
        <v>1869061.435</v>
      </c>
      <c r="R363" s="12">
        <f> 'Optimal Choice'!$B$22*'Optimal Choice'!$B$23^(L363+1)</f>
        <v>8107866.282</v>
      </c>
      <c r="S363" s="12">
        <f> 'Optimal Choice'!$B$27*'Optimal Choice'!$B$28^(M363+1)</f>
        <v>47148536.07</v>
      </c>
    </row>
    <row r="364" ht="15.75" customHeight="1">
      <c r="A364" s="10">
        <f t="shared" si="2"/>
        <v>73.92375126</v>
      </c>
      <c r="B364" s="6">
        <f>(I364*'Optimal Choice'!$B$6+J364*'Optimal Choice'!$B$11+K364*'Optimal Choice'!$B$16+L364*'Optimal Choice'!$B$21+M364*'Optimal Choice'!$B$26)*'Optimal Choice'!$B$30</f>
        <v>141072.11</v>
      </c>
      <c r="C364" s="10">
        <f>(O364/$B364)+(O364/'Optimal Choice'!$B$6)</f>
        <v>20738.38206</v>
      </c>
      <c r="D364" s="10">
        <f>(P364/$B364)+(P364/'Optimal Choice'!$B$11)</f>
        <v>23006.18478</v>
      </c>
      <c r="E364" s="10">
        <f>(Q364/$B364)+(Q364/'Optimal Choice'!$B$16)</f>
        <v>20780.59826</v>
      </c>
      <c r="F364" s="10">
        <f>(R364/$B364)+(R364/'Optimal Choice'!$B$21)</f>
        <v>22579.32399</v>
      </c>
      <c r="G364" s="10">
        <f>(S364/$B364)+(S364/'Optimal Choice'!$B$26)</f>
        <v>22162.24181</v>
      </c>
      <c r="I364" s="11">
        <f t="shared" ref="I364:M364" si="363">if(min($C363:$G363)=C363,I363+1,I363)</f>
        <v>133</v>
      </c>
      <c r="J364" s="11">
        <f t="shared" si="363"/>
        <v>63</v>
      </c>
      <c r="K364" s="11">
        <f t="shared" si="363"/>
        <v>59</v>
      </c>
      <c r="L364" s="11">
        <f t="shared" si="363"/>
        <v>55</v>
      </c>
      <c r="M364" s="11">
        <f t="shared" si="363"/>
        <v>53</v>
      </c>
      <c r="O364" s="12">
        <f> 'Optimal Choice'!$B$7*'Optimal Choice'!$B$8^(I364+1)</f>
        <v>34632.68806</v>
      </c>
      <c r="P364" s="12">
        <f> 'Optimal Choice'!$B$12*'Optimal Choice'!$B$13^(J364+1)</f>
        <v>460058.4724</v>
      </c>
      <c r="Q364" s="12">
        <f> 'Optimal Choice'!$B$17*'Optimal Choice'!$B$18^(K364+1)</f>
        <v>1869061.435</v>
      </c>
      <c r="R364" s="12">
        <f> 'Optimal Choice'!$B$22*'Optimal Choice'!$B$23^(L364+1)</f>
        <v>8107866.282</v>
      </c>
      <c r="S364" s="12">
        <f> 'Optimal Choice'!$B$27*'Optimal Choice'!$B$28^(M364+1)</f>
        <v>47148536.07</v>
      </c>
    </row>
    <row r="365" ht="15.75" customHeight="1">
      <c r="A365" s="10">
        <f t="shared" si="2"/>
        <v>73.92784287</v>
      </c>
      <c r="B365" s="6">
        <f>(I365*'Optimal Choice'!$B$6+J365*'Optimal Choice'!$B$11+K365*'Optimal Choice'!$B$16+L365*'Optimal Choice'!$B$21+M365*'Optimal Choice'!$B$26)*'Optimal Choice'!$B$30</f>
        <v>141073.78</v>
      </c>
      <c r="C365" s="10">
        <f>(O365/$B365)+(O365/'Optimal Choice'!$B$6)</f>
        <v>22190.0688</v>
      </c>
      <c r="D365" s="10">
        <f>(P365/$B365)+(P365/'Optimal Choice'!$B$11)</f>
        <v>23006.18474</v>
      </c>
      <c r="E365" s="10">
        <f>(Q365/$B365)+(Q365/'Optimal Choice'!$B$16)</f>
        <v>20780.5981</v>
      </c>
      <c r="F365" s="10">
        <f>(R365/$B365)+(R365/'Optimal Choice'!$B$21)</f>
        <v>22579.32331</v>
      </c>
      <c r="G365" s="10">
        <f>(S365/$B365)+(S365/'Optimal Choice'!$B$26)</f>
        <v>22162.23786</v>
      </c>
      <c r="I365" s="11">
        <f t="shared" ref="I365:M365" si="364">if(min($C364:$G364)=C364,I364+1,I364)</f>
        <v>134</v>
      </c>
      <c r="J365" s="11">
        <f t="shared" si="364"/>
        <v>63</v>
      </c>
      <c r="K365" s="11">
        <f t="shared" si="364"/>
        <v>59</v>
      </c>
      <c r="L365" s="11">
        <f t="shared" si="364"/>
        <v>55</v>
      </c>
      <c r="M365" s="11">
        <f t="shared" si="364"/>
        <v>53</v>
      </c>
      <c r="O365" s="12">
        <f> 'Optimal Choice'!$B$7*'Optimal Choice'!$B$8^(I365+1)</f>
        <v>37056.97622</v>
      </c>
      <c r="P365" s="12">
        <f> 'Optimal Choice'!$B$12*'Optimal Choice'!$B$13^(J365+1)</f>
        <v>460058.4724</v>
      </c>
      <c r="Q365" s="12">
        <f> 'Optimal Choice'!$B$17*'Optimal Choice'!$B$18^(K365+1)</f>
        <v>1869061.435</v>
      </c>
      <c r="R365" s="12">
        <f> 'Optimal Choice'!$B$22*'Optimal Choice'!$B$23^(L365+1)</f>
        <v>8107866.282</v>
      </c>
      <c r="S365" s="12">
        <f> 'Optimal Choice'!$B$27*'Optimal Choice'!$B$28^(M365+1)</f>
        <v>47148536.07</v>
      </c>
    </row>
    <row r="366" ht="15.75" customHeight="1">
      <c r="A366" s="10">
        <f t="shared" si="2"/>
        <v>74.14865657</v>
      </c>
      <c r="B366" s="6">
        <f>(I366*'Optimal Choice'!$B$6+J366*'Optimal Choice'!$B$11+K366*'Optimal Choice'!$B$16+L366*'Optimal Choice'!$B$21+M366*'Optimal Choice'!$B$26)*'Optimal Choice'!$B$30</f>
        <v>141163.78</v>
      </c>
      <c r="C366" s="10">
        <f>(O366/$B366)+(O366/'Optimal Choice'!$B$6)</f>
        <v>22190.06863</v>
      </c>
      <c r="D366" s="10">
        <f>(P366/$B366)+(P366/'Optimal Choice'!$B$11)</f>
        <v>23006.18266</v>
      </c>
      <c r="E366" s="10">
        <f>(Q366/$B366)+(Q366/'Optimal Choice'!$B$16)</f>
        <v>23689.8722</v>
      </c>
      <c r="F366" s="10">
        <f>(R366/$B366)+(R366/'Optimal Choice'!$B$21)</f>
        <v>22579.28667</v>
      </c>
      <c r="G366" s="10">
        <f>(S366/$B366)+(S366/'Optimal Choice'!$B$26)</f>
        <v>22162.02478</v>
      </c>
      <c r="I366" s="11">
        <f t="shared" ref="I366:M366" si="365">if(min($C365:$G365)=C365,I365+1,I365)</f>
        <v>134</v>
      </c>
      <c r="J366" s="11">
        <f t="shared" si="365"/>
        <v>63</v>
      </c>
      <c r="K366" s="11">
        <f t="shared" si="365"/>
        <v>60</v>
      </c>
      <c r="L366" s="11">
        <f t="shared" si="365"/>
        <v>55</v>
      </c>
      <c r="M366" s="11">
        <f t="shared" si="365"/>
        <v>53</v>
      </c>
      <c r="O366" s="12">
        <f> 'Optimal Choice'!$B$7*'Optimal Choice'!$B$8^(I366+1)</f>
        <v>37056.97622</v>
      </c>
      <c r="P366" s="12">
        <f> 'Optimal Choice'!$B$12*'Optimal Choice'!$B$13^(J366+1)</f>
        <v>460058.4724</v>
      </c>
      <c r="Q366" s="12">
        <f> 'Optimal Choice'!$B$17*'Optimal Choice'!$B$18^(K366+1)</f>
        <v>2130730.036</v>
      </c>
      <c r="R366" s="12">
        <f> 'Optimal Choice'!$B$22*'Optimal Choice'!$B$23^(L366+1)</f>
        <v>8107866.282</v>
      </c>
      <c r="S366" s="12">
        <f> 'Optimal Choice'!$B$27*'Optimal Choice'!$B$28^(M366+1)</f>
        <v>47148536.07</v>
      </c>
    </row>
    <row r="367" ht="15.75" customHeight="1">
      <c r="A367" s="10">
        <f t="shared" si="2"/>
        <v>79.71530359</v>
      </c>
      <c r="B367" s="6">
        <f>(I367*'Optimal Choice'!$B$6+J367*'Optimal Choice'!$B$11+K367*'Optimal Choice'!$B$16+L367*'Optimal Choice'!$B$21+M367*'Optimal Choice'!$B$26)*'Optimal Choice'!$B$30</f>
        <v>143323.78</v>
      </c>
      <c r="C367" s="10">
        <f>(O367/$B367)+(O367/'Optimal Choice'!$B$6)</f>
        <v>22190.06468</v>
      </c>
      <c r="D367" s="10">
        <f>(P367/$B367)+(P367/'Optimal Choice'!$B$11)</f>
        <v>23006.13354</v>
      </c>
      <c r="E367" s="10">
        <f>(Q367/$B367)+(Q367/'Optimal Choice'!$B$16)</f>
        <v>23689.64473</v>
      </c>
      <c r="F367" s="10">
        <f>(R367/$B367)+(R367/'Optimal Choice'!$B$21)</f>
        <v>22578.42106</v>
      </c>
      <c r="G367" s="10">
        <f>(S367/$B367)+(S367/'Optimal Choice'!$B$26)</f>
        <v>24815.8301</v>
      </c>
      <c r="I367" s="11">
        <f t="shared" ref="I367:M367" si="366">if(min($C366:$G366)=C366,I366+1,I366)</f>
        <v>134</v>
      </c>
      <c r="J367" s="11">
        <f t="shared" si="366"/>
        <v>63</v>
      </c>
      <c r="K367" s="11">
        <f t="shared" si="366"/>
        <v>60</v>
      </c>
      <c r="L367" s="11">
        <f t="shared" si="366"/>
        <v>55</v>
      </c>
      <c r="M367" s="11">
        <f t="shared" si="366"/>
        <v>54</v>
      </c>
      <c r="O367" s="12">
        <f> 'Optimal Choice'!$B$7*'Optimal Choice'!$B$8^(I367+1)</f>
        <v>37056.97622</v>
      </c>
      <c r="P367" s="12">
        <f> 'Optimal Choice'!$B$12*'Optimal Choice'!$B$13^(J367+1)</f>
        <v>460058.4724</v>
      </c>
      <c r="Q367" s="12">
        <f> 'Optimal Choice'!$B$17*'Optimal Choice'!$B$18^(K367+1)</f>
        <v>2130730.036</v>
      </c>
      <c r="R367" s="12">
        <f> 'Optimal Choice'!$B$22*'Optimal Choice'!$B$23^(L367+1)</f>
        <v>8107866.282</v>
      </c>
      <c r="S367" s="12">
        <f> 'Optimal Choice'!$B$27*'Optimal Choice'!$B$28^(M367+1)</f>
        <v>52806360.4</v>
      </c>
    </row>
    <row r="368" ht="15.75" customHeight="1">
      <c r="A368" s="10">
        <f t="shared" si="2"/>
        <v>79.71961283</v>
      </c>
      <c r="B368" s="6">
        <f>(I368*'Optimal Choice'!$B$6+J368*'Optimal Choice'!$B$11+K368*'Optimal Choice'!$B$16+L368*'Optimal Choice'!$B$21+M368*'Optimal Choice'!$B$26)*'Optimal Choice'!$B$30</f>
        <v>143325.45</v>
      </c>
      <c r="C368" s="10">
        <f>(O368/$B368)+(O368/'Optimal Choice'!$B$6)</f>
        <v>23743.3692</v>
      </c>
      <c r="D368" s="10">
        <f>(P368/$B368)+(P368/'Optimal Choice'!$B$11)</f>
        <v>23006.13351</v>
      </c>
      <c r="E368" s="10">
        <f>(Q368/$B368)+(Q368/'Optimal Choice'!$B$16)</f>
        <v>23689.64455</v>
      </c>
      <c r="F368" s="10">
        <f>(R368/$B368)+(R368/'Optimal Choice'!$B$21)</f>
        <v>22578.4204</v>
      </c>
      <c r="G368" s="10">
        <f>(S368/$B368)+(S368/'Optimal Choice'!$B$26)</f>
        <v>24815.8258</v>
      </c>
      <c r="I368" s="11">
        <f t="shared" ref="I368:M368" si="367">if(min($C367:$G367)=C367,I367+1,I367)</f>
        <v>135</v>
      </c>
      <c r="J368" s="11">
        <f t="shared" si="367"/>
        <v>63</v>
      </c>
      <c r="K368" s="11">
        <f t="shared" si="367"/>
        <v>60</v>
      </c>
      <c r="L368" s="11">
        <f t="shared" si="367"/>
        <v>55</v>
      </c>
      <c r="M368" s="11">
        <f t="shared" si="367"/>
        <v>54</v>
      </c>
      <c r="O368" s="12">
        <f> 'Optimal Choice'!$B$7*'Optimal Choice'!$B$8^(I368+1)</f>
        <v>39650.96456</v>
      </c>
      <c r="P368" s="12">
        <f> 'Optimal Choice'!$B$12*'Optimal Choice'!$B$13^(J368+1)</f>
        <v>460058.4724</v>
      </c>
      <c r="Q368" s="12">
        <f> 'Optimal Choice'!$B$17*'Optimal Choice'!$B$18^(K368+1)</f>
        <v>2130730.036</v>
      </c>
      <c r="R368" s="12">
        <f> 'Optimal Choice'!$B$22*'Optimal Choice'!$B$23^(L368+1)</f>
        <v>8107866.282</v>
      </c>
      <c r="S368" s="12">
        <f> 'Optimal Choice'!$B$27*'Optimal Choice'!$B$28^(M368+1)</f>
        <v>52806360.4</v>
      </c>
    </row>
    <row r="369" ht="15.75" customHeight="1">
      <c r="A369" s="10">
        <f t="shared" si="2"/>
        <v>80.66243983</v>
      </c>
      <c r="B369" s="6">
        <f>(I369*'Optimal Choice'!$B$6+J369*'Optimal Choice'!$B$11+K369*'Optimal Choice'!$B$16+L369*'Optimal Choice'!$B$21+M369*'Optimal Choice'!$B$26)*'Optimal Choice'!$B$30</f>
        <v>143685.45</v>
      </c>
      <c r="C369" s="10">
        <f>(O369/$B369)+(O369/'Optimal Choice'!$B$6)</f>
        <v>23743.36851</v>
      </c>
      <c r="D369" s="10">
        <f>(P369/$B369)+(P369/'Optimal Choice'!$B$11)</f>
        <v>23006.12546</v>
      </c>
      <c r="E369" s="10">
        <f>(Q369/$B369)+(Q369/'Optimal Choice'!$B$16)</f>
        <v>23689.6073</v>
      </c>
      <c r="F369" s="10">
        <f>(R369/$B369)+(R369/'Optimal Choice'!$B$21)</f>
        <v>25513.4549</v>
      </c>
      <c r="G369" s="10">
        <f>(S369/$B369)+(S369/'Optimal Choice'!$B$26)</f>
        <v>24814.9027</v>
      </c>
      <c r="I369" s="11">
        <f t="shared" ref="I369:M369" si="368">if(min($C368:$G368)=C368,I368+1,I368)</f>
        <v>135</v>
      </c>
      <c r="J369" s="11">
        <f t="shared" si="368"/>
        <v>63</v>
      </c>
      <c r="K369" s="11">
        <f t="shared" si="368"/>
        <v>60</v>
      </c>
      <c r="L369" s="11">
        <f t="shared" si="368"/>
        <v>56</v>
      </c>
      <c r="M369" s="11">
        <f t="shared" si="368"/>
        <v>54</v>
      </c>
      <c r="O369" s="12">
        <f> 'Optimal Choice'!$B$7*'Optimal Choice'!$B$8^(I369+1)</f>
        <v>39650.96456</v>
      </c>
      <c r="P369" s="12">
        <f> 'Optimal Choice'!$B$12*'Optimal Choice'!$B$13^(J369+1)</f>
        <v>460058.4724</v>
      </c>
      <c r="Q369" s="12">
        <f> 'Optimal Choice'!$B$17*'Optimal Choice'!$B$18^(K369+1)</f>
        <v>2130730.036</v>
      </c>
      <c r="R369" s="12">
        <f> 'Optimal Choice'!$B$22*'Optimal Choice'!$B$23^(L369+1)</f>
        <v>9161888.899</v>
      </c>
      <c r="S369" s="12">
        <f> 'Optimal Choice'!$B$27*'Optimal Choice'!$B$28^(M369+1)</f>
        <v>52806360.4</v>
      </c>
    </row>
    <row r="370" ht="15.75" customHeight="1">
      <c r="A370" s="10">
        <f t="shared" si="2"/>
        <v>80.71580391</v>
      </c>
      <c r="B370" s="6">
        <f>(I370*'Optimal Choice'!$B$6+J370*'Optimal Choice'!$B$11+K370*'Optimal Choice'!$B$16+L370*'Optimal Choice'!$B$21+M370*'Optimal Choice'!$B$26)*'Optimal Choice'!$B$30</f>
        <v>143705.45</v>
      </c>
      <c r="C370" s="10">
        <f>(O370/$B370)+(O370/'Optimal Choice'!$B$6)</f>
        <v>23743.36847</v>
      </c>
      <c r="D370" s="10">
        <f>(P370/$B370)+(P370/'Optimal Choice'!$B$11)</f>
        <v>26457.04377</v>
      </c>
      <c r="E370" s="10">
        <f>(Q370/$B370)+(Q370/'Optimal Choice'!$B$16)</f>
        <v>23689.60524</v>
      </c>
      <c r="F370" s="10">
        <f>(R370/$B370)+(R370/'Optimal Choice'!$B$21)</f>
        <v>25513.44602</v>
      </c>
      <c r="G370" s="10">
        <f>(S370/$B370)+(S370/'Optimal Choice'!$B$26)</f>
        <v>24814.85155</v>
      </c>
      <c r="I370" s="11">
        <f t="shared" ref="I370:M370" si="369">if(min($C369:$G369)=C369,I369+1,I369)</f>
        <v>135</v>
      </c>
      <c r="J370" s="11">
        <f t="shared" si="369"/>
        <v>64</v>
      </c>
      <c r="K370" s="11">
        <f t="shared" si="369"/>
        <v>60</v>
      </c>
      <c r="L370" s="11">
        <f t="shared" si="369"/>
        <v>56</v>
      </c>
      <c r="M370" s="11">
        <f t="shared" si="369"/>
        <v>54</v>
      </c>
      <c r="O370" s="12">
        <f> 'Optimal Choice'!$B$7*'Optimal Choice'!$B$8^(I370+1)</f>
        <v>39650.96456</v>
      </c>
      <c r="P370" s="12">
        <f> 'Optimal Choice'!$B$12*'Optimal Choice'!$B$13^(J370+1)</f>
        <v>529067.2432</v>
      </c>
      <c r="Q370" s="12">
        <f> 'Optimal Choice'!$B$17*'Optimal Choice'!$B$18^(K370+1)</f>
        <v>2130730.036</v>
      </c>
      <c r="R370" s="12">
        <f> 'Optimal Choice'!$B$22*'Optimal Choice'!$B$23^(L370+1)</f>
        <v>9161888.899</v>
      </c>
      <c r="S370" s="12">
        <f> 'Optimal Choice'!$B$27*'Optimal Choice'!$B$28^(M370+1)</f>
        <v>52806360.4</v>
      </c>
    </row>
    <row r="371" ht="15.75" customHeight="1">
      <c r="A371" s="10">
        <f t="shared" si="2"/>
        <v>80.96292166</v>
      </c>
      <c r="B371" s="6">
        <f>(I371*'Optimal Choice'!$B$6+J371*'Optimal Choice'!$B$11+K371*'Optimal Choice'!$B$16+L371*'Optimal Choice'!$B$21+M371*'Optimal Choice'!$B$26)*'Optimal Choice'!$B$30</f>
        <v>143795.45</v>
      </c>
      <c r="C371" s="10">
        <f>(O371/$B371)+(O371/'Optimal Choice'!$B$6)</f>
        <v>23743.36829</v>
      </c>
      <c r="D371" s="10">
        <f>(P371/$B371)+(P371/'Optimal Choice'!$B$11)</f>
        <v>26457.04147</v>
      </c>
      <c r="E371" s="10">
        <f>(Q371/$B371)+(Q371/'Optimal Choice'!$B$16)</f>
        <v>27006.1394</v>
      </c>
      <c r="F371" s="10">
        <f>(R371/$B371)+(R371/'Optimal Choice'!$B$21)</f>
        <v>25513.40612</v>
      </c>
      <c r="G371" s="10">
        <f>(S371/$B371)+(S371/'Optimal Choice'!$B$26)</f>
        <v>24814.62156</v>
      </c>
      <c r="I371" s="11">
        <f t="shared" ref="I371:M371" si="370">if(min($C370:$G370)=C370,I370+1,I370)</f>
        <v>135</v>
      </c>
      <c r="J371" s="11">
        <f t="shared" si="370"/>
        <v>64</v>
      </c>
      <c r="K371" s="11">
        <f t="shared" si="370"/>
        <v>61</v>
      </c>
      <c r="L371" s="11">
        <f t="shared" si="370"/>
        <v>56</v>
      </c>
      <c r="M371" s="11">
        <f t="shared" si="370"/>
        <v>54</v>
      </c>
      <c r="O371" s="12">
        <f> 'Optimal Choice'!$B$7*'Optimal Choice'!$B$8^(I371+1)</f>
        <v>39650.96456</v>
      </c>
      <c r="P371" s="12">
        <f> 'Optimal Choice'!$B$12*'Optimal Choice'!$B$13^(J371+1)</f>
        <v>529067.2432</v>
      </c>
      <c r="Q371" s="12">
        <f> 'Optimal Choice'!$B$17*'Optimal Choice'!$B$18^(K371+1)</f>
        <v>2429032.241</v>
      </c>
      <c r="R371" s="12">
        <f> 'Optimal Choice'!$B$22*'Optimal Choice'!$B$23^(L371+1)</f>
        <v>9161888.899</v>
      </c>
      <c r="S371" s="12">
        <f> 'Optimal Choice'!$B$27*'Optimal Choice'!$B$28^(M371+1)</f>
        <v>52806360.4</v>
      </c>
    </row>
    <row r="372" ht="15.75" customHeight="1">
      <c r="A372" s="10">
        <f t="shared" si="2"/>
        <v>80.96751742</v>
      </c>
      <c r="B372" s="6">
        <f>(I372*'Optimal Choice'!$B$6+J372*'Optimal Choice'!$B$11+K372*'Optimal Choice'!$B$16+L372*'Optimal Choice'!$B$21+M372*'Optimal Choice'!$B$26)*'Optimal Choice'!$B$30</f>
        <v>143797.12</v>
      </c>
      <c r="C372" s="10">
        <f>(O372/$B372)+(O372/'Optimal Choice'!$B$6)</f>
        <v>25405.40407</v>
      </c>
      <c r="D372" s="10">
        <f>(P372/$B372)+(P372/'Optimal Choice'!$B$11)</f>
        <v>26457.04142</v>
      </c>
      <c r="E372" s="10">
        <f>(Q372/$B372)+(Q372/'Optimal Choice'!$B$16)</f>
        <v>27006.1392</v>
      </c>
      <c r="F372" s="10">
        <f>(R372/$B372)+(R372/'Optimal Choice'!$B$21)</f>
        <v>25513.40538</v>
      </c>
      <c r="G372" s="10">
        <f>(S372/$B372)+(S372/'Optimal Choice'!$B$26)</f>
        <v>24814.61729</v>
      </c>
      <c r="I372" s="11">
        <f t="shared" ref="I372:M372" si="371">if(min($C371:$G371)=C371,I371+1,I371)</f>
        <v>136</v>
      </c>
      <c r="J372" s="11">
        <f t="shared" si="371"/>
        <v>64</v>
      </c>
      <c r="K372" s="11">
        <f t="shared" si="371"/>
        <v>61</v>
      </c>
      <c r="L372" s="11">
        <f t="shared" si="371"/>
        <v>56</v>
      </c>
      <c r="M372" s="11">
        <f t="shared" si="371"/>
        <v>54</v>
      </c>
      <c r="O372" s="12">
        <f> 'Optimal Choice'!$B$7*'Optimal Choice'!$B$8^(I372+1)</f>
        <v>42426.53208</v>
      </c>
      <c r="P372" s="12">
        <f> 'Optimal Choice'!$B$12*'Optimal Choice'!$B$13^(J372+1)</f>
        <v>529067.2432</v>
      </c>
      <c r="Q372" s="12">
        <f> 'Optimal Choice'!$B$17*'Optimal Choice'!$B$18^(K372+1)</f>
        <v>2429032.241</v>
      </c>
      <c r="R372" s="12">
        <f> 'Optimal Choice'!$B$22*'Optimal Choice'!$B$23^(L372+1)</f>
        <v>9161888.899</v>
      </c>
      <c r="S372" s="12">
        <f> 'Optimal Choice'!$B$27*'Optimal Choice'!$B$28^(M372+1)</f>
        <v>52806360.4</v>
      </c>
    </row>
    <row r="373" ht="15.75" customHeight="1">
      <c r="A373" s="10">
        <f t="shared" si="2"/>
        <v>87.08798775</v>
      </c>
      <c r="B373" s="6">
        <f>(I373*'Optimal Choice'!$B$6+J373*'Optimal Choice'!$B$11+K373*'Optimal Choice'!$B$16+L373*'Optimal Choice'!$B$21+M373*'Optimal Choice'!$B$26)*'Optimal Choice'!$B$30</f>
        <v>145957.12</v>
      </c>
      <c r="C373" s="10">
        <f>(O373/$B373)+(O373/'Optimal Choice'!$B$6)</f>
        <v>25405.39971</v>
      </c>
      <c r="D373" s="10">
        <f>(P373/$B373)+(P373/'Optimal Choice'!$B$11)</f>
        <v>26456.98697</v>
      </c>
      <c r="E373" s="10">
        <f>(Q373/$B373)+(Q373/'Optimal Choice'!$B$16)</f>
        <v>27005.88922</v>
      </c>
      <c r="F373" s="10">
        <f>(R373/$B373)+(R373/'Optimal Choice'!$B$21)</f>
        <v>25512.46249</v>
      </c>
      <c r="G373" s="10">
        <f>(S373/$B373)+(S373/'Optimal Choice'!$B$26)</f>
        <v>27786.28466</v>
      </c>
      <c r="I373" s="11">
        <f t="shared" ref="I373:M373" si="372">if(min($C372:$G372)=C372,I372+1,I372)</f>
        <v>136</v>
      </c>
      <c r="J373" s="11">
        <f t="shared" si="372"/>
        <v>64</v>
      </c>
      <c r="K373" s="11">
        <f t="shared" si="372"/>
        <v>61</v>
      </c>
      <c r="L373" s="11">
        <f t="shared" si="372"/>
        <v>56</v>
      </c>
      <c r="M373" s="11">
        <f t="shared" si="372"/>
        <v>55</v>
      </c>
      <c r="O373" s="12">
        <f> 'Optimal Choice'!$B$7*'Optimal Choice'!$B$8^(I373+1)</f>
        <v>42426.53208</v>
      </c>
      <c r="P373" s="12">
        <f> 'Optimal Choice'!$B$12*'Optimal Choice'!$B$13^(J373+1)</f>
        <v>529067.2432</v>
      </c>
      <c r="Q373" s="12">
        <f> 'Optimal Choice'!$B$17*'Optimal Choice'!$B$18^(K373+1)</f>
        <v>2429032.241</v>
      </c>
      <c r="R373" s="12">
        <f> 'Optimal Choice'!$B$22*'Optimal Choice'!$B$23^(L373+1)</f>
        <v>9161888.899</v>
      </c>
      <c r="S373" s="12">
        <f> 'Optimal Choice'!$B$27*'Optimal Choice'!$B$28^(M373+1)</f>
        <v>59143123.64</v>
      </c>
    </row>
    <row r="374" ht="15.75" customHeight="1">
      <c r="A374" s="10">
        <f t="shared" si="2"/>
        <v>87.09283238</v>
      </c>
      <c r="B374" s="6">
        <f>(I374*'Optimal Choice'!$B$6+J374*'Optimal Choice'!$B$11+K374*'Optimal Choice'!$B$16+L374*'Optimal Choice'!$B$21+M374*'Optimal Choice'!$B$26)*'Optimal Choice'!$B$30</f>
        <v>145958.79</v>
      </c>
      <c r="C374" s="10">
        <f>(O374/$B374)+(O374/'Optimal Choice'!$B$6)</f>
        <v>27183.77768</v>
      </c>
      <c r="D374" s="10">
        <f>(P374/$B374)+(P374/'Optimal Choice'!$B$11)</f>
        <v>26456.98693</v>
      </c>
      <c r="E374" s="10">
        <f>(Q374/$B374)+(Q374/'Optimal Choice'!$B$16)</f>
        <v>27005.88903</v>
      </c>
      <c r="F374" s="10">
        <f>(R374/$B374)+(R374/'Optimal Choice'!$B$21)</f>
        <v>25512.46177</v>
      </c>
      <c r="G374" s="10">
        <f>(S374/$B374)+(S374/'Optimal Choice'!$B$26)</f>
        <v>27786.28002</v>
      </c>
      <c r="I374" s="11">
        <f t="shared" ref="I374:M374" si="373">if(min($C373:$G373)=C373,I373+1,I373)</f>
        <v>137</v>
      </c>
      <c r="J374" s="11">
        <f t="shared" si="373"/>
        <v>64</v>
      </c>
      <c r="K374" s="11">
        <f t="shared" si="373"/>
        <v>61</v>
      </c>
      <c r="L374" s="11">
        <f t="shared" si="373"/>
        <v>56</v>
      </c>
      <c r="M374" s="11">
        <f t="shared" si="373"/>
        <v>55</v>
      </c>
      <c r="O374" s="12">
        <f> 'Optimal Choice'!$B$7*'Optimal Choice'!$B$8^(I374+1)</f>
        <v>45396.38932</v>
      </c>
      <c r="P374" s="12">
        <f> 'Optimal Choice'!$B$12*'Optimal Choice'!$B$13^(J374+1)</f>
        <v>529067.2432</v>
      </c>
      <c r="Q374" s="12">
        <f> 'Optimal Choice'!$B$17*'Optimal Choice'!$B$18^(K374+1)</f>
        <v>2429032.241</v>
      </c>
      <c r="R374" s="12">
        <f> 'Optimal Choice'!$B$22*'Optimal Choice'!$B$23^(L374+1)</f>
        <v>9161888.899</v>
      </c>
      <c r="S374" s="12">
        <f> 'Optimal Choice'!$B$27*'Optimal Choice'!$B$28^(M374+1)</f>
        <v>59143123.64</v>
      </c>
    </row>
    <row r="375" ht="15.75" customHeight="1">
      <c r="A375" s="10">
        <f t="shared" si="2"/>
        <v>88.1390054</v>
      </c>
      <c r="B375" s="6">
        <f>(I375*'Optimal Choice'!$B$6+J375*'Optimal Choice'!$B$11+K375*'Optimal Choice'!$B$16+L375*'Optimal Choice'!$B$21+M375*'Optimal Choice'!$B$26)*'Optimal Choice'!$B$30</f>
        <v>146318.79</v>
      </c>
      <c r="C375" s="10">
        <f>(O375/$B375)+(O375/'Optimal Choice'!$B$6)</f>
        <v>27183.77692</v>
      </c>
      <c r="D375" s="10">
        <f>(P375/$B375)+(P375/'Optimal Choice'!$B$11)</f>
        <v>26456.97801</v>
      </c>
      <c r="E375" s="10">
        <f>(Q375/$B375)+(Q375/'Optimal Choice'!$B$16)</f>
        <v>27005.84808</v>
      </c>
      <c r="F375" s="10">
        <f>(R375/$B375)+(R375/'Optimal Choice'!$B$21)</f>
        <v>28828.90728</v>
      </c>
      <c r="G375" s="10">
        <f>(S375/$B375)+(S375/'Optimal Choice'!$B$26)</f>
        <v>27785.28307</v>
      </c>
      <c r="I375" s="11">
        <f t="shared" ref="I375:M375" si="374">if(min($C374:$G374)=C374,I374+1,I374)</f>
        <v>137</v>
      </c>
      <c r="J375" s="11">
        <f t="shared" si="374"/>
        <v>64</v>
      </c>
      <c r="K375" s="11">
        <f t="shared" si="374"/>
        <v>61</v>
      </c>
      <c r="L375" s="11">
        <f t="shared" si="374"/>
        <v>57</v>
      </c>
      <c r="M375" s="11">
        <f t="shared" si="374"/>
        <v>55</v>
      </c>
      <c r="O375" s="12">
        <f> 'Optimal Choice'!$B$7*'Optimal Choice'!$B$8^(I375+1)</f>
        <v>45396.38932</v>
      </c>
      <c r="P375" s="12">
        <f> 'Optimal Choice'!$B$12*'Optimal Choice'!$B$13^(J375+1)</f>
        <v>529067.2432</v>
      </c>
      <c r="Q375" s="12">
        <f> 'Optimal Choice'!$B$17*'Optimal Choice'!$B$18^(K375+1)</f>
        <v>2429032.241</v>
      </c>
      <c r="R375" s="12">
        <f> 'Optimal Choice'!$B$22*'Optimal Choice'!$B$23^(L375+1)</f>
        <v>10352934.46</v>
      </c>
      <c r="S375" s="12">
        <f> 'Optimal Choice'!$B$27*'Optimal Choice'!$B$28^(M375+1)</f>
        <v>59143123.64</v>
      </c>
    </row>
    <row r="376" ht="15.75" customHeight="1">
      <c r="A376" s="10">
        <f t="shared" si="2"/>
        <v>88.19926962</v>
      </c>
      <c r="B376" s="6">
        <f>(I376*'Optimal Choice'!$B$6+J376*'Optimal Choice'!$B$11+K376*'Optimal Choice'!$B$16+L376*'Optimal Choice'!$B$21+M376*'Optimal Choice'!$B$26)*'Optimal Choice'!$B$30</f>
        <v>146338.79</v>
      </c>
      <c r="C376" s="10">
        <f>(O376/$B376)+(O376/'Optimal Choice'!$B$6)</f>
        <v>27183.77687</v>
      </c>
      <c r="D376" s="10">
        <f>(P376/$B376)+(P376/'Optimal Choice'!$B$11)</f>
        <v>30425.52415</v>
      </c>
      <c r="E376" s="10">
        <f>(Q376/$B376)+(Q376/'Optimal Choice'!$B$16)</f>
        <v>27005.84581</v>
      </c>
      <c r="F376" s="10">
        <f>(R376/$B376)+(R376/'Optimal Choice'!$B$21)</f>
        <v>28828.89761</v>
      </c>
      <c r="G376" s="10">
        <f>(S376/$B376)+(S376/'Optimal Choice'!$B$26)</f>
        <v>27785.22782</v>
      </c>
      <c r="I376" s="11">
        <f t="shared" ref="I376:M376" si="375">if(min($C375:$G375)=C375,I375+1,I375)</f>
        <v>137</v>
      </c>
      <c r="J376" s="11">
        <f t="shared" si="375"/>
        <v>65</v>
      </c>
      <c r="K376" s="11">
        <f t="shared" si="375"/>
        <v>61</v>
      </c>
      <c r="L376" s="11">
        <f t="shared" si="375"/>
        <v>57</v>
      </c>
      <c r="M376" s="11">
        <f t="shared" si="375"/>
        <v>55</v>
      </c>
      <c r="O376" s="12">
        <f> 'Optimal Choice'!$B$7*'Optimal Choice'!$B$8^(I376+1)</f>
        <v>45396.38932</v>
      </c>
      <c r="P376" s="12">
        <f> 'Optimal Choice'!$B$12*'Optimal Choice'!$B$13^(J376+1)</f>
        <v>608427.3297</v>
      </c>
      <c r="Q376" s="12">
        <f> 'Optimal Choice'!$B$17*'Optimal Choice'!$B$18^(K376+1)</f>
        <v>2429032.241</v>
      </c>
      <c r="R376" s="12">
        <f> 'Optimal Choice'!$B$22*'Optimal Choice'!$B$23^(L376+1)</f>
        <v>10352934.46</v>
      </c>
      <c r="S376" s="12">
        <f> 'Optimal Choice'!$B$27*'Optimal Choice'!$B$28^(M376+1)</f>
        <v>59143123.64</v>
      </c>
    </row>
    <row r="377" ht="15.75" customHeight="1">
      <c r="A377" s="10">
        <f t="shared" si="2"/>
        <v>88.47591446</v>
      </c>
      <c r="B377" s="6">
        <f>(I377*'Optimal Choice'!$B$6+J377*'Optimal Choice'!$B$11+K377*'Optimal Choice'!$B$16+L377*'Optimal Choice'!$B$21+M377*'Optimal Choice'!$B$26)*'Optimal Choice'!$B$30</f>
        <v>146428.79</v>
      </c>
      <c r="C377" s="10">
        <f>(O377/$B377)+(O377/'Optimal Choice'!$B$6)</f>
        <v>27183.77668</v>
      </c>
      <c r="D377" s="10">
        <f>(P377/$B377)+(P377/'Optimal Choice'!$B$11)</f>
        <v>30425.52159</v>
      </c>
      <c r="E377" s="10">
        <f>(Q377/$B377)+(Q377/'Optimal Choice'!$B$16)</f>
        <v>30786.65259</v>
      </c>
      <c r="F377" s="10">
        <f>(R377/$B377)+(R377/'Optimal Choice'!$B$21)</f>
        <v>28828.85413</v>
      </c>
      <c r="G377" s="10">
        <f>(S377/$B377)+(S377/'Optimal Choice'!$B$26)</f>
        <v>27784.97942</v>
      </c>
      <c r="I377" s="11">
        <f t="shared" ref="I377:M377" si="376">if(min($C376:$G376)=C376,I376+1,I376)</f>
        <v>137</v>
      </c>
      <c r="J377" s="11">
        <f t="shared" si="376"/>
        <v>65</v>
      </c>
      <c r="K377" s="11">
        <f t="shared" si="376"/>
        <v>62</v>
      </c>
      <c r="L377" s="11">
        <f t="shared" si="376"/>
        <v>57</v>
      </c>
      <c r="M377" s="11">
        <f t="shared" si="376"/>
        <v>55</v>
      </c>
      <c r="O377" s="12">
        <f> 'Optimal Choice'!$B$7*'Optimal Choice'!$B$8^(I377+1)</f>
        <v>45396.38932</v>
      </c>
      <c r="P377" s="12">
        <f> 'Optimal Choice'!$B$12*'Optimal Choice'!$B$13^(J377+1)</f>
        <v>608427.3297</v>
      </c>
      <c r="Q377" s="12">
        <f> 'Optimal Choice'!$B$17*'Optimal Choice'!$B$18^(K377+1)</f>
        <v>2769096.755</v>
      </c>
      <c r="R377" s="12">
        <f> 'Optimal Choice'!$B$22*'Optimal Choice'!$B$23^(L377+1)</f>
        <v>10352934.46</v>
      </c>
      <c r="S377" s="12">
        <f> 'Optimal Choice'!$B$27*'Optimal Choice'!$B$28^(M377+1)</f>
        <v>59143123.64</v>
      </c>
    </row>
    <row r="378" ht="15.75" customHeight="1">
      <c r="A378" s="10">
        <f t="shared" si="2"/>
        <v>88.48108152</v>
      </c>
      <c r="B378" s="6">
        <f>(I378*'Optimal Choice'!$B$6+J378*'Optimal Choice'!$B$11+K378*'Optimal Choice'!$B$16+L378*'Optimal Choice'!$B$21+M378*'Optimal Choice'!$B$26)*'Optimal Choice'!$B$30</f>
        <v>146430.46</v>
      </c>
      <c r="C378" s="10">
        <f>(O378/$B378)+(O378/'Optimal Choice'!$B$6)</f>
        <v>29086.64105</v>
      </c>
      <c r="D378" s="10">
        <f>(P378/$B378)+(P378/'Optimal Choice'!$B$11)</f>
        <v>30425.52155</v>
      </c>
      <c r="E378" s="10">
        <f>(Q378/$B378)+(Q378/'Optimal Choice'!$B$16)</f>
        <v>30786.65238</v>
      </c>
      <c r="F378" s="10">
        <f>(R378/$B378)+(R378/'Optimal Choice'!$B$21)</f>
        <v>28828.85332</v>
      </c>
      <c r="G378" s="10">
        <f>(S378/$B378)+(S378/'Optimal Choice'!$B$26)</f>
        <v>27784.97481</v>
      </c>
      <c r="I378" s="11">
        <f t="shared" ref="I378:M378" si="377">if(min($C377:$G377)=C377,I377+1,I377)</f>
        <v>138</v>
      </c>
      <c r="J378" s="11">
        <f t="shared" si="377"/>
        <v>65</v>
      </c>
      <c r="K378" s="11">
        <f t="shared" si="377"/>
        <v>62</v>
      </c>
      <c r="L378" s="11">
        <f t="shared" si="377"/>
        <v>57</v>
      </c>
      <c r="M378" s="11">
        <f t="shared" si="377"/>
        <v>55</v>
      </c>
      <c r="O378" s="12">
        <f> 'Optimal Choice'!$B$7*'Optimal Choice'!$B$8^(I378+1)</f>
        <v>48574.13657</v>
      </c>
      <c r="P378" s="12">
        <f> 'Optimal Choice'!$B$12*'Optimal Choice'!$B$13^(J378+1)</f>
        <v>608427.3297</v>
      </c>
      <c r="Q378" s="12">
        <f> 'Optimal Choice'!$B$17*'Optimal Choice'!$B$18^(K378+1)</f>
        <v>2769096.755</v>
      </c>
      <c r="R378" s="12">
        <f> 'Optimal Choice'!$B$22*'Optimal Choice'!$B$23^(L378+1)</f>
        <v>10352934.46</v>
      </c>
      <c r="S378" s="12">
        <f> 'Optimal Choice'!$B$27*'Optimal Choice'!$B$28^(M378+1)</f>
        <v>59143123.64</v>
      </c>
    </row>
    <row r="379" ht="15.75" customHeight="1">
      <c r="A379" s="10">
        <f t="shared" si="2"/>
        <v>95.21273235</v>
      </c>
      <c r="B379" s="6">
        <f>(I379*'Optimal Choice'!$B$6+J379*'Optimal Choice'!$B$11+K379*'Optimal Choice'!$B$16+L379*'Optimal Choice'!$B$21+M379*'Optimal Choice'!$B$26)*'Optimal Choice'!$B$30</f>
        <v>148590.46</v>
      </c>
      <c r="C379" s="10">
        <f>(O379/$B379)+(O379/'Optimal Choice'!$B$6)</f>
        <v>29086.63623</v>
      </c>
      <c r="D379" s="10">
        <f>(P379/$B379)+(P379/'Optimal Choice'!$B$11)</f>
        <v>30425.46114</v>
      </c>
      <c r="E379" s="10">
        <f>(Q379/$B379)+(Q379/'Optimal Choice'!$B$16)</f>
        <v>30786.37748</v>
      </c>
      <c r="F379" s="10">
        <f>(R379/$B379)+(R379/'Optimal Choice'!$B$21)</f>
        <v>28827.82555</v>
      </c>
      <c r="G379" s="10">
        <f>(S379/$B379)+(S379/'Optimal Choice'!$B$26)</f>
        <v>31112.59591</v>
      </c>
      <c r="I379" s="11">
        <f t="shared" ref="I379:M379" si="378">if(min($C378:$G378)=C378,I378+1,I378)</f>
        <v>138</v>
      </c>
      <c r="J379" s="11">
        <f t="shared" si="378"/>
        <v>65</v>
      </c>
      <c r="K379" s="11">
        <f t="shared" si="378"/>
        <v>62</v>
      </c>
      <c r="L379" s="11">
        <f t="shared" si="378"/>
        <v>57</v>
      </c>
      <c r="M379" s="11">
        <f t="shared" si="378"/>
        <v>56</v>
      </c>
      <c r="O379" s="12">
        <f> 'Optimal Choice'!$B$7*'Optimal Choice'!$B$8^(I379+1)</f>
        <v>48574.13657</v>
      </c>
      <c r="P379" s="12">
        <f> 'Optimal Choice'!$B$12*'Optimal Choice'!$B$13^(J379+1)</f>
        <v>608427.3297</v>
      </c>
      <c r="Q379" s="12">
        <f> 'Optimal Choice'!$B$17*'Optimal Choice'!$B$18^(K379+1)</f>
        <v>2769096.755</v>
      </c>
      <c r="R379" s="12">
        <f> 'Optimal Choice'!$B$22*'Optimal Choice'!$B$23^(L379+1)</f>
        <v>10352934.46</v>
      </c>
      <c r="S379" s="12">
        <f> 'Optimal Choice'!$B$27*'Optimal Choice'!$B$28^(M379+1)</f>
        <v>66240298.48</v>
      </c>
    </row>
    <row r="380" ht="15.75" customHeight="1">
      <c r="A380" s="10">
        <f t="shared" si="2"/>
        <v>96.37397047</v>
      </c>
      <c r="B380" s="6">
        <f>(I380*'Optimal Choice'!$B$6+J380*'Optimal Choice'!$B$11+K380*'Optimal Choice'!$B$16+L380*'Optimal Choice'!$B$21+M380*'Optimal Choice'!$B$26)*'Optimal Choice'!$B$30</f>
        <v>148950.46</v>
      </c>
      <c r="C380" s="10">
        <f>(O380/$B380)+(O380/'Optimal Choice'!$B$6)</f>
        <v>29086.63544</v>
      </c>
      <c r="D380" s="10">
        <f>(P380/$B380)+(P380/'Optimal Choice'!$B$11)</f>
        <v>30425.45125</v>
      </c>
      <c r="E380" s="10">
        <f>(Q380/$B380)+(Q380/'Optimal Choice'!$B$16)</f>
        <v>30786.33244</v>
      </c>
      <c r="F380" s="10">
        <f>(R380/$B380)+(R380/'Optimal Choice'!$B$21)</f>
        <v>32575.25259</v>
      </c>
      <c r="G380" s="10">
        <f>(S380/$B380)+(S380/'Optimal Choice'!$B$26)</f>
        <v>31111.51847</v>
      </c>
      <c r="I380" s="11">
        <f t="shared" ref="I380:M380" si="379">if(min($C379:$G379)=C379,I379+1,I379)</f>
        <v>138</v>
      </c>
      <c r="J380" s="11">
        <f t="shared" si="379"/>
        <v>65</v>
      </c>
      <c r="K380" s="11">
        <f t="shared" si="379"/>
        <v>62</v>
      </c>
      <c r="L380" s="11">
        <f t="shared" si="379"/>
        <v>58</v>
      </c>
      <c r="M380" s="11">
        <f t="shared" si="379"/>
        <v>56</v>
      </c>
      <c r="O380" s="12">
        <f> 'Optimal Choice'!$B$7*'Optimal Choice'!$B$8^(I380+1)</f>
        <v>48574.13657</v>
      </c>
      <c r="P380" s="12">
        <f> 'Optimal Choice'!$B$12*'Optimal Choice'!$B$13^(J380+1)</f>
        <v>608427.3297</v>
      </c>
      <c r="Q380" s="12">
        <f> 'Optimal Choice'!$B$17*'Optimal Choice'!$B$18^(K380+1)</f>
        <v>2769096.755</v>
      </c>
      <c r="R380" s="12">
        <f> 'Optimal Choice'!$B$22*'Optimal Choice'!$B$23^(L380+1)</f>
        <v>11698815.94</v>
      </c>
      <c r="S380" s="12">
        <f> 'Optimal Choice'!$B$27*'Optimal Choice'!$B$28^(M380+1)</f>
        <v>66240298.48</v>
      </c>
    </row>
    <row r="381" ht="15.75" customHeight="1">
      <c r="A381" s="10">
        <f t="shared" si="2"/>
        <v>96.37940563</v>
      </c>
      <c r="B381" s="6">
        <f>(I381*'Optimal Choice'!$B$6+J381*'Optimal Choice'!$B$11+K381*'Optimal Choice'!$B$16+L381*'Optimal Choice'!$B$21+M381*'Optimal Choice'!$B$26)*'Optimal Choice'!$B$30</f>
        <v>148952.13</v>
      </c>
      <c r="C381" s="10">
        <f>(O381/$B381)+(O381/'Optimal Choice'!$B$6)</f>
        <v>31122.69991</v>
      </c>
      <c r="D381" s="10">
        <f>(P381/$B381)+(P381/'Optimal Choice'!$B$11)</f>
        <v>30425.4512</v>
      </c>
      <c r="E381" s="10">
        <f>(Q381/$B381)+(Q381/'Optimal Choice'!$B$16)</f>
        <v>30786.33223</v>
      </c>
      <c r="F381" s="10">
        <f>(R381/$B381)+(R381/'Optimal Choice'!$B$21)</f>
        <v>32575.25171</v>
      </c>
      <c r="G381" s="10">
        <f>(S381/$B381)+(S381/'Optimal Choice'!$B$26)</f>
        <v>31111.51349</v>
      </c>
      <c r="I381" s="11">
        <f t="shared" ref="I381:M381" si="380">if(min($C380:$G380)=C380,I380+1,I380)</f>
        <v>139</v>
      </c>
      <c r="J381" s="11">
        <f t="shared" si="380"/>
        <v>65</v>
      </c>
      <c r="K381" s="11">
        <f t="shared" si="380"/>
        <v>62</v>
      </c>
      <c r="L381" s="11">
        <f t="shared" si="380"/>
        <v>58</v>
      </c>
      <c r="M381" s="11">
        <f t="shared" si="380"/>
        <v>56</v>
      </c>
      <c r="O381" s="12">
        <f> 'Optimal Choice'!$B$7*'Optimal Choice'!$B$8^(I381+1)</f>
        <v>51974.32613</v>
      </c>
      <c r="P381" s="12">
        <f> 'Optimal Choice'!$B$12*'Optimal Choice'!$B$13^(J381+1)</f>
        <v>608427.3297</v>
      </c>
      <c r="Q381" s="12">
        <f> 'Optimal Choice'!$B$17*'Optimal Choice'!$B$18^(K381+1)</f>
        <v>2769096.755</v>
      </c>
      <c r="R381" s="12">
        <f> 'Optimal Choice'!$B$22*'Optimal Choice'!$B$23^(L381+1)</f>
        <v>11698815.94</v>
      </c>
      <c r="S381" s="12">
        <f> 'Optimal Choice'!$B$27*'Optimal Choice'!$B$28^(M381+1)</f>
        <v>66240298.48</v>
      </c>
    </row>
    <row r="382" ht="15.75" customHeight="1">
      <c r="A382" s="10">
        <f t="shared" si="2"/>
        <v>96.44748425</v>
      </c>
      <c r="B382" s="6">
        <f>(I382*'Optimal Choice'!$B$6+J382*'Optimal Choice'!$B$11+K382*'Optimal Choice'!$B$16+L382*'Optimal Choice'!$B$21+M382*'Optimal Choice'!$B$26)*'Optimal Choice'!$B$30</f>
        <v>148972.13</v>
      </c>
      <c r="C382" s="10">
        <f>(O382/$B382)+(O382/'Optimal Choice'!$B$6)</f>
        <v>31122.69986</v>
      </c>
      <c r="D382" s="10">
        <f>(P382/$B382)+(P382/'Optimal Choice'!$B$11)</f>
        <v>34989.26825</v>
      </c>
      <c r="E382" s="10">
        <f>(Q382/$B382)+(Q382/'Optimal Choice'!$B$16)</f>
        <v>30786.32974</v>
      </c>
      <c r="F382" s="10">
        <f>(R382/$B382)+(R382/'Optimal Choice'!$B$21)</f>
        <v>32575.24116</v>
      </c>
      <c r="G382" s="10">
        <f>(S382/$B382)+(S382/'Optimal Choice'!$B$26)</f>
        <v>31111.45378</v>
      </c>
      <c r="I382" s="11">
        <f t="shared" ref="I382:M382" si="381">if(min($C381:$G381)=C381,I381+1,I381)</f>
        <v>139</v>
      </c>
      <c r="J382" s="11">
        <f t="shared" si="381"/>
        <v>66</v>
      </c>
      <c r="K382" s="11">
        <f t="shared" si="381"/>
        <v>62</v>
      </c>
      <c r="L382" s="11">
        <f t="shared" si="381"/>
        <v>58</v>
      </c>
      <c r="M382" s="11">
        <f t="shared" si="381"/>
        <v>56</v>
      </c>
      <c r="O382" s="12">
        <f> 'Optimal Choice'!$B$7*'Optimal Choice'!$B$8^(I382+1)</f>
        <v>51974.32613</v>
      </c>
      <c r="P382" s="12">
        <f> 'Optimal Choice'!$B$12*'Optimal Choice'!$B$13^(J382+1)</f>
        <v>699691.4292</v>
      </c>
      <c r="Q382" s="12">
        <f> 'Optimal Choice'!$B$17*'Optimal Choice'!$B$18^(K382+1)</f>
        <v>2769096.755</v>
      </c>
      <c r="R382" s="12">
        <f> 'Optimal Choice'!$B$22*'Optimal Choice'!$B$23^(L382+1)</f>
        <v>11698815.94</v>
      </c>
      <c r="S382" s="12">
        <f> 'Optimal Choice'!$B$27*'Optimal Choice'!$B$28^(M382+1)</f>
        <v>66240298.48</v>
      </c>
    </row>
    <row r="383" ht="15.75" customHeight="1">
      <c r="A383" s="10">
        <f t="shared" si="2"/>
        <v>96.75728456</v>
      </c>
      <c r="B383" s="6">
        <f>(I383*'Optimal Choice'!$B$6+J383*'Optimal Choice'!$B$11+K383*'Optimal Choice'!$B$16+L383*'Optimal Choice'!$B$21+M383*'Optimal Choice'!$B$26)*'Optimal Choice'!$B$30</f>
        <v>149062.13</v>
      </c>
      <c r="C383" s="10">
        <f>(O383/$B383)+(O383/'Optimal Choice'!$B$6)</f>
        <v>31122.69965</v>
      </c>
      <c r="D383" s="10">
        <f>(P383/$B383)+(P383/'Optimal Choice'!$B$11)</f>
        <v>34989.26542</v>
      </c>
      <c r="E383" s="10">
        <f>(Q383/$B383)+(Q383/'Optimal Choice'!$B$16)</f>
        <v>35096.40311</v>
      </c>
      <c r="F383" s="10">
        <f>(R383/$B383)+(R383/'Optimal Choice'!$B$21)</f>
        <v>32575.19375</v>
      </c>
      <c r="G383" s="10">
        <f>(S383/$B383)+(S383/'Optimal Choice'!$B$26)</f>
        <v>31111.18532</v>
      </c>
      <c r="I383" s="11">
        <f t="shared" ref="I383:M383" si="382">if(min($C382:$G382)=C382,I382+1,I382)</f>
        <v>139</v>
      </c>
      <c r="J383" s="11">
        <f t="shared" si="382"/>
        <v>66</v>
      </c>
      <c r="K383" s="11">
        <f t="shared" si="382"/>
        <v>63</v>
      </c>
      <c r="L383" s="11">
        <f t="shared" si="382"/>
        <v>58</v>
      </c>
      <c r="M383" s="11">
        <f t="shared" si="382"/>
        <v>56</v>
      </c>
      <c r="O383" s="12">
        <f> 'Optimal Choice'!$B$7*'Optimal Choice'!$B$8^(I383+1)</f>
        <v>51974.32613</v>
      </c>
      <c r="P383" s="12">
        <f> 'Optimal Choice'!$B$12*'Optimal Choice'!$B$13^(J383+1)</f>
        <v>699691.4292</v>
      </c>
      <c r="Q383" s="12">
        <f> 'Optimal Choice'!$B$17*'Optimal Choice'!$B$18^(K383+1)</f>
        <v>3156770.3</v>
      </c>
      <c r="R383" s="12">
        <f> 'Optimal Choice'!$B$22*'Optimal Choice'!$B$23^(L383+1)</f>
        <v>11698815.94</v>
      </c>
      <c r="S383" s="12">
        <f> 'Optimal Choice'!$B$27*'Optimal Choice'!$B$28^(M383+1)</f>
        <v>66240298.48</v>
      </c>
    </row>
    <row r="384" ht="15.75" customHeight="1">
      <c r="A384" s="10">
        <f t="shared" si="2"/>
        <v>104.1636256</v>
      </c>
      <c r="B384" s="6">
        <f>(I384*'Optimal Choice'!$B$6+J384*'Optimal Choice'!$B$11+K384*'Optimal Choice'!$B$16+L384*'Optimal Choice'!$B$21+M384*'Optimal Choice'!$B$26)*'Optimal Choice'!$B$30</f>
        <v>151222.13</v>
      </c>
      <c r="C384" s="10">
        <f>(O384/$B384)+(O384/'Optimal Choice'!$B$6)</f>
        <v>31122.69467</v>
      </c>
      <c r="D384" s="10">
        <f>(P384/$B384)+(P384/'Optimal Choice'!$B$11)</f>
        <v>34989.19837</v>
      </c>
      <c r="E384" s="10">
        <f>(Q384/$B384)+(Q384/'Optimal Choice'!$B$16)</f>
        <v>35096.10061</v>
      </c>
      <c r="F384" s="10">
        <f>(R384/$B384)+(R384/'Optimal Choice'!$B$21)</f>
        <v>32574.07273</v>
      </c>
      <c r="G384" s="10">
        <f>(S384/$B384)+(S384/'Optimal Choice'!$B$26)</f>
        <v>34837.41851</v>
      </c>
      <c r="I384" s="11">
        <f t="shared" ref="I384:M384" si="383">if(min($C383:$G383)=C383,I383+1,I383)</f>
        <v>139</v>
      </c>
      <c r="J384" s="11">
        <f t="shared" si="383"/>
        <v>66</v>
      </c>
      <c r="K384" s="11">
        <f t="shared" si="383"/>
        <v>63</v>
      </c>
      <c r="L384" s="11">
        <f t="shared" si="383"/>
        <v>58</v>
      </c>
      <c r="M384" s="11">
        <f t="shared" si="383"/>
        <v>57</v>
      </c>
      <c r="O384" s="12">
        <f> 'Optimal Choice'!$B$7*'Optimal Choice'!$B$8^(I384+1)</f>
        <v>51974.32613</v>
      </c>
      <c r="P384" s="12">
        <f> 'Optimal Choice'!$B$12*'Optimal Choice'!$B$13^(J384+1)</f>
        <v>699691.4292</v>
      </c>
      <c r="Q384" s="12">
        <f> 'Optimal Choice'!$B$17*'Optimal Choice'!$B$18^(K384+1)</f>
        <v>3156770.3</v>
      </c>
      <c r="R384" s="12">
        <f> 'Optimal Choice'!$B$22*'Optimal Choice'!$B$23^(L384+1)</f>
        <v>11698815.94</v>
      </c>
      <c r="S384" s="12">
        <f> 'Optimal Choice'!$B$27*'Optimal Choice'!$B$28^(M384+1)</f>
        <v>74189134.3</v>
      </c>
    </row>
    <row r="385" ht="15.75" customHeight="1">
      <c r="A385" s="10">
        <f t="shared" si="2"/>
        <v>104.1693539</v>
      </c>
      <c r="B385" s="6">
        <f>(I385*'Optimal Choice'!$B$6+J385*'Optimal Choice'!$B$11+K385*'Optimal Choice'!$B$16+L385*'Optimal Choice'!$B$21+M385*'Optimal Choice'!$B$26)*'Optimal Choice'!$B$30</f>
        <v>151223.8</v>
      </c>
      <c r="C385" s="10">
        <f>(O385/$B385)+(O385/'Optimal Choice'!$B$6)</f>
        <v>33301.2833</v>
      </c>
      <c r="D385" s="10">
        <f>(P385/$B385)+(P385/'Optimal Choice'!$B$11)</f>
        <v>34989.19832</v>
      </c>
      <c r="E385" s="10">
        <f>(Q385/$B385)+(Q385/'Optimal Choice'!$B$16)</f>
        <v>35096.10038</v>
      </c>
      <c r="F385" s="10">
        <f>(R385/$B385)+(R385/'Optimal Choice'!$B$21)</f>
        <v>32574.07188</v>
      </c>
      <c r="G385" s="10">
        <f>(S385/$B385)+(S385/'Optimal Choice'!$B$26)</f>
        <v>34837.41309</v>
      </c>
      <c r="I385" s="11">
        <f t="shared" ref="I385:M385" si="384">if(min($C384:$G384)=C384,I384+1,I384)</f>
        <v>140</v>
      </c>
      <c r="J385" s="11">
        <f t="shared" si="384"/>
        <v>66</v>
      </c>
      <c r="K385" s="11">
        <f t="shared" si="384"/>
        <v>63</v>
      </c>
      <c r="L385" s="11">
        <f t="shared" si="384"/>
        <v>58</v>
      </c>
      <c r="M385" s="11">
        <f t="shared" si="384"/>
        <v>57</v>
      </c>
      <c r="O385" s="12">
        <f> 'Optimal Choice'!$B$7*'Optimal Choice'!$B$8^(I385+1)</f>
        <v>55612.52896</v>
      </c>
      <c r="P385" s="12">
        <f> 'Optimal Choice'!$B$12*'Optimal Choice'!$B$13^(J385+1)</f>
        <v>699691.4292</v>
      </c>
      <c r="Q385" s="12">
        <f> 'Optimal Choice'!$B$17*'Optimal Choice'!$B$18^(K385+1)</f>
        <v>3156770.3</v>
      </c>
      <c r="R385" s="12">
        <f> 'Optimal Choice'!$B$22*'Optimal Choice'!$B$23^(L385+1)</f>
        <v>11698815.94</v>
      </c>
      <c r="S385" s="12">
        <f> 'Optimal Choice'!$B$27*'Optimal Choice'!$B$28^(M385+1)</f>
        <v>74189134.3</v>
      </c>
    </row>
    <row r="386" ht="15.75" customHeight="1">
      <c r="A386" s="10">
        <f t="shared" si="2"/>
        <v>105.458703</v>
      </c>
      <c r="B386" s="6">
        <f>(I386*'Optimal Choice'!$B$6+J386*'Optimal Choice'!$B$11+K386*'Optimal Choice'!$B$16+L386*'Optimal Choice'!$B$21+M386*'Optimal Choice'!$B$26)*'Optimal Choice'!$B$30</f>
        <v>151583.8</v>
      </c>
      <c r="C386" s="10">
        <f>(O386/$B386)+(O386/'Optimal Choice'!$B$6)</f>
        <v>33301.28242</v>
      </c>
      <c r="D386" s="10">
        <f>(P386/$B386)+(P386/'Optimal Choice'!$B$11)</f>
        <v>34989.18733</v>
      </c>
      <c r="E386" s="10">
        <f>(Q386/$B386)+(Q386/'Optimal Choice'!$B$16)</f>
        <v>35096.05081</v>
      </c>
      <c r="F386" s="10">
        <f>(R386/$B386)+(R386/'Optimal Choice'!$B$21)</f>
        <v>36808.49361</v>
      </c>
      <c r="G386" s="10">
        <f>(S386/$B386)+(S386/'Optimal Choice'!$B$26)</f>
        <v>34836.24797</v>
      </c>
      <c r="I386" s="11">
        <f t="shared" ref="I386:M386" si="385">if(min($C385:$G385)=C385,I385+1,I385)</f>
        <v>140</v>
      </c>
      <c r="J386" s="11">
        <f t="shared" si="385"/>
        <v>66</v>
      </c>
      <c r="K386" s="11">
        <f t="shared" si="385"/>
        <v>63</v>
      </c>
      <c r="L386" s="11">
        <f t="shared" si="385"/>
        <v>59</v>
      </c>
      <c r="M386" s="11">
        <f t="shared" si="385"/>
        <v>57</v>
      </c>
      <c r="O386" s="12">
        <f> 'Optimal Choice'!$B$7*'Optimal Choice'!$B$8^(I386+1)</f>
        <v>55612.52896</v>
      </c>
      <c r="P386" s="12">
        <f> 'Optimal Choice'!$B$12*'Optimal Choice'!$B$13^(J386+1)</f>
        <v>699691.4292</v>
      </c>
      <c r="Q386" s="12">
        <f> 'Optimal Choice'!$B$17*'Optimal Choice'!$B$18^(K386+1)</f>
        <v>3156770.3</v>
      </c>
      <c r="R386" s="12">
        <f> 'Optimal Choice'!$B$22*'Optimal Choice'!$B$23^(L386+1)</f>
        <v>13219662.01</v>
      </c>
      <c r="S386" s="12">
        <f> 'Optimal Choice'!$B$27*'Optimal Choice'!$B$28^(M386+1)</f>
        <v>74189134.3</v>
      </c>
    </row>
    <row r="387" ht="15.75" customHeight="1">
      <c r="A387" s="10">
        <f t="shared" si="2"/>
        <v>105.4648176</v>
      </c>
      <c r="B387" s="6">
        <f>(I387*'Optimal Choice'!$B$6+J387*'Optimal Choice'!$B$11+K387*'Optimal Choice'!$B$16+L387*'Optimal Choice'!$B$21+M387*'Optimal Choice'!$B$26)*'Optimal Choice'!$B$30</f>
        <v>151585.47</v>
      </c>
      <c r="C387" s="10">
        <f>(O387/$B387)+(O387/'Optimal Choice'!$B$6)</f>
        <v>35632.37219</v>
      </c>
      <c r="D387" s="10">
        <f>(P387/$B387)+(P387/'Optimal Choice'!$B$11)</f>
        <v>34989.18728</v>
      </c>
      <c r="E387" s="10">
        <f>(Q387/$B387)+(Q387/'Optimal Choice'!$B$16)</f>
        <v>35096.05058</v>
      </c>
      <c r="F387" s="10">
        <f>(R387/$B387)+(R387/'Optimal Choice'!$B$21)</f>
        <v>36808.49265</v>
      </c>
      <c r="G387" s="10">
        <f>(S387/$B387)+(S387/'Optimal Choice'!$B$26)</f>
        <v>34836.24258</v>
      </c>
      <c r="I387" s="11">
        <f t="shared" ref="I387:M387" si="386">if(min($C386:$G386)=C386,I386+1,I386)</f>
        <v>141</v>
      </c>
      <c r="J387" s="11">
        <f t="shared" si="386"/>
        <v>66</v>
      </c>
      <c r="K387" s="11">
        <f t="shared" si="386"/>
        <v>63</v>
      </c>
      <c r="L387" s="11">
        <f t="shared" si="386"/>
        <v>59</v>
      </c>
      <c r="M387" s="11">
        <f t="shared" si="386"/>
        <v>57</v>
      </c>
      <c r="O387" s="12">
        <f> 'Optimal Choice'!$B$7*'Optimal Choice'!$B$8^(I387+1)</f>
        <v>59505.40599</v>
      </c>
      <c r="P387" s="12">
        <f> 'Optimal Choice'!$B$12*'Optimal Choice'!$B$13^(J387+1)</f>
        <v>699691.4292</v>
      </c>
      <c r="Q387" s="12">
        <f> 'Optimal Choice'!$B$17*'Optimal Choice'!$B$18^(K387+1)</f>
        <v>3156770.3</v>
      </c>
      <c r="R387" s="12">
        <f> 'Optimal Choice'!$B$22*'Optimal Choice'!$B$23^(L387+1)</f>
        <v>13219662.01</v>
      </c>
      <c r="S387" s="12">
        <f> 'Optimal Choice'!$B$27*'Optimal Choice'!$B$28^(M387+1)</f>
        <v>74189134.3</v>
      </c>
    </row>
    <row r="388" ht="15.75" customHeight="1">
      <c r="A388" s="10">
        <f t="shared" si="2"/>
        <v>113.6218366</v>
      </c>
      <c r="B388" s="6">
        <f>(I388*'Optimal Choice'!$B$6+J388*'Optimal Choice'!$B$11+K388*'Optimal Choice'!$B$16+L388*'Optimal Choice'!$B$21+M388*'Optimal Choice'!$B$26)*'Optimal Choice'!$B$30</f>
        <v>153745.47</v>
      </c>
      <c r="C388" s="10">
        <f>(O388/$B388)+(O388/'Optimal Choice'!$B$6)</f>
        <v>35632.36667</v>
      </c>
      <c r="D388" s="10">
        <f>(P388/$B388)+(P388/'Optimal Choice'!$B$11)</f>
        <v>34989.12243</v>
      </c>
      <c r="E388" s="10">
        <f>(Q388/$B388)+(Q388/'Optimal Choice'!$B$16)</f>
        <v>35095.758</v>
      </c>
      <c r="F388" s="10">
        <f>(R388/$B388)+(R388/'Optimal Choice'!$B$21)</f>
        <v>36807.26743</v>
      </c>
      <c r="G388" s="10">
        <f>(S388/$B388)+(S388/'Optimal Choice'!$B$26)</f>
        <v>39008.8906</v>
      </c>
      <c r="I388" s="11">
        <f t="shared" ref="I388:M388" si="387">if(min($C387:$G387)=C387,I387+1,I387)</f>
        <v>141</v>
      </c>
      <c r="J388" s="11">
        <f t="shared" si="387"/>
        <v>66</v>
      </c>
      <c r="K388" s="11">
        <f t="shared" si="387"/>
        <v>63</v>
      </c>
      <c r="L388" s="11">
        <f t="shared" si="387"/>
        <v>59</v>
      </c>
      <c r="M388" s="11">
        <f t="shared" si="387"/>
        <v>58</v>
      </c>
      <c r="O388" s="12">
        <f> 'Optimal Choice'!$B$7*'Optimal Choice'!$B$8^(I388+1)</f>
        <v>59505.40599</v>
      </c>
      <c r="P388" s="12">
        <f> 'Optimal Choice'!$B$12*'Optimal Choice'!$B$13^(J388+1)</f>
        <v>699691.4292</v>
      </c>
      <c r="Q388" s="12">
        <f> 'Optimal Choice'!$B$17*'Optimal Choice'!$B$18^(K388+1)</f>
        <v>3156770.3</v>
      </c>
      <c r="R388" s="12">
        <f> 'Optimal Choice'!$B$22*'Optimal Choice'!$B$23^(L388+1)</f>
        <v>13219662.01</v>
      </c>
      <c r="S388" s="12">
        <f> 'Optimal Choice'!$B$27*'Optimal Choice'!$B$28^(M388+1)</f>
        <v>83091830.41</v>
      </c>
    </row>
    <row r="389" ht="15.75" customHeight="1">
      <c r="A389" s="10">
        <f t="shared" si="2"/>
        <v>113.6976862</v>
      </c>
      <c r="B389" s="6">
        <f>(I389*'Optimal Choice'!$B$6+J389*'Optimal Choice'!$B$11+K389*'Optimal Choice'!$B$16+L389*'Optimal Choice'!$B$21+M389*'Optimal Choice'!$B$26)*'Optimal Choice'!$B$30</f>
        <v>153765.47</v>
      </c>
      <c r="C389" s="10">
        <f>(O389/$B389)+(O389/'Optimal Choice'!$B$6)</f>
        <v>35632.36662</v>
      </c>
      <c r="D389" s="10">
        <f>(P389/$B389)+(P389/'Optimal Choice'!$B$11)</f>
        <v>40237.49011</v>
      </c>
      <c r="E389" s="10">
        <f>(Q389/$B389)+(Q389/'Optimal Choice'!$B$16)</f>
        <v>35095.75533</v>
      </c>
      <c r="F389" s="10">
        <f>(R389/$B389)+(R389/'Optimal Choice'!$B$21)</f>
        <v>36807.25624</v>
      </c>
      <c r="G389" s="10">
        <f>(S389/$B389)+(S389/'Optimal Choice'!$B$26)</f>
        <v>39008.8203</v>
      </c>
      <c r="I389" s="11">
        <f t="shared" ref="I389:M389" si="388">if(min($C388:$G388)=C388,I388+1,I388)</f>
        <v>141</v>
      </c>
      <c r="J389" s="11">
        <f t="shared" si="388"/>
        <v>67</v>
      </c>
      <c r="K389" s="11">
        <f t="shared" si="388"/>
        <v>63</v>
      </c>
      <c r="L389" s="11">
        <f t="shared" si="388"/>
        <v>59</v>
      </c>
      <c r="M389" s="11">
        <f t="shared" si="388"/>
        <v>58</v>
      </c>
      <c r="O389" s="12">
        <f> 'Optimal Choice'!$B$7*'Optimal Choice'!$B$8^(I389+1)</f>
        <v>59505.40599</v>
      </c>
      <c r="P389" s="12">
        <f> 'Optimal Choice'!$B$12*'Optimal Choice'!$B$13^(J389+1)</f>
        <v>804645.1435</v>
      </c>
      <c r="Q389" s="12">
        <f> 'Optimal Choice'!$B$17*'Optimal Choice'!$B$18^(K389+1)</f>
        <v>3156770.3</v>
      </c>
      <c r="R389" s="12">
        <f> 'Optimal Choice'!$B$22*'Optimal Choice'!$B$23^(L389+1)</f>
        <v>13219662.01</v>
      </c>
      <c r="S389" s="12">
        <f> 'Optimal Choice'!$B$27*'Optimal Choice'!$B$28^(M389+1)</f>
        <v>83091830.41</v>
      </c>
    </row>
    <row r="390" ht="15.75" customHeight="1">
      <c r="A390" s="10">
        <f t="shared" si="2"/>
        <v>114.0398491</v>
      </c>
      <c r="B390" s="6">
        <f>(I390*'Optimal Choice'!$B$6+J390*'Optimal Choice'!$B$11+K390*'Optimal Choice'!$B$16+L390*'Optimal Choice'!$B$21+M390*'Optimal Choice'!$B$26)*'Optimal Choice'!$B$30</f>
        <v>153855.47</v>
      </c>
      <c r="C390" s="10">
        <f>(O390/$B390)+(O390/'Optimal Choice'!$B$6)</f>
        <v>35632.3664</v>
      </c>
      <c r="D390" s="10">
        <f>(P390/$B390)+(P390/'Optimal Choice'!$B$11)</f>
        <v>40237.48705</v>
      </c>
      <c r="E390" s="10">
        <f>(Q390/$B390)+(Q390/'Optimal Choice'!$B$16)</f>
        <v>40009.14739</v>
      </c>
      <c r="F390" s="10">
        <f>(R390/$B390)+(R390/'Optimal Choice'!$B$21)</f>
        <v>36807.20595</v>
      </c>
      <c r="G390" s="10">
        <f>(S390/$B390)+(S390/'Optimal Choice'!$B$26)</f>
        <v>39008.5042</v>
      </c>
      <c r="I390" s="11">
        <f t="shared" ref="I390:M390" si="389">if(min($C389:$G389)=C389,I389+1,I389)</f>
        <v>141</v>
      </c>
      <c r="J390" s="11">
        <f t="shared" si="389"/>
        <v>67</v>
      </c>
      <c r="K390" s="11">
        <f t="shared" si="389"/>
        <v>64</v>
      </c>
      <c r="L390" s="11">
        <f t="shared" si="389"/>
        <v>59</v>
      </c>
      <c r="M390" s="11">
        <f t="shared" si="389"/>
        <v>58</v>
      </c>
      <c r="O390" s="12">
        <f> 'Optimal Choice'!$B$7*'Optimal Choice'!$B$8^(I390+1)</f>
        <v>59505.40599</v>
      </c>
      <c r="P390" s="12">
        <f> 'Optimal Choice'!$B$12*'Optimal Choice'!$B$13^(J390+1)</f>
        <v>804645.1435</v>
      </c>
      <c r="Q390" s="12">
        <f> 'Optimal Choice'!$B$17*'Optimal Choice'!$B$18^(K390+1)</f>
        <v>3598718.142</v>
      </c>
      <c r="R390" s="12">
        <f> 'Optimal Choice'!$B$22*'Optimal Choice'!$B$23^(L390+1)</f>
        <v>13219662.01</v>
      </c>
      <c r="S390" s="12">
        <f> 'Optimal Choice'!$B$27*'Optimal Choice'!$B$28^(M390+1)</f>
        <v>83091830.41</v>
      </c>
    </row>
    <row r="391" ht="15.75" customHeight="1">
      <c r="A391" s="10">
        <f t="shared" si="2"/>
        <v>114.0462951</v>
      </c>
      <c r="B391" s="6">
        <f>(I391*'Optimal Choice'!$B$6+J391*'Optimal Choice'!$B$11+K391*'Optimal Choice'!$B$16+L391*'Optimal Choice'!$B$21+M391*'Optimal Choice'!$B$26)*'Optimal Choice'!$B$30</f>
        <v>153857.14</v>
      </c>
      <c r="C391" s="10">
        <f>(O391/$B391)+(O391/'Optimal Choice'!$B$6)</f>
        <v>38126.63204</v>
      </c>
      <c r="D391" s="10">
        <f>(P391/$B391)+(P391/'Optimal Choice'!$B$11)</f>
        <v>40237.487</v>
      </c>
      <c r="E391" s="10">
        <f>(Q391/$B391)+(Q391/'Optimal Choice'!$B$16)</f>
        <v>40009.14713</v>
      </c>
      <c r="F391" s="10">
        <f>(R391/$B391)+(R391/'Optimal Choice'!$B$21)</f>
        <v>36807.20502</v>
      </c>
      <c r="G391" s="10">
        <f>(S391/$B391)+(S391/'Optimal Choice'!$B$26)</f>
        <v>39008.49834</v>
      </c>
      <c r="I391" s="11">
        <f t="shared" ref="I391:M391" si="390">if(min($C390:$G390)=C390,I390+1,I390)</f>
        <v>142</v>
      </c>
      <c r="J391" s="11">
        <f t="shared" si="390"/>
        <v>67</v>
      </c>
      <c r="K391" s="11">
        <f t="shared" si="390"/>
        <v>64</v>
      </c>
      <c r="L391" s="11">
        <f t="shared" si="390"/>
        <v>59</v>
      </c>
      <c r="M391" s="11">
        <f t="shared" si="390"/>
        <v>58</v>
      </c>
      <c r="O391" s="12">
        <f> 'Optimal Choice'!$B$7*'Optimal Choice'!$B$8^(I391+1)</f>
        <v>63670.78441</v>
      </c>
      <c r="P391" s="12">
        <f> 'Optimal Choice'!$B$12*'Optimal Choice'!$B$13^(J391+1)</f>
        <v>804645.1435</v>
      </c>
      <c r="Q391" s="12">
        <f> 'Optimal Choice'!$B$17*'Optimal Choice'!$B$18^(K391+1)</f>
        <v>3598718.142</v>
      </c>
      <c r="R391" s="12">
        <f> 'Optimal Choice'!$B$22*'Optimal Choice'!$B$23^(L391+1)</f>
        <v>13219662.01</v>
      </c>
      <c r="S391" s="12">
        <f> 'Optimal Choice'!$B$27*'Optimal Choice'!$B$28^(M391+1)</f>
        <v>83091830.41</v>
      </c>
    </row>
    <row r="392" ht="15.75" customHeight="1">
      <c r="A392" s="10">
        <f t="shared" si="2"/>
        <v>115.4783229</v>
      </c>
      <c r="B392" s="6">
        <f>(I392*'Optimal Choice'!$B$6+J392*'Optimal Choice'!$B$11+K392*'Optimal Choice'!$B$16+L392*'Optimal Choice'!$B$21+M392*'Optimal Choice'!$B$26)*'Optimal Choice'!$B$30</f>
        <v>154217.14</v>
      </c>
      <c r="C392" s="10">
        <f>(O392/$B392)+(O392/'Optimal Choice'!$B$6)</f>
        <v>38126.63107</v>
      </c>
      <c r="D392" s="10">
        <f>(P392/$B392)+(P392/'Optimal Choice'!$B$11)</f>
        <v>40237.47479</v>
      </c>
      <c r="E392" s="10">
        <f>(Q392/$B392)+(Q392/'Optimal Choice'!$B$16)</f>
        <v>40009.09253</v>
      </c>
      <c r="F392" s="10">
        <f>(R392/$B392)+(R392/'Optimal Choice'!$B$21)</f>
        <v>41591.91502</v>
      </c>
      <c r="G392" s="10">
        <f>(S392/$B392)+(S392/'Optimal Choice'!$B$26)</f>
        <v>39007.23764</v>
      </c>
      <c r="I392" s="11">
        <f t="shared" ref="I392:M392" si="391">if(min($C391:$G391)=C391,I391+1,I391)</f>
        <v>142</v>
      </c>
      <c r="J392" s="11">
        <f t="shared" si="391"/>
        <v>67</v>
      </c>
      <c r="K392" s="11">
        <f t="shared" si="391"/>
        <v>64</v>
      </c>
      <c r="L392" s="11">
        <f t="shared" si="391"/>
        <v>60</v>
      </c>
      <c r="M392" s="11">
        <f t="shared" si="391"/>
        <v>58</v>
      </c>
      <c r="O392" s="12">
        <f> 'Optimal Choice'!$B$7*'Optimal Choice'!$B$8^(I392+1)</f>
        <v>63670.78441</v>
      </c>
      <c r="P392" s="12">
        <f> 'Optimal Choice'!$B$12*'Optimal Choice'!$B$13^(J392+1)</f>
        <v>804645.1435</v>
      </c>
      <c r="Q392" s="12">
        <f> 'Optimal Choice'!$B$17*'Optimal Choice'!$B$18^(K392+1)</f>
        <v>3598718.142</v>
      </c>
      <c r="R392" s="12">
        <f> 'Optimal Choice'!$B$22*'Optimal Choice'!$B$23^(L392+1)</f>
        <v>14938218.07</v>
      </c>
      <c r="S392" s="12">
        <f> 'Optimal Choice'!$B$27*'Optimal Choice'!$B$28^(M392+1)</f>
        <v>83091830.41</v>
      </c>
    </row>
    <row r="393" ht="15.75" customHeight="1">
      <c r="A393" s="10">
        <f t="shared" si="2"/>
        <v>115.485204</v>
      </c>
      <c r="B393" s="6">
        <f>(I393*'Optimal Choice'!$B$6+J393*'Optimal Choice'!$B$11+K393*'Optimal Choice'!$B$16+L393*'Optimal Choice'!$B$21+M393*'Optimal Choice'!$B$26)*'Optimal Choice'!$B$30</f>
        <v>154218.81</v>
      </c>
      <c r="C393" s="10">
        <f>(O393/$B393)+(O393/'Optimal Choice'!$B$6)</f>
        <v>40795.49524</v>
      </c>
      <c r="D393" s="10">
        <f>(P393/$B393)+(P393/'Optimal Choice'!$B$11)</f>
        <v>40237.47473</v>
      </c>
      <c r="E393" s="10">
        <f>(Q393/$B393)+(Q393/'Optimal Choice'!$B$16)</f>
        <v>40009.09228</v>
      </c>
      <c r="F393" s="10">
        <f>(R393/$B393)+(R393/'Optimal Choice'!$B$21)</f>
        <v>41591.91398</v>
      </c>
      <c r="G393" s="10">
        <f>(S393/$B393)+(S393/'Optimal Choice'!$B$26)</f>
        <v>39007.23181</v>
      </c>
      <c r="I393" s="11">
        <f t="shared" ref="I393:M393" si="392">if(min($C392:$G392)=C392,I392+1,I392)</f>
        <v>143</v>
      </c>
      <c r="J393" s="11">
        <f t="shared" si="392"/>
        <v>67</v>
      </c>
      <c r="K393" s="11">
        <f t="shared" si="392"/>
        <v>64</v>
      </c>
      <c r="L393" s="11">
        <f t="shared" si="392"/>
        <v>60</v>
      </c>
      <c r="M393" s="11">
        <f t="shared" si="392"/>
        <v>58</v>
      </c>
      <c r="O393" s="12">
        <f> 'Optimal Choice'!$B$7*'Optimal Choice'!$B$8^(I393+1)</f>
        <v>68127.73932</v>
      </c>
      <c r="P393" s="12">
        <f> 'Optimal Choice'!$B$12*'Optimal Choice'!$B$13^(J393+1)</f>
        <v>804645.1435</v>
      </c>
      <c r="Q393" s="12">
        <f> 'Optimal Choice'!$B$17*'Optimal Choice'!$B$18^(K393+1)</f>
        <v>3598718.142</v>
      </c>
      <c r="R393" s="12">
        <f> 'Optimal Choice'!$B$22*'Optimal Choice'!$B$23^(L393+1)</f>
        <v>14938218.07</v>
      </c>
      <c r="S393" s="12">
        <f> 'Optimal Choice'!$B$27*'Optimal Choice'!$B$28^(M393+1)</f>
        <v>83091830.41</v>
      </c>
    </row>
    <row r="394" ht="15.75" customHeight="1">
      <c r="A394" s="10">
        <f t="shared" si="2"/>
        <v>124.4650673</v>
      </c>
      <c r="B394" s="6">
        <f>(I394*'Optimal Choice'!$B$6+J394*'Optimal Choice'!$B$11+K394*'Optimal Choice'!$B$16+L394*'Optimal Choice'!$B$21+M394*'Optimal Choice'!$B$26)*'Optimal Choice'!$B$30</f>
        <v>156378.81</v>
      </c>
      <c r="C394" s="10">
        <f>(O394/$B394)+(O394/'Optimal Choice'!$B$6)</f>
        <v>40795.48914</v>
      </c>
      <c r="D394" s="10">
        <f>(P394/$B394)+(P394/'Optimal Choice'!$B$11)</f>
        <v>40237.40266</v>
      </c>
      <c r="E394" s="10">
        <f>(Q394/$B394)+(Q394/'Optimal Choice'!$B$16)</f>
        <v>40008.76996</v>
      </c>
      <c r="F394" s="10">
        <f>(R394/$B394)+(R394/'Optimal Choice'!$B$21)</f>
        <v>41590.57603</v>
      </c>
      <c r="G394" s="10">
        <f>(S394/$B394)+(S394/'Optimal Choice'!$B$26)</f>
        <v>43679.76445</v>
      </c>
      <c r="I394" s="11">
        <f t="shared" ref="I394:M394" si="393">if(min($C393:$G393)=C393,I393+1,I393)</f>
        <v>143</v>
      </c>
      <c r="J394" s="11">
        <f t="shared" si="393"/>
        <v>67</v>
      </c>
      <c r="K394" s="11">
        <f t="shared" si="393"/>
        <v>64</v>
      </c>
      <c r="L394" s="11">
        <f t="shared" si="393"/>
        <v>60</v>
      </c>
      <c r="M394" s="11">
        <f t="shared" si="393"/>
        <v>59</v>
      </c>
      <c r="O394" s="12">
        <f> 'Optimal Choice'!$B$7*'Optimal Choice'!$B$8^(I394+1)</f>
        <v>68127.73932</v>
      </c>
      <c r="P394" s="12">
        <f> 'Optimal Choice'!$B$12*'Optimal Choice'!$B$13^(J394+1)</f>
        <v>804645.1435</v>
      </c>
      <c r="Q394" s="12">
        <f> 'Optimal Choice'!$B$17*'Optimal Choice'!$B$18^(K394+1)</f>
        <v>3598718.142</v>
      </c>
      <c r="R394" s="12">
        <f> 'Optimal Choice'!$B$22*'Optimal Choice'!$B$23^(L394+1)</f>
        <v>14938218.07</v>
      </c>
      <c r="S394" s="12">
        <f> 'Optimal Choice'!$B$27*'Optimal Choice'!$B$28^(M394+1)</f>
        <v>93062850.06</v>
      </c>
    </row>
    <row r="395" ht="15.75" customHeight="1">
      <c r="A395" s="10">
        <f t="shared" si="2"/>
        <v>124.8486144</v>
      </c>
      <c r="B395" s="6">
        <f>(I395*'Optimal Choice'!$B$6+J395*'Optimal Choice'!$B$11+K395*'Optimal Choice'!$B$16+L395*'Optimal Choice'!$B$21+M395*'Optimal Choice'!$B$26)*'Optimal Choice'!$B$30</f>
        <v>156468.81</v>
      </c>
      <c r="C395" s="10">
        <f>(O395/$B395)+(O395/'Optimal Choice'!$B$6)</f>
        <v>40795.48889</v>
      </c>
      <c r="D395" s="10">
        <f>(P395/$B395)+(P395/'Optimal Choice'!$B$11)</f>
        <v>40237.3997</v>
      </c>
      <c r="E395" s="10">
        <f>(Q395/$B395)+(Q395/'Optimal Choice'!$B$16)</f>
        <v>45609.98267</v>
      </c>
      <c r="F395" s="10">
        <f>(R395/$B395)+(R395/'Optimal Choice'!$B$21)</f>
        <v>41590.52109</v>
      </c>
      <c r="G395" s="10">
        <f>(S395/$B395)+(S395/'Optimal Choice'!$B$26)</f>
        <v>43679.42214</v>
      </c>
      <c r="I395" s="11">
        <f t="shared" ref="I395:M395" si="394">if(min($C394:$G394)=C394,I394+1,I394)</f>
        <v>143</v>
      </c>
      <c r="J395" s="11">
        <f t="shared" si="394"/>
        <v>67</v>
      </c>
      <c r="K395" s="11">
        <f t="shared" si="394"/>
        <v>65</v>
      </c>
      <c r="L395" s="11">
        <f t="shared" si="394"/>
        <v>60</v>
      </c>
      <c r="M395" s="11">
        <f t="shared" si="394"/>
        <v>59</v>
      </c>
      <c r="O395" s="12">
        <f> 'Optimal Choice'!$B$7*'Optimal Choice'!$B$8^(I395+1)</f>
        <v>68127.73932</v>
      </c>
      <c r="P395" s="12">
        <f> 'Optimal Choice'!$B$12*'Optimal Choice'!$B$13^(J395+1)</f>
        <v>804645.1435</v>
      </c>
      <c r="Q395" s="12">
        <f> 'Optimal Choice'!$B$17*'Optimal Choice'!$B$18^(K395+1)</f>
        <v>4102538.682</v>
      </c>
      <c r="R395" s="12">
        <f> 'Optimal Choice'!$B$22*'Optimal Choice'!$B$23^(L395+1)</f>
        <v>14938218.07</v>
      </c>
      <c r="S395" s="12">
        <f> 'Optimal Choice'!$B$27*'Optimal Choice'!$B$28^(M395+1)</f>
        <v>93062850.06</v>
      </c>
    </row>
    <row r="396" ht="15.75" customHeight="1">
      <c r="A396" s="10">
        <f t="shared" si="2"/>
        <v>124.9343232</v>
      </c>
      <c r="B396" s="6">
        <f>(I396*'Optimal Choice'!$B$6+J396*'Optimal Choice'!$B$11+K396*'Optimal Choice'!$B$16+L396*'Optimal Choice'!$B$21+M396*'Optimal Choice'!$B$26)*'Optimal Choice'!$B$30</f>
        <v>156488.81</v>
      </c>
      <c r="C396" s="10">
        <f>(O396/$B396)+(O396/'Optimal Choice'!$B$6)</f>
        <v>40795.48884</v>
      </c>
      <c r="D396" s="10">
        <f>(P396/$B396)+(P396/'Optimal Choice'!$B$11)</f>
        <v>46273.0089</v>
      </c>
      <c r="E396" s="10">
        <f>(Q396/$B396)+(Q396/'Optimal Choice'!$B$16)</f>
        <v>45609.97931</v>
      </c>
      <c r="F396" s="10">
        <f>(R396/$B396)+(R396/'Optimal Choice'!$B$21)</f>
        <v>41590.50889</v>
      </c>
      <c r="G396" s="10">
        <f>(S396/$B396)+(S396/'Optimal Choice'!$B$26)</f>
        <v>43679.34613</v>
      </c>
      <c r="I396" s="11">
        <f t="shared" ref="I396:M396" si="395">if(min($C395:$G395)=C395,I395+1,I395)</f>
        <v>143</v>
      </c>
      <c r="J396" s="11">
        <f t="shared" si="395"/>
        <v>68</v>
      </c>
      <c r="K396" s="11">
        <f t="shared" si="395"/>
        <v>65</v>
      </c>
      <c r="L396" s="11">
        <f t="shared" si="395"/>
        <v>60</v>
      </c>
      <c r="M396" s="11">
        <f t="shared" si="395"/>
        <v>59</v>
      </c>
      <c r="O396" s="12">
        <f> 'Optimal Choice'!$B$7*'Optimal Choice'!$B$8^(I396+1)</f>
        <v>68127.73932</v>
      </c>
      <c r="P396" s="12">
        <f> 'Optimal Choice'!$B$12*'Optimal Choice'!$B$13^(J396+1)</f>
        <v>925341.9151</v>
      </c>
      <c r="Q396" s="12">
        <f> 'Optimal Choice'!$B$17*'Optimal Choice'!$B$18^(K396+1)</f>
        <v>4102538.682</v>
      </c>
      <c r="R396" s="12">
        <f> 'Optimal Choice'!$B$22*'Optimal Choice'!$B$23^(L396+1)</f>
        <v>14938218.07</v>
      </c>
      <c r="S396" s="12">
        <f> 'Optimal Choice'!$B$27*'Optimal Choice'!$B$28^(M396+1)</f>
        <v>93062850.06</v>
      </c>
    </row>
    <row r="397" ht="15.75" customHeight="1">
      <c r="A397" s="10">
        <f t="shared" si="2"/>
        <v>124.9415791</v>
      </c>
      <c r="B397" s="6">
        <f>(I397*'Optimal Choice'!$B$6+J397*'Optimal Choice'!$B$11+K397*'Optimal Choice'!$B$16+L397*'Optimal Choice'!$B$21+M397*'Optimal Choice'!$B$26)*'Optimal Choice'!$B$30</f>
        <v>156490.48</v>
      </c>
      <c r="C397" s="10">
        <f>(O397/$B397)+(O397/'Optimal Choice'!$B$6)</f>
        <v>43651.17305</v>
      </c>
      <c r="D397" s="10">
        <f>(P397/$B397)+(P397/'Optimal Choice'!$B$11)</f>
        <v>46273.00884</v>
      </c>
      <c r="E397" s="10">
        <f>(Q397/$B397)+(Q397/'Optimal Choice'!$B$16)</f>
        <v>45609.97903</v>
      </c>
      <c r="F397" s="10">
        <f>(R397/$B397)+(R397/'Optimal Choice'!$B$21)</f>
        <v>41590.50787</v>
      </c>
      <c r="G397" s="10">
        <f>(S397/$B397)+(S397/'Optimal Choice'!$B$26)</f>
        <v>43679.33978</v>
      </c>
      <c r="I397" s="11">
        <f t="shared" ref="I397:M397" si="396">if(min($C396:$G396)=C396,I396+1,I396)</f>
        <v>144</v>
      </c>
      <c r="J397" s="11">
        <f t="shared" si="396"/>
        <v>68</v>
      </c>
      <c r="K397" s="11">
        <f t="shared" si="396"/>
        <v>65</v>
      </c>
      <c r="L397" s="11">
        <f t="shared" si="396"/>
        <v>60</v>
      </c>
      <c r="M397" s="11">
        <f t="shared" si="396"/>
        <v>59</v>
      </c>
      <c r="O397" s="12">
        <f> 'Optimal Choice'!$B$7*'Optimal Choice'!$B$8^(I397+1)</f>
        <v>72896.68107</v>
      </c>
      <c r="P397" s="12">
        <f> 'Optimal Choice'!$B$12*'Optimal Choice'!$B$13^(J397+1)</f>
        <v>925341.9151</v>
      </c>
      <c r="Q397" s="12">
        <f> 'Optimal Choice'!$B$17*'Optimal Choice'!$B$18^(K397+1)</f>
        <v>4102538.682</v>
      </c>
      <c r="R397" s="12">
        <f> 'Optimal Choice'!$B$22*'Optimal Choice'!$B$23^(L397+1)</f>
        <v>14938218.07</v>
      </c>
      <c r="S397" s="12">
        <f> 'Optimal Choice'!$B$27*'Optimal Choice'!$B$28^(M397+1)</f>
        <v>93062850.06</v>
      </c>
    </row>
    <row r="398" ht="15.75" customHeight="1">
      <c r="A398" s="10">
        <f t="shared" si="2"/>
        <v>126.5325404</v>
      </c>
      <c r="B398" s="6">
        <f>(I398*'Optimal Choice'!$B$6+J398*'Optimal Choice'!$B$11+K398*'Optimal Choice'!$B$16+L398*'Optimal Choice'!$B$21+M398*'Optimal Choice'!$B$26)*'Optimal Choice'!$B$30</f>
        <v>156850.48</v>
      </c>
      <c r="C398" s="10">
        <f>(O398/$B398)+(O398/'Optimal Choice'!$B$6)</f>
        <v>43651.17198</v>
      </c>
      <c r="D398" s="10">
        <f>(P398/$B398)+(P398/'Optimal Choice'!$B$11)</f>
        <v>46272.99527</v>
      </c>
      <c r="E398" s="10">
        <f>(Q398/$B398)+(Q398/'Optimal Choice'!$B$16)</f>
        <v>45609.91886</v>
      </c>
      <c r="F398" s="10">
        <f>(R398/$B398)+(R398/'Optimal Choice'!$B$21)</f>
        <v>46997.02632</v>
      </c>
      <c r="G398" s="10">
        <f>(S398/$B398)+(S398/'Optimal Choice'!$B$26)</f>
        <v>43677.97487</v>
      </c>
      <c r="I398" s="11">
        <f t="shared" ref="I398:M398" si="397">if(min($C397:$G397)=C397,I397+1,I397)</f>
        <v>144</v>
      </c>
      <c r="J398" s="11">
        <f t="shared" si="397"/>
        <v>68</v>
      </c>
      <c r="K398" s="11">
        <f t="shared" si="397"/>
        <v>65</v>
      </c>
      <c r="L398" s="11">
        <f t="shared" si="397"/>
        <v>61</v>
      </c>
      <c r="M398" s="11">
        <f t="shared" si="397"/>
        <v>59</v>
      </c>
      <c r="O398" s="12">
        <f> 'Optimal Choice'!$B$7*'Optimal Choice'!$B$8^(I398+1)</f>
        <v>72896.68107</v>
      </c>
      <c r="P398" s="12">
        <f> 'Optimal Choice'!$B$12*'Optimal Choice'!$B$13^(J398+1)</f>
        <v>925341.9151</v>
      </c>
      <c r="Q398" s="12">
        <f> 'Optimal Choice'!$B$17*'Optimal Choice'!$B$18^(K398+1)</f>
        <v>4102538.682</v>
      </c>
      <c r="R398" s="12">
        <f> 'Optimal Choice'!$B$22*'Optimal Choice'!$B$23^(L398+1)</f>
        <v>16880186.42</v>
      </c>
      <c r="S398" s="12">
        <f> 'Optimal Choice'!$B$27*'Optimal Choice'!$B$28^(M398+1)</f>
        <v>93062850.06</v>
      </c>
    </row>
    <row r="399" ht="15.75" customHeight="1">
      <c r="A399" s="10">
        <f t="shared" si="2"/>
        <v>126.5402863</v>
      </c>
      <c r="B399" s="6">
        <f>(I399*'Optimal Choice'!$B$6+J399*'Optimal Choice'!$B$11+K399*'Optimal Choice'!$B$16+L399*'Optimal Choice'!$B$21+M399*'Optimal Choice'!$B$26)*'Optimal Choice'!$B$30</f>
        <v>156852.15</v>
      </c>
      <c r="C399" s="10">
        <f>(O399/$B399)+(O399/'Optimal Choice'!$B$6)</f>
        <v>46706.75401</v>
      </c>
      <c r="D399" s="10">
        <f>(P399/$B399)+(P399/'Optimal Choice'!$B$11)</f>
        <v>46272.99521</v>
      </c>
      <c r="E399" s="10">
        <f>(Q399/$B399)+(Q399/'Optimal Choice'!$B$16)</f>
        <v>45609.91859</v>
      </c>
      <c r="F399" s="10">
        <f>(R399/$B399)+(R399/'Optimal Choice'!$B$21)</f>
        <v>46997.02517</v>
      </c>
      <c r="G399" s="10">
        <f>(S399/$B399)+(S399/'Optimal Choice'!$B$26)</f>
        <v>43677.96855</v>
      </c>
      <c r="I399" s="11">
        <f t="shared" ref="I399:M399" si="398">if(min($C398:$G398)=C398,I398+1,I398)</f>
        <v>145</v>
      </c>
      <c r="J399" s="11">
        <f t="shared" si="398"/>
        <v>68</v>
      </c>
      <c r="K399" s="11">
        <f t="shared" si="398"/>
        <v>65</v>
      </c>
      <c r="L399" s="11">
        <f t="shared" si="398"/>
        <v>61</v>
      </c>
      <c r="M399" s="11">
        <f t="shared" si="398"/>
        <v>59</v>
      </c>
      <c r="O399" s="12">
        <f> 'Optimal Choice'!$B$7*'Optimal Choice'!$B$8^(I399+1)</f>
        <v>77999.44875</v>
      </c>
      <c r="P399" s="12">
        <f> 'Optimal Choice'!$B$12*'Optimal Choice'!$B$13^(J399+1)</f>
        <v>925341.9151</v>
      </c>
      <c r="Q399" s="12">
        <f> 'Optimal Choice'!$B$17*'Optimal Choice'!$B$18^(K399+1)</f>
        <v>4102538.682</v>
      </c>
      <c r="R399" s="12">
        <f> 'Optimal Choice'!$B$22*'Optimal Choice'!$B$23^(L399+1)</f>
        <v>16880186.42</v>
      </c>
      <c r="S399" s="12">
        <f> 'Optimal Choice'!$B$27*'Optimal Choice'!$B$28^(M399+1)</f>
        <v>93062850.06</v>
      </c>
    </row>
    <row r="400" ht="15.75" customHeight="1">
      <c r="A400" s="10">
        <f t="shared" si="2"/>
        <v>136.428882</v>
      </c>
      <c r="B400" s="6">
        <f>(I400*'Optimal Choice'!$B$6+J400*'Optimal Choice'!$B$11+K400*'Optimal Choice'!$B$16+L400*'Optimal Choice'!$B$21+M400*'Optimal Choice'!$B$26)*'Optimal Choice'!$B$30</f>
        <v>159012.15</v>
      </c>
      <c r="C400" s="10">
        <f>(O400/$B400)+(O400/'Optimal Choice'!$B$6)</f>
        <v>46706.74726</v>
      </c>
      <c r="D400" s="10">
        <f>(P400/$B400)+(P400/'Optimal Choice'!$B$11)</f>
        <v>46272.91507</v>
      </c>
      <c r="E400" s="10">
        <f>(Q400/$B400)+(Q400/'Optimal Choice'!$B$16)</f>
        <v>45609.56329</v>
      </c>
      <c r="F400" s="10">
        <f>(R400/$B400)+(R400/'Optimal Choice'!$B$21)</f>
        <v>46995.56329</v>
      </c>
      <c r="G400" s="10">
        <f>(S400/$B400)+(S400/'Optimal Choice'!$B$26)</f>
        <v>48910.29811</v>
      </c>
      <c r="I400" s="11">
        <f t="shared" ref="I400:M400" si="399">if(min($C399:$G399)=C399,I399+1,I399)</f>
        <v>145</v>
      </c>
      <c r="J400" s="11">
        <f t="shared" si="399"/>
        <v>68</v>
      </c>
      <c r="K400" s="11">
        <f t="shared" si="399"/>
        <v>65</v>
      </c>
      <c r="L400" s="11">
        <f t="shared" si="399"/>
        <v>61</v>
      </c>
      <c r="M400" s="11">
        <f t="shared" si="399"/>
        <v>60</v>
      </c>
      <c r="O400" s="12">
        <f> 'Optimal Choice'!$B$7*'Optimal Choice'!$B$8^(I400+1)</f>
        <v>77999.44875</v>
      </c>
      <c r="P400" s="12">
        <f> 'Optimal Choice'!$B$12*'Optimal Choice'!$B$13^(J400+1)</f>
        <v>925341.9151</v>
      </c>
      <c r="Q400" s="12">
        <f> 'Optimal Choice'!$B$17*'Optimal Choice'!$B$18^(K400+1)</f>
        <v>4102538.682</v>
      </c>
      <c r="R400" s="12">
        <f> 'Optimal Choice'!$B$22*'Optimal Choice'!$B$23^(L400+1)</f>
        <v>16880186.42</v>
      </c>
      <c r="S400" s="12">
        <f> 'Optimal Choice'!$B$27*'Optimal Choice'!$B$28^(M400+1)</f>
        <v>104230392.1</v>
      </c>
    </row>
    <row r="401" ht="15.75" customHeight="1">
      <c r="A401" s="10">
        <f t="shared" si="2"/>
        <v>136.8588846</v>
      </c>
      <c r="B401" s="6">
        <f>(I401*'Optimal Choice'!$B$6+J401*'Optimal Choice'!$B$11+K401*'Optimal Choice'!$B$16+L401*'Optimal Choice'!$B$21+M401*'Optimal Choice'!$B$26)*'Optimal Choice'!$B$30</f>
        <v>159102.15</v>
      </c>
      <c r="C401" s="10">
        <f>(O401/$B401)+(O401/'Optimal Choice'!$B$6)</f>
        <v>46706.74698</v>
      </c>
      <c r="D401" s="10">
        <f>(P401/$B401)+(P401/'Optimal Choice'!$B$11)</f>
        <v>46272.91178</v>
      </c>
      <c r="E401" s="10">
        <f>(Q401/$B401)+(Q401/'Optimal Choice'!$B$16)</f>
        <v>51994.88552</v>
      </c>
      <c r="F401" s="10">
        <f>(R401/$B401)+(R401/'Optimal Choice'!$B$21)</f>
        <v>46995.50324</v>
      </c>
      <c r="G401" s="10">
        <f>(S401/$B401)+(S401/'Optimal Choice'!$B$26)</f>
        <v>48909.92732</v>
      </c>
      <c r="I401" s="11">
        <f t="shared" ref="I401:M401" si="400">if(min($C400:$G400)=C400,I400+1,I400)</f>
        <v>145</v>
      </c>
      <c r="J401" s="11">
        <f t="shared" si="400"/>
        <v>68</v>
      </c>
      <c r="K401" s="11">
        <f t="shared" si="400"/>
        <v>66</v>
      </c>
      <c r="L401" s="11">
        <f t="shared" si="400"/>
        <v>61</v>
      </c>
      <c r="M401" s="11">
        <f t="shared" si="400"/>
        <v>60</v>
      </c>
      <c r="O401" s="12">
        <f> 'Optimal Choice'!$B$7*'Optimal Choice'!$B$8^(I401+1)</f>
        <v>77999.44875</v>
      </c>
      <c r="P401" s="12">
        <f> 'Optimal Choice'!$B$12*'Optimal Choice'!$B$13^(J401+1)</f>
        <v>925341.9151</v>
      </c>
      <c r="Q401" s="12">
        <f> 'Optimal Choice'!$B$17*'Optimal Choice'!$B$18^(K401+1)</f>
        <v>4676894.098</v>
      </c>
      <c r="R401" s="12">
        <f> 'Optimal Choice'!$B$22*'Optimal Choice'!$B$23^(L401+1)</f>
        <v>16880186.42</v>
      </c>
      <c r="S401" s="12">
        <f> 'Optimal Choice'!$B$27*'Optimal Choice'!$B$28^(M401+1)</f>
        <v>104230392.1</v>
      </c>
    </row>
    <row r="402" ht="15.75" customHeight="1">
      <c r="A402" s="10">
        <f t="shared" si="2"/>
        <v>136.9558184</v>
      </c>
      <c r="B402" s="6">
        <f>(I402*'Optimal Choice'!$B$6+J402*'Optimal Choice'!$B$11+K402*'Optimal Choice'!$B$16+L402*'Optimal Choice'!$B$21+M402*'Optimal Choice'!$B$26)*'Optimal Choice'!$B$30</f>
        <v>159122.15</v>
      </c>
      <c r="C402" s="10">
        <f>(O402/$B402)+(O402/'Optimal Choice'!$B$6)</f>
        <v>46706.74692</v>
      </c>
      <c r="D402" s="10">
        <f>(P402/$B402)+(P402/'Optimal Choice'!$B$11)</f>
        <v>53213.8477</v>
      </c>
      <c r="E402" s="10">
        <f>(Q402/$B402)+(Q402/'Optimal Choice'!$B$16)</f>
        <v>51994.88182</v>
      </c>
      <c r="F402" s="10">
        <f>(R402/$B402)+(R402/'Optimal Choice'!$B$21)</f>
        <v>46995.48991</v>
      </c>
      <c r="G402" s="10">
        <f>(S402/$B402)+(S402/'Optimal Choice'!$B$26)</f>
        <v>48909.84498</v>
      </c>
      <c r="I402" s="11">
        <f t="shared" ref="I402:M402" si="401">if(min($C401:$G401)=C401,I401+1,I401)</f>
        <v>145</v>
      </c>
      <c r="J402" s="11">
        <f t="shared" si="401"/>
        <v>69</v>
      </c>
      <c r="K402" s="11">
        <f t="shared" si="401"/>
        <v>66</v>
      </c>
      <c r="L402" s="11">
        <f t="shared" si="401"/>
        <v>61</v>
      </c>
      <c r="M402" s="11">
        <f t="shared" si="401"/>
        <v>60</v>
      </c>
      <c r="O402" s="12">
        <f> 'Optimal Choice'!$B$7*'Optimal Choice'!$B$8^(I402+1)</f>
        <v>77999.44875</v>
      </c>
      <c r="P402" s="12">
        <f> 'Optimal Choice'!$B$12*'Optimal Choice'!$B$13^(J402+1)</f>
        <v>1064143.202</v>
      </c>
      <c r="Q402" s="12">
        <f> 'Optimal Choice'!$B$17*'Optimal Choice'!$B$18^(K402+1)</f>
        <v>4676894.098</v>
      </c>
      <c r="R402" s="12">
        <f> 'Optimal Choice'!$B$22*'Optimal Choice'!$B$23^(L402+1)</f>
        <v>16880186.42</v>
      </c>
      <c r="S402" s="12">
        <f> 'Optimal Choice'!$B$27*'Optimal Choice'!$B$28^(M402+1)</f>
        <v>104230392.1</v>
      </c>
    </row>
    <row r="403" ht="15.75" customHeight="1">
      <c r="A403" s="10">
        <f t="shared" si="2"/>
        <v>136.9639881</v>
      </c>
      <c r="B403" s="6">
        <f>(I403*'Optimal Choice'!$B$6+J403*'Optimal Choice'!$B$11+K403*'Optimal Choice'!$B$16+L403*'Optimal Choice'!$B$21+M403*'Optimal Choice'!$B$26)*'Optimal Choice'!$B$30</f>
        <v>159123.82</v>
      </c>
      <c r="C403" s="10">
        <f>(O403/$B403)+(O403/'Optimal Choice'!$B$6)</f>
        <v>49976.2192</v>
      </c>
      <c r="D403" s="10">
        <f>(P403/$B403)+(P403/'Optimal Choice'!$B$11)</f>
        <v>53213.84763</v>
      </c>
      <c r="E403" s="10">
        <f>(Q403/$B403)+(Q403/'Optimal Choice'!$B$16)</f>
        <v>51994.88151</v>
      </c>
      <c r="F403" s="10">
        <f>(R403/$B403)+(R403/'Optimal Choice'!$B$21)</f>
        <v>46995.4888</v>
      </c>
      <c r="G403" s="10">
        <f>(S403/$B403)+(S403/'Optimal Choice'!$B$26)</f>
        <v>48909.8381</v>
      </c>
      <c r="I403" s="11">
        <f t="shared" ref="I403:M403" si="402">if(min($C402:$G402)=C402,I402+1,I402)</f>
        <v>146</v>
      </c>
      <c r="J403" s="11">
        <f t="shared" si="402"/>
        <v>69</v>
      </c>
      <c r="K403" s="11">
        <f t="shared" si="402"/>
        <v>66</v>
      </c>
      <c r="L403" s="11">
        <f t="shared" si="402"/>
        <v>61</v>
      </c>
      <c r="M403" s="11">
        <f t="shared" si="402"/>
        <v>60</v>
      </c>
      <c r="O403" s="12">
        <f> 'Optimal Choice'!$B$7*'Optimal Choice'!$B$8^(I403+1)</f>
        <v>83459.41016</v>
      </c>
      <c r="P403" s="12">
        <f> 'Optimal Choice'!$B$12*'Optimal Choice'!$B$13^(J403+1)</f>
        <v>1064143.202</v>
      </c>
      <c r="Q403" s="12">
        <f> 'Optimal Choice'!$B$17*'Optimal Choice'!$B$18^(K403+1)</f>
        <v>4676894.098</v>
      </c>
      <c r="R403" s="12">
        <f> 'Optimal Choice'!$B$22*'Optimal Choice'!$B$23^(L403+1)</f>
        <v>16880186.42</v>
      </c>
      <c r="S403" s="12">
        <f> 'Optimal Choice'!$B$27*'Optimal Choice'!$B$28^(M403+1)</f>
        <v>104230392.1</v>
      </c>
    </row>
    <row r="404" ht="15.75" customHeight="1">
      <c r="A404" s="10">
        <f t="shared" si="2"/>
        <v>138.7320229</v>
      </c>
      <c r="B404" s="6">
        <f>(I404*'Optimal Choice'!$B$6+J404*'Optimal Choice'!$B$11+K404*'Optimal Choice'!$B$16+L404*'Optimal Choice'!$B$21+M404*'Optimal Choice'!$B$26)*'Optimal Choice'!$B$30</f>
        <v>159483.82</v>
      </c>
      <c r="C404" s="10">
        <f>(O404/$B404)+(O404/'Optimal Choice'!$B$6)</f>
        <v>49976.21802</v>
      </c>
      <c r="D404" s="10">
        <f>(P404/$B404)+(P404/'Optimal Choice'!$B$11)</f>
        <v>53213.83254</v>
      </c>
      <c r="E404" s="10">
        <f>(Q404/$B404)+(Q404/'Optimal Choice'!$B$16)</f>
        <v>51994.81517</v>
      </c>
      <c r="F404" s="10">
        <f>(R404/$B404)+(R404/'Optimal Choice'!$B$21)</f>
        <v>53104.63175</v>
      </c>
      <c r="G404" s="10">
        <f>(S404/$B404)+(S404/'Optimal Choice'!$B$26)</f>
        <v>48908.35952</v>
      </c>
      <c r="I404" s="11">
        <f t="shared" ref="I404:M404" si="403">if(min($C403:$G403)=C403,I403+1,I403)</f>
        <v>146</v>
      </c>
      <c r="J404" s="11">
        <f t="shared" si="403"/>
        <v>69</v>
      </c>
      <c r="K404" s="11">
        <f t="shared" si="403"/>
        <v>66</v>
      </c>
      <c r="L404" s="11">
        <f t="shared" si="403"/>
        <v>62</v>
      </c>
      <c r="M404" s="11">
        <f t="shared" si="403"/>
        <v>60</v>
      </c>
      <c r="O404" s="12">
        <f> 'Optimal Choice'!$B$7*'Optimal Choice'!$B$8^(I404+1)</f>
        <v>83459.41016</v>
      </c>
      <c r="P404" s="12">
        <f> 'Optimal Choice'!$B$12*'Optimal Choice'!$B$13^(J404+1)</f>
        <v>1064143.202</v>
      </c>
      <c r="Q404" s="12">
        <f> 'Optimal Choice'!$B$17*'Optimal Choice'!$B$18^(K404+1)</f>
        <v>4676894.098</v>
      </c>
      <c r="R404" s="12">
        <f> 'Optimal Choice'!$B$22*'Optimal Choice'!$B$23^(L404+1)</f>
        <v>19074610.65</v>
      </c>
      <c r="S404" s="12">
        <f> 'Optimal Choice'!$B$27*'Optimal Choice'!$B$28^(M404+1)</f>
        <v>104230392.1</v>
      </c>
    </row>
    <row r="405" ht="15.75" customHeight="1">
      <c r="A405" s="10">
        <f t="shared" si="2"/>
        <v>149.6244959</v>
      </c>
      <c r="B405" s="6">
        <f>(I405*'Optimal Choice'!$B$6+J405*'Optimal Choice'!$B$11+K405*'Optimal Choice'!$B$16+L405*'Optimal Choice'!$B$21+M405*'Optimal Choice'!$B$26)*'Optimal Choice'!$B$30</f>
        <v>161643.82</v>
      </c>
      <c r="C405" s="10">
        <f>(O405/$B405)+(O405/'Optimal Choice'!$B$6)</f>
        <v>49976.21102</v>
      </c>
      <c r="D405" s="10">
        <f>(P405/$B405)+(P405/'Optimal Choice'!$B$11)</f>
        <v>53213.74338</v>
      </c>
      <c r="E405" s="10">
        <f>(Q405/$B405)+(Q405/'Optimal Choice'!$B$16)</f>
        <v>51994.42331</v>
      </c>
      <c r="F405" s="10">
        <f>(R405/$B405)+(R405/'Optimal Choice'!$B$21)</f>
        <v>53103.03354</v>
      </c>
      <c r="G405" s="10">
        <f>(S405/$B405)+(S405/'Optimal Choice'!$B$26)</f>
        <v>54767.58151</v>
      </c>
      <c r="I405" s="11">
        <f t="shared" ref="I405:M405" si="404">if(min($C404:$G404)=C404,I404+1,I404)</f>
        <v>146</v>
      </c>
      <c r="J405" s="11">
        <f t="shared" si="404"/>
        <v>69</v>
      </c>
      <c r="K405" s="11">
        <f t="shared" si="404"/>
        <v>66</v>
      </c>
      <c r="L405" s="11">
        <f t="shared" si="404"/>
        <v>62</v>
      </c>
      <c r="M405" s="11">
        <f t="shared" si="404"/>
        <v>61</v>
      </c>
      <c r="O405" s="12">
        <f> 'Optimal Choice'!$B$7*'Optimal Choice'!$B$8^(I405+1)</f>
        <v>83459.41016</v>
      </c>
      <c r="P405" s="12">
        <f> 'Optimal Choice'!$B$12*'Optimal Choice'!$B$13^(J405+1)</f>
        <v>1064143.202</v>
      </c>
      <c r="Q405" s="12">
        <f> 'Optimal Choice'!$B$17*'Optimal Choice'!$B$18^(K405+1)</f>
        <v>4676894.098</v>
      </c>
      <c r="R405" s="12">
        <f> 'Optimal Choice'!$B$22*'Optimal Choice'!$B$23^(L405+1)</f>
        <v>19074610.65</v>
      </c>
      <c r="S405" s="12">
        <f> 'Optimal Choice'!$B$27*'Optimal Choice'!$B$28^(M405+1)</f>
        <v>116738039.1</v>
      </c>
    </row>
    <row r="406" ht="15.75" customHeight="1">
      <c r="A406" s="10">
        <f t="shared" si="2"/>
        <v>149.6331011</v>
      </c>
      <c r="B406" s="6">
        <f>(I406*'Optimal Choice'!$B$6+J406*'Optimal Choice'!$B$11+K406*'Optimal Choice'!$B$16+L406*'Optimal Choice'!$B$21+M406*'Optimal Choice'!$B$26)*'Optimal Choice'!$B$30</f>
        <v>161645.49</v>
      </c>
      <c r="C406" s="10">
        <f>(O406/$B406)+(O406/'Optimal Choice'!$B$6)</f>
        <v>53474.54579</v>
      </c>
      <c r="D406" s="10">
        <f>(P406/$B406)+(P406/'Optimal Choice'!$B$11)</f>
        <v>53213.74331</v>
      </c>
      <c r="E406" s="10">
        <f>(Q406/$B406)+(Q406/'Optimal Choice'!$B$16)</f>
        <v>51994.42301</v>
      </c>
      <c r="F406" s="10">
        <f>(R406/$B406)+(R406/'Optimal Choice'!$B$21)</f>
        <v>53103.03232</v>
      </c>
      <c r="G406" s="10">
        <f>(S406/$B406)+(S406/'Optimal Choice'!$B$26)</f>
        <v>54767.57404</v>
      </c>
      <c r="I406" s="11">
        <f t="shared" ref="I406:M406" si="405">if(min($C405:$G405)=C405,I405+1,I405)</f>
        <v>147</v>
      </c>
      <c r="J406" s="11">
        <f t="shared" si="405"/>
        <v>69</v>
      </c>
      <c r="K406" s="11">
        <f t="shared" si="405"/>
        <v>66</v>
      </c>
      <c r="L406" s="11">
        <f t="shared" si="405"/>
        <v>62</v>
      </c>
      <c r="M406" s="11">
        <f t="shared" si="405"/>
        <v>61</v>
      </c>
      <c r="O406" s="12">
        <f> 'Optimal Choice'!$B$7*'Optimal Choice'!$B$8^(I406+1)</f>
        <v>89301.56887</v>
      </c>
      <c r="P406" s="12">
        <f> 'Optimal Choice'!$B$12*'Optimal Choice'!$B$13^(J406+1)</f>
        <v>1064143.202</v>
      </c>
      <c r="Q406" s="12">
        <f> 'Optimal Choice'!$B$17*'Optimal Choice'!$B$18^(K406+1)</f>
        <v>4676894.098</v>
      </c>
      <c r="R406" s="12">
        <f> 'Optimal Choice'!$B$22*'Optimal Choice'!$B$23^(L406+1)</f>
        <v>19074610.65</v>
      </c>
      <c r="S406" s="12">
        <f> 'Optimal Choice'!$B$27*'Optimal Choice'!$B$28^(M406+1)</f>
        <v>116738039.1</v>
      </c>
    </row>
    <row r="407" ht="15.75" customHeight="1">
      <c r="A407" s="10">
        <f t="shared" si="2"/>
        <v>150.1153183</v>
      </c>
      <c r="B407" s="6">
        <f>(I407*'Optimal Choice'!$B$6+J407*'Optimal Choice'!$B$11+K407*'Optimal Choice'!$B$16+L407*'Optimal Choice'!$B$21+M407*'Optimal Choice'!$B$26)*'Optimal Choice'!$B$30</f>
        <v>161735.49</v>
      </c>
      <c r="C407" s="10">
        <f>(O407/$B407)+(O407/'Optimal Choice'!$B$6)</f>
        <v>53474.54548</v>
      </c>
      <c r="D407" s="10">
        <f>(P407/$B407)+(P407/'Optimal Choice'!$B$11)</f>
        <v>53213.73964</v>
      </c>
      <c r="E407" s="10">
        <f>(Q407/$B407)+(Q407/'Optimal Choice'!$B$16)</f>
        <v>59273.62387</v>
      </c>
      <c r="F407" s="10">
        <f>(R407/$B407)+(R407/'Optimal Choice'!$B$21)</f>
        <v>53102.96666</v>
      </c>
      <c r="G407" s="10">
        <f>(S407/$B407)+(S407/'Optimal Choice'!$B$26)</f>
        <v>54767.17217</v>
      </c>
      <c r="I407" s="11">
        <f t="shared" ref="I407:M407" si="406">if(min($C406:$G406)=C406,I406+1,I406)</f>
        <v>147</v>
      </c>
      <c r="J407" s="11">
        <f t="shared" si="406"/>
        <v>69</v>
      </c>
      <c r="K407" s="11">
        <f t="shared" si="406"/>
        <v>67</v>
      </c>
      <c r="L407" s="11">
        <f t="shared" si="406"/>
        <v>62</v>
      </c>
      <c r="M407" s="11">
        <f t="shared" si="406"/>
        <v>61</v>
      </c>
      <c r="O407" s="12">
        <f> 'Optimal Choice'!$B$7*'Optimal Choice'!$B$8^(I407+1)</f>
        <v>89301.56887</v>
      </c>
      <c r="P407" s="12">
        <f> 'Optimal Choice'!$B$12*'Optimal Choice'!$B$13^(J407+1)</f>
        <v>1064143.202</v>
      </c>
      <c r="Q407" s="12">
        <f> 'Optimal Choice'!$B$17*'Optimal Choice'!$B$18^(K407+1)</f>
        <v>5331659.271</v>
      </c>
      <c r="R407" s="12">
        <f> 'Optimal Choice'!$B$22*'Optimal Choice'!$B$23^(L407+1)</f>
        <v>19074610.65</v>
      </c>
      <c r="S407" s="12">
        <f> 'Optimal Choice'!$B$27*'Optimal Choice'!$B$28^(M407+1)</f>
        <v>116738039.1</v>
      </c>
    </row>
    <row r="408" ht="15.75" customHeight="1">
      <c r="A408" s="10">
        <f t="shared" si="2"/>
        <v>152.0809363</v>
      </c>
      <c r="B408" s="6">
        <f>(I408*'Optimal Choice'!$B$6+J408*'Optimal Choice'!$B$11+K408*'Optimal Choice'!$B$16+L408*'Optimal Choice'!$B$21+M408*'Optimal Choice'!$B$26)*'Optimal Choice'!$B$30</f>
        <v>162095.49</v>
      </c>
      <c r="C408" s="10">
        <f>(O408/$B408)+(O408/'Optimal Choice'!$B$6)</f>
        <v>53474.54425</v>
      </c>
      <c r="D408" s="10">
        <f>(P408/$B408)+(P408/'Optimal Choice'!$B$11)</f>
        <v>53213.72503</v>
      </c>
      <c r="E408" s="10">
        <f>(Q408/$B408)+(Q408/'Optimal Choice'!$B$16)</f>
        <v>59273.55066</v>
      </c>
      <c r="F408" s="10">
        <f>(R408/$B408)+(R408/'Optimal Choice'!$B$21)</f>
        <v>60006.05635</v>
      </c>
      <c r="G408" s="10">
        <f>(S408/$B408)+(S408/'Optimal Choice'!$B$26)</f>
        <v>54765.56916</v>
      </c>
      <c r="I408" s="11">
        <f t="shared" ref="I408:M408" si="407">if(min($C407:$G407)=C407,I407+1,I407)</f>
        <v>147</v>
      </c>
      <c r="J408" s="11">
        <f t="shared" si="407"/>
        <v>69</v>
      </c>
      <c r="K408" s="11">
        <f t="shared" si="407"/>
        <v>67</v>
      </c>
      <c r="L408" s="11">
        <f t="shared" si="407"/>
        <v>63</v>
      </c>
      <c r="M408" s="11">
        <f t="shared" si="407"/>
        <v>61</v>
      </c>
      <c r="O408" s="12">
        <f> 'Optimal Choice'!$B$7*'Optimal Choice'!$B$8^(I408+1)</f>
        <v>89301.56887</v>
      </c>
      <c r="P408" s="12">
        <f> 'Optimal Choice'!$B$12*'Optimal Choice'!$B$13^(J408+1)</f>
        <v>1064143.202</v>
      </c>
      <c r="Q408" s="12">
        <f> 'Optimal Choice'!$B$17*'Optimal Choice'!$B$18^(K408+1)</f>
        <v>5331659.271</v>
      </c>
      <c r="R408" s="12">
        <f> 'Optimal Choice'!$B$22*'Optimal Choice'!$B$23^(L408+1)</f>
        <v>21554310.04</v>
      </c>
      <c r="S408" s="12">
        <f> 'Optimal Choice'!$B$27*'Optimal Choice'!$B$28^(M408+1)</f>
        <v>116738039.1</v>
      </c>
    </row>
    <row r="409" ht="15.75" customHeight="1">
      <c r="A409" s="10">
        <f t="shared" si="2"/>
        <v>152.1903515</v>
      </c>
      <c r="B409" s="6">
        <f>(I409*'Optimal Choice'!$B$6+J409*'Optimal Choice'!$B$11+K409*'Optimal Choice'!$B$16+L409*'Optimal Choice'!$B$21+M409*'Optimal Choice'!$B$26)*'Optimal Choice'!$B$30</f>
        <v>162115.49</v>
      </c>
      <c r="C409" s="10">
        <f>(O409/$B409)+(O409/'Optimal Choice'!$B$6)</f>
        <v>53474.54419</v>
      </c>
      <c r="D409" s="10">
        <f>(P409/$B409)+(P409/'Optimal Choice'!$B$11)</f>
        <v>61195.78286</v>
      </c>
      <c r="E409" s="10">
        <f>(Q409/$B409)+(Q409/'Optimal Choice'!$B$16)</f>
        <v>59273.5466</v>
      </c>
      <c r="F409" s="10">
        <f>(R409/$B409)+(R409/'Optimal Choice'!$B$21)</f>
        <v>60006.03994</v>
      </c>
      <c r="G409" s="10">
        <f>(S409/$B409)+(S409/'Optimal Choice'!$B$26)</f>
        <v>54765.48031</v>
      </c>
      <c r="I409" s="11">
        <f t="shared" ref="I409:M409" si="408">if(min($C408:$G408)=C408,I408+1,I408)</f>
        <v>147</v>
      </c>
      <c r="J409" s="11">
        <f t="shared" si="408"/>
        <v>70</v>
      </c>
      <c r="K409" s="11">
        <f t="shared" si="408"/>
        <v>67</v>
      </c>
      <c r="L409" s="11">
        <f t="shared" si="408"/>
        <v>63</v>
      </c>
      <c r="M409" s="11">
        <f t="shared" si="408"/>
        <v>61</v>
      </c>
      <c r="O409" s="12">
        <f> 'Optimal Choice'!$B$7*'Optimal Choice'!$B$8^(I409+1)</f>
        <v>89301.56887</v>
      </c>
      <c r="P409" s="12">
        <f> 'Optimal Choice'!$B$12*'Optimal Choice'!$B$13^(J409+1)</f>
        <v>1223764.683</v>
      </c>
      <c r="Q409" s="12">
        <f> 'Optimal Choice'!$B$17*'Optimal Choice'!$B$18^(K409+1)</f>
        <v>5331659.271</v>
      </c>
      <c r="R409" s="12">
        <f> 'Optimal Choice'!$B$22*'Optimal Choice'!$B$23^(L409+1)</f>
        <v>21554310.04</v>
      </c>
      <c r="S409" s="12">
        <f> 'Optimal Choice'!$B$27*'Optimal Choice'!$B$28^(M409+1)</f>
        <v>116738039.1</v>
      </c>
    </row>
    <row r="410" ht="15.75" customHeight="1">
      <c r="A410" s="10">
        <f t="shared" si="2"/>
        <v>152.1995324</v>
      </c>
      <c r="B410" s="6">
        <f>(I410*'Optimal Choice'!$B$6+J410*'Optimal Choice'!$B$11+K410*'Optimal Choice'!$B$16+L410*'Optimal Choice'!$B$21+M410*'Optimal Choice'!$B$26)*'Optimal Choice'!$B$30</f>
        <v>162117.16</v>
      </c>
      <c r="C410" s="10">
        <f>(O410/$B410)+(O410/'Optimal Choice'!$B$6)</f>
        <v>57217.76227</v>
      </c>
      <c r="D410" s="10">
        <f>(P410/$B410)+(P410/'Optimal Choice'!$B$11)</f>
        <v>61195.78278</v>
      </c>
      <c r="E410" s="10">
        <f>(Q410/$B410)+(Q410/'Optimal Choice'!$B$16)</f>
        <v>59273.54626</v>
      </c>
      <c r="F410" s="10">
        <f>(R410/$B410)+(R410/'Optimal Choice'!$B$21)</f>
        <v>60006.03857</v>
      </c>
      <c r="G410" s="10">
        <f>(S410/$B410)+(S410/'Optimal Choice'!$B$26)</f>
        <v>54765.47289</v>
      </c>
      <c r="I410" s="11">
        <f t="shared" ref="I410:M410" si="409">if(min($C409:$G409)=C409,I409+1,I409)</f>
        <v>148</v>
      </c>
      <c r="J410" s="11">
        <f t="shared" si="409"/>
        <v>70</v>
      </c>
      <c r="K410" s="11">
        <f t="shared" si="409"/>
        <v>67</v>
      </c>
      <c r="L410" s="11">
        <f t="shared" si="409"/>
        <v>63</v>
      </c>
      <c r="M410" s="11">
        <f t="shared" si="409"/>
        <v>61</v>
      </c>
      <c r="O410" s="12">
        <f> 'Optimal Choice'!$B$7*'Optimal Choice'!$B$8^(I410+1)</f>
        <v>95552.67869</v>
      </c>
      <c r="P410" s="12">
        <f> 'Optimal Choice'!$B$12*'Optimal Choice'!$B$13^(J410+1)</f>
        <v>1223764.683</v>
      </c>
      <c r="Q410" s="12">
        <f> 'Optimal Choice'!$B$17*'Optimal Choice'!$B$18^(K410+1)</f>
        <v>5331659.271</v>
      </c>
      <c r="R410" s="12">
        <f> 'Optimal Choice'!$B$22*'Optimal Choice'!$B$23^(L410+1)</f>
        <v>21554310.04</v>
      </c>
      <c r="S410" s="12">
        <f> 'Optimal Choice'!$B$27*'Optimal Choice'!$B$28^(M410+1)</f>
        <v>116738039.1</v>
      </c>
    </row>
    <row r="411" ht="15.75" customHeight="1">
      <c r="A411" s="10">
        <f t="shared" si="2"/>
        <v>164.2009392</v>
      </c>
      <c r="B411" s="6">
        <f>(I411*'Optimal Choice'!$B$6+J411*'Optimal Choice'!$B$11+K411*'Optimal Choice'!$B$16+L411*'Optimal Choice'!$B$21+M411*'Optimal Choice'!$B$26)*'Optimal Choice'!$B$30</f>
        <v>164277.16</v>
      </c>
      <c r="C411" s="10">
        <f>(O411/$B411)+(O411/'Optimal Choice'!$B$6)</f>
        <v>57217.75452</v>
      </c>
      <c r="D411" s="10">
        <f>(P411/$B411)+(P411/'Optimal Choice'!$B$11)</f>
        <v>61195.68352</v>
      </c>
      <c r="E411" s="10">
        <f>(Q411/$B411)+(Q411/'Optimal Choice'!$B$16)</f>
        <v>59273.11384</v>
      </c>
      <c r="F411" s="10">
        <f>(R411/$B411)+(R411/'Optimal Choice'!$B$21)</f>
        <v>60004.29041</v>
      </c>
      <c r="G411" s="10">
        <f>(S411/$B411)+(S411/'Optimal Choice'!$B$26)</f>
        <v>61326.72543</v>
      </c>
      <c r="I411" s="11">
        <f t="shared" ref="I411:M411" si="410">if(min($C410:$G410)=C410,I410+1,I410)</f>
        <v>148</v>
      </c>
      <c r="J411" s="11">
        <f t="shared" si="410"/>
        <v>70</v>
      </c>
      <c r="K411" s="11">
        <f t="shared" si="410"/>
        <v>67</v>
      </c>
      <c r="L411" s="11">
        <f t="shared" si="410"/>
        <v>63</v>
      </c>
      <c r="M411" s="11">
        <f t="shared" si="410"/>
        <v>62</v>
      </c>
      <c r="O411" s="12">
        <f> 'Optimal Choice'!$B$7*'Optimal Choice'!$B$8^(I411+1)</f>
        <v>95552.67869</v>
      </c>
      <c r="P411" s="12">
        <f> 'Optimal Choice'!$B$12*'Optimal Choice'!$B$13^(J411+1)</f>
        <v>1223764.683</v>
      </c>
      <c r="Q411" s="12">
        <f> 'Optimal Choice'!$B$17*'Optimal Choice'!$B$18^(K411+1)</f>
        <v>5331659.271</v>
      </c>
      <c r="R411" s="12">
        <f> 'Optimal Choice'!$B$22*'Optimal Choice'!$B$23^(L411+1)</f>
        <v>21554310.04</v>
      </c>
      <c r="S411" s="12">
        <f> 'Optimal Choice'!$B$27*'Optimal Choice'!$B$28^(M411+1)</f>
        <v>130746603.8</v>
      </c>
    </row>
    <row r="412" ht="15.75" customHeight="1">
      <c r="A412" s="10">
        <f t="shared" si="2"/>
        <v>164.2106334</v>
      </c>
      <c r="B412" s="6">
        <f>(I412*'Optimal Choice'!$B$6+J412*'Optimal Choice'!$B$11+K412*'Optimal Choice'!$B$16+L412*'Optimal Choice'!$B$21+M412*'Optimal Choice'!$B$26)*'Optimal Choice'!$B$30</f>
        <v>164278.83</v>
      </c>
      <c r="C412" s="10">
        <f>(O412/$B412)+(O412/'Optimal Choice'!$B$6)</f>
        <v>61222.99733</v>
      </c>
      <c r="D412" s="10">
        <f>(P412/$B412)+(P412/'Optimal Choice'!$B$11)</f>
        <v>61195.68345</v>
      </c>
      <c r="E412" s="10">
        <f>(Q412/$B412)+(Q412/'Optimal Choice'!$B$16)</f>
        <v>59273.11351</v>
      </c>
      <c r="F412" s="10">
        <f>(R412/$B412)+(R412/'Optimal Choice'!$B$21)</f>
        <v>60004.28908</v>
      </c>
      <c r="G412" s="10">
        <f>(S412/$B412)+(S412/'Optimal Choice'!$B$26)</f>
        <v>61326.71734</v>
      </c>
      <c r="I412" s="11">
        <f t="shared" ref="I412:M412" si="411">if(min($C411:$G411)=C411,I411+1,I411)</f>
        <v>149</v>
      </c>
      <c r="J412" s="11">
        <f t="shared" si="411"/>
        <v>70</v>
      </c>
      <c r="K412" s="11">
        <f t="shared" si="411"/>
        <v>67</v>
      </c>
      <c r="L412" s="11">
        <f t="shared" si="411"/>
        <v>63</v>
      </c>
      <c r="M412" s="11">
        <f t="shared" si="411"/>
        <v>62</v>
      </c>
      <c r="O412" s="12">
        <f> 'Optimal Choice'!$B$7*'Optimal Choice'!$B$8^(I412+1)</f>
        <v>102241.3662</v>
      </c>
      <c r="P412" s="12">
        <f> 'Optimal Choice'!$B$12*'Optimal Choice'!$B$13^(J412+1)</f>
        <v>1223764.683</v>
      </c>
      <c r="Q412" s="12">
        <f> 'Optimal Choice'!$B$17*'Optimal Choice'!$B$18^(K412+1)</f>
        <v>5331659.271</v>
      </c>
      <c r="R412" s="12">
        <f> 'Optimal Choice'!$B$22*'Optimal Choice'!$B$23^(L412+1)</f>
        <v>21554310.04</v>
      </c>
      <c r="S412" s="12">
        <f> 'Optimal Choice'!$B$27*'Optimal Choice'!$B$28^(M412+1)</f>
        <v>130746603.8</v>
      </c>
    </row>
    <row r="413" ht="15.75" customHeight="1">
      <c r="A413" s="10">
        <f t="shared" si="2"/>
        <v>164.7515491</v>
      </c>
      <c r="B413" s="6">
        <f>(I413*'Optimal Choice'!$B$6+J413*'Optimal Choice'!$B$11+K413*'Optimal Choice'!$B$16+L413*'Optimal Choice'!$B$21+M413*'Optimal Choice'!$B$26)*'Optimal Choice'!$B$30</f>
        <v>164368.83</v>
      </c>
      <c r="C413" s="10">
        <f>(O413/$B413)+(O413/'Optimal Choice'!$B$6)</f>
        <v>61222.99699</v>
      </c>
      <c r="D413" s="10">
        <f>(P413/$B413)+(P413/'Optimal Choice'!$B$11)</f>
        <v>61195.67937</v>
      </c>
      <c r="E413" s="10">
        <f>(Q413/$B413)+(Q413/'Optimal Choice'!$B$16)</f>
        <v>67571.32914</v>
      </c>
      <c r="F413" s="10">
        <f>(R413/$B413)+(R413/'Optimal Choice'!$B$21)</f>
        <v>60004.21724</v>
      </c>
      <c r="G413" s="10">
        <f>(S413/$B413)+(S413/'Optimal Choice'!$B$26)</f>
        <v>61326.28156</v>
      </c>
      <c r="I413" s="11">
        <f t="shared" ref="I413:M413" si="412">if(min($C412:$G412)=C412,I412+1,I412)</f>
        <v>149</v>
      </c>
      <c r="J413" s="11">
        <f t="shared" si="412"/>
        <v>70</v>
      </c>
      <c r="K413" s="11">
        <f t="shared" si="412"/>
        <v>68</v>
      </c>
      <c r="L413" s="11">
        <f t="shared" si="412"/>
        <v>63</v>
      </c>
      <c r="M413" s="11">
        <f t="shared" si="412"/>
        <v>62</v>
      </c>
      <c r="O413" s="12">
        <f> 'Optimal Choice'!$B$7*'Optimal Choice'!$B$8^(I413+1)</f>
        <v>102241.3662</v>
      </c>
      <c r="P413" s="12">
        <f> 'Optimal Choice'!$B$12*'Optimal Choice'!$B$13^(J413+1)</f>
        <v>1223764.683</v>
      </c>
      <c r="Q413" s="12">
        <f> 'Optimal Choice'!$B$17*'Optimal Choice'!$B$18^(K413+1)</f>
        <v>6078091.569</v>
      </c>
      <c r="R413" s="12">
        <f> 'Optimal Choice'!$B$22*'Optimal Choice'!$B$23^(L413+1)</f>
        <v>21554310.04</v>
      </c>
      <c r="S413" s="12">
        <f> 'Optimal Choice'!$B$27*'Optimal Choice'!$B$28^(M413+1)</f>
        <v>130746603.8</v>
      </c>
    </row>
    <row r="414" ht="15.75" customHeight="1">
      <c r="A414" s="10">
        <f t="shared" si="2"/>
        <v>166.9371125</v>
      </c>
      <c r="B414" s="6">
        <f>(I414*'Optimal Choice'!$B$6+J414*'Optimal Choice'!$B$11+K414*'Optimal Choice'!$B$16+L414*'Optimal Choice'!$B$21+M414*'Optimal Choice'!$B$26)*'Optimal Choice'!$B$30</f>
        <v>164728.83</v>
      </c>
      <c r="C414" s="10">
        <f>(O414/$B414)+(O414/'Optimal Choice'!$B$6)</f>
        <v>61222.99563</v>
      </c>
      <c r="D414" s="10">
        <f>(P414/$B414)+(P414/'Optimal Choice'!$B$11)</f>
        <v>61195.6631</v>
      </c>
      <c r="E414" s="10">
        <f>(Q414/$B414)+(Q414/'Optimal Choice'!$B$16)</f>
        <v>67571.24833</v>
      </c>
      <c r="F414" s="10">
        <f>(R414/$B414)+(R414/'Optimal Choice'!$B$21)</f>
        <v>67804.44164</v>
      </c>
      <c r="G414" s="10">
        <f>(S414/$B414)+(S414/'Optimal Choice'!$B$26)</f>
        <v>61324.54318</v>
      </c>
      <c r="I414" s="11">
        <f t="shared" ref="I414:M414" si="413">if(min($C413:$G413)=C413,I413+1,I413)</f>
        <v>149</v>
      </c>
      <c r="J414" s="11">
        <f t="shared" si="413"/>
        <v>70</v>
      </c>
      <c r="K414" s="11">
        <f t="shared" si="413"/>
        <v>68</v>
      </c>
      <c r="L414" s="11">
        <f t="shared" si="413"/>
        <v>64</v>
      </c>
      <c r="M414" s="11">
        <f t="shared" si="413"/>
        <v>62</v>
      </c>
      <c r="O414" s="12">
        <f> 'Optimal Choice'!$B$7*'Optimal Choice'!$B$8^(I414+1)</f>
        <v>102241.3662</v>
      </c>
      <c r="P414" s="12">
        <f> 'Optimal Choice'!$B$12*'Optimal Choice'!$B$13^(J414+1)</f>
        <v>1223764.683</v>
      </c>
      <c r="Q414" s="12">
        <f> 'Optimal Choice'!$B$17*'Optimal Choice'!$B$18^(K414+1)</f>
        <v>6078091.569</v>
      </c>
      <c r="R414" s="12">
        <f> 'Optimal Choice'!$B$22*'Optimal Choice'!$B$23^(L414+1)</f>
        <v>24356370.34</v>
      </c>
      <c r="S414" s="12">
        <f> 'Optimal Choice'!$B$27*'Optimal Choice'!$B$28^(M414+1)</f>
        <v>130746603.8</v>
      </c>
    </row>
    <row r="415" ht="15.75" customHeight="1">
      <c r="A415" s="10">
        <f t="shared" si="2"/>
        <v>167.0609285</v>
      </c>
      <c r="B415" s="6">
        <f>(I415*'Optimal Choice'!$B$6+J415*'Optimal Choice'!$B$11+K415*'Optimal Choice'!$B$16+L415*'Optimal Choice'!$B$21+M415*'Optimal Choice'!$B$26)*'Optimal Choice'!$B$30</f>
        <v>164748.83</v>
      </c>
      <c r="C415" s="10">
        <f>(O415/$B415)+(O415/'Optimal Choice'!$B$6)</f>
        <v>61222.99556</v>
      </c>
      <c r="D415" s="10">
        <f>(P415/$B415)+(P415/'Optimal Choice'!$B$11)</f>
        <v>70375.01153</v>
      </c>
      <c r="E415" s="10">
        <f>(Q415/$B415)+(Q415/'Optimal Choice'!$B$16)</f>
        <v>67571.24385</v>
      </c>
      <c r="F415" s="10">
        <f>(R415/$B415)+(R415/'Optimal Choice'!$B$21)</f>
        <v>67804.42369</v>
      </c>
      <c r="G415" s="10">
        <f>(S415/$B415)+(S415/'Optimal Choice'!$B$26)</f>
        <v>61324.44683</v>
      </c>
      <c r="I415" s="11">
        <f t="shared" ref="I415:M415" si="414">if(min($C414:$G414)=C414,I414+1,I414)</f>
        <v>149</v>
      </c>
      <c r="J415" s="11">
        <f t="shared" si="414"/>
        <v>71</v>
      </c>
      <c r="K415" s="11">
        <f t="shared" si="414"/>
        <v>68</v>
      </c>
      <c r="L415" s="11">
        <f t="shared" si="414"/>
        <v>64</v>
      </c>
      <c r="M415" s="11">
        <f t="shared" si="414"/>
        <v>62</v>
      </c>
      <c r="O415" s="12">
        <f> 'Optimal Choice'!$B$7*'Optimal Choice'!$B$8^(I415+1)</f>
        <v>102241.3662</v>
      </c>
      <c r="P415" s="12">
        <f> 'Optimal Choice'!$B$12*'Optimal Choice'!$B$13^(J415+1)</f>
        <v>1407329.385</v>
      </c>
      <c r="Q415" s="12">
        <f> 'Optimal Choice'!$B$17*'Optimal Choice'!$B$18^(K415+1)</f>
        <v>6078091.569</v>
      </c>
      <c r="R415" s="12">
        <f> 'Optimal Choice'!$B$22*'Optimal Choice'!$B$23^(L415+1)</f>
        <v>24356370.34</v>
      </c>
      <c r="S415" s="12">
        <f> 'Optimal Choice'!$B$27*'Optimal Choice'!$B$28^(M415+1)</f>
        <v>130746603.8</v>
      </c>
    </row>
    <row r="416" ht="15.75" customHeight="1">
      <c r="A416" s="10">
        <f t="shared" si="2"/>
        <v>167.0712717</v>
      </c>
      <c r="B416" s="6">
        <f>(I416*'Optimal Choice'!$B$6+J416*'Optimal Choice'!$B$11+K416*'Optimal Choice'!$B$16+L416*'Optimal Choice'!$B$21+M416*'Optimal Choice'!$B$26)*'Optimal Choice'!$B$30</f>
        <v>164750.5</v>
      </c>
      <c r="C416" s="10">
        <f>(O416/$B416)+(O416/'Optimal Choice'!$B$6)</f>
        <v>65508.60524</v>
      </c>
      <c r="D416" s="10">
        <f>(P416/$B416)+(P416/'Optimal Choice'!$B$11)</f>
        <v>70375.01144</v>
      </c>
      <c r="E416" s="10">
        <f>(Q416/$B416)+(Q416/'Optimal Choice'!$B$16)</f>
        <v>67571.24348</v>
      </c>
      <c r="F416" s="10">
        <f>(R416/$B416)+(R416/'Optimal Choice'!$B$21)</f>
        <v>67804.42219</v>
      </c>
      <c r="G416" s="10">
        <f>(S416/$B416)+(S416/'Optimal Choice'!$B$26)</f>
        <v>61324.43878</v>
      </c>
      <c r="I416" s="11">
        <f t="shared" ref="I416:M416" si="415">if(min($C415:$G415)=C415,I415+1,I415)</f>
        <v>150</v>
      </c>
      <c r="J416" s="11">
        <f t="shared" si="415"/>
        <v>71</v>
      </c>
      <c r="K416" s="11">
        <f t="shared" si="415"/>
        <v>68</v>
      </c>
      <c r="L416" s="11">
        <f t="shared" si="415"/>
        <v>64</v>
      </c>
      <c r="M416" s="11">
        <f t="shared" si="415"/>
        <v>62</v>
      </c>
      <c r="O416" s="12">
        <f> 'Optimal Choice'!$B$7*'Optimal Choice'!$B$8^(I416+1)</f>
        <v>109398.2618</v>
      </c>
      <c r="P416" s="12">
        <f> 'Optimal Choice'!$B$12*'Optimal Choice'!$B$13^(J416+1)</f>
        <v>1407329.385</v>
      </c>
      <c r="Q416" s="12">
        <f> 'Optimal Choice'!$B$17*'Optimal Choice'!$B$18^(K416+1)</f>
        <v>6078091.569</v>
      </c>
      <c r="R416" s="12">
        <f> 'Optimal Choice'!$B$22*'Optimal Choice'!$B$23^(L416+1)</f>
        <v>24356370.34</v>
      </c>
      <c r="S416" s="12">
        <f> 'Optimal Choice'!$B$27*'Optimal Choice'!$B$28^(M416+1)</f>
        <v>130746603.8</v>
      </c>
    </row>
    <row r="417" ht="15.75" customHeight="1">
      <c r="A417" s="10">
        <f t="shared" si="2"/>
        <v>180.2979998</v>
      </c>
      <c r="B417" s="6">
        <f>(I417*'Optimal Choice'!$B$6+J417*'Optimal Choice'!$B$11+K417*'Optimal Choice'!$B$16+L417*'Optimal Choice'!$B$21+M417*'Optimal Choice'!$B$26)*'Optimal Choice'!$B$30</f>
        <v>166910.5</v>
      </c>
      <c r="C417" s="10">
        <f>(O417/$B417)+(O417/'Optimal Choice'!$B$6)</f>
        <v>65508.59665</v>
      </c>
      <c r="D417" s="10">
        <f>(P417/$B417)+(P417/'Optimal Choice'!$B$11)</f>
        <v>70374.90089</v>
      </c>
      <c r="E417" s="10">
        <f>(Q417/$B417)+(Q417/'Optimal Choice'!$B$16)</f>
        <v>67570.76604</v>
      </c>
      <c r="F417" s="10">
        <f>(R417/$B417)+(R417/'Optimal Choice'!$B$21)</f>
        <v>67802.50901</v>
      </c>
      <c r="G417" s="10">
        <f>(S417/$B417)+(S417/'Optimal Choice'!$B$26)</f>
        <v>68671.86895</v>
      </c>
      <c r="I417" s="11">
        <f t="shared" ref="I417:M417" si="416">if(min($C416:$G416)=C416,I416+1,I416)</f>
        <v>150</v>
      </c>
      <c r="J417" s="11">
        <f t="shared" si="416"/>
        <v>71</v>
      </c>
      <c r="K417" s="11">
        <f t="shared" si="416"/>
        <v>68</v>
      </c>
      <c r="L417" s="11">
        <f t="shared" si="416"/>
        <v>64</v>
      </c>
      <c r="M417" s="11">
        <f t="shared" si="416"/>
        <v>63</v>
      </c>
      <c r="O417" s="12">
        <f> 'Optimal Choice'!$B$7*'Optimal Choice'!$B$8^(I417+1)</f>
        <v>109398.2618</v>
      </c>
      <c r="P417" s="12">
        <f> 'Optimal Choice'!$B$12*'Optimal Choice'!$B$13^(J417+1)</f>
        <v>1407329.385</v>
      </c>
      <c r="Q417" s="12">
        <f> 'Optimal Choice'!$B$17*'Optimal Choice'!$B$18^(K417+1)</f>
        <v>6078091.569</v>
      </c>
      <c r="R417" s="12">
        <f> 'Optimal Choice'!$B$22*'Optimal Choice'!$B$23^(L417+1)</f>
        <v>24356370.34</v>
      </c>
      <c r="S417" s="12">
        <f> 'Optimal Choice'!$B$27*'Optimal Choice'!$B$28^(M417+1)</f>
        <v>146436196.3</v>
      </c>
    </row>
    <row r="418" ht="15.75" customHeight="1">
      <c r="A418" s="10">
        <f t="shared" si="2"/>
        <v>180.3089236</v>
      </c>
      <c r="B418" s="6">
        <f>(I418*'Optimal Choice'!$B$6+J418*'Optimal Choice'!$B$11+K418*'Optimal Choice'!$B$16+L418*'Optimal Choice'!$B$21+M418*'Optimal Choice'!$B$26)*'Optimal Choice'!$B$30</f>
        <v>166912.17</v>
      </c>
      <c r="C418" s="10">
        <f>(O418/$B418)+(O418/'Optimal Choice'!$B$6)</f>
        <v>70094.19841</v>
      </c>
      <c r="D418" s="10">
        <f>(P418/$B418)+(P418/'Optimal Choice'!$B$11)</f>
        <v>70374.90081</v>
      </c>
      <c r="E418" s="10">
        <f>(Q418/$B418)+(Q418/'Optimal Choice'!$B$16)</f>
        <v>67570.76568</v>
      </c>
      <c r="F418" s="10">
        <f>(R418/$B418)+(R418/'Optimal Choice'!$B$21)</f>
        <v>67802.50755</v>
      </c>
      <c r="G418" s="10">
        <f>(S418/$B418)+(S418/'Optimal Choice'!$B$26)</f>
        <v>68671.86017</v>
      </c>
      <c r="I418" s="11">
        <f t="shared" ref="I418:M418" si="417">if(min($C417:$G417)=C417,I417+1,I417)</f>
        <v>151</v>
      </c>
      <c r="J418" s="11">
        <f t="shared" si="417"/>
        <v>71</v>
      </c>
      <c r="K418" s="11">
        <f t="shared" si="417"/>
        <v>68</v>
      </c>
      <c r="L418" s="11">
        <f t="shared" si="417"/>
        <v>64</v>
      </c>
      <c r="M418" s="11">
        <f t="shared" si="417"/>
        <v>63</v>
      </c>
      <c r="O418" s="12">
        <f> 'Optimal Choice'!$B$7*'Optimal Choice'!$B$8^(I418+1)</f>
        <v>117056.1402</v>
      </c>
      <c r="P418" s="12">
        <f> 'Optimal Choice'!$B$12*'Optimal Choice'!$B$13^(J418+1)</f>
        <v>1407329.385</v>
      </c>
      <c r="Q418" s="12">
        <f> 'Optimal Choice'!$B$17*'Optimal Choice'!$B$18^(K418+1)</f>
        <v>6078091.569</v>
      </c>
      <c r="R418" s="12">
        <f> 'Optimal Choice'!$B$22*'Optimal Choice'!$B$23^(L418+1)</f>
        <v>24356370.34</v>
      </c>
      <c r="S418" s="12">
        <f> 'Optimal Choice'!$B$27*'Optimal Choice'!$B$28^(M418+1)</f>
        <v>146436196.3</v>
      </c>
    </row>
    <row r="419" ht="15.75" customHeight="1">
      <c r="A419" s="10">
        <f t="shared" si="2"/>
        <v>180.9158388</v>
      </c>
      <c r="B419" s="6">
        <f>(I419*'Optimal Choice'!$B$6+J419*'Optimal Choice'!$B$11+K419*'Optimal Choice'!$B$16+L419*'Optimal Choice'!$B$21+M419*'Optimal Choice'!$B$26)*'Optimal Choice'!$B$30</f>
        <v>167002.17</v>
      </c>
      <c r="C419" s="10">
        <f>(O419/$B419)+(O419/'Optimal Choice'!$B$6)</f>
        <v>70094.19803</v>
      </c>
      <c r="D419" s="10">
        <f>(P419/$B419)+(P419/'Optimal Choice'!$B$11)</f>
        <v>70374.89627</v>
      </c>
      <c r="E419" s="10">
        <f>(Q419/$B419)+(Q419/'Optimal Choice'!$B$16)</f>
        <v>77030.6505</v>
      </c>
      <c r="F419" s="10">
        <f>(R419/$B419)+(R419/'Optimal Choice'!$B$21)</f>
        <v>67802.42891</v>
      </c>
      <c r="G419" s="10">
        <f>(S419/$B419)+(S419/'Optimal Choice'!$B$26)</f>
        <v>68671.38737</v>
      </c>
      <c r="I419" s="11">
        <f t="shared" ref="I419:M419" si="418">if(min($C418:$G418)=C418,I418+1,I418)</f>
        <v>151</v>
      </c>
      <c r="J419" s="11">
        <f t="shared" si="418"/>
        <v>71</v>
      </c>
      <c r="K419" s="11">
        <f t="shared" si="418"/>
        <v>69</v>
      </c>
      <c r="L419" s="11">
        <f t="shared" si="418"/>
        <v>64</v>
      </c>
      <c r="M419" s="11">
        <f t="shared" si="418"/>
        <v>63</v>
      </c>
      <c r="O419" s="12">
        <f> 'Optimal Choice'!$B$7*'Optimal Choice'!$B$8^(I419+1)</f>
        <v>117056.1402</v>
      </c>
      <c r="P419" s="12">
        <f> 'Optimal Choice'!$B$12*'Optimal Choice'!$B$13^(J419+1)</f>
        <v>1407329.385</v>
      </c>
      <c r="Q419" s="12">
        <f> 'Optimal Choice'!$B$17*'Optimal Choice'!$B$18^(K419+1)</f>
        <v>6929024.389</v>
      </c>
      <c r="R419" s="12">
        <f> 'Optimal Choice'!$B$22*'Optimal Choice'!$B$23^(L419+1)</f>
        <v>24356370.34</v>
      </c>
      <c r="S419" s="12">
        <f> 'Optimal Choice'!$B$27*'Optimal Choice'!$B$28^(M419+1)</f>
        <v>146436196.3</v>
      </c>
    </row>
    <row r="420" ht="15.75" customHeight="1">
      <c r="A420" s="10">
        <f t="shared" si="2"/>
        <v>183.3465827</v>
      </c>
      <c r="B420" s="6">
        <f>(I420*'Optimal Choice'!$B$6+J420*'Optimal Choice'!$B$11+K420*'Optimal Choice'!$B$16+L420*'Optimal Choice'!$B$21+M420*'Optimal Choice'!$B$26)*'Optimal Choice'!$B$30</f>
        <v>167362.17</v>
      </c>
      <c r="C420" s="10">
        <f>(O420/$B420)+(O420/'Optimal Choice'!$B$6)</f>
        <v>70094.19652</v>
      </c>
      <c r="D420" s="10">
        <f>(P420/$B420)+(P420/'Optimal Choice'!$B$11)</f>
        <v>70374.87814</v>
      </c>
      <c r="E420" s="10">
        <f>(Q420/$B420)+(Q420/'Optimal Choice'!$B$16)</f>
        <v>77030.56126</v>
      </c>
      <c r="F420" s="10">
        <f>(R420/$B420)+(R420/'Optimal Choice'!$B$21)</f>
        <v>76616.39017</v>
      </c>
      <c r="G420" s="10">
        <f>(S420/$B420)+(S420/'Optimal Choice'!$B$26)</f>
        <v>68669.50124</v>
      </c>
      <c r="I420" s="11">
        <f t="shared" ref="I420:M420" si="419">if(min($C419:$G419)=C419,I419+1,I419)</f>
        <v>151</v>
      </c>
      <c r="J420" s="11">
        <f t="shared" si="419"/>
        <v>71</v>
      </c>
      <c r="K420" s="11">
        <f t="shared" si="419"/>
        <v>69</v>
      </c>
      <c r="L420" s="11">
        <f t="shared" si="419"/>
        <v>65</v>
      </c>
      <c r="M420" s="11">
        <f t="shared" si="419"/>
        <v>63</v>
      </c>
      <c r="O420" s="12">
        <f> 'Optimal Choice'!$B$7*'Optimal Choice'!$B$8^(I420+1)</f>
        <v>117056.1402</v>
      </c>
      <c r="P420" s="12">
        <f> 'Optimal Choice'!$B$12*'Optimal Choice'!$B$13^(J420+1)</f>
        <v>1407329.385</v>
      </c>
      <c r="Q420" s="12">
        <f> 'Optimal Choice'!$B$17*'Optimal Choice'!$B$18^(K420+1)</f>
        <v>6929024.389</v>
      </c>
      <c r="R420" s="12">
        <f> 'Optimal Choice'!$B$22*'Optimal Choice'!$B$23^(L420+1)</f>
        <v>27522698.48</v>
      </c>
      <c r="S420" s="12">
        <f> 'Optimal Choice'!$B$27*'Optimal Choice'!$B$28^(M420+1)</f>
        <v>146436196.3</v>
      </c>
    </row>
    <row r="421" ht="15.75" customHeight="1">
      <c r="A421" s="10">
        <f t="shared" si="2"/>
        <v>197.9293481</v>
      </c>
      <c r="B421" s="6">
        <f>(I421*'Optimal Choice'!$B$6+J421*'Optimal Choice'!$B$11+K421*'Optimal Choice'!$B$16+L421*'Optimal Choice'!$B$21+M421*'Optimal Choice'!$B$26)*'Optimal Choice'!$B$30</f>
        <v>169522.17</v>
      </c>
      <c r="C421" s="10">
        <f>(O421/$B421)+(O421/'Optimal Choice'!$B$6)</f>
        <v>70094.18761</v>
      </c>
      <c r="D421" s="10">
        <f>(P421/$B421)+(P421/'Optimal Choice'!$B$11)</f>
        <v>70374.771</v>
      </c>
      <c r="E421" s="10">
        <f>(Q421/$B421)+(Q421/'Optimal Choice'!$B$16)</f>
        <v>77030.03373</v>
      </c>
      <c r="F421" s="10">
        <f>(R421/$B421)+(R421/'Optimal Choice'!$B$21)</f>
        <v>76614.2948</v>
      </c>
      <c r="G421" s="10">
        <f>(S421/$B421)+(S421/'Optimal Choice'!$B$26)</f>
        <v>76897.35501</v>
      </c>
      <c r="I421" s="11">
        <f t="shared" ref="I421:M421" si="420">if(min($C420:$G420)=C420,I420+1,I420)</f>
        <v>151</v>
      </c>
      <c r="J421" s="11">
        <f t="shared" si="420"/>
        <v>71</v>
      </c>
      <c r="K421" s="11">
        <f t="shared" si="420"/>
        <v>69</v>
      </c>
      <c r="L421" s="11">
        <f t="shared" si="420"/>
        <v>65</v>
      </c>
      <c r="M421" s="11">
        <f t="shared" si="420"/>
        <v>64</v>
      </c>
      <c r="O421" s="12">
        <f> 'Optimal Choice'!$B$7*'Optimal Choice'!$B$8^(I421+1)</f>
        <v>117056.1402</v>
      </c>
      <c r="P421" s="12">
        <f> 'Optimal Choice'!$B$12*'Optimal Choice'!$B$13^(J421+1)</f>
        <v>1407329.385</v>
      </c>
      <c r="Q421" s="12">
        <f> 'Optimal Choice'!$B$17*'Optimal Choice'!$B$18^(K421+1)</f>
        <v>6929024.389</v>
      </c>
      <c r="R421" s="12">
        <f> 'Optimal Choice'!$B$22*'Optimal Choice'!$B$23^(L421+1)</f>
        <v>27522698.48</v>
      </c>
      <c r="S421" s="12">
        <f> 'Optimal Choice'!$B$27*'Optimal Choice'!$B$28^(M421+1)</f>
        <v>164008539.8</v>
      </c>
    </row>
    <row r="422" ht="15.75" customHeight="1">
      <c r="A422" s="10">
        <f t="shared" si="2"/>
        <v>197.9408566</v>
      </c>
      <c r="B422" s="6">
        <f>(I422*'Optimal Choice'!$B$6+J422*'Optimal Choice'!$B$11+K422*'Optimal Choice'!$B$16+L422*'Optimal Choice'!$B$21+M422*'Optimal Choice'!$B$26)*'Optimal Choice'!$B$30</f>
        <v>169523.84</v>
      </c>
      <c r="C422" s="10">
        <f>(O422/$B422)+(O422/'Optimal Choice'!$B$6)</f>
        <v>75000.78073</v>
      </c>
      <c r="D422" s="10">
        <f>(P422/$B422)+(P422/'Optimal Choice'!$B$11)</f>
        <v>70374.77091</v>
      </c>
      <c r="E422" s="10">
        <f>(Q422/$B422)+(Q422/'Optimal Choice'!$B$16)</f>
        <v>77030.03333</v>
      </c>
      <c r="F422" s="10">
        <f>(R422/$B422)+(R422/'Optimal Choice'!$B$21)</f>
        <v>76614.2932</v>
      </c>
      <c r="G422" s="10">
        <f>(S422/$B422)+(S422/'Optimal Choice'!$B$26)</f>
        <v>76897.34548</v>
      </c>
      <c r="I422" s="11">
        <f t="shared" ref="I422:M422" si="421">if(min($C421:$G421)=C421,I421+1,I421)</f>
        <v>152</v>
      </c>
      <c r="J422" s="11">
        <f t="shared" si="421"/>
        <v>71</v>
      </c>
      <c r="K422" s="11">
        <f t="shared" si="421"/>
        <v>69</v>
      </c>
      <c r="L422" s="11">
        <f t="shared" si="421"/>
        <v>65</v>
      </c>
      <c r="M422" s="11">
        <f t="shared" si="421"/>
        <v>64</v>
      </c>
      <c r="O422" s="12">
        <f> 'Optimal Choice'!$B$7*'Optimal Choice'!$B$8^(I422+1)</f>
        <v>125250.07</v>
      </c>
      <c r="P422" s="12">
        <f> 'Optimal Choice'!$B$12*'Optimal Choice'!$B$13^(J422+1)</f>
        <v>1407329.385</v>
      </c>
      <c r="Q422" s="12">
        <f> 'Optimal Choice'!$B$17*'Optimal Choice'!$B$18^(K422+1)</f>
        <v>6929024.389</v>
      </c>
      <c r="R422" s="12">
        <f> 'Optimal Choice'!$B$22*'Optimal Choice'!$B$23^(L422+1)</f>
        <v>27522698.48</v>
      </c>
      <c r="S422" s="12">
        <f> 'Optimal Choice'!$B$27*'Optimal Choice'!$B$28^(M422+1)</f>
        <v>164008539.8</v>
      </c>
    </row>
    <row r="423" ht="15.75" customHeight="1">
      <c r="A423" s="10">
        <f t="shared" si="2"/>
        <v>198.0792176</v>
      </c>
      <c r="B423" s="6">
        <f>(I423*'Optimal Choice'!$B$6+J423*'Optimal Choice'!$B$11+K423*'Optimal Choice'!$B$16+L423*'Optimal Choice'!$B$21+M423*'Optimal Choice'!$B$26)*'Optimal Choice'!$B$30</f>
        <v>169543.84</v>
      </c>
      <c r="C423" s="10">
        <f>(O423/$B423)+(O423/'Optimal Choice'!$B$6)</f>
        <v>75000.78065</v>
      </c>
      <c r="D423" s="10">
        <f>(P423/$B423)+(P423/'Optimal Choice'!$B$11)</f>
        <v>80930.98543</v>
      </c>
      <c r="E423" s="10">
        <f>(Q423/$B423)+(Q423/'Optimal Choice'!$B$16)</f>
        <v>77030.02851</v>
      </c>
      <c r="F423" s="10">
        <f>(R423/$B423)+(R423/'Optimal Choice'!$B$21)</f>
        <v>76614.27405</v>
      </c>
      <c r="G423" s="10">
        <f>(S423/$B423)+(S423/'Optimal Choice'!$B$26)</f>
        <v>76897.23136</v>
      </c>
      <c r="I423" s="11">
        <f t="shared" ref="I423:M423" si="422">if(min($C422:$G422)=C422,I422+1,I422)</f>
        <v>152</v>
      </c>
      <c r="J423" s="11">
        <f t="shared" si="422"/>
        <v>72</v>
      </c>
      <c r="K423" s="11">
        <f t="shared" si="422"/>
        <v>69</v>
      </c>
      <c r="L423" s="11">
        <f t="shared" si="422"/>
        <v>65</v>
      </c>
      <c r="M423" s="11">
        <f t="shared" si="422"/>
        <v>64</v>
      </c>
      <c r="O423" s="12">
        <f> 'Optimal Choice'!$B$7*'Optimal Choice'!$B$8^(I423+1)</f>
        <v>125250.07</v>
      </c>
      <c r="P423" s="12">
        <f> 'Optimal Choice'!$B$12*'Optimal Choice'!$B$13^(J423+1)</f>
        <v>1618428.793</v>
      </c>
      <c r="Q423" s="12">
        <f> 'Optimal Choice'!$B$17*'Optimal Choice'!$B$18^(K423+1)</f>
        <v>6929024.389</v>
      </c>
      <c r="R423" s="12">
        <f> 'Optimal Choice'!$B$22*'Optimal Choice'!$B$23^(L423+1)</f>
        <v>27522698.48</v>
      </c>
      <c r="S423" s="12">
        <f> 'Optimal Choice'!$B$27*'Optimal Choice'!$B$28^(M423+1)</f>
        <v>164008539.8</v>
      </c>
    </row>
    <row r="424" ht="15.75" customHeight="1">
      <c r="A424" s="10">
        <f t="shared" si="2"/>
        <v>198.09153</v>
      </c>
      <c r="B424" s="6">
        <f>(I424*'Optimal Choice'!$B$6+J424*'Optimal Choice'!$B$11+K424*'Optimal Choice'!$B$16+L424*'Optimal Choice'!$B$21+M424*'Optimal Choice'!$B$26)*'Optimal Choice'!$B$30</f>
        <v>169545.51</v>
      </c>
      <c r="C424" s="10">
        <f>(O424/$B424)+(O424/'Optimal Choice'!$B$6)</f>
        <v>80250.83528</v>
      </c>
      <c r="D424" s="10">
        <f>(P424/$B424)+(P424/'Optimal Choice'!$B$11)</f>
        <v>80930.98533</v>
      </c>
      <c r="E424" s="10">
        <f>(Q424/$B424)+(Q424/'Optimal Choice'!$B$16)</f>
        <v>77030.02811</v>
      </c>
      <c r="F424" s="10">
        <f>(R424/$B424)+(R424/'Optimal Choice'!$B$21)</f>
        <v>76614.27245</v>
      </c>
      <c r="G424" s="10">
        <f>(S424/$B424)+(S424/'Optimal Choice'!$B$26)</f>
        <v>76897.22183</v>
      </c>
      <c r="I424" s="11">
        <f t="shared" ref="I424:M424" si="423">if(min($C423:$G423)=C423,I423+1,I423)</f>
        <v>153</v>
      </c>
      <c r="J424" s="11">
        <f t="shared" si="423"/>
        <v>72</v>
      </c>
      <c r="K424" s="11">
        <f t="shared" si="423"/>
        <v>69</v>
      </c>
      <c r="L424" s="11">
        <f t="shared" si="423"/>
        <v>65</v>
      </c>
      <c r="M424" s="11">
        <f t="shared" si="423"/>
        <v>64</v>
      </c>
      <c r="O424" s="12">
        <f> 'Optimal Choice'!$B$7*'Optimal Choice'!$B$8^(I424+1)</f>
        <v>134017.5749</v>
      </c>
      <c r="P424" s="12">
        <f> 'Optimal Choice'!$B$12*'Optimal Choice'!$B$13^(J424+1)</f>
        <v>1618428.793</v>
      </c>
      <c r="Q424" s="12">
        <f> 'Optimal Choice'!$B$17*'Optimal Choice'!$B$18^(K424+1)</f>
        <v>6929024.389</v>
      </c>
      <c r="R424" s="12">
        <f> 'Optimal Choice'!$B$22*'Optimal Choice'!$B$23^(L424+1)</f>
        <v>27522698.48</v>
      </c>
      <c r="S424" s="12">
        <f> 'Optimal Choice'!$B$27*'Optimal Choice'!$B$28^(M424+1)</f>
        <v>164008539.8</v>
      </c>
    </row>
    <row r="425" ht="15.75" customHeight="1">
      <c r="A425" s="10">
        <f t="shared" si="2"/>
        <v>200.797067</v>
      </c>
      <c r="B425" s="6">
        <f>(I425*'Optimal Choice'!$B$6+J425*'Optimal Choice'!$B$11+K425*'Optimal Choice'!$B$16+L425*'Optimal Choice'!$B$21+M425*'Optimal Choice'!$B$26)*'Optimal Choice'!$B$30</f>
        <v>169905.51</v>
      </c>
      <c r="C425" s="10">
        <f>(O425/$B425)+(O425/'Optimal Choice'!$B$6)</f>
        <v>80250.83361</v>
      </c>
      <c r="D425" s="10">
        <f>(P425/$B425)+(P425/'Optimal Choice'!$B$11)</f>
        <v>80930.96511</v>
      </c>
      <c r="E425" s="10">
        <f>(Q425/$B425)+(Q425/'Optimal Choice'!$B$16)</f>
        <v>77029.94151</v>
      </c>
      <c r="F425" s="10">
        <f>(R425/$B425)+(R425/'Optimal Choice'!$B$21)</f>
        <v>86573.7392</v>
      </c>
      <c r="G425" s="10">
        <f>(S425/$B425)+(S425/'Optimal Choice'!$B$26)</f>
        <v>76895.1722</v>
      </c>
      <c r="I425" s="11">
        <f t="shared" ref="I425:M425" si="424">if(min($C424:$G424)=C424,I424+1,I424)</f>
        <v>153</v>
      </c>
      <c r="J425" s="11">
        <f t="shared" si="424"/>
        <v>72</v>
      </c>
      <c r="K425" s="11">
        <f t="shared" si="424"/>
        <v>69</v>
      </c>
      <c r="L425" s="11">
        <f t="shared" si="424"/>
        <v>66</v>
      </c>
      <c r="M425" s="11">
        <f t="shared" si="424"/>
        <v>64</v>
      </c>
      <c r="O425" s="12">
        <f> 'Optimal Choice'!$B$7*'Optimal Choice'!$B$8^(I425+1)</f>
        <v>134017.5749</v>
      </c>
      <c r="P425" s="12">
        <f> 'Optimal Choice'!$B$12*'Optimal Choice'!$B$13^(J425+1)</f>
        <v>1618428.793</v>
      </c>
      <c r="Q425" s="12">
        <f> 'Optimal Choice'!$B$17*'Optimal Choice'!$B$18^(K425+1)</f>
        <v>6929024.389</v>
      </c>
      <c r="R425" s="12">
        <f> 'Optimal Choice'!$B$22*'Optimal Choice'!$B$23^(L425+1)</f>
        <v>31100649.29</v>
      </c>
      <c r="S425" s="12">
        <f> 'Optimal Choice'!$B$27*'Optimal Choice'!$B$28^(M425+1)</f>
        <v>164008539.8</v>
      </c>
    </row>
    <row r="426" ht="15.75" customHeight="1">
      <c r="A426" s="10">
        <f t="shared" si="2"/>
        <v>216.8852778</v>
      </c>
      <c r="B426" s="6">
        <f>(I426*'Optimal Choice'!$B$6+J426*'Optimal Choice'!$B$11+K426*'Optimal Choice'!$B$16+L426*'Optimal Choice'!$B$21+M426*'Optimal Choice'!$B$26)*'Optimal Choice'!$B$30</f>
        <v>172065.51</v>
      </c>
      <c r="C426" s="10">
        <f>(O426/$B426)+(O426/'Optimal Choice'!$B$6)</f>
        <v>80250.82371</v>
      </c>
      <c r="D426" s="10">
        <f>(P426/$B426)+(P426/'Optimal Choice'!$B$11)</f>
        <v>80930.84553</v>
      </c>
      <c r="E426" s="10">
        <f>(Q426/$B426)+(Q426/'Optimal Choice'!$B$16)</f>
        <v>77029.42957</v>
      </c>
      <c r="F426" s="10">
        <f>(R426/$B426)+(R426/'Optimal Choice'!$B$21)</f>
        <v>86571.44135</v>
      </c>
      <c r="G426" s="10">
        <f>(S426/$B426)+(S426/'Optimal Choice'!$B$26)</f>
        <v>86109.02108</v>
      </c>
      <c r="I426" s="11">
        <f t="shared" ref="I426:M426" si="425">if(min($C425:$G425)=C425,I425+1,I425)</f>
        <v>153</v>
      </c>
      <c r="J426" s="11">
        <f t="shared" si="425"/>
        <v>72</v>
      </c>
      <c r="K426" s="11">
        <f t="shared" si="425"/>
        <v>69</v>
      </c>
      <c r="L426" s="11">
        <f t="shared" si="425"/>
        <v>66</v>
      </c>
      <c r="M426" s="11">
        <f t="shared" si="425"/>
        <v>65</v>
      </c>
      <c r="O426" s="12">
        <f> 'Optimal Choice'!$B$7*'Optimal Choice'!$B$8^(I426+1)</f>
        <v>134017.5749</v>
      </c>
      <c r="P426" s="12">
        <f> 'Optimal Choice'!$B$12*'Optimal Choice'!$B$13^(J426+1)</f>
        <v>1618428.793</v>
      </c>
      <c r="Q426" s="12">
        <f> 'Optimal Choice'!$B$17*'Optimal Choice'!$B$18^(K426+1)</f>
        <v>6929024.389</v>
      </c>
      <c r="R426" s="12">
        <f> 'Optimal Choice'!$B$22*'Optimal Choice'!$B$23^(L426+1)</f>
        <v>31100649.29</v>
      </c>
      <c r="S426" s="12">
        <f> 'Optimal Choice'!$B$27*'Optimal Choice'!$B$28^(M426+1)</f>
        <v>183689564.6</v>
      </c>
    </row>
    <row r="427" ht="15.75" customHeight="1">
      <c r="A427" s="10">
        <f t="shared" si="2"/>
        <v>217.5564393</v>
      </c>
      <c r="B427" s="6">
        <f>(I427*'Optimal Choice'!$B$6+J427*'Optimal Choice'!$B$11+K427*'Optimal Choice'!$B$16+L427*'Optimal Choice'!$B$21+M427*'Optimal Choice'!$B$26)*'Optimal Choice'!$B$30</f>
        <v>172155.51</v>
      </c>
      <c r="C427" s="10">
        <f>(O427/$B427)+(O427/'Optimal Choice'!$B$6)</f>
        <v>80250.8233</v>
      </c>
      <c r="D427" s="10">
        <f>(P427/$B427)+(P427/'Optimal Choice'!$B$11)</f>
        <v>80930.84061</v>
      </c>
      <c r="E427" s="10">
        <f>(Q427/$B427)+(Q427/'Optimal Choice'!$B$16)</f>
        <v>87813.52571</v>
      </c>
      <c r="F427" s="10">
        <f>(R427/$B427)+(R427/'Optimal Choice'!$B$21)</f>
        <v>86571.34686</v>
      </c>
      <c r="G427" s="10">
        <f>(S427/$B427)+(S427/'Optimal Choice'!$B$26)</f>
        <v>86108.46298</v>
      </c>
      <c r="I427" s="11">
        <f t="shared" ref="I427:M427" si="426">if(min($C426:$G426)=C426,I426+1,I426)</f>
        <v>153</v>
      </c>
      <c r="J427" s="11">
        <f t="shared" si="426"/>
        <v>72</v>
      </c>
      <c r="K427" s="11">
        <f t="shared" si="426"/>
        <v>70</v>
      </c>
      <c r="L427" s="11">
        <f t="shared" si="426"/>
        <v>66</v>
      </c>
      <c r="M427" s="11">
        <f t="shared" si="426"/>
        <v>65</v>
      </c>
      <c r="O427" s="12">
        <f> 'Optimal Choice'!$B$7*'Optimal Choice'!$B$8^(I427+1)</f>
        <v>134017.5749</v>
      </c>
      <c r="P427" s="12">
        <f> 'Optimal Choice'!$B$12*'Optimal Choice'!$B$13^(J427+1)</f>
        <v>1618428.793</v>
      </c>
      <c r="Q427" s="12">
        <f> 'Optimal Choice'!$B$17*'Optimal Choice'!$B$18^(K427+1)</f>
        <v>7899087.804</v>
      </c>
      <c r="R427" s="12">
        <f> 'Optimal Choice'!$B$22*'Optimal Choice'!$B$23^(L427+1)</f>
        <v>31100649.29</v>
      </c>
      <c r="S427" s="12">
        <f> 'Optimal Choice'!$B$27*'Optimal Choice'!$B$28^(M427+1)</f>
        <v>183689564.6</v>
      </c>
    </row>
    <row r="428" ht="15.75" customHeight="1">
      <c r="A428" s="10">
        <f t="shared" si="2"/>
        <v>217.5694137</v>
      </c>
      <c r="B428" s="6">
        <f>(I428*'Optimal Choice'!$B$6+J428*'Optimal Choice'!$B$11+K428*'Optimal Choice'!$B$16+L428*'Optimal Choice'!$B$21+M428*'Optimal Choice'!$B$26)*'Optimal Choice'!$B$30</f>
        <v>172157.18</v>
      </c>
      <c r="C428" s="10">
        <f>(O428/$B428)+(O428/'Optimal Choice'!$B$6)</f>
        <v>85868.38092</v>
      </c>
      <c r="D428" s="10">
        <f>(P428/$B428)+(P428/'Optimal Choice'!$B$11)</f>
        <v>80930.84052</v>
      </c>
      <c r="E428" s="10">
        <f>(Q428/$B428)+(Q428/'Optimal Choice'!$B$16)</f>
        <v>87813.52526</v>
      </c>
      <c r="F428" s="10">
        <f>(R428/$B428)+(R428/'Optimal Choice'!$B$21)</f>
        <v>86571.3451</v>
      </c>
      <c r="G428" s="10">
        <f>(S428/$B428)+(S428/'Optimal Choice'!$B$26)</f>
        <v>86108.45263</v>
      </c>
      <c r="I428" s="11">
        <f t="shared" ref="I428:M428" si="427">if(min($C427:$G427)=C427,I427+1,I427)</f>
        <v>154</v>
      </c>
      <c r="J428" s="11">
        <f t="shared" si="427"/>
        <v>72</v>
      </c>
      <c r="K428" s="11">
        <f t="shared" si="427"/>
        <v>70</v>
      </c>
      <c r="L428" s="11">
        <f t="shared" si="427"/>
        <v>66</v>
      </c>
      <c r="M428" s="11">
        <f t="shared" si="427"/>
        <v>65</v>
      </c>
      <c r="O428" s="12">
        <f> 'Optimal Choice'!$B$7*'Optimal Choice'!$B$8^(I428+1)</f>
        <v>143398.8051</v>
      </c>
      <c r="P428" s="12">
        <f> 'Optimal Choice'!$B$12*'Optimal Choice'!$B$13^(J428+1)</f>
        <v>1618428.793</v>
      </c>
      <c r="Q428" s="12">
        <f> 'Optimal Choice'!$B$17*'Optimal Choice'!$B$18^(K428+1)</f>
        <v>7899087.804</v>
      </c>
      <c r="R428" s="12">
        <f> 'Optimal Choice'!$B$22*'Optimal Choice'!$B$23^(L428+1)</f>
        <v>31100649.29</v>
      </c>
      <c r="S428" s="12">
        <f> 'Optimal Choice'!$B$27*'Optimal Choice'!$B$28^(M428+1)</f>
        <v>183689564.6</v>
      </c>
    </row>
    <row r="429" ht="15.75" customHeight="1">
      <c r="A429" s="10">
        <f t="shared" si="2"/>
        <v>217.7260951</v>
      </c>
      <c r="B429" s="6">
        <f>(I429*'Optimal Choice'!$B$6+J429*'Optimal Choice'!$B$11+K429*'Optimal Choice'!$B$16+L429*'Optimal Choice'!$B$21+M429*'Optimal Choice'!$B$26)*'Optimal Choice'!$B$30</f>
        <v>172177.18</v>
      </c>
      <c r="C429" s="10">
        <f>(O429/$B429)+(O429/'Optimal Choice'!$B$6)</f>
        <v>85868.38083</v>
      </c>
      <c r="D429" s="10">
        <f>(P429/$B429)+(P429/'Optimal Choice'!$B$11)</f>
        <v>93070.46534</v>
      </c>
      <c r="E429" s="10">
        <f>(Q429/$B429)+(Q429/'Optimal Choice'!$B$16)</f>
        <v>87813.51993</v>
      </c>
      <c r="F429" s="10">
        <f>(R429/$B429)+(R429/'Optimal Choice'!$B$21)</f>
        <v>86571.32412</v>
      </c>
      <c r="G429" s="10">
        <f>(S429/$B429)+(S429/'Optimal Choice'!$B$26)</f>
        <v>86108.32869</v>
      </c>
      <c r="I429" s="11">
        <f t="shared" ref="I429:M429" si="428">if(min($C428:$G428)=C428,I428+1,I428)</f>
        <v>154</v>
      </c>
      <c r="J429" s="11">
        <f t="shared" si="428"/>
        <v>73</v>
      </c>
      <c r="K429" s="11">
        <f t="shared" si="428"/>
        <v>70</v>
      </c>
      <c r="L429" s="11">
        <f t="shared" si="428"/>
        <v>66</v>
      </c>
      <c r="M429" s="11">
        <f t="shared" si="428"/>
        <v>65</v>
      </c>
      <c r="O429" s="12">
        <f> 'Optimal Choice'!$B$7*'Optimal Choice'!$B$8^(I429+1)</f>
        <v>143398.8051</v>
      </c>
      <c r="P429" s="12">
        <f> 'Optimal Choice'!$B$12*'Optimal Choice'!$B$13^(J429+1)</f>
        <v>1861193.112</v>
      </c>
      <c r="Q429" s="12">
        <f> 'Optimal Choice'!$B$17*'Optimal Choice'!$B$18^(K429+1)</f>
        <v>7899087.804</v>
      </c>
      <c r="R429" s="12">
        <f> 'Optimal Choice'!$B$22*'Optimal Choice'!$B$23^(L429+1)</f>
        <v>31100649.29</v>
      </c>
      <c r="S429" s="12">
        <f> 'Optimal Choice'!$B$27*'Optimal Choice'!$B$28^(M429+1)</f>
        <v>183689564.6</v>
      </c>
    </row>
    <row r="430" ht="15.75" customHeight="1">
      <c r="A430" s="10">
        <f t="shared" si="2"/>
        <v>217.739976</v>
      </c>
      <c r="B430" s="6">
        <f>(I430*'Optimal Choice'!$B$6+J430*'Optimal Choice'!$B$11+K430*'Optimal Choice'!$B$16+L430*'Optimal Choice'!$B$21+M430*'Optimal Choice'!$B$26)*'Optimal Choice'!$B$30</f>
        <v>172178.85</v>
      </c>
      <c r="C430" s="10">
        <f>(O430/$B430)+(O430/'Optimal Choice'!$B$6)</f>
        <v>91879.16748</v>
      </c>
      <c r="D430" s="10">
        <f>(P430/$B430)+(P430/'Optimal Choice'!$B$11)</f>
        <v>93070.46524</v>
      </c>
      <c r="E430" s="10">
        <f>(Q430/$B430)+(Q430/'Optimal Choice'!$B$16)</f>
        <v>87813.51949</v>
      </c>
      <c r="F430" s="10">
        <f>(R430/$B430)+(R430/'Optimal Choice'!$B$21)</f>
        <v>86571.32237</v>
      </c>
      <c r="G430" s="10">
        <f>(S430/$B430)+(S430/'Optimal Choice'!$B$26)</f>
        <v>86108.31834</v>
      </c>
      <c r="I430" s="11">
        <f t="shared" ref="I430:M430" si="429">if(min($C429:$G429)=C429,I429+1,I429)</f>
        <v>155</v>
      </c>
      <c r="J430" s="11">
        <f t="shared" si="429"/>
        <v>73</v>
      </c>
      <c r="K430" s="11">
        <f t="shared" si="429"/>
        <v>70</v>
      </c>
      <c r="L430" s="11">
        <f t="shared" si="429"/>
        <v>66</v>
      </c>
      <c r="M430" s="11">
        <f t="shared" si="429"/>
        <v>65</v>
      </c>
      <c r="O430" s="12">
        <f> 'Optimal Choice'!$B$7*'Optimal Choice'!$B$8^(I430+1)</f>
        <v>153436.7215</v>
      </c>
      <c r="P430" s="12">
        <f> 'Optimal Choice'!$B$12*'Optimal Choice'!$B$13^(J430+1)</f>
        <v>1861193.112</v>
      </c>
      <c r="Q430" s="12">
        <f> 'Optimal Choice'!$B$17*'Optimal Choice'!$B$18^(K430+1)</f>
        <v>7899087.804</v>
      </c>
      <c r="R430" s="12">
        <f> 'Optimal Choice'!$B$22*'Optimal Choice'!$B$23^(L430+1)</f>
        <v>31100649.29</v>
      </c>
      <c r="S430" s="12">
        <f> 'Optimal Choice'!$B$27*'Optimal Choice'!$B$28^(M430+1)</f>
        <v>183689564.6</v>
      </c>
    </row>
    <row r="431" ht="15.75" customHeight="1">
      <c r="A431" s="10">
        <f t="shared" si="2"/>
        <v>235.5208634</v>
      </c>
      <c r="B431" s="6">
        <f>(I431*'Optimal Choice'!$B$6+J431*'Optimal Choice'!$B$11+K431*'Optimal Choice'!$B$16+L431*'Optimal Choice'!$B$21+M431*'Optimal Choice'!$B$26)*'Optimal Choice'!$B$30</f>
        <v>174338.85</v>
      </c>
      <c r="C431" s="10">
        <f>(O431/$B431)+(O431/'Optimal Choice'!$B$6)</f>
        <v>91879.15644</v>
      </c>
      <c r="D431" s="10">
        <f>(P431/$B431)+(P431/'Optimal Choice'!$B$11)</f>
        <v>93070.33131</v>
      </c>
      <c r="E431" s="10">
        <f>(Q431/$B431)+(Q431/'Optimal Choice'!$B$16)</f>
        <v>87812.95108</v>
      </c>
      <c r="F431" s="10">
        <f>(R431/$B431)+(R431/'Optimal Choice'!$B$21)</f>
        <v>86569.08442</v>
      </c>
      <c r="G431" s="10">
        <f>(S431/$B431)+(S431/'Optimal Choice'!$B$26)</f>
        <v>96426.51243</v>
      </c>
      <c r="I431" s="11">
        <f t="shared" ref="I431:M431" si="430">if(min($C430:$G430)=C430,I430+1,I430)</f>
        <v>155</v>
      </c>
      <c r="J431" s="11">
        <f t="shared" si="430"/>
        <v>73</v>
      </c>
      <c r="K431" s="11">
        <f t="shared" si="430"/>
        <v>70</v>
      </c>
      <c r="L431" s="11">
        <f t="shared" si="430"/>
        <v>66</v>
      </c>
      <c r="M431" s="11">
        <f t="shared" si="430"/>
        <v>66</v>
      </c>
      <c r="O431" s="12">
        <f> 'Optimal Choice'!$B$7*'Optimal Choice'!$B$8^(I431+1)</f>
        <v>153436.7215</v>
      </c>
      <c r="P431" s="12">
        <f> 'Optimal Choice'!$B$12*'Optimal Choice'!$B$13^(J431+1)</f>
        <v>1861193.112</v>
      </c>
      <c r="Q431" s="12">
        <f> 'Optimal Choice'!$B$17*'Optimal Choice'!$B$18^(K431+1)</f>
        <v>7899087.804</v>
      </c>
      <c r="R431" s="12">
        <f> 'Optimal Choice'!$B$22*'Optimal Choice'!$B$23^(L431+1)</f>
        <v>31100649.29</v>
      </c>
      <c r="S431" s="12">
        <f> 'Optimal Choice'!$B$27*'Optimal Choice'!$B$28^(M431+1)</f>
        <v>205732312.4</v>
      </c>
    </row>
    <row r="432" ht="15.75" customHeight="1">
      <c r="A432" s="10">
        <f t="shared" si="2"/>
        <v>238.4940627</v>
      </c>
      <c r="B432" s="6">
        <f>(I432*'Optimal Choice'!$B$6+J432*'Optimal Choice'!$B$11+K432*'Optimal Choice'!$B$16+L432*'Optimal Choice'!$B$21+M432*'Optimal Choice'!$B$26)*'Optimal Choice'!$B$30</f>
        <v>174698.85</v>
      </c>
      <c r="C432" s="10">
        <f>(O432/$B432)+(O432/'Optimal Choice'!$B$6)</f>
        <v>91879.15462</v>
      </c>
      <c r="D432" s="10">
        <f>(P432/$B432)+(P432/'Optimal Choice'!$B$11)</f>
        <v>93070.30931</v>
      </c>
      <c r="E432" s="10">
        <f>(Q432/$B432)+(Q432/'Optimal Choice'!$B$16)</f>
        <v>87812.85772</v>
      </c>
      <c r="F432" s="10">
        <f>(R432/$B432)+(R432/'Optimal Choice'!$B$21)</f>
        <v>97822.65</v>
      </c>
      <c r="G432" s="10">
        <f>(S432/$B432)+(S432/'Optimal Choice'!$B$26)</f>
        <v>96424.08067</v>
      </c>
      <c r="I432" s="11">
        <f t="shared" ref="I432:M432" si="431">if(min($C431:$G431)=C431,I431+1,I431)</f>
        <v>155</v>
      </c>
      <c r="J432" s="11">
        <f t="shared" si="431"/>
        <v>73</v>
      </c>
      <c r="K432" s="11">
        <f t="shared" si="431"/>
        <v>70</v>
      </c>
      <c r="L432" s="11">
        <f t="shared" si="431"/>
        <v>67</v>
      </c>
      <c r="M432" s="11">
        <f t="shared" si="431"/>
        <v>66</v>
      </c>
      <c r="O432" s="12">
        <f> 'Optimal Choice'!$B$7*'Optimal Choice'!$B$8^(I432+1)</f>
        <v>153436.7215</v>
      </c>
      <c r="P432" s="12">
        <f> 'Optimal Choice'!$B$12*'Optimal Choice'!$B$13^(J432+1)</f>
        <v>1861193.112</v>
      </c>
      <c r="Q432" s="12">
        <f> 'Optimal Choice'!$B$17*'Optimal Choice'!$B$18^(K432+1)</f>
        <v>7899087.804</v>
      </c>
      <c r="R432" s="12">
        <f> 'Optimal Choice'!$B$22*'Optimal Choice'!$B$23^(L432+1)</f>
        <v>35143733.69</v>
      </c>
      <c r="S432" s="12">
        <f> 'Optimal Choice'!$B$27*'Optimal Choice'!$B$28^(M432+1)</f>
        <v>205732312.4</v>
      </c>
    </row>
    <row r="433" ht="15.75" customHeight="1">
      <c r="A433" s="10">
        <f t="shared" si="2"/>
        <v>239.2476536</v>
      </c>
      <c r="B433" s="6">
        <f>(I433*'Optimal Choice'!$B$6+J433*'Optimal Choice'!$B$11+K433*'Optimal Choice'!$B$16+L433*'Optimal Choice'!$B$21+M433*'Optimal Choice'!$B$26)*'Optimal Choice'!$B$30</f>
        <v>174788.85</v>
      </c>
      <c r="C433" s="10">
        <f>(O433/$B433)+(O433/'Optimal Choice'!$B$6)</f>
        <v>91879.15417</v>
      </c>
      <c r="D433" s="10">
        <f>(P433/$B433)+(P433/'Optimal Choice'!$B$11)</f>
        <v>93070.30383</v>
      </c>
      <c r="E433" s="10">
        <f>(Q433/$B433)+(Q433/'Optimal Choice'!$B$16)</f>
        <v>100106.6313</v>
      </c>
      <c r="F433" s="10">
        <f>(R433/$B433)+(R433/'Optimal Choice'!$B$21)</f>
        <v>97822.54642</v>
      </c>
      <c r="G433" s="10">
        <f>(S433/$B433)+(S433/'Optimal Choice'!$B$26)</f>
        <v>96423.47429</v>
      </c>
      <c r="I433" s="11">
        <f t="shared" ref="I433:M433" si="432">if(min($C432:$G432)=C432,I432+1,I432)</f>
        <v>155</v>
      </c>
      <c r="J433" s="11">
        <f t="shared" si="432"/>
        <v>73</v>
      </c>
      <c r="K433" s="11">
        <f t="shared" si="432"/>
        <v>71</v>
      </c>
      <c r="L433" s="11">
        <f t="shared" si="432"/>
        <v>67</v>
      </c>
      <c r="M433" s="11">
        <f t="shared" si="432"/>
        <v>66</v>
      </c>
      <c r="O433" s="12">
        <f> 'Optimal Choice'!$B$7*'Optimal Choice'!$B$8^(I433+1)</f>
        <v>153436.7215</v>
      </c>
      <c r="P433" s="12">
        <f> 'Optimal Choice'!$B$12*'Optimal Choice'!$B$13^(J433+1)</f>
        <v>1861193.112</v>
      </c>
      <c r="Q433" s="12">
        <f> 'Optimal Choice'!$B$17*'Optimal Choice'!$B$18^(K433+1)</f>
        <v>9004960.096</v>
      </c>
      <c r="R433" s="12">
        <f> 'Optimal Choice'!$B$22*'Optimal Choice'!$B$23^(L433+1)</f>
        <v>35143733.69</v>
      </c>
      <c r="S433" s="12">
        <f> 'Optimal Choice'!$B$27*'Optimal Choice'!$B$28^(M433+1)</f>
        <v>205732312.4</v>
      </c>
    </row>
    <row r="434" ht="15.75" customHeight="1">
      <c r="A434" s="10">
        <f t="shared" si="2"/>
        <v>239.2622843</v>
      </c>
      <c r="B434" s="6">
        <f>(I434*'Optimal Choice'!$B$6+J434*'Optimal Choice'!$B$11+K434*'Optimal Choice'!$B$16+L434*'Optimal Choice'!$B$21+M434*'Optimal Choice'!$B$26)*'Optimal Choice'!$B$30</f>
        <v>174790.52</v>
      </c>
      <c r="C434" s="10">
        <f>(O434/$B434)+(O434/'Optimal Choice'!$B$6)</f>
        <v>98310.69495</v>
      </c>
      <c r="D434" s="10">
        <f>(P434/$B434)+(P434/'Optimal Choice'!$B$11)</f>
        <v>93070.30372</v>
      </c>
      <c r="E434" s="10">
        <f>(Q434/$B434)+(Q434/'Optimal Choice'!$B$16)</f>
        <v>100106.6308</v>
      </c>
      <c r="F434" s="10">
        <f>(R434/$B434)+(R434/'Optimal Choice'!$B$21)</f>
        <v>97822.5445</v>
      </c>
      <c r="G434" s="10">
        <f>(S434/$B434)+(S434/'Optimal Choice'!$B$26)</f>
        <v>96423.46305</v>
      </c>
      <c r="I434" s="11">
        <f t="shared" ref="I434:M434" si="433">if(min($C433:$G433)=C433,I433+1,I433)</f>
        <v>156</v>
      </c>
      <c r="J434" s="11">
        <f t="shared" si="433"/>
        <v>73</v>
      </c>
      <c r="K434" s="11">
        <f t="shared" si="433"/>
        <v>71</v>
      </c>
      <c r="L434" s="11">
        <f t="shared" si="433"/>
        <v>67</v>
      </c>
      <c r="M434" s="11">
        <f t="shared" si="433"/>
        <v>66</v>
      </c>
      <c r="O434" s="12">
        <f> 'Optimal Choice'!$B$7*'Optimal Choice'!$B$8^(I434+1)</f>
        <v>164177.292</v>
      </c>
      <c r="P434" s="12">
        <f> 'Optimal Choice'!$B$12*'Optimal Choice'!$B$13^(J434+1)</f>
        <v>1861193.112</v>
      </c>
      <c r="Q434" s="12">
        <f> 'Optimal Choice'!$B$17*'Optimal Choice'!$B$18^(K434+1)</f>
        <v>9004960.096</v>
      </c>
      <c r="R434" s="12">
        <f> 'Optimal Choice'!$B$22*'Optimal Choice'!$B$23^(L434+1)</f>
        <v>35143733.69</v>
      </c>
      <c r="S434" s="12">
        <f> 'Optimal Choice'!$B$27*'Optimal Choice'!$B$28^(M434+1)</f>
        <v>205732312.4</v>
      </c>
    </row>
    <row r="435" ht="15.75" customHeight="1">
      <c r="A435" s="10">
        <f t="shared" si="2"/>
        <v>239.4397532</v>
      </c>
      <c r="B435" s="6">
        <f>(I435*'Optimal Choice'!$B$6+J435*'Optimal Choice'!$B$11+K435*'Optimal Choice'!$B$16+L435*'Optimal Choice'!$B$21+M435*'Optimal Choice'!$B$26)*'Optimal Choice'!$B$30</f>
        <v>174810.52</v>
      </c>
      <c r="C435" s="10">
        <f>(O435/$B435)+(O435/'Optimal Choice'!$B$6)</f>
        <v>98310.69485</v>
      </c>
      <c r="D435" s="10">
        <f>(P435/$B435)+(P435/'Optimal Choice'!$B$11)</f>
        <v>107030.8479</v>
      </c>
      <c r="E435" s="10">
        <f>(Q435/$B435)+(Q435/'Optimal Choice'!$B$16)</f>
        <v>100106.6249</v>
      </c>
      <c r="F435" s="10">
        <f>(R435/$B435)+(R435/'Optimal Choice'!$B$21)</f>
        <v>97822.52149</v>
      </c>
      <c r="G435" s="10">
        <f>(S435/$B435)+(S435/'Optimal Choice'!$B$26)</f>
        <v>96423.32839</v>
      </c>
      <c r="I435" s="11">
        <f t="shared" ref="I435:M435" si="434">if(min($C434:$G434)=C434,I434+1,I434)</f>
        <v>156</v>
      </c>
      <c r="J435" s="11">
        <f t="shared" si="434"/>
        <v>74</v>
      </c>
      <c r="K435" s="11">
        <f t="shared" si="434"/>
        <v>71</v>
      </c>
      <c r="L435" s="11">
        <f t="shared" si="434"/>
        <v>67</v>
      </c>
      <c r="M435" s="11">
        <f t="shared" si="434"/>
        <v>66</v>
      </c>
      <c r="O435" s="12">
        <f> 'Optimal Choice'!$B$7*'Optimal Choice'!$B$8^(I435+1)</f>
        <v>164177.292</v>
      </c>
      <c r="P435" s="12">
        <f> 'Optimal Choice'!$B$12*'Optimal Choice'!$B$13^(J435+1)</f>
        <v>2140372.079</v>
      </c>
      <c r="Q435" s="12">
        <f> 'Optimal Choice'!$B$17*'Optimal Choice'!$B$18^(K435+1)</f>
        <v>9004960.096</v>
      </c>
      <c r="R435" s="12">
        <f> 'Optimal Choice'!$B$22*'Optimal Choice'!$B$23^(L435+1)</f>
        <v>35143733.69</v>
      </c>
      <c r="S435" s="12">
        <f> 'Optimal Choice'!$B$27*'Optimal Choice'!$B$28^(M435+1)</f>
        <v>205732312.4</v>
      </c>
    </row>
    <row r="436" ht="15.75" customHeight="1">
      <c r="A436" s="10">
        <f t="shared" si="2"/>
        <v>259.0545446</v>
      </c>
      <c r="B436" s="6">
        <f>(I436*'Optimal Choice'!$B$6+J436*'Optimal Choice'!$B$11+K436*'Optimal Choice'!$B$16+L436*'Optimal Choice'!$B$21+M436*'Optimal Choice'!$B$26)*'Optimal Choice'!$B$30</f>
        <v>176970.52</v>
      </c>
      <c r="C436" s="10">
        <f>(O436/$B436)+(O436/'Optimal Choice'!$B$6)</f>
        <v>98310.68338</v>
      </c>
      <c r="D436" s="10">
        <f>(P436/$B436)+(P436/'Optimal Choice'!$B$11)</f>
        <v>107030.6984</v>
      </c>
      <c r="E436" s="10">
        <f>(Q436/$B436)+(Q436/'Optimal Choice'!$B$16)</f>
        <v>100105.9961</v>
      </c>
      <c r="F436" s="10">
        <f>(R436/$B436)+(R436/'Optimal Choice'!$B$21)</f>
        <v>97820.06773</v>
      </c>
      <c r="G436" s="10">
        <f>(S436/$B436)+(S436/'Optimal Choice'!$B$26)</f>
        <v>107978.0397</v>
      </c>
      <c r="I436" s="11">
        <f t="shared" ref="I436:M436" si="435">if(min($C435:$G435)=C435,I435+1,I435)</f>
        <v>156</v>
      </c>
      <c r="J436" s="11">
        <f t="shared" si="435"/>
        <v>74</v>
      </c>
      <c r="K436" s="11">
        <f t="shared" si="435"/>
        <v>71</v>
      </c>
      <c r="L436" s="11">
        <f t="shared" si="435"/>
        <v>67</v>
      </c>
      <c r="M436" s="11">
        <f t="shared" si="435"/>
        <v>67</v>
      </c>
      <c r="O436" s="12">
        <f> 'Optimal Choice'!$B$7*'Optimal Choice'!$B$8^(I436+1)</f>
        <v>164177.292</v>
      </c>
      <c r="P436" s="12">
        <f> 'Optimal Choice'!$B$12*'Optimal Choice'!$B$13^(J436+1)</f>
        <v>2140372.079</v>
      </c>
      <c r="Q436" s="12">
        <f> 'Optimal Choice'!$B$17*'Optimal Choice'!$B$18^(K436+1)</f>
        <v>9004960.096</v>
      </c>
      <c r="R436" s="12">
        <f> 'Optimal Choice'!$B$22*'Optimal Choice'!$B$23^(L436+1)</f>
        <v>35143733.69</v>
      </c>
      <c r="S436" s="12">
        <f> 'Optimal Choice'!$B$27*'Optimal Choice'!$B$28^(M436+1)</f>
        <v>230420189.8</v>
      </c>
    </row>
    <row r="437" ht="15.75" customHeight="1">
      <c r="A437" s="10">
        <f t="shared" si="2"/>
        <v>262.3642986</v>
      </c>
      <c r="B437" s="6">
        <f>(I437*'Optimal Choice'!$B$6+J437*'Optimal Choice'!$B$11+K437*'Optimal Choice'!$B$16+L437*'Optimal Choice'!$B$21+M437*'Optimal Choice'!$B$26)*'Optimal Choice'!$B$30</f>
        <v>177330.52</v>
      </c>
      <c r="C437" s="10">
        <f>(O437/$B437)+(O437/'Optimal Choice'!$B$6)</f>
        <v>98310.6815</v>
      </c>
      <c r="D437" s="10">
        <f>(P437/$B437)+(P437/'Optimal Choice'!$B$11)</f>
        <v>107030.6739</v>
      </c>
      <c r="E437" s="10">
        <f>(Q437/$B437)+(Q437/'Optimal Choice'!$B$16)</f>
        <v>100105.8928</v>
      </c>
      <c r="F437" s="10">
        <f>(R437/$B437)+(R437/'Optimal Choice'!$B$21)</f>
        <v>110536.221</v>
      </c>
      <c r="G437" s="10">
        <f>(S437/$B437)+(S437/'Optimal Choice'!$B$26)</f>
        <v>107975.3964</v>
      </c>
      <c r="I437" s="11">
        <f t="shared" ref="I437:M437" si="436">if(min($C436:$G436)=C436,I436+1,I436)</f>
        <v>156</v>
      </c>
      <c r="J437" s="11">
        <f t="shared" si="436"/>
        <v>74</v>
      </c>
      <c r="K437" s="11">
        <f t="shared" si="436"/>
        <v>71</v>
      </c>
      <c r="L437" s="11">
        <f t="shared" si="436"/>
        <v>68</v>
      </c>
      <c r="M437" s="11">
        <f t="shared" si="436"/>
        <v>67</v>
      </c>
      <c r="O437" s="12">
        <f> 'Optimal Choice'!$B$7*'Optimal Choice'!$B$8^(I437+1)</f>
        <v>164177.292</v>
      </c>
      <c r="P437" s="12">
        <f> 'Optimal Choice'!$B$12*'Optimal Choice'!$B$13^(J437+1)</f>
        <v>2140372.079</v>
      </c>
      <c r="Q437" s="12">
        <f> 'Optimal Choice'!$B$17*'Optimal Choice'!$B$18^(K437+1)</f>
        <v>9004960.096</v>
      </c>
      <c r="R437" s="12">
        <f> 'Optimal Choice'!$B$22*'Optimal Choice'!$B$23^(L437+1)</f>
        <v>39712419.07</v>
      </c>
      <c r="S437" s="12">
        <f> 'Optimal Choice'!$B$27*'Optimal Choice'!$B$28^(M437+1)</f>
        <v>230420189.8</v>
      </c>
    </row>
    <row r="438" ht="15.75" customHeight="1">
      <c r="A438" s="10">
        <f t="shared" si="2"/>
        <v>262.379729</v>
      </c>
      <c r="B438" s="6">
        <f>(I438*'Optimal Choice'!$B$6+J438*'Optimal Choice'!$B$11+K438*'Optimal Choice'!$B$16+L438*'Optimal Choice'!$B$21+M438*'Optimal Choice'!$B$26)*'Optimal Choice'!$B$30</f>
        <v>177332.19</v>
      </c>
      <c r="C438" s="10">
        <f>(O438/$B438)+(O438/'Optimal Choice'!$B$6)</f>
        <v>105192.4292</v>
      </c>
      <c r="D438" s="10">
        <f>(P438/$B438)+(P438/'Optimal Choice'!$B$11)</f>
        <v>107030.6738</v>
      </c>
      <c r="E438" s="10">
        <f>(Q438/$B438)+(Q438/'Optimal Choice'!$B$16)</f>
        <v>100105.8924</v>
      </c>
      <c r="F438" s="10">
        <f>(R438/$B438)+(R438/'Optimal Choice'!$B$21)</f>
        <v>110536.2189</v>
      </c>
      <c r="G438" s="10">
        <f>(S438/$B438)+(S438/'Optimal Choice'!$B$26)</f>
        <v>107975.3842</v>
      </c>
      <c r="I438" s="11">
        <f t="shared" ref="I438:M438" si="437">if(min($C437:$G437)=C437,I437+1,I437)</f>
        <v>157</v>
      </c>
      <c r="J438" s="11">
        <f t="shared" si="437"/>
        <v>74</v>
      </c>
      <c r="K438" s="11">
        <f t="shared" si="437"/>
        <v>71</v>
      </c>
      <c r="L438" s="11">
        <f t="shared" si="437"/>
        <v>68</v>
      </c>
      <c r="M438" s="11">
        <f t="shared" si="437"/>
        <v>67</v>
      </c>
      <c r="O438" s="12">
        <f> 'Optimal Choice'!$B$7*'Optimal Choice'!$B$8^(I438+1)</f>
        <v>175669.7024</v>
      </c>
      <c r="P438" s="12">
        <f> 'Optimal Choice'!$B$12*'Optimal Choice'!$B$13^(J438+1)</f>
        <v>2140372.079</v>
      </c>
      <c r="Q438" s="12">
        <f> 'Optimal Choice'!$B$17*'Optimal Choice'!$B$18^(K438+1)</f>
        <v>9004960.096</v>
      </c>
      <c r="R438" s="12">
        <f> 'Optimal Choice'!$B$22*'Optimal Choice'!$B$23^(L438+1)</f>
        <v>39712419.07</v>
      </c>
      <c r="S438" s="12">
        <f> 'Optimal Choice'!$B$27*'Optimal Choice'!$B$28^(M438+1)</f>
        <v>230420189.8</v>
      </c>
    </row>
    <row r="439" ht="15.75" customHeight="1">
      <c r="A439" s="10">
        <f t="shared" si="2"/>
        <v>263.2260653</v>
      </c>
      <c r="B439" s="6">
        <f>(I439*'Optimal Choice'!$B$6+J439*'Optimal Choice'!$B$11+K439*'Optimal Choice'!$B$16+L439*'Optimal Choice'!$B$21+M439*'Optimal Choice'!$B$26)*'Optimal Choice'!$B$30</f>
        <v>177422.19</v>
      </c>
      <c r="C439" s="10">
        <f>(O439/$B439)+(O439/'Optimal Choice'!$B$6)</f>
        <v>105192.4287</v>
      </c>
      <c r="D439" s="10">
        <f>(P439/$B439)+(P439/'Optimal Choice'!$B$11)</f>
        <v>107030.6676</v>
      </c>
      <c r="E439" s="10">
        <f>(Q439/$B439)+(Q439/'Optimal Choice'!$B$16)</f>
        <v>114120.6879</v>
      </c>
      <c r="F439" s="10">
        <f>(R439/$B439)+(R439/'Optimal Choice'!$B$21)</f>
        <v>110536.1053</v>
      </c>
      <c r="G439" s="10">
        <f>(S439/$B439)+(S439/'Optimal Choice'!$B$26)</f>
        <v>107974.725</v>
      </c>
      <c r="I439" s="11">
        <f t="shared" ref="I439:M439" si="438">if(min($C438:$G438)=C438,I438+1,I438)</f>
        <v>157</v>
      </c>
      <c r="J439" s="11">
        <f t="shared" si="438"/>
        <v>74</v>
      </c>
      <c r="K439" s="11">
        <f t="shared" si="438"/>
        <v>72</v>
      </c>
      <c r="L439" s="11">
        <f t="shared" si="438"/>
        <v>68</v>
      </c>
      <c r="M439" s="11">
        <f t="shared" si="438"/>
        <v>67</v>
      </c>
      <c r="O439" s="12">
        <f> 'Optimal Choice'!$B$7*'Optimal Choice'!$B$8^(I439+1)</f>
        <v>175669.7024</v>
      </c>
      <c r="P439" s="12">
        <f> 'Optimal Choice'!$B$12*'Optimal Choice'!$B$13^(J439+1)</f>
        <v>2140372.079</v>
      </c>
      <c r="Q439" s="12">
        <f> 'Optimal Choice'!$B$17*'Optimal Choice'!$B$18^(K439+1)</f>
        <v>10265654.51</v>
      </c>
      <c r="R439" s="12">
        <f> 'Optimal Choice'!$B$22*'Optimal Choice'!$B$23^(L439+1)</f>
        <v>39712419.07</v>
      </c>
      <c r="S439" s="12">
        <f> 'Optimal Choice'!$B$27*'Optimal Choice'!$B$28^(M439+1)</f>
        <v>230420189.8</v>
      </c>
    </row>
    <row r="440" ht="15.75" customHeight="1">
      <c r="A440" s="10">
        <f t="shared" si="2"/>
        <v>263.2425674</v>
      </c>
      <c r="B440" s="6">
        <f>(I440*'Optimal Choice'!$B$6+J440*'Optimal Choice'!$B$11+K440*'Optimal Choice'!$B$16+L440*'Optimal Choice'!$B$21+M440*'Optimal Choice'!$B$26)*'Optimal Choice'!$B$30</f>
        <v>177423.86</v>
      </c>
      <c r="C440" s="10">
        <f>(O440/$B440)+(O440/'Optimal Choice'!$B$6)</f>
        <v>112555.8987</v>
      </c>
      <c r="D440" s="10">
        <f>(P440/$B440)+(P440/'Optimal Choice'!$B$11)</f>
        <v>107030.6675</v>
      </c>
      <c r="E440" s="10">
        <f>(Q440/$B440)+(Q440/'Optimal Choice'!$B$16)</f>
        <v>114120.6874</v>
      </c>
      <c r="F440" s="10">
        <f>(R440/$B440)+(R440/'Optimal Choice'!$B$21)</f>
        <v>110536.1032</v>
      </c>
      <c r="G440" s="10">
        <f>(S440/$B440)+(S440/'Optimal Choice'!$B$26)</f>
        <v>107974.7128</v>
      </c>
      <c r="I440" s="11">
        <f t="shared" ref="I440:M440" si="439">if(min($C439:$G439)=C439,I439+1,I439)</f>
        <v>158</v>
      </c>
      <c r="J440" s="11">
        <f t="shared" si="439"/>
        <v>74</v>
      </c>
      <c r="K440" s="11">
        <f t="shared" si="439"/>
        <v>72</v>
      </c>
      <c r="L440" s="11">
        <f t="shared" si="439"/>
        <v>68</v>
      </c>
      <c r="M440" s="11">
        <f t="shared" si="439"/>
        <v>67</v>
      </c>
      <c r="O440" s="12">
        <f> 'Optimal Choice'!$B$7*'Optimal Choice'!$B$8^(I440+1)</f>
        <v>187966.5816</v>
      </c>
      <c r="P440" s="12">
        <f> 'Optimal Choice'!$B$12*'Optimal Choice'!$B$13^(J440+1)</f>
        <v>2140372.079</v>
      </c>
      <c r="Q440" s="12">
        <f> 'Optimal Choice'!$B$17*'Optimal Choice'!$B$18^(K440+1)</f>
        <v>10265654.51</v>
      </c>
      <c r="R440" s="12">
        <f> 'Optimal Choice'!$B$22*'Optimal Choice'!$B$23^(L440+1)</f>
        <v>39712419.07</v>
      </c>
      <c r="S440" s="12">
        <f> 'Optimal Choice'!$B$27*'Optimal Choice'!$B$28^(M440+1)</f>
        <v>230420189.8</v>
      </c>
    </row>
    <row r="441" ht="15.75" customHeight="1">
      <c r="A441" s="10">
        <f t="shared" si="2"/>
        <v>263.4436275</v>
      </c>
      <c r="B441" s="6">
        <f>(I441*'Optimal Choice'!$B$6+J441*'Optimal Choice'!$B$11+K441*'Optimal Choice'!$B$16+L441*'Optimal Choice'!$B$21+M441*'Optimal Choice'!$B$26)*'Optimal Choice'!$B$30</f>
        <v>177443.86</v>
      </c>
      <c r="C441" s="10">
        <f>(O441/$B441)+(O441/'Optimal Choice'!$B$6)</f>
        <v>112555.8986</v>
      </c>
      <c r="D441" s="10">
        <f>(P441/$B441)+(P441/'Optimal Choice'!$B$11)</f>
        <v>123085.2661</v>
      </c>
      <c r="E441" s="10">
        <f>(Q441/$B441)+(Q441/'Optimal Choice'!$B$16)</f>
        <v>114120.6809</v>
      </c>
      <c r="F441" s="10">
        <f>(R441/$B441)+(R441/'Optimal Choice'!$B$21)</f>
        <v>110536.0779</v>
      </c>
      <c r="G441" s="10">
        <f>(S441/$B441)+(S441/'Optimal Choice'!$B$26)</f>
        <v>107974.5664</v>
      </c>
      <c r="I441" s="11">
        <f t="shared" ref="I441:M441" si="440">if(min($C440:$G440)=C440,I440+1,I440)</f>
        <v>158</v>
      </c>
      <c r="J441" s="11">
        <f t="shared" si="440"/>
        <v>75</v>
      </c>
      <c r="K441" s="11">
        <f t="shared" si="440"/>
        <v>72</v>
      </c>
      <c r="L441" s="11">
        <f t="shared" si="440"/>
        <v>68</v>
      </c>
      <c r="M441" s="11">
        <f t="shared" si="440"/>
        <v>67</v>
      </c>
      <c r="O441" s="12">
        <f> 'Optimal Choice'!$B$7*'Optimal Choice'!$B$8^(I441+1)</f>
        <v>187966.5816</v>
      </c>
      <c r="P441" s="12">
        <f> 'Optimal Choice'!$B$12*'Optimal Choice'!$B$13^(J441+1)</f>
        <v>2461427.89</v>
      </c>
      <c r="Q441" s="12">
        <f> 'Optimal Choice'!$B$17*'Optimal Choice'!$B$18^(K441+1)</f>
        <v>10265654.51</v>
      </c>
      <c r="R441" s="12">
        <f> 'Optimal Choice'!$B$22*'Optimal Choice'!$B$23^(L441+1)</f>
        <v>39712419.07</v>
      </c>
      <c r="S441" s="12">
        <f> 'Optimal Choice'!$B$27*'Optimal Choice'!$B$28^(M441+1)</f>
        <v>230420189.8</v>
      </c>
    </row>
    <row r="442" ht="15.75" customHeight="1">
      <c r="A442" s="10">
        <f t="shared" si="2"/>
        <v>285.0861712</v>
      </c>
      <c r="B442" s="6">
        <f>(I442*'Optimal Choice'!$B$6+J442*'Optimal Choice'!$B$11+K442*'Optimal Choice'!$B$16+L442*'Optimal Choice'!$B$21+M442*'Optimal Choice'!$B$26)*'Optimal Choice'!$B$30</f>
        <v>179603.86</v>
      </c>
      <c r="C442" s="10">
        <f>(O442/$B442)+(O442/'Optimal Choice'!$B$6)</f>
        <v>112555.8858</v>
      </c>
      <c r="D442" s="10">
        <f>(P442/$B442)+(P442/'Optimal Choice'!$B$11)</f>
        <v>123085.0993</v>
      </c>
      <c r="E442" s="10">
        <f>(Q442/$B442)+(Q442/'Optimal Choice'!$B$16)</f>
        <v>114119.9851</v>
      </c>
      <c r="F442" s="10">
        <f>(R442/$B442)+(R442/'Optimal Choice'!$B$21)</f>
        <v>110533.3864</v>
      </c>
      <c r="G442" s="10">
        <f>(S442/$B442)+(S442/'Optimal Choice'!$B$26)</f>
        <v>120914.0234</v>
      </c>
      <c r="I442" s="11">
        <f t="shared" ref="I442:M442" si="441">if(min($C441:$G441)=C441,I441+1,I441)</f>
        <v>158</v>
      </c>
      <c r="J442" s="11">
        <f t="shared" si="441"/>
        <v>75</v>
      </c>
      <c r="K442" s="11">
        <f t="shared" si="441"/>
        <v>72</v>
      </c>
      <c r="L442" s="11">
        <f t="shared" si="441"/>
        <v>68</v>
      </c>
      <c r="M442" s="11">
        <f t="shared" si="441"/>
        <v>68</v>
      </c>
      <c r="O442" s="12">
        <f> 'Optimal Choice'!$B$7*'Optimal Choice'!$B$8^(I442+1)</f>
        <v>187966.5816</v>
      </c>
      <c r="P442" s="12">
        <f> 'Optimal Choice'!$B$12*'Optimal Choice'!$B$13^(J442+1)</f>
        <v>2461427.89</v>
      </c>
      <c r="Q442" s="12">
        <f> 'Optimal Choice'!$B$17*'Optimal Choice'!$B$18^(K442+1)</f>
        <v>10265654.51</v>
      </c>
      <c r="R442" s="12">
        <f> 'Optimal Choice'!$B$22*'Optimal Choice'!$B$23^(L442+1)</f>
        <v>39712419.07</v>
      </c>
      <c r="S442" s="12">
        <f> 'Optimal Choice'!$B$27*'Optimal Choice'!$B$28^(M442+1)</f>
        <v>258070612.6</v>
      </c>
    </row>
    <row r="443" ht="15.75" customHeight="1">
      <c r="A443" s="10">
        <f t="shared" si="2"/>
        <v>288.7713574</v>
      </c>
      <c r="B443" s="6">
        <f>(I443*'Optimal Choice'!$B$6+J443*'Optimal Choice'!$B$11+K443*'Optimal Choice'!$B$16+L443*'Optimal Choice'!$B$21+M443*'Optimal Choice'!$B$26)*'Optimal Choice'!$B$30</f>
        <v>179963.86</v>
      </c>
      <c r="C443" s="10">
        <f>(O443/$B443)+(O443/'Optimal Choice'!$B$6)</f>
        <v>112555.8837</v>
      </c>
      <c r="D443" s="10">
        <f>(P443/$B443)+(P443/'Optimal Choice'!$B$11)</f>
        <v>123085.0719</v>
      </c>
      <c r="E443" s="10">
        <f>(Q443/$B443)+(Q443/'Optimal Choice'!$B$16)</f>
        <v>114119.8708</v>
      </c>
      <c r="F443" s="10">
        <f>(R443/$B443)+(R443/'Optimal Choice'!$B$21)</f>
        <v>124902.2268</v>
      </c>
      <c r="G443" s="10">
        <f>(S443/$B443)+(S443/'Optimal Choice'!$B$26)</f>
        <v>120911.149</v>
      </c>
      <c r="I443" s="11">
        <f t="shared" ref="I443:M443" si="442">if(min($C442:$G442)=C442,I442+1,I442)</f>
        <v>158</v>
      </c>
      <c r="J443" s="11">
        <f t="shared" si="442"/>
        <v>75</v>
      </c>
      <c r="K443" s="11">
        <f t="shared" si="442"/>
        <v>72</v>
      </c>
      <c r="L443" s="11">
        <f t="shared" si="442"/>
        <v>69</v>
      </c>
      <c r="M443" s="11">
        <f t="shared" si="442"/>
        <v>68</v>
      </c>
      <c r="O443" s="12">
        <f> 'Optimal Choice'!$B$7*'Optimal Choice'!$B$8^(I443+1)</f>
        <v>187966.5816</v>
      </c>
      <c r="P443" s="12">
        <f> 'Optimal Choice'!$B$12*'Optimal Choice'!$B$13^(J443+1)</f>
        <v>2461427.89</v>
      </c>
      <c r="Q443" s="12">
        <f> 'Optimal Choice'!$B$17*'Optimal Choice'!$B$18^(K443+1)</f>
        <v>10265654.51</v>
      </c>
      <c r="R443" s="12">
        <f> 'Optimal Choice'!$B$22*'Optimal Choice'!$B$23^(L443+1)</f>
        <v>44875033.55</v>
      </c>
      <c r="S443" s="12">
        <f> 'Optimal Choice'!$B$27*'Optimal Choice'!$B$28^(M443+1)</f>
        <v>258070612.6</v>
      </c>
    </row>
    <row r="444" ht="15.75" customHeight="1">
      <c r="A444" s="10">
        <f t="shared" si="2"/>
        <v>288.7887652</v>
      </c>
      <c r="B444" s="6">
        <f>(I444*'Optimal Choice'!$B$6+J444*'Optimal Choice'!$B$11+K444*'Optimal Choice'!$B$16+L444*'Optimal Choice'!$B$21+M444*'Optimal Choice'!$B$26)*'Optimal Choice'!$B$30</f>
        <v>179965.53</v>
      </c>
      <c r="C444" s="10">
        <f>(O444/$B444)+(O444/'Optimal Choice'!$B$6)</f>
        <v>120434.7956</v>
      </c>
      <c r="D444" s="10">
        <f>(P444/$B444)+(P444/'Optimal Choice'!$B$11)</f>
        <v>123085.0717</v>
      </c>
      <c r="E444" s="10">
        <f>(Q444/$B444)+(Q444/'Optimal Choice'!$B$16)</f>
        <v>114119.8702</v>
      </c>
      <c r="F444" s="10">
        <f>(R444/$B444)+(R444/'Optimal Choice'!$B$21)</f>
        <v>124902.2245</v>
      </c>
      <c r="G444" s="10">
        <f>(S444/$B444)+(S444/'Optimal Choice'!$B$26)</f>
        <v>120911.1357</v>
      </c>
      <c r="I444" s="11">
        <f t="shared" ref="I444:M444" si="443">if(min($C443:$G443)=C443,I443+1,I443)</f>
        <v>159</v>
      </c>
      <c r="J444" s="11">
        <f t="shared" si="443"/>
        <v>75</v>
      </c>
      <c r="K444" s="11">
        <f t="shared" si="443"/>
        <v>72</v>
      </c>
      <c r="L444" s="11">
        <f t="shared" si="443"/>
        <v>69</v>
      </c>
      <c r="M444" s="11">
        <f t="shared" si="443"/>
        <v>68</v>
      </c>
      <c r="O444" s="12">
        <f> 'Optimal Choice'!$B$7*'Optimal Choice'!$B$8^(I444+1)</f>
        <v>201124.2423</v>
      </c>
      <c r="P444" s="12">
        <f> 'Optimal Choice'!$B$12*'Optimal Choice'!$B$13^(J444+1)</f>
        <v>2461427.89</v>
      </c>
      <c r="Q444" s="12">
        <f> 'Optimal Choice'!$B$17*'Optimal Choice'!$B$18^(K444+1)</f>
        <v>10265654.51</v>
      </c>
      <c r="R444" s="12">
        <f> 'Optimal Choice'!$B$22*'Optimal Choice'!$B$23^(L444+1)</f>
        <v>44875033.55</v>
      </c>
      <c r="S444" s="12">
        <f> 'Optimal Choice'!$B$27*'Optimal Choice'!$B$28^(M444+1)</f>
        <v>258070612.6</v>
      </c>
    </row>
    <row r="445" ht="15.75" customHeight="1">
      <c r="A445" s="10">
        <f t="shared" si="2"/>
        <v>289.7394708</v>
      </c>
      <c r="B445" s="6">
        <f>(I445*'Optimal Choice'!$B$6+J445*'Optimal Choice'!$B$11+K445*'Optimal Choice'!$B$16+L445*'Optimal Choice'!$B$21+M445*'Optimal Choice'!$B$26)*'Optimal Choice'!$B$30</f>
        <v>180055.53</v>
      </c>
      <c r="C445" s="10">
        <f>(O445/$B445)+(O445/'Optimal Choice'!$B$6)</f>
        <v>120434.795</v>
      </c>
      <c r="D445" s="10">
        <f>(P445/$B445)+(P445/'Optimal Choice'!$B$11)</f>
        <v>123085.0649</v>
      </c>
      <c r="E445" s="10">
        <f>(Q445/$B445)+(Q445/'Optimal Choice'!$B$16)</f>
        <v>130096.6195</v>
      </c>
      <c r="F445" s="10">
        <f>(R445/$B445)+(R445/'Optimal Choice'!$B$21)</f>
        <v>124902.0998</v>
      </c>
      <c r="G445" s="10">
        <f>(S445/$B445)+(S445/'Optimal Choice'!$B$26)</f>
        <v>120910.4189</v>
      </c>
      <c r="I445" s="11">
        <f t="shared" ref="I445:M445" si="444">if(min($C444:$G444)=C444,I444+1,I444)</f>
        <v>159</v>
      </c>
      <c r="J445" s="11">
        <f t="shared" si="444"/>
        <v>75</v>
      </c>
      <c r="K445" s="11">
        <f t="shared" si="444"/>
        <v>73</v>
      </c>
      <c r="L445" s="11">
        <f t="shared" si="444"/>
        <v>69</v>
      </c>
      <c r="M445" s="11">
        <f t="shared" si="444"/>
        <v>68</v>
      </c>
      <c r="O445" s="12">
        <f> 'Optimal Choice'!$B$7*'Optimal Choice'!$B$8^(I445+1)</f>
        <v>201124.2423</v>
      </c>
      <c r="P445" s="12">
        <f> 'Optimal Choice'!$B$12*'Optimal Choice'!$B$13^(J445+1)</f>
        <v>2461427.89</v>
      </c>
      <c r="Q445" s="12">
        <f> 'Optimal Choice'!$B$17*'Optimal Choice'!$B$18^(K445+1)</f>
        <v>11702846.14</v>
      </c>
      <c r="R445" s="12">
        <f> 'Optimal Choice'!$B$22*'Optimal Choice'!$B$23^(L445+1)</f>
        <v>44875033.55</v>
      </c>
      <c r="S445" s="12">
        <f> 'Optimal Choice'!$B$27*'Optimal Choice'!$B$28^(M445+1)</f>
        <v>258070612.6</v>
      </c>
    </row>
    <row r="446" ht="15.75" customHeight="1">
      <c r="A446" s="10">
        <f t="shared" si="2"/>
        <v>289.7580877</v>
      </c>
      <c r="B446" s="6">
        <f>(I446*'Optimal Choice'!$B$6+J446*'Optimal Choice'!$B$11+K446*'Optimal Choice'!$B$16+L446*'Optimal Choice'!$B$21+M446*'Optimal Choice'!$B$26)*'Optimal Choice'!$B$30</f>
        <v>180057.2</v>
      </c>
      <c r="C446" s="10">
        <f>(O446/$B446)+(O446/'Optimal Choice'!$B$6)</f>
        <v>128865.2307</v>
      </c>
      <c r="D446" s="10">
        <f>(P446/$B446)+(P446/'Optimal Choice'!$B$11)</f>
        <v>123085.0648</v>
      </c>
      <c r="E446" s="10">
        <f>(Q446/$B446)+(Q446/'Optimal Choice'!$B$16)</f>
        <v>130096.6189</v>
      </c>
      <c r="F446" s="10">
        <f>(R446/$B446)+(R446/'Optimal Choice'!$B$21)</f>
        <v>124902.0975</v>
      </c>
      <c r="G446" s="10">
        <f>(S446/$B446)+(S446/'Optimal Choice'!$B$26)</f>
        <v>120910.4056</v>
      </c>
      <c r="I446" s="11">
        <f t="shared" ref="I446:M446" si="445">if(min($C445:$G445)=C445,I445+1,I445)</f>
        <v>160</v>
      </c>
      <c r="J446" s="11">
        <f t="shared" si="445"/>
        <v>75</v>
      </c>
      <c r="K446" s="11">
        <f t="shared" si="445"/>
        <v>73</v>
      </c>
      <c r="L446" s="11">
        <f t="shared" si="445"/>
        <v>69</v>
      </c>
      <c r="M446" s="11">
        <f t="shared" si="445"/>
        <v>68</v>
      </c>
      <c r="O446" s="12">
        <f> 'Optimal Choice'!$B$7*'Optimal Choice'!$B$8^(I446+1)</f>
        <v>215202.9393</v>
      </c>
      <c r="P446" s="12">
        <f> 'Optimal Choice'!$B$12*'Optimal Choice'!$B$13^(J446+1)</f>
        <v>2461427.89</v>
      </c>
      <c r="Q446" s="12">
        <f> 'Optimal Choice'!$B$17*'Optimal Choice'!$B$18^(K446+1)</f>
        <v>11702846.14</v>
      </c>
      <c r="R446" s="12">
        <f> 'Optimal Choice'!$B$22*'Optimal Choice'!$B$23^(L446+1)</f>
        <v>44875033.55</v>
      </c>
      <c r="S446" s="12">
        <f> 'Optimal Choice'!$B$27*'Optimal Choice'!$B$28^(M446+1)</f>
        <v>258070612.6</v>
      </c>
    </row>
    <row r="447" ht="15.75" customHeight="1">
      <c r="A447" s="10">
        <f t="shared" si="2"/>
        <v>313.6459237</v>
      </c>
      <c r="B447" s="6">
        <f>(I447*'Optimal Choice'!$B$6+J447*'Optimal Choice'!$B$11+K447*'Optimal Choice'!$B$16+L447*'Optimal Choice'!$B$21+M447*'Optimal Choice'!$B$26)*'Optimal Choice'!$B$30</f>
        <v>182217.2</v>
      </c>
      <c r="C447" s="10">
        <f>(O447/$B447)+(O447/'Optimal Choice'!$B$6)</f>
        <v>128865.2165</v>
      </c>
      <c r="D447" s="10">
        <f>(P447/$B447)+(P447/'Optimal Choice'!$B$11)</f>
        <v>123084.9027</v>
      </c>
      <c r="E447" s="10">
        <f>(Q447/$B447)+(Q447/'Optimal Choice'!$B$16)</f>
        <v>130095.8485</v>
      </c>
      <c r="F447" s="10">
        <f>(R447/$B447)+(R447/'Optimal Choice'!$B$21)</f>
        <v>124899.1432</v>
      </c>
      <c r="G447" s="10">
        <f>(S447/$B447)+(S447/'Optimal Choice'!$B$26)</f>
        <v>135400.6256</v>
      </c>
      <c r="I447" s="11">
        <f t="shared" ref="I447:M447" si="446">if(min($C446:$G446)=C446,I446+1,I446)</f>
        <v>160</v>
      </c>
      <c r="J447" s="11">
        <f t="shared" si="446"/>
        <v>75</v>
      </c>
      <c r="K447" s="11">
        <f t="shared" si="446"/>
        <v>73</v>
      </c>
      <c r="L447" s="11">
        <f t="shared" si="446"/>
        <v>69</v>
      </c>
      <c r="M447" s="11">
        <f t="shared" si="446"/>
        <v>69</v>
      </c>
      <c r="O447" s="12">
        <f> 'Optimal Choice'!$B$7*'Optimal Choice'!$B$8^(I447+1)</f>
        <v>215202.9393</v>
      </c>
      <c r="P447" s="12">
        <f> 'Optimal Choice'!$B$12*'Optimal Choice'!$B$13^(J447+1)</f>
        <v>2461427.89</v>
      </c>
      <c r="Q447" s="12">
        <f> 'Optimal Choice'!$B$17*'Optimal Choice'!$B$18^(K447+1)</f>
        <v>11702846.14</v>
      </c>
      <c r="R447" s="12">
        <f> 'Optimal Choice'!$B$22*'Optimal Choice'!$B$23^(L447+1)</f>
        <v>44875033.55</v>
      </c>
      <c r="S447" s="12">
        <f> 'Optimal Choice'!$B$27*'Optimal Choice'!$B$28^(M447+1)</f>
        <v>289039086.1</v>
      </c>
    </row>
    <row r="448" ht="15.75" customHeight="1">
      <c r="A448" s="10">
        <f t="shared" si="2"/>
        <v>313.8710605</v>
      </c>
      <c r="B448" s="6">
        <f>(I448*'Optimal Choice'!$B$6+J448*'Optimal Choice'!$B$11+K448*'Optimal Choice'!$B$16+L448*'Optimal Choice'!$B$21+M448*'Optimal Choice'!$B$26)*'Optimal Choice'!$B$30</f>
        <v>182237.2</v>
      </c>
      <c r="C448" s="10">
        <f>(O448/$B448)+(O448/'Optimal Choice'!$B$6)</f>
        <v>128865.2164</v>
      </c>
      <c r="D448" s="10">
        <f>(P448/$B448)+(P448/'Optimal Choice'!$B$11)</f>
        <v>141547.6364</v>
      </c>
      <c r="E448" s="10">
        <f>(Q448/$B448)+(Q448/'Optimal Choice'!$B$16)</f>
        <v>130095.8414</v>
      </c>
      <c r="F448" s="10">
        <f>(R448/$B448)+(R448/'Optimal Choice'!$B$21)</f>
        <v>124899.1162</v>
      </c>
      <c r="G448" s="10">
        <f>(S448/$B448)+(S448/'Optimal Choice'!$B$26)</f>
        <v>135400.4515</v>
      </c>
      <c r="I448" s="11">
        <f t="shared" ref="I448:M448" si="447">if(min($C447:$G447)=C447,I447+1,I447)</f>
        <v>160</v>
      </c>
      <c r="J448" s="11">
        <f t="shared" si="447"/>
        <v>76</v>
      </c>
      <c r="K448" s="11">
        <f t="shared" si="447"/>
        <v>73</v>
      </c>
      <c r="L448" s="11">
        <f t="shared" si="447"/>
        <v>69</v>
      </c>
      <c r="M448" s="11">
        <f t="shared" si="447"/>
        <v>69</v>
      </c>
      <c r="O448" s="12">
        <f> 'Optimal Choice'!$B$7*'Optimal Choice'!$B$8^(I448+1)</f>
        <v>215202.9393</v>
      </c>
      <c r="P448" s="12">
        <f> 'Optimal Choice'!$B$12*'Optimal Choice'!$B$13^(J448+1)</f>
        <v>2830642.074</v>
      </c>
      <c r="Q448" s="12">
        <f> 'Optimal Choice'!$B$17*'Optimal Choice'!$B$18^(K448+1)</f>
        <v>11702846.14</v>
      </c>
      <c r="R448" s="12">
        <f> 'Optimal Choice'!$B$22*'Optimal Choice'!$B$23^(L448+1)</f>
        <v>44875033.55</v>
      </c>
      <c r="S448" s="12">
        <f> 'Optimal Choice'!$B$27*'Optimal Choice'!$B$28^(M448+1)</f>
        <v>289039086.1</v>
      </c>
    </row>
    <row r="449" ht="15.75" customHeight="1">
      <c r="A449" s="10">
        <f t="shared" si="2"/>
        <v>317.975147</v>
      </c>
      <c r="B449" s="6">
        <f>(I449*'Optimal Choice'!$B$6+J449*'Optimal Choice'!$B$11+K449*'Optimal Choice'!$B$16+L449*'Optimal Choice'!$B$21+M449*'Optimal Choice'!$B$26)*'Optimal Choice'!$B$30</f>
        <v>182597.2</v>
      </c>
      <c r="C449" s="10">
        <f>(O449/$B449)+(O449/'Optimal Choice'!$B$6)</f>
        <v>128865.214</v>
      </c>
      <c r="D449" s="10">
        <f>(P449/$B449)+(P449/'Optimal Choice'!$B$11)</f>
        <v>141547.6058</v>
      </c>
      <c r="E449" s="10">
        <f>(Q449/$B449)+(Q449/'Optimal Choice'!$B$16)</f>
        <v>130095.7148</v>
      </c>
      <c r="F449" s="10">
        <f>(R449/$B449)+(R449/'Optimal Choice'!$B$21)</f>
        <v>141135.4527</v>
      </c>
      <c r="G449" s="10">
        <f>(S449/$B449)+(S449/'Optimal Choice'!$B$26)</f>
        <v>135397.3245</v>
      </c>
      <c r="I449" s="11">
        <f t="shared" ref="I449:M449" si="448">if(min($C448:$G448)=C448,I448+1,I448)</f>
        <v>160</v>
      </c>
      <c r="J449" s="11">
        <f t="shared" si="448"/>
        <v>76</v>
      </c>
      <c r="K449" s="11">
        <f t="shared" si="448"/>
        <v>73</v>
      </c>
      <c r="L449" s="11">
        <f t="shared" si="448"/>
        <v>70</v>
      </c>
      <c r="M449" s="11">
        <f t="shared" si="448"/>
        <v>69</v>
      </c>
      <c r="O449" s="12">
        <f> 'Optimal Choice'!$B$7*'Optimal Choice'!$B$8^(I449+1)</f>
        <v>215202.9393</v>
      </c>
      <c r="P449" s="12">
        <f> 'Optimal Choice'!$B$12*'Optimal Choice'!$B$13^(J449+1)</f>
        <v>2830642.074</v>
      </c>
      <c r="Q449" s="12">
        <f> 'Optimal Choice'!$B$17*'Optimal Choice'!$B$18^(K449+1)</f>
        <v>11702846.14</v>
      </c>
      <c r="R449" s="12">
        <f> 'Optimal Choice'!$B$22*'Optimal Choice'!$B$23^(L449+1)</f>
        <v>50708787.92</v>
      </c>
      <c r="S449" s="12">
        <f> 'Optimal Choice'!$B$27*'Optimal Choice'!$B$28^(M449+1)</f>
        <v>289039086.1</v>
      </c>
    </row>
    <row r="450" ht="15.75" customHeight="1">
      <c r="A450" s="10">
        <f t="shared" si="2"/>
        <v>317.9947898</v>
      </c>
      <c r="B450" s="6">
        <f>(I450*'Optimal Choice'!$B$6+J450*'Optimal Choice'!$B$11+K450*'Optimal Choice'!$B$16+L450*'Optimal Choice'!$B$21+M450*'Optimal Choice'!$B$26)*'Optimal Choice'!$B$30</f>
        <v>182598.87</v>
      </c>
      <c r="C450" s="10">
        <f>(O450/$B450)+(O450/'Optimal Choice'!$B$6)</f>
        <v>137885.779</v>
      </c>
      <c r="D450" s="10">
        <f>(P450/$B450)+(P450/'Optimal Choice'!$B$11)</f>
        <v>141547.6057</v>
      </c>
      <c r="E450" s="10">
        <f>(Q450/$B450)+(Q450/'Optimal Choice'!$B$16)</f>
        <v>130095.7142</v>
      </c>
      <c r="F450" s="10">
        <f>(R450/$B450)+(R450/'Optimal Choice'!$B$21)</f>
        <v>141135.4501</v>
      </c>
      <c r="G450" s="10">
        <f>(S450/$B450)+(S450/'Optimal Choice'!$B$26)</f>
        <v>135397.31</v>
      </c>
      <c r="I450" s="11">
        <f t="shared" ref="I450:M450" si="449">if(min($C449:$G449)=C449,I449+1,I449)</f>
        <v>161</v>
      </c>
      <c r="J450" s="11">
        <f t="shared" si="449"/>
        <v>76</v>
      </c>
      <c r="K450" s="11">
        <f t="shared" si="449"/>
        <v>73</v>
      </c>
      <c r="L450" s="11">
        <f t="shared" si="449"/>
        <v>70</v>
      </c>
      <c r="M450" s="11">
        <f t="shared" si="449"/>
        <v>69</v>
      </c>
      <c r="O450" s="12">
        <f> 'Optimal Choice'!$B$7*'Optimal Choice'!$B$8^(I450+1)</f>
        <v>230267.145</v>
      </c>
      <c r="P450" s="12">
        <f> 'Optimal Choice'!$B$12*'Optimal Choice'!$B$13^(J450+1)</f>
        <v>2830642.074</v>
      </c>
      <c r="Q450" s="12">
        <f> 'Optimal Choice'!$B$17*'Optimal Choice'!$B$18^(K450+1)</f>
        <v>11702846.14</v>
      </c>
      <c r="R450" s="12">
        <f> 'Optimal Choice'!$B$22*'Optimal Choice'!$B$23^(L450+1)</f>
        <v>50708787.92</v>
      </c>
      <c r="S450" s="12">
        <f> 'Optimal Choice'!$B$27*'Optimal Choice'!$B$28^(M450+1)</f>
        <v>289039086.1</v>
      </c>
    </row>
    <row r="451" ht="15.75" customHeight="1">
      <c r="A451" s="10">
        <f t="shared" si="2"/>
        <v>319.0629642</v>
      </c>
      <c r="B451" s="6">
        <f>(I451*'Optimal Choice'!$B$6+J451*'Optimal Choice'!$B$11+K451*'Optimal Choice'!$B$16+L451*'Optimal Choice'!$B$21+M451*'Optimal Choice'!$B$26)*'Optimal Choice'!$B$30</f>
        <v>182688.87</v>
      </c>
      <c r="C451" s="10">
        <f>(O451/$B451)+(O451/'Optimal Choice'!$B$6)</f>
        <v>137885.7784</v>
      </c>
      <c r="D451" s="10">
        <f>(P451/$B451)+(P451/'Optimal Choice'!$B$11)</f>
        <v>141547.598</v>
      </c>
      <c r="E451" s="10">
        <f>(Q451/$B451)+(Q451/'Optimal Choice'!$B$16)</f>
        <v>148309.0783</v>
      </c>
      <c r="F451" s="10">
        <f>(R451/$B451)+(R451/'Optimal Choice'!$B$21)</f>
        <v>141135.3133</v>
      </c>
      <c r="G451" s="10">
        <f>(S451/$B451)+(S451/'Optimal Choice'!$B$26)</f>
        <v>135396.5302</v>
      </c>
      <c r="I451" s="11">
        <f t="shared" ref="I451:M451" si="450">if(min($C450:$G450)=C450,I450+1,I450)</f>
        <v>161</v>
      </c>
      <c r="J451" s="11">
        <f t="shared" si="450"/>
        <v>76</v>
      </c>
      <c r="K451" s="11">
        <f t="shared" si="450"/>
        <v>74</v>
      </c>
      <c r="L451" s="11">
        <f t="shared" si="450"/>
        <v>70</v>
      </c>
      <c r="M451" s="11">
        <f t="shared" si="450"/>
        <v>69</v>
      </c>
      <c r="O451" s="12">
        <f> 'Optimal Choice'!$B$7*'Optimal Choice'!$B$8^(I451+1)</f>
        <v>230267.145</v>
      </c>
      <c r="P451" s="12">
        <f> 'Optimal Choice'!$B$12*'Optimal Choice'!$B$13^(J451+1)</f>
        <v>2830642.074</v>
      </c>
      <c r="Q451" s="12">
        <f> 'Optimal Choice'!$B$17*'Optimal Choice'!$B$18^(K451+1)</f>
        <v>13341244.6</v>
      </c>
      <c r="R451" s="12">
        <f> 'Optimal Choice'!$B$22*'Optimal Choice'!$B$23^(L451+1)</f>
        <v>50708787.92</v>
      </c>
      <c r="S451" s="12">
        <f> 'Optimal Choice'!$B$27*'Optimal Choice'!$B$28^(M451+1)</f>
        <v>289039086.1</v>
      </c>
    </row>
    <row r="452" ht="15.75" customHeight="1">
      <c r="A452" s="10">
        <f t="shared" si="2"/>
        <v>345.4319384</v>
      </c>
      <c r="B452" s="6">
        <f>(I452*'Optimal Choice'!$B$6+J452*'Optimal Choice'!$B$11+K452*'Optimal Choice'!$B$16+L452*'Optimal Choice'!$B$21+M452*'Optimal Choice'!$B$26)*'Optimal Choice'!$B$30</f>
        <v>184848.87</v>
      </c>
      <c r="C452" s="10">
        <f>(O452/$B452)+(O452/'Optimal Choice'!$B$6)</f>
        <v>137885.7637</v>
      </c>
      <c r="D452" s="10">
        <f>(P452/$B452)+(P452/'Optimal Choice'!$B$11)</f>
        <v>141547.417</v>
      </c>
      <c r="E452" s="10">
        <f>(Q452/$B452)+(Q452/'Optimal Choice'!$B$16)</f>
        <v>148308.2249</v>
      </c>
      <c r="F452" s="10">
        <f>(R452/$B452)+(R452/'Optimal Choice'!$B$21)</f>
        <v>141132.0699</v>
      </c>
      <c r="G452" s="10">
        <f>(S452/$B452)+(S452/'Optimal Choice'!$B$26)</f>
        <v>151623.4076</v>
      </c>
      <c r="I452" s="11">
        <f t="shared" ref="I452:M452" si="451">if(min($C451:$G451)=C451,I451+1,I451)</f>
        <v>161</v>
      </c>
      <c r="J452" s="11">
        <f t="shared" si="451"/>
        <v>76</v>
      </c>
      <c r="K452" s="11">
        <f t="shared" si="451"/>
        <v>74</v>
      </c>
      <c r="L452" s="11">
        <f t="shared" si="451"/>
        <v>70</v>
      </c>
      <c r="M452" s="11">
        <f t="shared" si="451"/>
        <v>70</v>
      </c>
      <c r="O452" s="12">
        <f> 'Optimal Choice'!$B$7*'Optimal Choice'!$B$8^(I452+1)</f>
        <v>230267.145</v>
      </c>
      <c r="P452" s="12">
        <f> 'Optimal Choice'!$B$12*'Optimal Choice'!$B$13^(J452+1)</f>
        <v>2830642.074</v>
      </c>
      <c r="Q452" s="12">
        <f> 'Optimal Choice'!$B$17*'Optimal Choice'!$B$18^(K452+1)</f>
        <v>13341244.6</v>
      </c>
      <c r="R452" s="12">
        <f> 'Optimal Choice'!$B$22*'Optimal Choice'!$B$23^(L452+1)</f>
        <v>50708787.92</v>
      </c>
      <c r="S452" s="12">
        <f> 'Optimal Choice'!$B$27*'Optimal Choice'!$B$28^(M452+1)</f>
        <v>323723776.5</v>
      </c>
    </row>
    <row r="453" ht="15.75" customHeight="1">
      <c r="A453" s="10">
        <f t="shared" si="2"/>
        <v>345.4527001</v>
      </c>
      <c r="B453" s="6">
        <f>(I453*'Optimal Choice'!$B$6+J453*'Optimal Choice'!$B$11+K453*'Optimal Choice'!$B$16+L453*'Optimal Choice'!$B$21+M453*'Optimal Choice'!$B$26)*'Optimal Choice'!$B$30</f>
        <v>184850.54</v>
      </c>
      <c r="C453" s="10">
        <f>(O453/$B453)+(O453/'Optimal Choice'!$B$6)</f>
        <v>147537.7671</v>
      </c>
      <c r="D453" s="10">
        <f>(P453/$B453)+(P453/'Optimal Choice'!$B$11)</f>
        <v>141547.4168</v>
      </c>
      <c r="E453" s="10">
        <f>(Q453/$B453)+(Q453/'Optimal Choice'!$B$16)</f>
        <v>148308.2243</v>
      </c>
      <c r="F453" s="10">
        <f>(R453/$B453)+(R453/'Optimal Choice'!$B$21)</f>
        <v>141132.0674</v>
      </c>
      <c r="G453" s="10">
        <f>(S453/$B453)+(S453/'Optimal Choice'!$B$26)</f>
        <v>151623.3918</v>
      </c>
      <c r="I453" s="11">
        <f t="shared" ref="I453:M453" si="452">if(min($C452:$G452)=C452,I452+1,I452)</f>
        <v>162</v>
      </c>
      <c r="J453" s="11">
        <f t="shared" si="452"/>
        <v>76</v>
      </c>
      <c r="K453" s="11">
        <f t="shared" si="452"/>
        <v>74</v>
      </c>
      <c r="L453" s="11">
        <f t="shared" si="452"/>
        <v>70</v>
      </c>
      <c r="M453" s="11">
        <f t="shared" si="452"/>
        <v>70</v>
      </c>
      <c r="O453" s="12">
        <f> 'Optimal Choice'!$B$7*'Optimal Choice'!$B$8^(I453+1)</f>
        <v>246385.8451</v>
      </c>
      <c r="P453" s="12">
        <f> 'Optimal Choice'!$B$12*'Optimal Choice'!$B$13^(J453+1)</f>
        <v>2830642.074</v>
      </c>
      <c r="Q453" s="12">
        <f> 'Optimal Choice'!$B$17*'Optimal Choice'!$B$18^(K453+1)</f>
        <v>13341244.6</v>
      </c>
      <c r="R453" s="12">
        <f> 'Optimal Choice'!$B$22*'Optimal Choice'!$B$23^(L453+1)</f>
        <v>50708787.92</v>
      </c>
      <c r="S453" s="12">
        <f> 'Optimal Choice'!$B$27*'Optimal Choice'!$B$28^(M453+1)</f>
        <v>323723776.5</v>
      </c>
    </row>
    <row r="454" ht="15.75" customHeight="1">
      <c r="A454" s="10">
        <f t="shared" si="2"/>
        <v>350.0247531</v>
      </c>
      <c r="B454" s="6">
        <f>(I454*'Optimal Choice'!$B$6+J454*'Optimal Choice'!$B$11+K454*'Optimal Choice'!$B$16+L454*'Optimal Choice'!$B$21+M454*'Optimal Choice'!$B$26)*'Optimal Choice'!$B$30</f>
        <v>185210.54</v>
      </c>
      <c r="C454" s="10">
        <f>(O454/$B454)+(O454/'Optimal Choice'!$B$6)</f>
        <v>147537.7645</v>
      </c>
      <c r="D454" s="10">
        <f>(P454/$B454)+(P454/'Optimal Choice'!$B$11)</f>
        <v>141547.3871</v>
      </c>
      <c r="E454" s="10">
        <f>(Q454/$B454)+(Q454/'Optimal Choice'!$B$16)</f>
        <v>148308.084</v>
      </c>
      <c r="F454" s="10">
        <f>(R454/$B454)+(R454/'Optimal Choice'!$B$21)</f>
        <v>159478.6336</v>
      </c>
      <c r="G454" s="10">
        <f>(S454/$B454)+(S454/'Optimal Choice'!$B$26)</f>
        <v>151619.9878</v>
      </c>
      <c r="I454" s="11">
        <f t="shared" ref="I454:M454" si="453">if(min($C453:$G453)=C453,I453+1,I453)</f>
        <v>162</v>
      </c>
      <c r="J454" s="11">
        <f t="shared" si="453"/>
        <v>76</v>
      </c>
      <c r="K454" s="11">
        <f t="shared" si="453"/>
        <v>74</v>
      </c>
      <c r="L454" s="11">
        <f t="shared" si="453"/>
        <v>71</v>
      </c>
      <c r="M454" s="11">
        <f t="shared" si="453"/>
        <v>70</v>
      </c>
      <c r="O454" s="12">
        <f> 'Optimal Choice'!$B$7*'Optimal Choice'!$B$8^(I454+1)</f>
        <v>246385.8451</v>
      </c>
      <c r="P454" s="12">
        <f> 'Optimal Choice'!$B$12*'Optimal Choice'!$B$13^(J454+1)</f>
        <v>2830642.074</v>
      </c>
      <c r="Q454" s="12">
        <f> 'Optimal Choice'!$B$17*'Optimal Choice'!$B$18^(K454+1)</f>
        <v>13341244.6</v>
      </c>
      <c r="R454" s="12">
        <f> 'Optimal Choice'!$B$22*'Optimal Choice'!$B$23^(L454+1)</f>
        <v>57300930.35</v>
      </c>
      <c r="S454" s="12">
        <f> 'Optimal Choice'!$B$27*'Optimal Choice'!$B$28^(M454+1)</f>
        <v>323723776.5</v>
      </c>
    </row>
    <row r="455" ht="15.75" customHeight="1">
      <c r="A455" s="10">
        <f t="shared" si="2"/>
        <v>350.279476</v>
      </c>
      <c r="B455" s="6">
        <f>(I455*'Optimal Choice'!$B$6+J455*'Optimal Choice'!$B$11+K455*'Optimal Choice'!$B$16+L455*'Optimal Choice'!$B$21+M455*'Optimal Choice'!$B$26)*'Optimal Choice'!$B$30</f>
        <v>185230.54</v>
      </c>
      <c r="C455" s="10">
        <f>(O455/$B455)+(O455/'Optimal Choice'!$B$6)</f>
        <v>147537.7644</v>
      </c>
      <c r="D455" s="10">
        <f>(P455/$B455)+(P455/'Optimal Choice'!$B$11)</f>
        <v>162779.4932</v>
      </c>
      <c r="E455" s="10">
        <f>(Q455/$B455)+(Q455/'Optimal Choice'!$B$16)</f>
        <v>148308.0762</v>
      </c>
      <c r="F455" s="10">
        <f>(R455/$B455)+(R455/'Optimal Choice'!$B$21)</f>
        <v>159478.6002</v>
      </c>
      <c r="G455" s="10">
        <f>(S455/$B455)+(S455/'Optimal Choice'!$B$26)</f>
        <v>151619.7991</v>
      </c>
      <c r="I455" s="11">
        <f t="shared" ref="I455:M455" si="454">if(min($C454:$G454)=C454,I454+1,I454)</f>
        <v>162</v>
      </c>
      <c r="J455" s="11">
        <f t="shared" si="454"/>
        <v>77</v>
      </c>
      <c r="K455" s="11">
        <f t="shared" si="454"/>
        <v>74</v>
      </c>
      <c r="L455" s="11">
        <f t="shared" si="454"/>
        <v>71</v>
      </c>
      <c r="M455" s="11">
        <f t="shared" si="454"/>
        <v>70</v>
      </c>
      <c r="O455" s="12">
        <f> 'Optimal Choice'!$B$7*'Optimal Choice'!$B$8^(I455+1)</f>
        <v>246385.8451</v>
      </c>
      <c r="P455" s="12">
        <f> 'Optimal Choice'!$B$12*'Optimal Choice'!$B$13^(J455+1)</f>
        <v>3255238.385</v>
      </c>
      <c r="Q455" s="12">
        <f> 'Optimal Choice'!$B$17*'Optimal Choice'!$B$18^(K455+1)</f>
        <v>13341244.6</v>
      </c>
      <c r="R455" s="12">
        <f> 'Optimal Choice'!$B$22*'Optimal Choice'!$B$23^(L455+1)</f>
        <v>57300930.35</v>
      </c>
      <c r="S455" s="12">
        <f> 'Optimal Choice'!$B$27*'Optimal Choice'!$B$28^(M455+1)</f>
        <v>323723776.5</v>
      </c>
    </row>
    <row r="456" ht="15.75" customHeight="1">
      <c r="A456" s="10">
        <f t="shared" si="2"/>
        <v>350.3016453</v>
      </c>
      <c r="B456" s="6">
        <f>(I456*'Optimal Choice'!$B$6+J456*'Optimal Choice'!$B$11+K456*'Optimal Choice'!$B$16+L456*'Optimal Choice'!$B$21+M456*'Optimal Choice'!$B$26)*'Optimal Choice'!$B$30</f>
        <v>185232.21</v>
      </c>
      <c r="C456" s="10">
        <f>(O456/$B456)+(O456/'Optimal Choice'!$B$6)</f>
        <v>157865.4079</v>
      </c>
      <c r="D456" s="10">
        <f>(P456/$B456)+(P456/'Optimal Choice'!$B$11)</f>
        <v>162779.4931</v>
      </c>
      <c r="E456" s="10">
        <f>(Q456/$B456)+(Q456/'Optimal Choice'!$B$16)</f>
        <v>148308.0755</v>
      </c>
      <c r="F456" s="10">
        <f>(R456/$B456)+(R456/'Optimal Choice'!$B$21)</f>
        <v>159478.5974</v>
      </c>
      <c r="G456" s="10">
        <f>(S456/$B456)+(S456/'Optimal Choice'!$B$26)</f>
        <v>151619.7833</v>
      </c>
      <c r="I456" s="11">
        <f t="shared" ref="I456:M456" si="455">if(min($C455:$G455)=C455,I455+1,I455)</f>
        <v>163</v>
      </c>
      <c r="J456" s="11">
        <f t="shared" si="455"/>
        <v>77</v>
      </c>
      <c r="K456" s="11">
        <f t="shared" si="455"/>
        <v>74</v>
      </c>
      <c r="L456" s="11">
        <f t="shared" si="455"/>
        <v>71</v>
      </c>
      <c r="M456" s="11">
        <f t="shared" si="455"/>
        <v>70</v>
      </c>
      <c r="O456" s="12">
        <f> 'Optimal Choice'!$B$7*'Optimal Choice'!$B$8^(I456+1)</f>
        <v>263632.8543</v>
      </c>
      <c r="P456" s="12">
        <f> 'Optimal Choice'!$B$12*'Optimal Choice'!$B$13^(J456+1)</f>
        <v>3255238.385</v>
      </c>
      <c r="Q456" s="12">
        <f> 'Optimal Choice'!$B$17*'Optimal Choice'!$B$18^(K456+1)</f>
        <v>13341244.6</v>
      </c>
      <c r="R456" s="12">
        <f> 'Optimal Choice'!$B$22*'Optimal Choice'!$B$23^(L456+1)</f>
        <v>57300930.35</v>
      </c>
      <c r="S456" s="12">
        <f> 'Optimal Choice'!$B$27*'Optimal Choice'!$B$28^(M456+1)</f>
        <v>323723776.5</v>
      </c>
    </row>
    <row r="457" ht="15.75" customHeight="1">
      <c r="A457" s="10">
        <f t="shared" si="2"/>
        <v>351.5020525</v>
      </c>
      <c r="B457" s="6">
        <f>(I457*'Optimal Choice'!$B$6+J457*'Optimal Choice'!$B$11+K457*'Optimal Choice'!$B$16+L457*'Optimal Choice'!$B$21+M457*'Optimal Choice'!$B$26)*'Optimal Choice'!$B$30</f>
        <v>185322.21</v>
      </c>
      <c r="C457" s="10">
        <f>(O457/$B457)+(O457/'Optimal Choice'!$B$6)</f>
        <v>157865.4072</v>
      </c>
      <c r="D457" s="10">
        <f>(P457/$B457)+(P457/'Optimal Choice'!$B$11)</f>
        <v>162779.4845</v>
      </c>
      <c r="E457" s="10">
        <f>(Q457/$B457)+(Q457/'Optimal Choice'!$B$16)</f>
        <v>169071.1663</v>
      </c>
      <c r="F457" s="10">
        <f>(R457/$B457)+(R457/'Optimal Choice'!$B$21)</f>
        <v>159478.4472</v>
      </c>
      <c r="G457" s="10">
        <f>(S457/$B457)+(S457/'Optimal Choice'!$B$26)</f>
        <v>151618.9346</v>
      </c>
      <c r="I457" s="11">
        <f t="shared" ref="I457:M457" si="456">if(min($C456:$G456)=C456,I456+1,I456)</f>
        <v>163</v>
      </c>
      <c r="J457" s="11">
        <f t="shared" si="456"/>
        <v>77</v>
      </c>
      <c r="K457" s="11">
        <f t="shared" si="456"/>
        <v>75</v>
      </c>
      <c r="L457" s="11">
        <f t="shared" si="456"/>
        <v>71</v>
      </c>
      <c r="M457" s="11">
        <f t="shared" si="456"/>
        <v>70</v>
      </c>
      <c r="O457" s="12">
        <f> 'Optimal Choice'!$B$7*'Optimal Choice'!$B$8^(I457+1)</f>
        <v>263632.8543</v>
      </c>
      <c r="P457" s="12">
        <f> 'Optimal Choice'!$B$12*'Optimal Choice'!$B$13^(J457+1)</f>
        <v>3255238.385</v>
      </c>
      <c r="Q457" s="12">
        <f> 'Optimal Choice'!$B$17*'Optimal Choice'!$B$18^(K457+1)</f>
        <v>15209018.84</v>
      </c>
      <c r="R457" s="12">
        <f> 'Optimal Choice'!$B$22*'Optimal Choice'!$B$23^(L457+1)</f>
        <v>57300930.35</v>
      </c>
      <c r="S457" s="12">
        <f> 'Optimal Choice'!$B$27*'Optimal Choice'!$B$28^(M457+1)</f>
        <v>323723776.5</v>
      </c>
    </row>
    <row r="458" ht="15.75" customHeight="1">
      <c r="A458" s="10">
        <f t="shared" si="2"/>
        <v>380.6156503</v>
      </c>
      <c r="B458" s="6">
        <f>(I458*'Optimal Choice'!$B$6+J458*'Optimal Choice'!$B$11+K458*'Optimal Choice'!$B$16+L458*'Optimal Choice'!$B$21+M458*'Optimal Choice'!$B$26)*'Optimal Choice'!$B$30</f>
        <v>187482.21</v>
      </c>
      <c r="C458" s="10">
        <f>(O458/$B458)+(O458/'Optimal Choice'!$B$6)</f>
        <v>157865.3908</v>
      </c>
      <c r="D458" s="10">
        <f>(P458/$B458)+(P458/'Optimal Choice'!$B$11)</f>
        <v>162779.2822</v>
      </c>
      <c r="E458" s="10">
        <f>(Q458/$B458)+(Q458/'Optimal Choice'!$B$16)</f>
        <v>169070.2207</v>
      </c>
      <c r="F458" s="10">
        <f>(R458/$B458)+(R458/'Optimal Choice'!$B$21)</f>
        <v>159474.8849</v>
      </c>
      <c r="G458" s="10">
        <f>(S458/$B458)+(S458/'Optimal Choice'!$B$26)</f>
        <v>169790.6665</v>
      </c>
      <c r="I458" s="11">
        <f t="shared" ref="I458:M458" si="457">if(min($C457:$G457)=C457,I457+1,I457)</f>
        <v>163</v>
      </c>
      <c r="J458" s="11">
        <f t="shared" si="457"/>
        <v>77</v>
      </c>
      <c r="K458" s="11">
        <f t="shared" si="457"/>
        <v>75</v>
      </c>
      <c r="L458" s="11">
        <f t="shared" si="457"/>
        <v>71</v>
      </c>
      <c r="M458" s="11">
        <f t="shared" si="457"/>
        <v>71</v>
      </c>
      <c r="O458" s="12">
        <f> 'Optimal Choice'!$B$7*'Optimal Choice'!$B$8^(I458+1)</f>
        <v>263632.8543</v>
      </c>
      <c r="P458" s="12">
        <f> 'Optimal Choice'!$B$12*'Optimal Choice'!$B$13^(J458+1)</f>
        <v>3255238.385</v>
      </c>
      <c r="Q458" s="12">
        <f> 'Optimal Choice'!$B$17*'Optimal Choice'!$B$18^(K458+1)</f>
        <v>15209018.84</v>
      </c>
      <c r="R458" s="12">
        <f> 'Optimal Choice'!$B$22*'Optimal Choice'!$B$23^(L458+1)</f>
        <v>57300930.35</v>
      </c>
      <c r="S458" s="12">
        <f> 'Optimal Choice'!$B$27*'Optimal Choice'!$B$28^(M458+1)</f>
        <v>362570629.6</v>
      </c>
    </row>
    <row r="459" ht="15.75" customHeight="1">
      <c r="A459" s="10">
        <f t="shared" si="2"/>
        <v>380.6390865</v>
      </c>
      <c r="B459" s="6">
        <f>(I459*'Optimal Choice'!$B$6+J459*'Optimal Choice'!$B$11+K459*'Optimal Choice'!$B$16+L459*'Optimal Choice'!$B$21+M459*'Optimal Choice'!$B$26)*'Optimal Choice'!$B$30</f>
        <v>187483.88</v>
      </c>
      <c r="C459" s="10">
        <f>(O459/$B459)+(O459/'Optimal Choice'!$B$6)</f>
        <v>168915.9681</v>
      </c>
      <c r="D459" s="10">
        <f>(P459/$B459)+(P459/'Optimal Choice'!$B$11)</f>
        <v>162779.282</v>
      </c>
      <c r="E459" s="10">
        <f>(Q459/$B459)+(Q459/'Optimal Choice'!$B$16)</f>
        <v>169070.22</v>
      </c>
      <c r="F459" s="10">
        <f>(R459/$B459)+(R459/'Optimal Choice'!$B$21)</f>
        <v>159474.8822</v>
      </c>
      <c r="G459" s="10">
        <f>(S459/$B459)+(S459/'Optimal Choice'!$B$26)</f>
        <v>169790.6493</v>
      </c>
      <c r="I459" s="11">
        <f t="shared" ref="I459:M459" si="458">if(min($C458:$G458)=C458,I458+1,I458)</f>
        <v>164</v>
      </c>
      <c r="J459" s="11">
        <f t="shared" si="458"/>
        <v>77</v>
      </c>
      <c r="K459" s="11">
        <f t="shared" si="458"/>
        <v>75</v>
      </c>
      <c r="L459" s="11">
        <f t="shared" si="458"/>
        <v>71</v>
      </c>
      <c r="M459" s="11">
        <f t="shared" si="458"/>
        <v>71</v>
      </c>
      <c r="O459" s="12">
        <f> 'Optimal Choice'!$B$7*'Optimal Choice'!$B$8^(I459+1)</f>
        <v>282087.1541</v>
      </c>
      <c r="P459" s="12">
        <f> 'Optimal Choice'!$B$12*'Optimal Choice'!$B$13^(J459+1)</f>
        <v>3255238.385</v>
      </c>
      <c r="Q459" s="12">
        <f> 'Optimal Choice'!$B$17*'Optimal Choice'!$B$18^(K459+1)</f>
        <v>15209018.84</v>
      </c>
      <c r="R459" s="12">
        <f> 'Optimal Choice'!$B$22*'Optimal Choice'!$B$23^(L459+1)</f>
        <v>57300930.35</v>
      </c>
      <c r="S459" s="12">
        <f> 'Optimal Choice'!$B$27*'Optimal Choice'!$B$28^(M459+1)</f>
        <v>362570629.6</v>
      </c>
    </row>
    <row r="460" ht="15.75" customHeight="1">
      <c r="A460" s="10">
        <f t="shared" si="2"/>
        <v>385.7329405</v>
      </c>
      <c r="B460" s="6">
        <f>(I460*'Optimal Choice'!$B$6+J460*'Optimal Choice'!$B$11+K460*'Optimal Choice'!$B$16+L460*'Optimal Choice'!$B$21+M460*'Optimal Choice'!$B$26)*'Optimal Choice'!$B$30</f>
        <v>187843.88</v>
      </c>
      <c r="C460" s="10">
        <f>(O460/$B460)+(O460/'Optimal Choice'!$B$6)</f>
        <v>168915.9652</v>
      </c>
      <c r="D460" s="10">
        <f>(P460/$B460)+(P460/'Optimal Choice'!$B$11)</f>
        <v>162779.2487</v>
      </c>
      <c r="E460" s="10">
        <f>(Q460/$B460)+(Q460/'Optimal Choice'!$B$16)</f>
        <v>169070.0645</v>
      </c>
      <c r="F460" s="10">
        <f>(R460/$B460)+(R460/'Optimal Choice'!$B$21)</f>
        <v>180205.955</v>
      </c>
      <c r="G460" s="10">
        <f>(S460/$B460)+(S460/'Optimal Choice'!$B$26)</f>
        <v>169786.943</v>
      </c>
      <c r="I460" s="11">
        <f t="shared" ref="I460:M460" si="459">if(min($C459:$G459)=C459,I459+1,I459)</f>
        <v>164</v>
      </c>
      <c r="J460" s="11">
        <f t="shared" si="459"/>
        <v>77</v>
      </c>
      <c r="K460" s="11">
        <f t="shared" si="459"/>
        <v>75</v>
      </c>
      <c r="L460" s="11">
        <f t="shared" si="459"/>
        <v>72</v>
      </c>
      <c r="M460" s="11">
        <f t="shared" si="459"/>
        <v>71</v>
      </c>
      <c r="O460" s="12">
        <f> 'Optimal Choice'!$B$7*'Optimal Choice'!$B$8^(I460+1)</f>
        <v>282087.1541</v>
      </c>
      <c r="P460" s="12">
        <f> 'Optimal Choice'!$B$12*'Optimal Choice'!$B$13^(J460+1)</f>
        <v>3255238.385</v>
      </c>
      <c r="Q460" s="12">
        <f> 'Optimal Choice'!$B$17*'Optimal Choice'!$B$18^(K460+1)</f>
        <v>15209018.84</v>
      </c>
      <c r="R460" s="12">
        <f> 'Optimal Choice'!$B$22*'Optimal Choice'!$B$23^(L460+1)</f>
        <v>64750051.29</v>
      </c>
      <c r="S460" s="12">
        <f> 'Optimal Choice'!$B$27*'Optimal Choice'!$B$28^(M460+1)</f>
        <v>362570629.6</v>
      </c>
    </row>
    <row r="461" ht="15.75" customHeight="1">
      <c r="A461" s="10">
        <f t="shared" si="2"/>
        <v>386.0217653</v>
      </c>
      <c r="B461" s="6">
        <f>(I461*'Optimal Choice'!$B$6+J461*'Optimal Choice'!$B$11+K461*'Optimal Choice'!$B$16+L461*'Optimal Choice'!$B$21+M461*'Optimal Choice'!$B$26)*'Optimal Choice'!$B$30</f>
        <v>187863.88</v>
      </c>
      <c r="C461" s="10">
        <f>(O461/$B461)+(O461/'Optimal Choice'!$B$6)</f>
        <v>168915.9651</v>
      </c>
      <c r="D461" s="10">
        <f>(P461/$B461)+(P461/'Optimal Choice'!$B$11)</f>
        <v>187196.1339</v>
      </c>
      <c r="E461" s="10">
        <f>(Q461/$B461)+(Q461/'Optimal Choice'!$B$16)</f>
        <v>169070.0559</v>
      </c>
      <c r="F461" s="10">
        <f>(R461/$B461)+(R461/'Optimal Choice'!$B$21)</f>
        <v>180205.9183</v>
      </c>
      <c r="G461" s="10">
        <f>(S461/$B461)+(S461/'Optimal Choice'!$B$26)</f>
        <v>169786.7375</v>
      </c>
      <c r="I461" s="11">
        <f t="shared" ref="I461:M461" si="460">if(min($C460:$G460)=C460,I460+1,I460)</f>
        <v>164</v>
      </c>
      <c r="J461" s="11">
        <f t="shared" si="460"/>
        <v>78</v>
      </c>
      <c r="K461" s="11">
        <f t="shared" si="460"/>
        <v>75</v>
      </c>
      <c r="L461" s="11">
        <f t="shared" si="460"/>
        <v>72</v>
      </c>
      <c r="M461" s="11">
        <f t="shared" si="460"/>
        <v>71</v>
      </c>
      <c r="O461" s="12">
        <f> 'Optimal Choice'!$B$7*'Optimal Choice'!$B$8^(I461+1)</f>
        <v>282087.1541</v>
      </c>
      <c r="P461" s="12">
        <f> 'Optimal Choice'!$B$12*'Optimal Choice'!$B$13^(J461+1)</f>
        <v>3743524.143</v>
      </c>
      <c r="Q461" s="12">
        <f> 'Optimal Choice'!$B$17*'Optimal Choice'!$B$18^(K461+1)</f>
        <v>15209018.84</v>
      </c>
      <c r="R461" s="12">
        <f> 'Optimal Choice'!$B$22*'Optimal Choice'!$B$23^(L461+1)</f>
        <v>64750051.29</v>
      </c>
      <c r="S461" s="12">
        <f> 'Optimal Choice'!$B$27*'Optimal Choice'!$B$28^(M461+1)</f>
        <v>362570629.6</v>
      </c>
    </row>
    <row r="462" ht="15.75" customHeight="1">
      <c r="A462" s="10">
        <f t="shared" si="2"/>
        <v>386.0467911</v>
      </c>
      <c r="B462" s="6">
        <f>(I462*'Optimal Choice'!$B$6+J462*'Optimal Choice'!$B$11+K462*'Optimal Choice'!$B$16+L462*'Optimal Choice'!$B$21+M462*'Optimal Choice'!$B$26)*'Optimal Choice'!$B$30</f>
        <v>187865.55</v>
      </c>
      <c r="C462" s="10">
        <f>(O462/$B462)+(O462/'Optimal Choice'!$B$6)</f>
        <v>180740.0826</v>
      </c>
      <c r="D462" s="10">
        <f>(P462/$B462)+(P462/'Optimal Choice'!$B$11)</f>
        <v>187196.1337</v>
      </c>
      <c r="E462" s="10">
        <f>(Q462/$B462)+(Q462/'Optimal Choice'!$B$16)</f>
        <v>169070.0552</v>
      </c>
      <c r="F462" s="10">
        <f>(R462/$B462)+(R462/'Optimal Choice'!$B$21)</f>
        <v>180205.9152</v>
      </c>
      <c r="G462" s="10">
        <f>(S462/$B462)+(S462/'Optimal Choice'!$B$26)</f>
        <v>169786.7204</v>
      </c>
      <c r="I462" s="11">
        <f t="shared" ref="I462:M462" si="461">if(min($C461:$G461)=C461,I461+1,I461)</f>
        <v>165</v>
      </c>
      <c r="J462" s="11">
        <f t="shared" si="461"/>
        <v>78</v>
      </c>
      <c r="K462" s="11">
        <f t="shared" si="461"/>
        <v>75</v>
      </c>
      <c r="L462" s="11">
        <f t="shared" si="461"/>
        <v>72</v>
      </c>
      <c r="M462" s="11">
        <f t="shared" si="461"/>
        <v>71</v>
      </c>
      <c r="O462" s="12">
        <f> 'Optimal Choice'!$B$7*'Optimal Choice'!$B$8^(I462+1)</f>
        <v>301833.2549</v>
      </c>
      <c r="P462" s="12">
        <f> 'Optimal Choice'!$B$12*'Optimal Choice'!$B$13^(J462+1)</f>
        <v>3743524.143</v>
      </c>
      <c r="Q462" s="12">
        <f> 'Optimal Choice'!$B$17*'Optimal Choice'!$B$18^(K462+1)</f>
        <v>15209018.84</v>
      </c>
      <c r="R462" s="12">
        <f> 'Optimal Choice'!$B$22*'Optimal Choice'!$B$23^(L462+1)</f>
        <v>64750051.29</v>
      </c>
      <c r="S462" s="12">
        <f> 'Optimal Choice'!$B$27*'Optimal Choice'!$B$28^(M462+1)</f>
        <v>362570629.6</v>
      </c>
    </row>
    <row r="463" ht="15.75" customHeight="1">
      <c r="A463" s="10">
        <f t="shared" si="2"/>
        <v>387.3960734</v>
      </c>
      <c r="B463" s="6">
        <f>(I463*'Optimal Choice'!$B$6+J463*'Optimal Choice'!$B$11+K463*'Optimal Choice'!$B$16+L463*'Optimal Choice'!$B$21+M463*'Optimal Choice'!$B$26)*'Optimal Choice'!$B$30</f>
        <v>187955.55</v>
      </c>
      <c r="C463" s="10">
        <f>(O463/$B463)+(O463/'Optimal Choice'!$B$6)</f>
        <v>180740.0819</v>
      </c>
      <c r="D463" s="10">
        <f>(P463/$B463)+(P463/'Optimal Choice'!$B$11)</f>
        <v>187196.1242</v>
      </c>
      <c r="E463" s="10">
        <f>(Q463/$B463)+(Q463/'Optimal Choice'!$B$16)</f>
        <v>192739.8187</v>
      </c>
      <c r="F463" s="10">
        <f>(R463/$B463)+(R463/'Optimal Choice'!$B$21)</f>
        <v>180205.7502</v>
      </c>
      <c r="G463" s="10">
        <f>(S463/$B463)+(S463/'Optimal Choice'!$B$26)</f>
        <v>169785.7963</v>
      </c>
      <c r="I463" s="11">
        <f t="shared" ref="I463:M463" si="462">if(min($C462:$G462)=C462,I462+1,I462)</f>
        <v>165</v>
      </c>
      <c r="J463" s="11">
        <f t="shared" si="462"/>
        <v>78</v>
      </c>
      <c r="K463" s="11">
        <f t="shared" si="462"/>
        <v>76</v>
      </c>
      <c r="L463" s="11">
        <f t="shared" si="462"/>
        <v>72</v>
      </c>
      <c r="M463" s="11">
        <f t="shared" si="462"/>
        <v>71</v>
      </c>
      <c r="O463" s="12">
        <f> 'Optimal Choice'!$B$7*'Optimal Choice'!$B$8^(I463+1)</f>
        <v>301833.2549</v>
      </c>
      <c r="P463" s="12">
        <f> 'Optimal Choice'!$B$12*'Optimal Choice'!$B$13^(J463+1)</f>
        <v>3743524.143</v>
      </c>
      <c r="Q463" s="12">
        <f> 'Optimal Choice'!$B$17*'Optimal Choice'!$B$18^(K463+1)</f>
        <v>17338281.48</v>
      </c>
      <c r="R463" s="12">
        <f> 'Optimal Choice'!$B$22*'Optimal Choice'!$B$23^(L463+1)</f>
        <v>64750051.29</v>
      </c>
      <c r="S463" s="12">
        <f> 'Optimal Choice'!$B$27*'Optimal Choice'!$B$28^(M463+1)</f>
        <v>362570629.6</v>
      </c>
    </row>
    <row r="464" ht="15.75" customHeight="1">
      <c r="A464" s="10">
        <f t="shared" si="2"/>
        <v>419.5464612</v>
      </c>
      <c r="B464" s="6">
        <f>(I464*'Optimal Choice'!$B$6+J464*'Optimal Choice'!$B$11+K464*'Optimal Choice'!$B$16+L464*'Optimal Choice'!$B$21+M464*'Optimal Choice'!$B$26)*'Optimal Choice'!$B$30</f>
        <v>190115.55</v>
      </c>
      <c r="C464" s="10">
        <f>(O464/$B464)+(O464/'Optimal Choice'!$B$6)</f>
        <v>180740.0636</v>
      </c>
      <c r="D464" s="10">
        <f>(P464/$B464)+(P464/'Optimal Choice'!$B$11)</f>
        <v>187195.8979</v>
      </c>
      <c r="E464" s="10">
        <f>(Q464/$B464)+(Q464/'Optimal Choice'!$B$16)</f>
        <v>192738.7707</v>
      </c>
      <c r="F464" s="10">
        <f>(R464/$B464)+(R464/'Optimal Choice'!$B$21)</f>
        <v>180201.8362</v>
      </c>
      <c r="G464" s="10">
        <f>(S464/$B464)+(S464/'Optimal Choice'!$B$26)</f>
        <v>190135.5452</v>
      </c>
      <c r="I464" s="11">
        <f t="shared" ref="I464:M464" si="463">if(min($C463:$G463)=C463,I463+1,I463)</f>
        <v>165</v>
      </c>
      <c r="J464" s="11">
        <f t="shared" si="463"/>
        <v>78</v>
      </c>
      <c r="K464" s="11">
        <f t="shared" si="463"/>
        <v>76</v>
      </c>
      <c r="L464" s="11">
        <f t="shared" si="463"/>
        <v>72</v>
      </c>
      <c r="M464" s="11">
        <f t="shared" si="463"/>
        <v>72</v>
      </c>
      <c r="O464" s="12">
        <f> 'Optimal Choice'!$B$7*'Optimal Choice'!$B$8^(I464+1)</f>
        <v>301833.2549</v>
      </c>
      <c r="P464" s="12">
        <f> 'Optimal Choice'!$B$12*'Optimal Choice'!$B$13^(J464+1)</f>
        <v>3743524.143</v>
      </c>
      <c r="Q464" s="12">
        <f> 'Optimal Choice'!$B$17*'Optimal Choice'!$B$18^(K464+1)</f>
        <v>17338281.48</v>
      </c>
      <c r="R464" s="12">
        <f> 'Optimal Choice'!$B$22*'Optimal Choice'!$B$23^(L464+1)</f>
        <v>64750051.29</v>
      </c>
      <c r="S464" s="12">
        <f> 'Optimal Choice'!$B$27*'Optimal Choice'!$B$28^(M464+1)</f>
        <v>406079105.2</v>
      </c>
    </row>
    <row r="465" ht="15.75" customHeight="1">
      <c r="A465" s="10">
        <f t="shared" si="2"/>
        <v>425.2228381</v>
      </c>
      <c r="B465" s="6">
        <f>(I465*'Optimal Choice'!$B$6+J465*'Optimal Choice'!$B$11+K465*'Optimal Choice'!$B$16+L465*'Optimal Choice'!$B$21+M465*'Optimal Choice'!$B$26)*'Optimal Choice'!$B$30</f>
        <v>190475.55</v>
      </c>
      <c r="C465" s="10">
        <f>(O465/$B465)+(O465/'Optimal Choice'!$B$6)</f>
        <v>180740.0606</v>
      </c>
      <c r="D465" s="10">
        <f>(P465/$B465)+(P465/'Optimal Choice'!$B$11)</f>
        <v>187195.8607</v>
      </c>
      <c r="E465" s="10">
        <f>(Q465/$B465)+(Q465/'Optimal Choice'!$B$16)</f>
        <v>192738.5983</v>
      </c>
      <c r="F465" s="10">
        <f>(R465/$B465)+(R465/'Optimal Choice'!$B$21)</f>
        <v>203627.3475</v>
      </c>
      <c r="G465" s="10">
        <f>(S465/$B465)+(S465/'Optimal Choice'!$B$26)</f>
        <v>190131.5082</v>
      </c>
      <c r="I465" s="11">
        <f t="shared" ref="I465:M465" si="464">if(min($C464:$G464)=C464,I464+1,I464)</f>
        <v>165</v>
      </c>
      <c r="J465" s="11">
        <f t="shared" si="464"/>
        <v>78</v>
      </c>
      <c r="K465" s="11">
        <f t="shared" si="464"/>
        <v>76</v>
      </c>
      <c r="L465" s="11">
        <f t="shared" si="464"/>
        <v>73</v>
      </c>
      <c r="M465" s="11">
        <f t="shared" si="464"/>
        <v>72</v>
      </c>
      <c r="O465" s="12">
        <f> 'Optimal Choice'!$B$7*'Optimal Choice'!$B$8^(I465+1)</f>
        <v>301833.2549</v>
      </c>
      <c r="P465" s="12">
        <f> 'Optimal Choice'!$B$12*'Optimal Choice'!$B$13^(J465+1)</f>
        <v>3743524.143</v>
      </c>
      <c r="Q465" s="12">
        <f> 'Optimal Choice'!$B$17*'Optimal Choice'!$B$18^(K465+1)</f>
        <v>17338281.48</v>
      </c>
      <c r="R465" s="12">
        <f> 'Optimal Choice'!$B$22*'Optimal Choice'!$B$23^(L465+1)</f>
        <v>73167557.96</v>
      </c>
      <c r="S465" s="12">
        <f> 'Optimal Choice'!$B$27*'Optimal Choice'!$B$28^(M465+1)</f>
        <v>406079105.2</v>
      </c>
    </row>
    <row r="466" ht="15.75" customHeight="1">
      <c r="A466" s="10">
        <f t="shared" si="2"/>
        <v>425.2492486</v>
      </c>
      <c r="B466" s="6">
        <f>(I466*'Optimal Choice'!$B$6+J466*'Optimal Choice'!$B$11+K466*'Optimal Choice'!$B$16+L466*'Optimal Choice'!$B$21+M466*'Optimal Choice'!$B$26)*'Optimal Choice'!$B$30</f>
        <v>190477.22</v>
      </c>
      <c r="C466" s="10">
        <f>(O466/$B466)+(O466/'Optimal Choice'!$B$6)</f>
        <v>193391.8648</v>
      </c>
      <c r="D466" s="10">
        <f>(P466/$B466)+(P466/'Optimal Choice'!$B$11)</f>
        <v>187195.8605</v>
      </c>
      <c r="E466" s="10">
        <f>(Q466/$B466)+(Q466/'Optimal Choice'!$B$16)</f>
        <v>192738.5975</v>
      </c>
      <c r="F466" s="10">
        <f>(R466/$B466)+(R466/'Optimal Choice'!$B$21)</f>
        <v>203627.3442</v>
      </c>
      <c r="G466" s="10">
        <f>(S466/$B466)+(S466/'Optimal Choice'!$B$26)</f>
        <v>190131.4895</v>
      </c>
      <c r="I466" s="11">
        <f t="shared" ref="I466:M466" si="465">if(min($C465:$G465)=C465,I465+1,I465)</f>
        <v>166</v>
      </c>
      <c r="J466" s="11">
        <f t="shared" si="465"/>
        <v>78</v>
      </c>
      <c r="K466" s="11">
        <f t="shared" si="465"/>
        <v>76</v>
      </c>
      <c r="L466" s="11">
        <f t="shared" si="465"/>
        <v>73</v>
      </c>
      <c r="M466" s="11">
        <f t="shared" si="465"/>
        <v>72</v>
      </c>
      <c r="O466" s="12">
        <f> 'Optimal Choice'!$B$7*'Optimal Choice'!$B$8^(I466+1)</f>
        <v>322961.5827</v>
      </c>
      <c r="P466" s="12">
        <f> 'Optimal Choice'!$B$12*'Optimal Choice'!$B$13^(J466+1)</f>
        <v>3743524.143</v>
      </c>
      <c r="Q466" s="12">
        <f> 'Optimal Choice'!$B$17*'Optimal Choice'!$B$18^(K466+1)</f>
        <v>17338281.48</v>
      </c>
      <c r="R466" s="12">
        <f> 'Optimal Choice'!$B$22*'Optimal Choice'!$B$23^(L466+1)</f>
        <v>73167557.96</v>
      </c>
      <c r="S466" s="12">
        <f> 'Optimal Choice'!$B$27*'Optimal Choice'!$B$28^(M466+1)</f>
        <v>406079105.2</v>
      </c>
    </row>
    <row r="467" ht="15.75" customHeight="1">
      <c r="A467" s="10">
        <f t="shared" si="2"/>
        <v>425.5768052</v>
      </c>
      <c r="B467" s="6">
        <f>(I467*'Optimal Choice'!$B$6+J467*'Optimal Choice'!$B$11+K467*'Optimal Choice'!$B$16+L467*'Optimal Choice'!$B$21+M467*'Optimal Choice'!$B$26)*'Optimal Choice'!$B$30</f>
        <v>190497.22</v>
      </c>
      <c r="C467" s="10">
        <f>(O467/$B467)+(O467/'Optimal Choice'!$B$6)</f>
        <v>193391.8647</v>
      </c>
      <c r="D467" s="10">
        <f>(P467/$B467)+(P467/'Optimal Choice'!$B$11)</f>
        <v>215275.2372</v>
      </c>
      <c r="E467" s="10">
        <f>(Q467/$B467)+(Q467/'Optimal Choice'!$B$16)</f>
        <v>192738.588</v>
      </c>
      <c r="F467" s="10">
        <f>(R467/$B467)+(R467/'Optimal Choice'!$B$21)</f>
        <v>203627.3038</v>
      </c>
      <c r="G467" s="10">
        <f>(S467/$B467)+(S467/'Optimal Choice'!$B$26)</f>
        <v>190131.2657</v>
      </c>
      <c r="I467" s="11">
        <f t="shared" ref="I467:M467" si="466">if(min($C466:$G466)=C466,I466+1,I466)</f>
        <v>166</v>
      </c>
      <c r="J467" s="11">
        <f t="shared" si="466"/>
        <v>79</v>
      </c>
      <c r="K467" s="11">
        <f t="shared" si="466"/>
        <v>76</v>
      </c>
      <c r="L467" s="11">
        <f t="shared" si="466"/>
        <v>73</v>
      </c>
      <c r="M467" s="11">
        <f t="shared" si="466"/>
        <v>72</v>
      </c>
      <c r="O467" s="12">
        <f> 'Optimal Choice'!$B$7*'Optimal Choice'!$B$8^(I467+1)</f>
        <v>322961.5827</v>
      </c>
      <c r="P467" s="12">
        <f> 'Optimal Choice'!$B$12*'Optimal Choice'!$B$13^(J467+1)</f>
        <v>4305052.764</v>
      </c>
      <c r="Q467" s="12">
        <f> 'Optimal Choice'!$B$17*'Optimal Choice'!$B$18^(K467+1)</f>
        <v>17338281.48</v>
      </c>
      <c r="R467" s="12">
        <f> 'Optimal Choice'!$B$22*'Optimal Choice'!$B$23^(L467+1)</f>
        <v>73167557.96</v>
      </c>
      <c r="S467" s="12">
        <f> 'Optimal Choice'!$B$27*'Optimal Choice'!$B$28^(M467+1)</f>
        <v>406079105.2</v>
      </c>
    </row>
    <row r="468" ht="15.75" customHeight="1">
      <c r="A468" s="10">
        <f t="shared" si="2"/>
        <v>461.1048045</v>
      </c>
      <c r="B468" s="6">
        <f>(I468*'Optimal Choice'!$B$6+J468*'Optimal Choice'!$B$11+K468*'Optimal Choice'!$B$16+L468*'Optimal Choice'!$B$21+M468*'Optimal Choice'!$B$26)*'Optimal Choice'!$B$30</f>
        <v>192657.22</v>
      </c>
      <c r="C468" s="10">
        <f>(O468/$B468)+(O468/'Optimal Choice'!$B$6)</f>
        <v>193391.8457</v>
      </c>
      <c r="D468" s="10">
        <f>(P468/$B468)+(P468/'Optimal Choice'!$B$11)</f>
        <v>215274.9839</v>
      </c>
      <c r="E468" s="10">
        <f>(Q468/$B468)+(Q468/'Optimal Choice'!$B$16)</f>
        <v>192737.5675</v>
      </c>
      <c r="F468" s="10">
        <f>(R468/$B468)+(R468/'Optimal Choice'!$B$21)</f>
        <v>203622.9976</v>
      </c>
      <c r="G468" s="10">
        <f>(S468/$B468)+(S468/'Optimal Choice'!$B$26)</f>
        <v>212920.25</v>
      </c>
      <c r="I468" s="11">
        <f t="shared" ref="I468:M468" si="467">if(min($C467:$G467)=C467,I467+1,I467)</f>
        <v>166</v>
      </c>
      <c r="J468" s="11">
        <f t="shared" si="467"/>
        <v>79</v>
      </c>
      <c r="K468" s="11">
        <f t="shared" si="467"/>
        <v>76</v>
      </c>
      <c r="L468" s="11">
        <f t="shared" si="467"/>
        <v>73</v>
      </c>
      <c r="M468" s="11">
        <f t="shared" si="467"/>
        <v>73</v>
      </c>
      <c r="O468" s="12">
        <f> 'Optimal Choice'!$B$7*'Optimal Choice'!$B$8^(I468+1)</f>
        <v>322961.5827</v>
      </c>
      <c r="P468" s="12">
        <f> 'Optimal Choice'!$B$12*'Optimal Choice'!$B$13^(J468+1)</f>
        <v>4305052.764</v>
      </c>
      <c r="Q468" s="12">
        <f> 'Optimal Choice'!$B$17*'Optimal Choice'!$B$18^(K468+1)</f>
        <v>17338281.48</v>
      </c>
      <c r="R468" s="12">
        <f> 'Optimal Choice'!$B$22*'Optimal Choice'!$B$23^(L468+1)</f>
        <v>73167557.96</v>
      </c>
      <c r="S468" s="12">
        <f> 'Optimal Choice'!$B$27*'Optimal Choice'!$B$28^(M468+1)</f>
        <v>454808597.8</v>
      </c>
    </row>
    <row r="469" ht="15.75" customHeight="1">
      <c r="A469" s="10">
        <f t="shared" si="2"/>
        <v>462.6047293</v>
      </c>
      <c r="B469" s="6">
        <f>(I469*'Optimal Choice'!$B$6+J469*'Optimal Choice'!$B$11+K469*'Optimal Choice'!$B$16+L469*'Optimal Choice'!$B$21+M469*'Optimal Choice'!$B$26)*'Optimal Choice'!$B$30</f>
        <v>192747.22</v>
      </c>
      <c r="C469" s="10">
        <f>(O469/$B469)+(O469/'Optimal Choice'!$B$6)</f>
        <v>193391.8449</v>
      </c>
      <c r="D469" s="10">
        <f>(P469/$B469)+(P469/'Optimal Choice'!$B$11)</f>
        <v>215274.9734</v>
      </c>
      <c r="E469" s="10">
        <f>(Q469/$B469)+(Q469/'Optimal Choice'!$B$16)</f>
        <v>219720.7791</v>
      </c>
      <c r="F469" s="10">
        <f>(R469/$B469)+(R469/'Optimal Choice'!$B$21)</f>
        <v>203622.8202</v>
      </c>
      <c r="G469" s="10">
        <f>(S469/$B469)+(S469/'Optimal Choice'!$B$26)</f>
        <v>212919.1477</v>
      </c>
      <c r="I469" s="11">
        <f t="shared" ref="I469:M469" si="468">if(min($C468:$G468)=C468,I468+1,I468)</f>
        <v>166</v>
      </c>
      <c r="J469" s="11">
        <f t="shared" si="468"/>
        <v>79</v>
      </c>
      <c r="K469" s="11">
        <f t="shared" si="468"/>
        <v>77</v>
      </c>
      <c r="L469" s="11">
        <f t="shared" si="468"/>
        <v>73</v>
      </c>
      <c r="M469" s="11">
        <f t="shared" si="468"/>
        <v>73</v>
      </c>
      <c r="O469" s="12">
        <f> 'Optimal Choice'!$B$7*'Optimal Choice'!$B$8^(I469+1)</f>
        <v>322961.5827</v>
      </c>
      <c r="P469" s="12">
        <f> 'Optimal Choice'!$B$12*'Optimal Choice'!$B$13^(J469+1)</f>
        <v>4305052.764</v>
      </c>
      <c r="Q469" s="12">
        <f> 'Optimal Choice'!$B$17*'Optimal Choice'!$B$18^(K469+1)</f>
        <v>19765640.89</v>
      </c>
      <c r="R469" s="12">
        <f> 'Optimal Choice'!$B$22*'Optimal Choice'!$B$23^(L469+1)</f>
        <v>73167557.96</v>
      </c>
      <c r="S469" s="12">
        <f> 'Optimal Choice'!$B$27*'Optimal Choice'!$B$28^(M469+1)</f>
        <v>454808597.8</v>
      </c>
    </row>
    <row r="470" ht="15.75" customHeight="1">
      <c r="A470" s="10">
        <f t="shared" si="2"/>
        <v>462.6326555</v>
      </c>
      <c r="B470" s="6">
        <f>(I470*'Optimal Choice'!$B$6+J470*'Optimal Choice'!$B$11+K470*'Optimal Choice'!$B$16+L470*'Optimal Choice'!$B$21+M470*'Optimal Choice'!$B$26)*'Optimal Choice'!$B$30</f>
        <v>192748.89</v>
      </c>
      <c r="C470" s="10">
        <f>(O470/$B470)+(O470/'Optimal Choice'!$B$6)</f>
        <v>206929.274</v>
      </c>
      <c r="D470" s="10">
        <f>(P470/$B470)+(P470/'Optimal Choice'!$B$11)</f>
        <v>215274.9732</v>
      </c>
      <c r="E470" s="10">
        <f>(Q470/$B470)+(Q470/'Optimal Choice'!$B$16)</f>
        <v>219720.7782</v>
      </c>
      <c r="F470" s="10">
        <f>(R470/$B470)+(R470/'Optimal Choice'!$B$21)</f>
        <v>203622.817</v>
      </c>
      <c r="G470" s="10">
        <f>(S470/$B470)+(S470/'Optimal Choice'!$B$26)</f>
        <v>212919.1273</v>
      </c>
      <c r="I470" s="11">
        <f t="shared" ref="I470:M470" si="469">if(min($C469:$G469)=C469,I469+1,I469)</f>
        <v>167</v>
      </c>
      <c r="J470" s="11">
        <f t="shared" si="469"/>
        <v>79</v>
      </c>
      <c r="K470" s="11">
        <f t="shared" si="469"/>
        <v>77</v>
      </c>
      <c r="L470" s="11">
        <f t="shared" si="469"/>
        <v>73</v>
      </c>
      <c r="M470" s="11">
        <f t="shared" si="469"/>
        <v>73</v>
      </c>
      <c r="O470" s="12">
        <f> 'Optimal Choice'!$B$7*'Optimal Choice'!$B$8^(I470+1)</f>
        <v>345568.8935</v>
      </c>
      <c r="P470" s="12">
        <f> 'Optimal Choice'!$B$12*'Optimal Choice'!$B$13^(J470+1)</f>
        <v>4305052.764</v>
      </c>
      <c r="Q470" s="12">
        <f> 'Optimal Choice'!$B$17*'Optimal Choice'!$B$18^(K470+1)</f>
        <v>19765640.89</v>
      </c>
      <c r="R470" s="12">
        <f> 'Optimal Choice'!$B$22*'Optimal Choice'!$B$23^(L470+1)</f>
        <v>73167557.96</v>
      </c>
      <c r="S470" s="12">
        <f> 'Optimal Choice'!$B$27*'Optimal Choice'!$B$28^(M470+1)</f>
        <v>454808597.8</v>
      </c>
    </row>
    <row r="471" ht="15.75" customHeight="1">
      <c r="A471" s="10">
        <f t="shared" si="2"/>
        <v>468.959329</v>
      </c>
      <c r="B471" s="6">
        <f>(I471*'Optimal Choice'!$B$6+J471*'Optimal Choice'!$B$11+K471*'Optimal Choice'!$B$16+L471*'Optimal Choice'!$B$21+M471*'Optimal Choice'!$B$26)*'Optimal Choice'!$B$30</f>
        <v>193108.89</v>
      </c>
      <c r="C471" s="10">
        <f>(O471/$B471)+(O471/'Optimal Choice'!$B$6)</f>
        <v>206929.2707</v>
      </c>
      <c r="D471" s="10">
        <f>(P471/$B471)+(P471/'Optimal Choice'!$B$11)</f>
        <v>215274.9316</v>
      </c>
      <c r="E471" s="10">
        <f>(Q471/$B471)+(Q471/'Optimal Choice'!$B$16)</f>
        <v>219720.587</v>
      </c>
      <c r="F471" s="10">
        <f>(R471/$B471)+(R471/'Optimal Choice'!$B$21)</f>
        <v>230092.9835</v>
      </c>
      <c r="G471" s="10">
        <f>(S471/$B471)+(S471/'Optimal Choice'!$B$26)</f>
        <v>212914.7285</v>
      </c>
      <c r="I471" s="11">
        <f t="shared" ref="I471:M471" si="470">if(min($C470:$G470)=C470,I470+1,I470)</f>
        <v>167</v>
      </c>
      <c r="J471" s="11">
        <f t="shared" si="470"/>
        <v>79</v>
      </c>
      <c r="K471" s="11">
        <f t="shared" si="470"/>
        <v>77</v>
      </c>
      <c r="L471" s="11">
        <f t="shared" si="470"/>
        <v>74</v>
      </c>
      <c r="M471" s="11">
        <f t="shared" si="470"/>
        <v>73</v>
      </c>
      <c r="O471" s="12">
        <f> 'Optimal Choice'!$B$7*'Optimal Choice'!$B$8^(I471+1)</f>
        <v>345568.8935</v>
      </c>
      <c r="P471" s="12">
        <f> 'Optimal Choice'!$B$12*'Optimal Choice'!$B$13^(J471+1)</f>
        <v>4305052.764</v>
      </c>
      <c r="Q471" s="12">
        <f> 'Optimal Choice'!$B$17*'Optimal Choice'!$B$18^(K471+1)</f>
        <v>19765640.89</v>
      </c>
      <c r="R471" s="12">
        <f> 'Optimal Choice'!$B$22*'Optimal Choice'!$B$23^(L471+1)</f>
        <v>82679340.49</v>
      </c>
      <c r="S471" s="12">
        <f> 'Optimal Choice'!$B$27*'Optimal Choice'!$B$28^(M471+1)</f>
        <v>454808597.8</v>
      </c>
    </row>
    <row r="472" ht="15.75" customHeight="1">
      <c r="A472" s="10">
        <f t="shared" si="2"/>
        <v>468.9891541</v>
      </c>
      <c r="B472" s="6">
        <f>(I472*'Optimal Choice'!$B$6+J472*'Optimal Choice'!$B$11+K472*'Optimal Choice'!$B$16+L472*'Optimal Choice'!$B$21+M472*'Optimal Choice'!$B$26)*'Optimal Choice'!$B$30</f>
        <v>193110.56</v>
      </c>
      <c r="C472" s="10">
        <f>(O472/$B472)+(O472/'Optimal Choice'!$B$6)</f>
        <v>221414.3196</v>
      </c>
      <c r="D472" s="10">
        <f>(P472/$B472)+(P472/'Optimal Choice'!$B$11)</f>
        <v>215274.9314</v>
      </c>
      <c r="E472" s="10">
        <f>(Q472/$B472)+(Q472/'Optimal Choice'!$B$16)</f>
        <v>219720.5861</v>
      </c>
      <c r="F472" s="10">
        <f>(R472/$B472)+(R472/'Optimal Choice'!$B$21)</f>
        <v>230092.9798</v>
      </c>
      <c r="G472" s="10">
        <f>(S472/$B472)+(S472/'Optimal Choice'!$B$26)</f>
        <v>212914.7081</v>
      </c>
      <c r="I472" s="11">
        <f t="shared" ref="I472:M472" si="471">if(min($C471:$G471)=C471,I471+1,I471)</f>
        <v>168</v>
      </c>
      <c r="J472" s="11">
        <f t="shared" si="471"/>
        <v>79</v>
      </c>
      <c r="K472" s="11">
        <f t="shared" si="471"/>
        <v>77</v>
      </c>
      <c r="L472" s="11">
        <f t="shared" si="471"/>
        <v>74</v>
      </c>
      <c r="M472" s="11">
        <f t="shared" si="471"/>
        <v>73</v>
      </c>
      <c r="O472" s="12">
        <f> 'Optimal Choice'!$B$7*'Optimal Choice'!$B$8^(I472+1)</f>
        <v>369758.7161</v>
      </c>
      <c r="P472" s="12">
        <f> 'Optimal Choice'!$B$12*'Optimal Choice'!$B$13^(J472+1)</f>
        <v>4305052.764</v>
      </c>
      <c r="Q472" s="12">
        <f> 'Optimal Choice'!$B$17*'Optimal Choice'!$B$18^(K472+1)</f>
        <v>19765640.89</v>
      </c>
      <c r="R472" s="12">
        <f> 'Optimal Choice'!$B$22*'Optimal Choice'!$B$23^(L472+1)</f>
        <v>82679340.49</v>
      </c>
      <c r="S472" s="12">
        <f> 'Optimal Choice'!$B$27*'Optimal Choice'!$B$28^(M472+1)</f>
        <v>454808597.8</v>
      </c>
    </row>
    <row r="473" ht="15.75" customHeight="1">
      <c r="A473" s="10">
        <f t="shared" si="2"/>
        <v>508.242022</v>
      </c>
      <c r="B473" s="6">
        <f>(I473*'Optimal Choice'!$B$6+J473*'Optimal Choice'!$B$11+K473*'Optimal Choice'!$B$16+L473*'Optimal Choice'!$B$21+M473*'Optimal Choice'!$B$26)*'Optimal Choice'!$B$30</f>
        <v>195270.56</v>
      </c>
      <c r="C473" s="10">
        <f>(O473/$B473)+(O473/'Optimal Choice'!$B$6)</f>
        <v>221414.2984</v>
      </c>
      <c r="D473" s="10">
        <f>(P473/$B473)+(P473/'Optimal Choice'!$B$11)</f>
        <v>215274.6848</v>
      </c>
      <c r="E473" s="10">
        <f>(Q473/$B473)+(Q473/'Optimal Choice'!$B$16)</f>
        <v>219719.4539</v>
      </c>
      <c r="F473" s="10">
        <f>(R473/$B473)+(R473/'Optimal Choice'!$B$21)</f>
        <v>230088.2438</v>
      </c>
      <c r="G473" s="10">
        <f>(S473/$B473)+(S473/'Optimal Choice'!$B$26)</f>
        <v>238435.2949</v>
      </c>
      <c r="I473" s="11">
        <f t="shared" ref="I473:M473" si="472">if(min($C472:$G472)=C472,I472+1,I472)</f>
        <v>168</v>
      </c>
      <c r="J473" s="11">
        <f t="shared" si="472"/>
        <v>79</v>
      </c>
      <c r="K473" s="11">
        <f t="shared" si="472"/>
        <v>77</v>
      </c>
      <c r="L473" s="11">
        <f t="shared" si="472"/>
        <v>74</v>
      </c>
      <c r="M473" s="11">
        <f t="shared" si="472"/>
        <v>74</v>
      </c>
      <c r="O473" s="12">
        <f> 'Optimal Choice'!$B$7*'Optimal Choice'!$B$8^(I473+1)</f>
        <v>369758.7161</v>
      </c>
      <c r="P473" s="12">
        <f> 'Optimal Choice'!$B$12*'Optimal Choice'!$B$13^(J473+1)</f>
        <v>4305052.764</v>
      </c>
      <c r="Q473" s="12">
        <f> 'Optimal Choice'!$B$17*'Optimal Choice'!$B$18^(K473+1)</f>
        <v>19765640.89</v>
      </c>
      <c r="R473" s="12">
        <f> 'Optimal Choice'!$B$22*'Optimal Choice'!$B$23^(L473+1)</f>
        <v>82679340.49</v>
      </c>
      <c r="S473" s="12">
        <f> 'Optimal Choice'!$B$27*'Optimal Choice'!$B$28^(M473+1)</f>
        <v>509385629.6</v>
      </c>
    </row>
    <row r="474" ht="15.75" customHeight="1">
      <c r="A474" s="10">
        <f t="shared" si="2"/>
        <v>508.6094654</v>
      </c>
      <c r="B474" s="6">
        <f>(I474*'Optimal Choice'!$B$6+J474*'Optimal Choice'!$B$11+K474*'Optimal Choice'!$B$16+L474*'Optimal Choice'!$B$21+M474*'Optimal Choice'!$B$26)*'Optimal Choice'!$B$30</f>
        <v>195290.56</v>
      </c>
      <c r="C474" s="10">
        <f>(O474/$B474)+(O474/'Optimal Choice'!$B$6)</f>
        <v>221414.2982</v>
      </c>
      <c r="D474" s="10">
        <f>(P474/$B474)+(P474/'Optimal Choice'!$B$11)</f>
        <v>247565.8849</v>
      </c>
      <c r="E474" s="10">
        <f>(Q474/$B474)+(Q474/'Optimal Choice'!$B$16)</f>
        <v>219719.4436</v>
      </c>
      <c r="F474" s="10">
        <f>(R474/$B474)+(R474/'Optimal Choice'!$B$21)</f>
        <v>230088.2005</v>
      </c>
      <c r="G474" s="10">
        <f>(S474/$B474)+(S474/'Optimal Choice'!$B$26)</f>
        <v>238435.0278</v>
      </c>
      <c r="I474" s="11">
        <f t="shared" ref="I474:M474" si="473">if(min($C473:$G473)=C473,I473+1,I473)</f>
        <v>168</v>
      </c>
      <c r="J474" s="11">
        <f t="shared" si="473"/>
        <v>80</v>
      </c>
      <c r="K474" s="11">
        <f t="shared" si="473"/>
        <v>77</v>
      </c>
      <c r="L474" s="11">
        <f t="shared" si="473"/>
        <v>74</v>
      </c>
      <c r="M474" s="11">
        <f t="shared" si="473"/>
        <v>74</v>
      </c>
      <c r="O474" s="12">
        <f> 'Optimal Choice'!$B$7*'Optimal Choice'!$B$8^(I474+1)</f>
        <v>369758.7161</v>
      </c>
      <c r="P474" s="12">
        <f> 'Optimal Choice'!$B$12*'Optimal Choice'!$B$13^(J474+1)</f>
        <v>4950810.679</v>
      </c>
      <c r="Q474" s="12">
        <f> 'Optimal Choice'!$B$17*'Optimal Choice'!$B$18^(K474+1)</f>
        <v>19765640.89</v>
      </c>
      <c r="R474" s="12">
        <f> 'Optimal Choice'!$B$22*'Optimal Choice'!$B$23^(L474+1)</f>
        <v>82679340.49</v>
      </c>
      <c r="S474" s="12">
        <f> 'Optimal Choice'!$B$27*'Optimal Choice'!$B$28^(M474+1)</f>
        <v>509385629.6</v>
      </c>
    </row>
    <row r="475" ht="15.75" customHeight="1">
      <c r="A475" s="10">
        <f t="shared" si="2"/>
        <v>510.2963229</v>
      </c>
      <c r="B475" s="6">
        <f>(I475*'Optimal Choice'!$B$6+J475*'Optimal Choice'!$B$11+K475*'Optimal Choice'!$B$16+L475*'Optimal Choice'!$B$21+M475*'Optimal Choice'!$B$26)*'Optimal Choice'!$B$30</f>
        <v>195380.56</v>
      </c>
      <c r="C475" s="10">
        <f>(O475/$B475)+(O475/'Optimal Choice'!$B$6)</f>
        <v>221414.2973</v>
      </c>
      <c r="D475" s="10">
        <f>(P475/$B475)+(P475/'Optimal Choice'!$B$11)</f>
        <v>247565.8733</v>
      </c>
      <c r="E475" s="10">
        <f>(Q475/$B475)+(Q475/'Optimal Choice'!$B$16)</f>
        <v>250480.1125</v>
      </c>
      <c r="F475" s="10">
        <f>(R475/$B475)+(R475/'Optimal Choice'!$B$21)</f>
        <v>230088.0055</v>
      </c>
      <c r="G475" s="10">
        <f>(S475/$B475)+(S475/'Optimal Choice'!$B$26)</f>
        <v>238433.8263</v>
      </c>
      <c r="I475" s="11">
        <f t="shared" ref="I475:M475" si="474">if(min($C474:$G474)=C474,I474+1,I474)</f>
        <v>168</v>
      </c>
      <c r="J475" s="11">
        <f t="shared" si="474"/>
        <v>80</v>
      </c>
      <c r="K475" s="11">
        <f t="shared" si="474"/>
        <v>78</v>
      </c>
      <c r="L475" s="11">
        <f t="shared" si="474"/>
        <v>74</v>
      </c>
      <c r="M475" s="11">
        <f t="shared" si="474"/>
        <v>74</v>
      </c>
      <c r="O475" s="12">
        <f> 'Optimal Choice'!$B$7*'Optimal Choice'!$B$8^(I475+1)</f>
        <v>369758.7161</v>
      </c>
      <c r="P475" s="12">
        <f> 'Optimal Choice'!$B$12*'Optimal Choice'!$B$13^(J475+1)</f>
        <v>4950810.679</v>
      </c>
      <c r="Q475" s="12">
        <f> 'Optimal Choice'!$B$17*'Optimal Choice'!$B$18^(K475+1)</f>
        <v>22532830.62</v>
      </c>
      <c r="R475" s="12">
        <f> 'Optimal Choice'!$B$22*'Optimal Choice'!$B$23^(L475+1)</f>
        <v>82679340.49</v>
      </c>
      <c r="S475" s="12">
        <f> 'Optimal Choice'!$B$27*'Optimal Choice'!$B$28^(M475+1)</f>
        <v>509385629.6</v>
      </c>
    </row>
    <row r="476" ht="15.75" customHeight="1">
      <c r="A476" s="10">
        <f t="shared" si="2"/>
        <v>510.3278646</v>
      </c>
      <c r="B476" s="6">
        <f>(I476*'Optimal Choice'!$B$6+J476*'Optimal Choice'!$B$11+K476*'Optimal Choice'!$B$16+L476*'Optimal Choice'!$B$21+M476*'Optimal Choice'!$B$26)*'Optimal Choice'!$B$30</f>
        <v>195382.23</v>
      </c>
      <c r="C476" s="10">
        <f>(O476/$B476)+(O476/'Optimal Choice'!$B$6)</f>
        <v>236913.2981</v>
      </c>
      <c r="D476" s="10">
        <f>(P476/$B476)+(P476/'Optimal Choice'!$B$11)</f>
        <v>247565.873</v>
      </c>
      <c r="E476" s="10">
        <f>(Q476/$B476)+(Q476/'Optimal Choice'!$B$16)</f>
        <v>250480.1115</v>
      </c>
      <c r="F476" s="10">
        <f>(R476/$B476)+(R476/'Optimal Choice'!$B$21)</f>
        <v>230088.0018</v>
      </c>
      <c r="G476" s="10">
        <f>(S476/$B476)+(S476/'Optimal Choice'!$B$26)</f>
        <v>238433.804</v>
      </c>
      <c r="I476" s="11">
        <f t="shared" ref="I476:M476" si="475">if(min($C475:$G475)=C475,I475+1,I475)</f>
        <v>169</v>
      </c>
      <c r="J476" s="11">
        <f t="shared" si="475"/>
        <v>80</v>
      </c>
      <c r="K476" s="11">
        <f t="shared" si="475"/>
        <v>78</v>
      </c>
      <c r="L476" s="11">
        <f t="shared" si="475"/>
        <v>74</v>
      </c>
      <c r="M476" s="11">
        <f t="shared" si="475"/>
        <v>74</v>
      </c>
      <c r="O476" s="12">
        <f> 'Optimal Choice'!$B$7*'Optimal Choice'!$B$8^(I476+1)</f>
        <v>395641.8262</v>
      </c>
      <c r="P476" s="12">
        <f> 'Optimal Choice'!$B$12*'Optimal Choice'!$B$13^(J476+1)</f>
        <v>4950810.679</v>
      </c>
      <c r="Q476" s="12">
        <f> 'Optimal Choice'!$B$17*'Optimal Choice'!$B$18^(K476+1)</f>
        <v>22532830.62</v>
      </c>
      <c r="R476" s="12">
        <f> 'Optimal Choice'!$B$22*'Optimal Choice'!$B$23^(L476+1)</f>
        <v>82679340.49</v>
      </c>
      <c r="S476" s="12">
        <f> 'Optimal Choice'!$B$27*'Optimal Choice'!$B$28^(M476+1)</f>
        <v>509385629.6</v>
      </c>
    </row>
    <row r="477" ht="15.75" customHeight="1">
      <c r="A477" s="10">
        <f t="shared" si="2"/>
        <v>517.3806504</v>
      </c>
      <c r="B477" s="6">
        <f>(I477*'Optimal Choice'!$B$6+J477*'Optimal Choice'!$B$11+K477*'Optimal Choice'!$B$16+L477*'Optimal Choice'!$B$21+M477*'Optimal Choice'!$B$26)*'Optimal Choice'!$B$30</f>
        <v>195742.23</v>
      </c>
      <c r="C477" s="10">
        <f>(O477/$B477)+(O477/'Optimal Choice'!$B$6)</f>
        <v>236913.2944</v>
      </c>
      <c r="D477" s="10">
        <f>(P477/$B477)+(P477/'Optimal Choice'!$B$11)</f>
        <v>247565.8264</v>
      </c>
      <c r="E477" s="10">
        <f>(Q477/$B477)+(Q477/'Optimal Choice'!$B$16)</f>
        <v>250479.8994</v>
      </c>
      <c r="F477" s="10">
        <f>(R477/$B477)+(R477/'Optimal Choice'!$B$21)</f>
        <v>259998.5626</v>
      </c>
      <c r="G477" s="10">
        <f>(S477/$B477)+(S477/'Optimal Choice'!$B$26)</f>
        <v>238429.0091</v>
      </c>
      <c r="I477" s="11">
        <f t="shared" ref="I477:M477" si="476">if(min($C476:$G476)=C476,I476+1,I476)</f>
        <v>169</v>
      </c>
      <c r="J477" s="11">
        <f t="shared" si="476"/>
        <v>80</v>
      </c>
      <c r="K477" s="11">
        <f t="shared" si="476"/>
        <v>78</v>
      </c>
      <c r="L477" s="11">
        <f t="shared" si="476"/>
        <v>75</v>
      </c>
      <c r="M477" s="11">
        <f t="shared" si="476"/>
        <v>74</v>
      </c>
      <c r="O477" s="12">
        <f> 'Optimal Choice'!$B$7*'Optimal Choice'!$B$8^(I477+1)</f>
        <v>395641.8262</v>
      </c>
      <c r="P477" s="12">
        <f> 'Optimal Choice'!$B$12*'Optimal Choice'!$B$13^(J477+1)</f>
        <v>4950810.679</v>
      </c>
      <c r="Q477" s="12">
        <f> 'Optimal Choice'!$B$17*'Optimal Choice'!$B$18^(K477+1)</f>
        <v>22532830.62</v>
      </c>
      <c r="R477" s="12">
        <f> 'Optimal Choice'!$B$22*'Optimal Choice'!$B$23^(L477+1)</f>
        <v>93427654.76</v>
      </c>
      <c r="S477" s="12">
        <f> 'Optimal Choice'!$B$27*'Optimal Choice'!$B$28^(M477+1)</f>
        <v>509385629.6</v>
      </c>
    </row>
    <row r="478" ht="15.75" customHeight="1">
      <c r="A478" s="10">
        <f t="shared" si="2"/>
        <v>517.4143377</v>
      </c>
      <c r="B478" s="6">
        <f>(I478*'Optimal Choice'!$B$6+J478*'Optimal Choice'!$B$11+K478*'Optimal Choice'!$B$16+L478*'Optimal Choice'!$B$21+M478*'Optimal Choice'!$B$26)*'Optimal Choice'!$B$30</f>
        <v>195743.9</v>
      </c>
      <c r="C478" s="10">
        <f>(O478/$B478)+(O478/'Optimal Choice'!$B$6)</f>
        <v>253497.225</v>
      </c>
      <c r="D478" s="10">
        <f>(P478/$B478)+(P478/'Optimal Choice'!$B$11)</f>
        <v>247565.8262</v>
      </c>
      <c r="E478" s="10">
        <f>(Q478/$B478)+(Q478/'Optimal Choice'!$B$16)</f>
        <v>250479.8984</v>
      </c>
      <c r="F478" s="10">
        <f>(R478/$B478)+(R478/'Optimal Choice'!$B$21)</f>
        <v>259998.5586</v>
      </c>
      <c r="G478" s="10">
        <f>(S478/$B478)+(S478/'Optimal Choice'!$B$26)</f>
        <v>238428.9869</v>
      </c>
      <c r="I478" s="11">
        <f t="shared" ref="I478:M478" si="477">if(min($C477:$G477)=C477,I477+1,I477)</f>
        <v>170</v>
      </c>
      <c r="J478" s="11">
        <f t="shared" si="477"/>
        <v>80</v>
      </c>
      <c r="K478" s="11">
        <f t="shared" si="477"/>
        <v>78</v>
      </c>
      <c r="L478" s="11">
        <f t="shared" si="477"/>
        <v>75</v>
      </c>
      <c r="M478" s="11">
        <f t="shared" si="477"/>
        <v>74</v>
      </c>
      <c r="O478" s="12">
        <f> 'Optimal Choice'!$B$7*'Optimal Choice'!$B$8^(I478+1)</f>
        <v>423336.754</v>
      </c>
      <c r="P478" s="12">
        <f> 'Optimal Choice'!$B$12*'Optimal Choice'!$B$13^(J478+1)</f>
        <v>4950810.679</v>
      </c>
      <c r="Q478" s="12">
        <f> 'Optimal Choice'!$B$17*'Optimal Choice'!$B$18^(K478+1)</f>
        <v>22532830.62</v>
      </c>
      <c r="R478" s="12">
        <f> 'Optimal Choice'!$B$22*'Optimal Choice'!$B$23^(L478+1)</f>
        <v>93427654.76</v>
      </c>
      <c r="S478" s="12">
        <f> 'Optimal Choice'!$B$27*'Optimal Choice'!$B$28^(M478+1)</f>
        <v>509385629.6</v>
      </c>
    </row>
    <row r="479" ht="15.75" customHeight="1">
      <c r="A479" s="10">
        <f t="shared" si="2"/>
        <v>560.7861132</v>
      </c>
      <c r="B479" s="6">
        <f>(I479*'Optimal Choice'!$B$6+J479*'Optimal Choice'!$B$11+K479*'Optimal Choice'!$B$16+L479*'Optimal Choice'!$B$21+M479*'Optimal Choice'!$B$26)*'Optimal Choice'!$B$30</f>
        <v>197903.9</v>
      </c>
      <c r="C479" s="10">
        <f>(O479/$B479)+(O479/'Optimal Choice'!$B$6)</f>
        <v>253497.2014</v>
      </c>
      <c r="D479" s="10">
        <f>(P479/$B479)+(P479/'Optimal Choice'!$B$11)</f>
        <v>247565.5502</v>
      </c>
      <c r="E479" s="10">
        <f>(Q479/$B479)+(Q479/'Optimal Choice'!$B$16)</f>
        <v>250478.642</v>
      </c>
      <c r="F479" s="10">
        <f>(R479/$B479)+(R479/'Optimal Choice'!$B$21)</f>
        <v>259993.3492</v>
      </c>
      <c r="G479" s="10">
        <f>(S479/$B479)+(S479/'Optimal Choice'!$B$26)</f>
        <v>267008.6544</v>
      </c>
      <c r="I479" s="11">
        <f t="shared" ref="I479:M479" si="478">if(min($C478:$G478)=C478,I478+1,I478)</f>
        <v>170</v>
      </c>
      <c r="J479" s="11">
        <f t="shared" si="478"/>
        <v>80</v>
      </c>
      <c r="K479" s="11">
        <f t="shared" si="478"/>
        <v>78</v>
      </c>
      <c r="L479" s="11">
        <f t="shared" si="478"/>
        <v>75</v>
      </c>
      <c r="M479" s="11">
        <f t="shared" si="478"/>
        <v>75</v>
      </c>
      <c r="O479" s="12">
        <f> 'Optimal Choice'!$B$7*'Optimal Choice'!$B$8^(I479+1)</f>
        <v>423336.754</v>
      </c>
      <c r="P479" s="12">
        <f> 'Optimal Choice'!$B$12*'Optimal Choice'!$B$13^(J479+1)</f>
        <v>4950810.679</v>
      </c>
      <c r="Q479" s="12">
        <f> 'Optimal Choice'!$B$17*'Optimal Choice'!$B$18^(K479+1)</f>
        <v>22532830.62</v>
      </c>
      <c r="R479" s="12">
        <f> 'Optimal Choice'!$B$22*'Optimal Choice'!$B$23^(L479+1)</f>
        <v>93427654.76</v>
      </c>
      <c r="S479" s="12">
        <f> 'Optimal Choice'!$B$27*'Optimal Choice'!$B$28^(M479+1)</f>
        <v>570511905.1</v>
      </c>
    </row>
    <row r="480" ht="15.75" customHeight="1">
      <c r="A480" s="10">
        <f t="shared" si="2"/>
        <v>561.2030505</v>
      </c>
      <c r="B480" s="6">
        <f>(I480*'Optimal Choice'!$B$6+J480*'Optimal Choice'!$B$11+K480*'Optimal Choice'!$B$16+L480*'Optimal Choice'!$B$21+M480*'Optimal Choice'!$B$26)*'Optimal Choice'!$B$30</f>
        <v>197923.9</v>
      </c>
      <c r="C480" s="10">
        <f>(O480/$B480)+(O480/'Optimal Choice'!$B$6)</f>
        <v>253497.2012</v>
      </c>
      <c r="D480" s="10">
        <f>(P480/$B480)+(P480/'Optimal Choice'!$B$11)</f>
        <v>284700.3798</v>
      </c>
      <c r="E480" s="10">
        <f>(Q480/$B480)+(Q480/'Optimal Choice'!$B$16)</f>
        <v>250478.6305</v>
      </c>
      <c r="F480" s="10">
        <f>(R480/$B480)+(R480/'Optimal Choice'!$B$21)</f>
        <v>259993.3015</v>
      </c>
      <c r="G480" s="10">
        <f>(S480/$B480)+(S480/'Optimal Choice'!$B$26)</f>
        <v>267008.3631</v>
      </c>
      <c r="I480" s="11">
        <f t="shared" ref="I480:M480" si="479">if(min($C479:$G479)=C479,I479+1,I479)</f>
        <v>170</v>
      </c>
      <c r="J480" s="11">
        <f t="shared" si="479"/>
        <v>81</v>
      </c>
      <c r="K480" s="11">
        <f t="shared" si="479"/>
        <v>78</v>
      </c>
      <c r="L480" s="11">
        <f t="shared" si="479"/>
        <v>75</v>
      </c>
      <c r="M480" s="11">
        <f t="shared" si="479"/>
        <v>75</v>
      </c>
      <c r="O480" s="12">
        <f> 'Optimal Choice'!$B$7*'Optimal Choice'!$B$8^(I480+1)</f>
        <v>423336.754</v>
      </c>
      <c r="P480" s="12">
        <f> 'Optimal Choice'!$B$12*'Optimal Choice'!$B$13^(J480+1)</f>
        <v>5693432.281</v>
      </c>
      <c r="Q480" s="12">
        <f> 'Optimal Choice'!$B$17*'Optimal Choice'!$B$18^(K480+1)</f>
        <v>22532830.62</v>
      </c>
      <c r="R480" s="12">
        <f> 'Optimal Choice'!$B$22*'Optimal Choice'!$B$23^(L480+1)</f>
        <v>93427654.76</v>
      </c>
      <c r="S480" s="12">
        <f> 'Optimal Choice'!$B$27*'Optimal Choice'!$B$28^(M480+1)</f>
        <v>570511905.1</v>
      </c>
    </row>
    <row r="481" ht="15.75" customHeight="1">
      <c r="A481" s="10">
        <f t="shared" si="2"/>
        <v>563.1004827</v>
      </c>
      <c r="B481" s="6">
        <f>(I481*'Optimal Choice'!$B$6+J481*'Optimal Choice'!$B$11+K481*'Optimal Choice'!$B$16+L481*'Optimal Choice'!$B$21+M481*'Optimal Choice'!$B$26)*'Optimal Choice'!$B$30</f>
        <v>198013.9</v>
      </c>
      <c r="C481" s="10">
        <f>(O481/$B481)+(O481/'Optimal Choice'!$B$6)</f>
        <v>253497.2002</v>
      </c>
      <c r="D481" s="10">
        <f>(P481/$B481)+(P481/'Optimal Choice'!$B$11)</f>
        <v>284700.3667</v>
      </c>
      <c r="E481" s="10">
        <f>(Q481/$B481)+(Q481/'Optimal Choice'!$B$16)</f>
        <v>285545.5798</v>
      </c>
      <c r="F481" s="10">
        <f>(R481/$B481)+(R481/'Optimal Choice'!$B$21)</f>
        <v>259993.0869</v>
      </c>
      <c r="G481" s="10">
        <f>(S481/$B481)+(S481/'Optimal Choice'!$B$26)</f>
        <v>267007.053</v>
      </c>
      <c r="I481" s="11">
        <f t="shared" ref="I481:M481" si="480">if(min($C480:$G480)=C480,I480+1,I480)</f>
        <v>170</v>
      </c>
      <c r="J481" s="11">
        <f t="shared" si="480"/>
        <v>81</v>
      </c>
      <c r="K481" s="11">
        <f t="shared" si="480"/>
        <v>79</v>
      </c>
      <c r="L481" s="11">
        <f t="shared" si="480"/>
        <v>75</v>
      </c>
      <c r="M481" s="11">
        <f t="shared" si="480"/>
        <v>75</v>
      </c>
      <c r="O481" s="12">
        <f> 'Optimal Choice'!$B$7*'Optimal Choice'!$B$8^(I481+1)</f>
        <v>423336.754</v>
      </c>
      <c r="P481" s="12">
        <f> 'Optimal Choice'!$B$12*'Optimal Choice'!$B$13^(J481+1)</f>
        <v>5693432.281</v>
      </c>
      <c r="Q481" s="12">
        <f> 'Optimal Choice'!$B$17*'Optimal Choice'!$B$18^(K481+1)</f>
        <v>25687426.9</v>
      </c>
      <c r="R481" s="12">
        <f> 'Optimal Choice'!$B$22*'Optimal Choice'!$B$23^(L481+1)</f>
        <v>93427654.76</v>
      </c>
      <c r="S481" s="12">
        <f> 'Optimal Choice'!$B$27*'Optimal Choice'!$B$28^(M481+1)</f>
        <v>570511905.1</v>
      </c>
    </row>
    <row r="482" ht="15.75" customHeight="1">
      <c r="A482" s="10">
        <f t="shared" si="2"/>
        <v>563.1361146</v>
      </c>
      <c r="B482" s="6">
        <f>(I482*'Optimal Choice'!$B$6+J482*'Optimal Choice'!$B$11+K482*'Optimal Choice'!$B$16+L482*'Optimal Choice'!$B$21+M482*'Optimal Choice'!$B$26)*'Optimal Choice'!$B$30</f>
        <v>198015.57</v>
      </c>
      <c r="C482" s="10">
        <f>(O482/$B482)+(O482/'Optimal Choice'!$B$6)</f>
        <v>271242.0042</v>
      </c>
      <c r="D482" s="10">
        <f>(P482/$B482)+(P482/'Optimal Choice'!$B$11)</f>
        <v>284700.3665</v>
      </c>
      <c r="E482" s="10">
        <f>(Q482/$B482)+(Q482/'Optimal Choice'!$B$16)</f>
        <v>285545.5787</v>
      </c>
      <c r="F482" s="10">
        <f>(R482/$B482)+(R482/'Optimal Choice'!$B$21)</f>
        <v>259993.083</v>
      </c>
      <c r="G482" s="10">
        <f>(S482/$B482)+(S482/'Optimal Choice'!$B$26)</f>
        <v>267007.0287</v>
      </c>
      <c r="I482" s="11">
        <f t="shared" ref="I482:M482" si="481">if(min($C481:$G481)=C481,I481+1,I481)</f>
        <v>171</v>
      </c>
      <c r="J482" s="11">
        <f t="shared" si="481"/>
        <v>81</v>
      </c>
      <c r="K482" s="11">
        <f t="shared" si="481"/>
        <v>79</v>
      </c>
      <c r="L482" s="11">
        <f t="shared" si="481"/>
        <v>75</v>
      </c>
      <c r="M482" s="11">
        <f t="shared" si="481"/>
        <v>75</v>
      </c>
      <c r="O482" s="12">
        <f> 'Optimal Choice'!$B$7*'Optimal Choice'!$B$8^(I482+1)</f>
        <v>452970.3268</v>
      </c>
      <c r="P482" s="12">
        <f> 'Optimal Choice'!$B$12*'Optimal Choice'!$B$13^(J482+1)</f>
        <v>5693432.281</v>
      </c>
      <c r="Q482" s="12">
        <f> 'Optimal Choice'!$B$17*'Optimal Choice'!$B$18^(K482+1)</f>
        <v>25687426.9</v>
      </c>
      <c r="R482" s="12">
        <f> 'Optimal Choice'!$B$22*'Optimal Choice'!$B$23^(L482+1)</f>
        <v>93427654.76</v>
      </c>
      <c r="S482" s="12">
        <f> 'Optimal Choice'!$B$27*'Optimal Choice'!$B$28^(M482+1)</f>
        <v>570511905.1</v>
      </c>
    </row>
    <row r="483" ht="15.75" customHeight="1">
      <c r="A483" s="10">
        <f t="shared" si="2"/>
        <v>570.9997769</v>
      </c>
      <c r="B483" s="6">
        <f>(I483*'Optimal Choice'!$B$6+J483*'Optimal Choice'!$B$11+K483*'Optimal Choice'!$B$16+L483*'Optimal Choice'!$B$21+M483*'Optimal Choice'!$B$26)*'Optimal Choice'!$B$30</f>
        <v>198375.57</v>
      </c>
      <c r="C483" s="10">
        <f>(O483/$B483)+(O483/'Optimal Choice'!$B$6)</f>
        <v>271242.0001</v>
      </c>
      <c r="D483" s="10">
        <f>(P483/$B483)+(P483/'Optimal Choice'!$B$11)</f>
        <v>284700.3143</v>
      </c>
      <c r="E483" s="10">
        <f>(Q483/$B483)+(Q483/'Optimal Choice'!$B$16)</f>
        <v>285545.3433</v>
      </c>
      <c r="F483" s="10">
        <f>(R483/$B483)+(R483/'Optimal Choice'!$B$21)</f>
        <v>293791.2162</v>
      </c>
      <c r="G483" s="10">
        <f>(S483/$B483)+(S483/'Optimal Choice'!$B$26)</f>
        <v>267001.8002</v>
      </c>
      <c r="I483" s="11">
        <f t="shared" ref="I483:M483" si="482">if(min($C482:$G482)=C482,I482+1,I482)</f>
        <v>171</v>
      </c>
      <c r="J483" s="11">
        <f t="shared" si="482"/>
        <v>81</v>
      </c>
      <c r="K483" s="11">
        <f t="shared" si="482"/>
        <v>79</v>
      </c>
      <c r="L483" s="11">
        <f t="shared" si="482"/>
        <v>76</v>
      </c>
      <c r="M483" s="11">
        <f t="shared" si="482"/>
        <v>75</v>
      </c>
      <c r="O483" s="12">
        <f> 'Optimal Choice'!$B$7*'Optimal Choice'!$B$8^(I483+1)</f>
        <v>452970.3268</v>
      </c>
      <c r="P483" s="12">
        <f> 'Optimal Choice'!$B$12*'Optimal Choice'!$B$13^(J483+1)</f>
        <v>5693432.281</v>
      </c>
      <c r="Q483" s="12">
        <f> 'Optimal Choice'!$B$17*'Optimal Choice'!$B$18^(K483+1)</f>
        <v>25687426.9</v>
      </c>
      <c r="R483" s="12">
        <f> 'Optimal Choice'!$B$22*'Optimal Choice'!$B$23^(L483+1)</f>
        <v>105573249.9</v>
      </c>
      <c r="S483" s="12">
        <f> 'Optimal Choice'!$B$27*'Optimal Choice'!$B$28^(M483+1)</f>
        <v>570511905.1</v>
      </c>
    </row>
    <row r="484" ht="15.75" customHeight="1">
      <c r="A484" s="10">
        <f t="shared" si="2"/>
        <v>618.9317463</v>
      </c>
      <c r="B484" s="6">
        <f>(I484*'Optimal Choice'!$B$6+J484*'Optimal Choice'!$B$11+K484*'Optimal Choice'!$B$16+L484*'Optimal Choice'!$B$21+M484*'Optimal Choice'!$B$26)*'Optimal Choice'!$B$30</f>
        <v>200535.57</v>
      </c>
      <c r="C484" s="10">
        <f>(O484/$B484)+(O484/'Optimal Choice'!$B$6)</f>
        <v>271241.9755</v>
      </c>
      <c r="D484" s="10">
        <f>(P484/$B484)+(P484/'Optimal Choice'!$B$11)</f>
        <v>284700.0052</v>
      </c>
      <c r="E484" s="10">
        <f>(Q484/$B484)+(Q484/'Optimal Choice'!$B$16)</f>
        <v>285543.9486</v>
      </c>
      <c r="F484" s="10">
        <f>(R484/$B484)+(R484/'Optimal Choice'!$B$21)</f>
        <v>293785.4839</v>
      </c>
      <c r="G484" s="10">
        <f>(S484/$B484)+(S484/'Optimal Choice'!$B$26)</f>
        <v>299007.322</v>
      </c>
      <c r="I484" s="11">
        <f t="shared" ref="I484:M484" si="483">if(min($C483:$G483)=C483,I483+1,I483)</f>
        <v>171</v>
      </c>
      <c r="J484" s="11">
        <f t="shared" si="483"/>
        <v>81</v>
      </c>
      <c r="K484" s="11">
        <f t="shared" si="483"/>
        <v>79</v>
      </c>
      <c r="L484" s="11">
        <f t="shared" si="483"/>
        <v>76</v>
      </c>
      <c r="M484" s="11">
        <f t="shared" si="483"/>
        <v>76</v>
      </c>
      <c r="O484" s="12">
        <f> 'Optimal Choice'!$B$7*'Optimal Choice'!$B$8^(I484+1)</f>
        <v>452970.3268</v>
      </c>
      <c r="P484" s="12">
        <f> 'Optimal Choice'!$B$12*'Optimal Choice'!$B$13^(J484+1)</f>
        <v>5693432.281</v>
      </c>
      <c r="Q484" s="12">
        <f> 'Optimal Choice'!$B$17*'Optimal Choice'!$B$18^(K484+1)</f>
        <v>25687426.9</v>
      </c>
      <c r="R484" s="12">
        <f> 'Optimal Choice'!$B$22*'Optimal Choice'!$B$23^(L484+1)</f>
        <v>105573249.9</v>
      </c>
      <c r="S484" s="12">
        <f> 'Optimal Choice'!$B$27*'Optimal Choice'!$B$28^(M484+1)</f>
        <v>638973333.7</v>
      </c>
    </row>
    <row r="485" ht="15.75" customHeight="1">
      <c r="A485" s="10">
        <f t="shared" si="2"/>
        <v>618.969393</v>
      </c>
      <c r="B485" s="6">
        <f>(I485*'Optimal Choice'!$B$6+J485*'Optimal Choice'!$B$11+K485*'Optimal Choice'!$B$16+L485*'Optimal Choice'!$B$21+M485*'Optimal Choice'!$B$26)*'Optimal Choice'!$B$30</f>
        <v>200537.24</v>
      </c>
      <c r="C485" s="10">
        <f>(O485/$B485)+(O485/'Optimal Choice'!$B$6)</f>
        <v>290228.9137</v>
      </c>
      <c r="D485" s="10">
        <f>(P485/$B485)+(P485/'Optimal Choice'!$B$11)</f>
        <v>284700.0049</v>
      </c>
      <c r="E485" s="10">
        <f>(Q485/$B485)+(Q485/'Optimal Choice'!$B$16)</f>
        <v>285543.9475</v>
      </c>
      <c r="F485" s="10">
        <f>(R485/$B485)+(R485/'Optimal Choice'!$B$21)</f>
        <v>293785.4795</v>
      </c>
      <c r="G485" s="10">
        <f>(S485/$B485)+(S485/'Optimal Choice'!$B$26)</f>
        <v>299007.2954</v>
      </c>
      <c r="I485" s="11">
        <f t="shared" ref="I485:M485" si="484">if(min($C484:$G484)=C484,I484+1,I484)</f>
        <v>172</v>
      </c>
      <c r="J485" s="11">
        <f t="shared" si="484"/>
        <v>81</v>
      </c>
      <c r="K485" s="11">
        <f t="shared" si="484"/>
        <v>79</v>
      </c>
      <c r="L485" s="11">
        <f t="shared" si="484"/>
        <v>76</v>
      </c>
      <c r="M485" s="11">
        <f t="shared" si="484"/>
        <v>76</v>
      </c>
      <c r="O485" s="12">
        <f> 'Optimal Choice'!$B$7*'Optimal Choice'!$B$8^(I485+1)</f>
        <v>484678.2497</v>
      </c>
      <c r="P485" s="12">
        <f> 'Optimal Choice'!$B$12*'Optimal Choice'!$B$13^(J485+1)</f>
        <v>5693432.281</v>
      </c>
      <c r="Q485" s="12">
        <f> 'Optimal Choice'!$B$17*'Optimal Choice'!$B$18^(K485+1)</f>
        <v>25687426.9</v>
      </c>
      <c r="R485" s="12">
        <f> 'Optimal Choice'!$B$22*'Optimal Choice'!$B$23^(L485+1)</f>
        <v>105573249.9</v>
      </c>
      <c r="S485" s="12">
        <f> 'Optimal Choice'!$B$27*'Optimal Choice'!$B$28^(M485+1)</f>
        <v>638973333.7</v>
      </c>
    </row>
    <row r="486" ht="15.75" customHeight="1">
      <c r="A486" s="10">
        <f t="shared" si="2"/>
        <v>619.4425747</v>
      </c>
      <c r="B486" s="6">
        <f>(I486*'Optimal Choice'!$B$6+J486*'Optimal Choice'!$B$11+K486*'Optimal Choice'!$B$16+L486*'Optimal Choice'!$B$21+M486*'Optimal Choice'!$B$26)*'Optimal Choice'!$B$30</f>
        <v>200557.24</v>
      </c>
      <c r="C486" s="10">
        <f>(O486/$B486)+(O486/'Optimal Choice'!$B$6)</f>
        <v>290228.9135</v>
      </c>
      <c r="D486" s="10">
        <f>(P486/$B486)+(P486/'Optimal Choice'!$B$11)</f>
        <v>327405.0024</v>
      </c>
      <c r="E486" s="10">
        <f>(Q486/$B486)+(Q486/'Optimal Choice'!$B$16)</f>
        <v>285543.9347</v>
      </c>
      <c r="F486" s="10">
        <f>(R486/$B486)+(R486/'Optimal Choice'!$B$21)</f>
        <v>293785.427</v>
      </c>
      <c r="G486" s="10">
        <f>(S486/$B486)+(S486/'Optimal Choice'!$B$26)</f>
        <v>299006.9777</v>
      </c>
      <c r="I486" s="11">
        <f t="shared" ref="I486:M486" si="485">if(min($C485:$G485)=C485,I485+1,I485)</f>
        <v>172</v>
      </c>
      <c r="J486" s="11">
        <f t="shared" si="485"/>
        <v>82</v>
      </c>
      <c r="K486" s="11">
        <f t="shared" si="485"/>
        <v>79</v>
      </c>
      <c r="L486" s="11">
        <f t="shared" si="485"/>
        <v>76</v>
      </c>
      <c r="M486" s="11">
        <f t="shared" si="485"/>
        <v>76</v>
      </c>
      <c r="O486" s="12">
        <f> 'Optimal Choice'!$B$7*'Optimal Choice'!$B$8^(I486+1)</f>
        <v>484678.2497</v>
      </c>
      <c r="P486" s="12">
        <f> 'Optimal Choice'!$B$12*'Optimal Choice'!$B$13^(J486+1)</f>
        <v>6547447.123</v>
      </c>
      <c r="Q486" s="12">
        <f> 'Optimal Choice'!$B$17*'Optimal Choice'!$B$18^(K486+1)</f>
        <v>25687426.9</v>
      </c>
      <c r="R486" s="12">
        <f> 'Optimal Choice'!$B$22*'Optimal Choice'!$B$23^(L486+1)</f>
        <v>105573249.9</v>
      </c>
      <c r="S486" s="12">
        <f> 'Optimal Choice'!$B$27*'Optimal Choice'!$B$28^(M486+1)</f>
        <v>638973333.7</v>
      </c>
    </row>
    <row r="487" ht="15.75" customHeight="1">
      <c r="A487" s="10">
        <f t="shared" si="2"/>
        <v>621.577246</v>
      </c>
      <c r="B487" s="6">
        <f>(I487*'Optimal Choice'!$B$6+J487*'Optimal Choice'!$B$11+K487*'Optimal Choice'!$B$16+L487*'Optimal Choice'!$B$21+M487*'Optimal Choice'!$B$26)*'Optimal Choice'!$B$30</f>
        <v>200647.24</v>
      </c>
      <c r="C487" s="10">
        <f>(O487/$B487)+(O487/'Optimal Choice'!$B$6)</f>
        <v>290228.9124</v>
      </c>
      <c r="D487" s="10">
        <f>(P487/$B487)+(P487/'Optimal Choice'!$B$11)</f>
        <v>327404.9878</v>
      </c>
      <c r="E487" s="10">
        <f>(Q487/$B487)+(Q487/'Optimal Choice'!$B$16)</f>
        <v>325520.0201</v>
      </c>
      <c r="F487" s="10">
        <f>(R487/$B487)+(R487/'Optimal Choice'!$B$21)</f>
        <v>293785.1909</v>
      </c>
      <c r="G487" s="10">
        <f>(S487/$B487)+(S487/'Optimal Choice'!$B$26)</f>
        <v>299005.5486</v>
      </c>
      <c r="I487" s="11">
        <f t="shared" ref="I487:M487" si="486">if(min($C486:$G486)=C486,I486+1,I486)</f>
        <v>172</v>
      </c>
      <c r="J487" s="11">
        <f t="shared" si="486"/>
        <v>82</v>
      </c>
      <c r="K487" s="11">
        <f t="shared" si="486"/>
        <v>80</v>
      </c>
      <c r="L487" s="11">
        <f t="shared" si="486"/>
        <v>76</v>
      </c>
      <c r="M487" s="11">
        <f t="shared" si="486"/>
        <v>76</v>
      </c>
      <c r="O487" s="12">
        <f> 'Optimal Choice'!$B$7*'Optimal Choice'!$B$8^(I487+1)</f>
        <v>484678.2497</v>
      </c>
      <c r="P487" s="12">
        <f> 'Optimal Choice'!$B$12*'Optimal Choice'!$B$13^(J487+1)</f>
        <v>6547447.123</v>
      </c>
      <c r="Q487" s="12">
        <f> 'Optimal Choice'!$B$17*'Optimal Choice'!$B$18^(K487+1)</f>
        <v>29283666.67</v>
      </c>
      <c r="R487" s="12">
        <f> 'Optimal Choice'!$B$22*'Optimal Choice'!$B$23^(L487+1)</f>
        <v>105573249.9</v>
      </c>
      <c r="S487" s="12">
        <f> 'Optimal Choice'!$B$27*'Optimal Choice'!$B$28^(M487+1)</f>
        <v>638973333.7</v>
      </c>
    </row>
    <row r="488" ht="15.75" customHeight="1">
      <c r="A488" s="10">
        <f t="shared" si="2"/>
        <v>621.6175055</v>
      </c>
      <c r="B488" s="6">
        <f>(I488*'Optimal Choice'!$B$6+J488*'Optimal Choice'!$B$11+K488*'Optimal Choice'!$B$16+L488*'Optimal Choice'!$B$21+M488*'Optimal Choice'!$B$26)*'Optimal Choice'!$B$30</f>
        <v>200648.91</v>
      </c>
      <c r="C488" s="10">
        <f>(O488/$B488)+(O488/'Optimal Choice'!$B$6)</f>
        <v>310544.9362</v>
      </c>
      <c r="D488" s="10">
        <f>(P488/$B488)+(P488/'Optimal Choice'!$B$11)</f>
        <v>327404.9875</v>
      </c>
      <c r="E488" s="10">
        <f>(Q488/$B488)+(Q488/'Optimal Choice'!$B$16)</f>
        <v>325520.0189</v>
      </c>
      <c r="F488" s="10">
        <f>(R488/$B488)+(R488/'Optimal Choice'!$B$21)</f>
        <v>293785.1865</v>
      </c>
      <c r="G488" s="10">
        <f>(S488/$B488)+(S488/'Optimal Choice'!$B$26)</f>
        <v>299005.5221</v>
      </c>
      <c r="I488" s="11">
        <f t="shared" ref="I488:M488" si="487">if(min($C487:$G487)=C487,I487+1,I487)</f>
        <v>173</v>
      </c>
      <c r="J488" s="11">
        <f t="shared" si="487"/>
        <v>82</v>
      </c>
      <c r="K488" s="11">
        <f t="shared" si="487"/>
        <v>80</v>
      </c>
      <c r="L488" s="11">
        <f t="shared" si="487"/>
        <v>76</v>
      </c>
      <c r="M488" s="11">
        <f t="shared" si="487"/>
        <v>76</v>
      </c>
      <c r="O488" s="12">
        <f> 'Optimal Choice'!$B$7*'Optimal Choice'!$B$8^(I488+1)</f>
        <v>518605.7272</v>
      </c>
      <c r="P488" s="12">
        <f> 'Optimal Choice'!$B$12*'Optimal Choice'!$B$13^(J488+1)</f>
        <v>6547447.123</v>
      </c>
      <c r="Q488" s="12">
        <f> 'Optimal Choice'!$B$17*'Optimal Choice'!$B$18^(K488+1)</f>
        <v>29283666.67</v>
      </c>
      <c r="R488" s="12">
        <f> 'Optimal Choice'!$B$22*'Optimal Choice'!$B$23^(L488+1)</f>
        <v>105573249.9</v>
      </c>
      <c r="S488" s="12">
        <f> 'Optimal Choice'!$B$27*'Optimal Choice'!$B$28^(M488+1)</f>
        <v>638973333.7</v>
      </c>
    </row>
    <row r="489" ht="15.75" customHeight="1">
      <c r="A489" s="10">
        <f t="shared" si="2"/>
        <v>630.3868239</v>
      </c>
      <c r="B489" s="6">
        <f>(I489*'Optimal Choice'!$B$6+J489*'Optimal Choice'!$B$11+K489*'Optimal Choice'!$B$16+L489*'Optimal Choice'!$B$21+M489*'Optimal Choice'!$B$26)*'Optimal Choice'!$B$30</f>
        <v>201008.91</v>
      </c>
      <c r="C489" s="10">
        <f>(O489/$B489)+(O489/'Optimal Choice'!$B$6)</f>
        <v>310544.9316</v>
      </c>
      <c r="D489" s="10">
        <f>(P489/$B489)+(P489/'Optimal Choice'!$B$11)</f>
        <v>327404.929</v>
      </c>
      <c r="E489" s="10">
        <f>(Q489/$B489)+(Q489/'Optimal Choice'!$B$16)</f>
        <v>325519.7575</v>
      </c>
      <c r="F489" s="10">
        <f>(R489/$B489)+(R489/'Optimal Choice'!$B$21)</f>
        <v>331976.1959</v>
      </c>
      <c r="G489" s="10">
        <f>(S489/$B489)+(S489/'Optimal Choice'!$B$26)</f>
        <v>298999.8187</v>
      </c>
      <c r="I489" s="11">
        <f t="shared" ref="I489:M489" si="488">if(min($C488:$G488)=C488,I488+1,I488)</f>
        <v>173</v>
      </c>
      <c r="J489" s="11">
        <f t="shared" si="488"/>
        <v>82</v>
      </c>
      <c r="K489" s="11">
        <f t="shared" si="488"/>
        <v>80</v>
      </c>
      <c r="L489" s="11">
        <f t="shared" si="488"/>
        <v>77</v>
      </c>
      <c r="M489" s="11">
        <f t="shared" si="488"/>
        <v>76</v>
      </c>
      <c r="O489" s="12">
        <f> 'Optimal Choice'!$B$7*'Optimal Choice'!$B$8^(I489+1)</f>
        <v>518605.7272</v>
      </c>
      <c r="P489" s="12">
        <f> 'Optimal Choice'!$B$12*'Optimal Choice'!$B$13^(J489+1)</f>
        <v>6547447.123</v>
      </c>
      <c r="Q489" s="12">
        <f> 'Optimal Choice'!$B$17*'Optimal Choice'!$B$18^(K489+1)</f>
        <v>29283666.67</v>
      </c>
      <c r="R489" s="12">
        <f> 'Optimal Choice'!$B$22*'Optimal Choice'!$B$23^(L489+1)</f>
        <v>119297772.4</v>
      </c>
      <c r="S489" s="12">
        <f> 'Optimal Choice'!$B$27*'Optimal Choice'!$B$28^(M489+1)</f>
        <v>638973333.7</v>
      </c>
    </row>
    <row r="490" ht="15.75" customHeight="1">
      <c r="A490" s="10">
        <f t="shared" si="2"/>
        <v>683.3673388</v>
      </c>
      <c r="B490" s="6">
        <f>(I490*'Optimal Choice'!$B$6+J490*'Optimal Choice'!$B$11+K490*'Optimal Choice'!$B$16+L490*'Optimal Choice'!$B$21+M490*'Optimal Choice'!$B$26)*'Optimal Choice'!$B$30</f>
        <v>203168.91</v>
      </c>
      <c r="C490" s="10">
        <f>(O490/$B490)+(O490/'Optimal Choice'!$B$6)</f>
        <v>310544.9042</v>
      </c>
      <c r="D490" s="10">
        <f>(P490/$B490)+(P490/'Optimal Choice'!$B$11)</f>
        <v>327404.5827</v>
      </c>
      <c r="E490" s="10">
        <f>(Q490/$B490)+(Q490/'Optimal Choice'!$B$16)</f>
        <v>325518.2087</v>
      </c>
      <c r="F490" s="10">
        <f>(R490/$B490)+(R490/'Optimal Choice'!$B$21)</f>
        <v>331969.8862</v>
      </c>
      <c r="G490" s="10">
        <f>(S490/$B490)+(S490/'Optimal Choice'!$B$26)</f>
        <v>334841.9456</v>
      </c>
      <c r="I490" s="11">
        <f t="shared" ref="I490:M490" si="489">if(min($C489:$G489)=C489,I489+1,I489)</f>
        <v>173</v>
      </c>
      <c r="J490" s="11">
        <f t="shared" si="489"/>
        <v>82</v>
      </c>
      <c r="K490" s="11">
        <f t="shared" si="489"/>
        <v>80</v>
      </c>
      <c r="L490" s="11">
        <f t="shared" si="489"/>
        <v>77</v>
      </c>
      <c r="M490" s="11">
        <f t="shared" si="489"/>
        <v>77</v>
      </c>
      <c r="O490" s="12">
        <f> 'Optimal Choice'!$B$7*'Optimal Choice'!$B$8^(I490+1)</f>
        <v>518605.7272</v>
      </c>
      <c r="P490" s="12">
        <f> 'Optimal Choice'!$B$12*'Optimal Choice'!$B$13^(J490+1)</f>
        <v>6547447.123</v>
      </c>
      <c r="Q490" s="12">
        <f> 'Optimal Choice'!$B$17*'Optimal Choice'!$B$18^(K490+1)</f>
        <v>29283666.67</v>
      </c>
      <c r="R490" s="12">
        <f> 'Optimal Choice'!$B$22*'Optimal Choice'!$B$23^(L490+1)</f>
        <v>119297772.4</v>
      </c>
      <c r="S490" s="12">
        <f> 'Optimal Choice'!$B$27*'Optimal Choice'!$B$28^(M490+1)</f>
        <v>715650133.8</v>
      </c>
    </row>
    <row r="491" ht="15.75" customHeight="1">
      <c r="A491" s="10">
        <f t="shared" si="2"/>
        <v>683.4098819</v>
      </c>
      <c r="B491" s="6">
        <f>(I491*'Optimal Choice'!$B$6+J491*'Optimal Choice'!$B$11+K491*'Optimal Choice'!$B$16+L491*'Optimal Choice'!$B$21+M491*'Optimal Choice'!$B$26)*'Optimal Choice'!$B$30</f>
        <v>203170.58</v>
      </c>
      <c r="C491" s="10">
        <f>(O491/$B491)+(O491/'Optimal Choice'!$B$6)</f>
        <v>332283.0475</v>
      </c>
      <c r="D491" s="10">
        <f>(P491/$B491)+(P491/'Optimal Choice'!$B$11)</f>
        <v>327404.5825</v>
      </c>
      <c r="E491" s="10">
        <f>(Q491/$B491)+(Q491/'Optimal Choice'!$B$16)</f>
        <v>325518.2075</v>
      </c>
      <c r="F491" s="10">
        <f>(R491/$B491)+(R491/'Optimal Choice'!$B$21)</f>
        <v>331969.8813</v>
      </c>
      <c r="G491" s="10">
        <f>(S491/$B491)+(S491/'Optimal Choice'!$B$26)</f>
        <v>334841.9166</v>
      </c>
      <c r="I491" s="11">
        <f t="shared" ref="I491:M491" si="490">if(min($C490:$G490)=C490,I490+1,I490)</f>
        <v>174</v>
      </c>
      <c r="J491" s="11">
        <f t="shared" si="490"/>
        <v>82</v>
      </c>
      <c r="K491" s="11">
        <f t="shared" si="490"/>
        <v>80</v>
      </c>
      <c r="L491" s="11">
        <f t="shared" si="490"/>
        <v>77</v>
      </c>
      <c r="M491" s="11">
        <f t="shared" si="490"/>
        <v>77</v>
      </c>
      <c r="O491" s="12">
        <f> 'Optimal Choice'!$B$7*'Optimal Choice'!$B$8^(I491+1)</f>
        <v>554908.1281</v>
      </c>
      <c r="P491" s="12">
        <f> 'Optimal Choice'!$B$12*'Optimal Choice'!$B$13^(J491+1)</f>
        <v>6547447.123</v>
      </c>
      <c r="Q491" s="12">
        <f> 'Optimal Choice'!$B$17*'Optimal Choice'!$B$18^(K491+1)</f>
        <v>29283666.67</v>
      </c>
      <c r="R491" s="12">
        <f> 'Optimal Choice'!$B$22*'Optimal Choice'!$B$23^(L491+1)</f>
        <v>119297772.4</v>
      </c>
      <c r="S491" s="12">
        <f> 'Optimal Choice'!$B$27*'Optimal Choice'!$B$28^(M491+1)</f>
        <v>715650133.8</v>
      </c>
    </row>
    <row r="492" ht="15.75" customHeight="1">
      <c r="A492" s="10">
        <f t="shared" si="2"/>
        <v>685.8121052</v>
      </c>
      <c r="B492" s="6">
        <f>(I492*'Optimal Choice'!$B$6+J492*'Optimal Choice'!$B$11+K492*'Optimal Choice'!$B$16+L492*'Optimal Choice'!$B$21+M492*'Optimal Choice'!$B$26)*'Optimal Choice'!$B$30</f>
        <v>203260.58</v>
      </c>
      <c r="C492" s="10">
        <f>(O492/$B492)+(O492/'Optimal Choice'!$B$6)</f>
        <v>332283.0462</v>
      </c>
      <c r="D492" s="10">
        <f>(P492/$B492)+(P492/'Optimal Choice'!$B$11)</f>
        <v>327404.5682</v>
      </c>
      <c r="E492" s="10">
        <f>(Q492/$B492)+(Q492/'Optimal Choice'!$B$16)</f>
        <v>371090.6838</v>
      </c>
      <c r="F492" s="10">
        <f>(R492/$B492)+(R492/'Optimal Choice'!$B$21)</f>
        <v>331969.6214</v>
      </c>
      <c r="G492" s="10">
        <f>(S492/$B492)+(S492/'Optimal Choice'!$B$26)</f>
        <v>334840.357</v>
      </c>
      <c r="I492" s="11">
        <f t="shared" ref="I492:M492" si="491">if(min($C491:$G491)=C491,I491+1,I491)</f>
        <v>174</v>
      </c>
      <c r="J492" s="11">
        <f t="shared" si="491"/>
        <v>82</v>
      </c>
      <c r="K492" s="11">
        <f t="shared" si="491"/>
        <v>81</v>
      </c>
      <c r="L492" s="11">
        <f t="shared" si="491"/>
        <v>77</v>
      </c>
      <c r="M492" s="11">
        <f t="shared" si="491"/>
        <v>77</v>
      </c>
      <c r="O492" s="12">
        <f> 'Optimal Choice'!$B$7*'Optimal Choice'!$B$8^(I492+1)</f>
        <v>554908.1281</v>
      </c>
      <c r="P492" s="12">
        <f> 'Optimal Choice'!$B$12*'Optimal Choice'!$B$13^(J492+1)</f>
        <v>6547447.123</v>
      </c>
      <c r="Q492" s="12">
        <f> 'Optimal Choice'!$B$17*'Optimal Choice'!$B$18^(K492+1)</f>
        <v>33383380</v>
      </c>
      <c r="R492" s="12">
        <f> 'Optimal Choice'!$B$22*'Optimal Choice'!$B$23^(L492+1)</f>
        <v>119297772.4</v>
      </c>
      <c r="S492" s="12">
        <f> 'Optimal Choice'!$B$27*'Optimal Choice'!$B$28^(M492+1)</f>
        <v>715650133.8</v>
      </c>
    </row>
    <row r="493" ht="15.75" customHeight="1">
      <c r="A493" s="10">
        <f t="shared" si="2"/>
        <v>686.3489733</v>
      </c>
      <c r="B493" s="6">
        <f>(I493*'Optimal Choice'!$B$6+J493*'Optimal Choice'!$B$11+K493*'Optimal Choice'!$B$16+L493*'Optimal Choice'!$B$21+M493*'Optimal Choice'!$B$26)*'Optimal Choice'!$B$30</f>
        <v>203280.58</v>
      </c>
      <c r="C493" s="10">
        <f>(O493/$B493)+(O493/'Optimal Choice'!$B$6)</f>
        <v>332283.046</v>
      </c>
      <c r="D493" s="10">
        <f>(P493/$B493)+(P493/'Optimal Choice'!$B$11)</f>
        <v>376515.2498</v>
      </c>
      <c r="E493" s="10">
        <f>(Q493/$B493)+(Q493/'Optimal Choice'!$B$16)</f>
        <v>371090.6676</v>
      </c>
      <c r="F493" s="10">
        <f>(R493/$B493)+(R493/'Optimal Choice'!$B$21)</f>
        <v>331969.5636</v>
      </c>
      <c r="G493" s="10">
        <f>(S493/$B493)+(S493/'Optimal Choice'!$B$26)</f>
        <v>334840.0106</v>
      </c>
      <c r="I493" s="11">
        <f t="shared" ref="I493:M493" si="492">if(min($C492:$G492)=C492,I492+1,I492)</f>
        <v>174</v>
      </c>
      <c r="J493" s="11">
        <f t="shared" si="492"/>
        <v>83</v>
      </c>
      <c r="K493" s="11">
        <f t="shared" si="492"/>
        <v>81</v>
      </c>
      <c r="L493" s="11">
        <f t="shared" si="492"/>
        <v>77</v>
      </c>
      <c r="M493" s="11">
        <f t="shared" si="492"/>
        <v>77</v>
      </c>
      <c r="O493" s="12">
        <f> 'Optimal Choice'!$B$7*'Optimal Choice'!$B$8^(I493+1)</f>
        <v>554908.1281</v>
      </c>
      <c r="P493" s="12">
        <f> 'Optimal Choice'!$B$12*'Optimal Choice'!$B$13^(J493+1)</f>
        <v>7529564.191</v>
      </c>
      <c r="Q493" s="12">
        <f> 'Optimal Choice'!$B$17*'Optimal Choice'!$B$18^(K493+1)</f>
        <v>33383380</v>
      </c>
      <c r="R493" s="12">
        <f> 'Optimal Choice'!$B$22*'Optimal Choice'!$B$23^(L493+1)</f>
        <v>119297772.4</v>
      </c>
      <c r="S493" s="12">
        <f> 'Optimal Choice'!$B$27*'Optimal Choice'!$B$28^(M493+1)</f>
        <v>715650133.8</v>
      </c>
    </row>
    <row r="494" ht="15.75" customHeight="1">
      <c r="A494" s="10">
        <f t="shared" si="2"/>
        <v>696.1300169</v>
      </c>
      <c r="B494" s="6">
        <f>(I494*'Optimal Choice'!$B$6+J494*'Optimal Choice'!$B$11+K494*'Optimal Choice'!$B$16+L494*'Optimal Choice'!$B$21+M494*'Optimal Choice'!$B$26)*'Optimal Choice'!$B$30</f>
        <v>203640.58</v>
      </c>
      <c r="C494" s="10">
        <f>(O494/$B494)+(O494/'Optimal Choice'!$B$6)</f>
        <v>332283.0412</v>
      </c>
      <c r="D494" s="10">
        <f>(P494/$B494)+(P494/'Optimal Choice'!$B$11)</f>
        <v>376515.1843</v>
      </c>
      <c r="E494" s="10">
        <f>(Q494/$B494)+(Q494/'Optimal Choice'!$B$16)</f>
        <v>371090.3773</v>
      </c>
      <c r="F494" s="10">
        <f>(R494/$B494)+(R494/'Optimal Choice'!$B$21)</f>
        <v>375124.4345</v>
      </c>
      <c r="G494" s="10">
        <f>(S494/$B494)+(S494/'Optimal Choice'!$B$26)</f>
        <v>334833.787</v>
      </c>
      <c r="I494" s="11">
        <f t="shared" ref="I494:M494" si="493">if(min($C493:$G493)=C493,I493+1,I493)</f>
        <v>174</v>
      </c>
      <c r="J494" s="11">
        <f t="shared" si="493"/>
        <v>83</v>
      </c>
      <c r="K494" s="11">
        <f t="shared" si="493"/>
        <v>81</v>
      </c>
      <c r="L494" s="11">
        <f t="shared" si="493"/>
        <v>78</v>
      </c>
      <c r="M494" s="11">
        <f t="shared" si="493"/>
        <v>77</v>
      </c>
      <c r="O494" s="12">
        <f> 'Optimal Choice'!$B$7*'Optimal Choice'!$B$8^(I494+1)</f>
        <v>554908.1281</v>
      </c>
      <c r="P494" s="12">
        <f> 'Optimal Choice'!$B$12*'Optimal Choice'!$B$13^(J494+1)</f>
        <v>7529564.191</v>
      </c>
      <c r="Q494" s="12">
        <f> 'Optimal Choice'!$B$17*'Optimal Choice'!$B$18^(K494+1)</f>
        <v>33383380</v>
      </c>
      <c r="R494" s="12">
        <f> 'Optimal Choice'!$B$22*'Optimal Choice'!$B$23^(L494+1)</f>
        <v>134806482.8</v>
      </c>
      <c r="S494" s="12">
        <f> 'Optimal Choice'!$B$27*'Optimal Choice'!$B$28^(M494+1)</f>
        <v>715650133.8</v>
      </c>
    </row>
    <row r="495" ht="15.75" customHeight="1">
      <c r="A495" s="10">
        <f t="shared" si="2"/>
        <v>696.1754325</v>
      </c>
      <c r="B495" s="6">
        <f>(I495*'Optimal Choice'!$B$6+J495*'Optimal Choice'!$B$11+K495*'Optimal Choice'!$B$16+L495*'Optimal Choice'!$B$21+M495*'Optimal Choice'!$B$26)*'Optimal Choice'!$B$30</f>
        <v>203642.25</v>
      </c>
      <c r="C495" s="10">
        <f>(O495/$B495)+(O495/'Optimal Choice'!$B$6)</f>
        <v>355542.854</v>
      </c>
      <c r="D495" s="10">
        <f>(P495/$B495)+(P495/'Optimal Choice'!$B$11)</f>
        <v>376515.184</v>
      </c>
      <c r="E495" s="10">
        <f>(Q495/$B495)+(Q495/'Optimal Choice'!$B$16)</f>
        <v>371090.376</v>
      </c>
      <c r="F495" s="10">
        <f>(R495/$B495)+(R495/'Optimal Choice'!$B$21)</f>
        <v>375124.4291</v>
      </c>
      <c r="G495" s="10">
        <f>(S495/$B495)+(S495/'Optimal Choice'!$B$26)</f>
        <v>334833.7581</v>
      </c>
      <c r="I495" s="11">
        <f t="shared" ref="I495:M495" si="494">if(min($C494:$G494)=C494,I494+1,I494)</f>
        <v>175</v>
      </c>
      <c r="J495" s="11">
        <f t="shared" si="494"/>
        <v>83</v>
      </c>
      <c r="K495" s="11">
        <f t="shared" si="494"/>
        <v>81</v>
      </c>
      <c r="L495" s="11">
        <f t="shared" si="494"/>
        <v>78</v>
      </c>
      <c r="M495" s="11">
        <f t="shared" si="494"/>
        <v>77</v>
      </c>
      <c r="O495" s="12">
        <f> 'Optimal Choice'!$B$7*'Optimal Choice'!$B$8^(I495+1)</f>
        <v>593751.697</v>
      </c>
      <c r="P495" s="12">
        <f> 'Optimal Choice'!$B$12*'Optimal Choice'!$B$13^(J495+1)</f>
        <v>7529564.191</v>
      </c>
      <c r="Q495" s="12">
        <f> 'Optimal Choice'!$B$17*'Optimal Choice'!$B$18^(K495+1)</f>
        <v>33383380</v>
      </c>
      <c r="R495" s="12">
        <f> 'Optimal Choice'!$B$22*'Optimal Choice'!$B$23^(L495+1)</f>
        <v>134806482.8</v>
      </c>
      <c r="S495" s="12">
        <f> 'Optimal Choice'!$B$27*'Optimal Choice'!$B$28^(M495+1)</f>
        <v>715650133.8</v>
      </c>
    </row>
    <row r="496" ht="15.75" customHeight="1">
      <c r="A496" s="10">
        <f t="shared" si="2"/>
        <v>754.746295</v>
      </c>
      <c r="B496" s="6">
        <f>(I496*'Optimal Choice'!$B$6+J496*'Optimal Choice'!$B$11+K496*'Optimal Choice'!$B$16+L496*'Optimal Choice'!$B$21+M496*'Optimal Choice'!$B$26)*'Optimal Choice'!$B$30</f>
        <v>205802.25</v>
      </c>
      <c r="C496" s="10">
        <f>(O496/$B496)+(O496/'Optimal Choice'!$B$6)</f>
        <v>355542.8234</v>
      </c>
      <c r="D496" s="10">
        <f>(P496/$B496)+(P496/'Optimal Choice'!$B$11)</f>
        <v>376514.796</v>
      </c>
      <c r="E496" s="10">
        <f>(Q496/$B496)+(Q496/'Optimal Choice'!$B$16)</f>
        <v>371088.6554</v>
      </c>
      <c r="F496" s="10">
        <f>(R496/$B496)+(R496/'Optimal Choice'!$B$21)</f>
        <v>375117.4813</v>
      </c>
      <c r="G496" s="10">
        <f>(S496/$B496)+(S496/'Optimal Choice'!$B$26)</f>
        <v>374972.4992</v>
      </c>
      <c r="I496" s="11">
        <f t="shared" ref="I496:M496" si="495">if(min($C495:$G495)=C495,I495+1,I495)</f>
        <v>175</v>
      </c>
      <c r="J496" s="11">
        <f t="shared" si="495"/>
        <v>83</v>
      </c>
      <c r="K496" s="11">
        <f t="shared" si="495"/>
        <v>81</v>
      </c>
      <c r="L496" s="11">
        <f t="shared" si="495"/>
        <v>78</v>
      </c>
      <c r="M496" s="11">
        <f t="shared" si="495"/>
        <v>78</v>
      </c>
      <c r="O496" s="12">
        <f> 'Optimal Choice'!$B$7*'Optimal Choice'!$B$8^(I496+1)</f>
        <v>593751.697</v>
      </c>
      <c r="P496" s="12">
        <f> 'Optimal Choice'!$B$12*'Optimal Choice'!$B$13^(J496+1)</f>
        <v>7529564.191</v>
      </c>
      <c r="Q496" s="12">
        <f> 'Optimal Choice'!$B$17*'Optimal Choice'!$B$18^(K496+1)</f>
        <v>33383380</v>
      </c>
      <c r="R496" s="12">
        <f> 'Optimal Choice'!$B$22*'Optimal Choice'!$B$23^(L496+1)</f>
        <v>134806482.8</v>
      </c>
      <c r="S496" s="12">
        <f> 'Optimal Choice'!$B$27*'Optimal Choice'!$B$28^(M496+1)</f>
        <v>801528149.8</v>
      </c>
    </row>
    <row r="497" ht="15.75" customHeight="1">
      <c r="A497" s="10">
        <f t="shared" si="2"/>
        <v>754.7943794</v>
      </c>
      <c r="B497" s="6">
        <f>(I497*'Optimal Choice'!$B$6+J497*'Optimal Choice'!$B$11+K497*'Optimal Choice'!$B$16+L497*'Optimal Choice'!$B$21+M497*'Optimal Choice'!$B$26)*'Optimal Choice'!$B$30</f>
        <v>205803.92</v>
      </c>
      <c r="C497" s="10">
        <f>(O497/$B497)+(O497/'Optimal Choice'!$B$6)</f>
        <v>380430.821</v>
      </c>
      <c r="D497" s="10">
        <f>(P497/$B497)+(P497/'Optimal Choice'!$B$11)</f>
        <v>376514.7957</v>
      </c>
      <c r="E497" s="10">
        <f>(Q497/$B497)+(Q497/'Optimal Choice'!$B$16)</f>
        <v>371088.6541</v>
      </c>
      <c r="F497" s="10">
        <f>(R497/$B497)+(R497/'Optimal Choice'!$B$21)</f>
        <v>375117.476</v>
      </c>
      <c r="G497" s="10">
        <f>(S497/$B497)+(S497/'Optimal Choice'!$B$26)</f>
        <v>374972.4676</v>
      </c>
      <c r="I497" s="11">
        <f t="shared" ref="I497:M497" si="496">if(min($C496:$G496)=C496,I496+1,I496)</f>
        <v>176</v>
      </c>
      <c r="J497" s="11">
        <f t="shared" si="496"/>
        <v>83</v>
      </c>
      <c r="K497" s="11">
        <f t="shared" si="496"/>
        <v>81</v>
      </c>
      <c r="L497" s="11">
        <f t="shared" si="496"/>
        <v>78</v>
      </c>
      <c r="M497" s="11">
        <f t="shared" si="496"/>
        <v>78</v>
      </c>
      <c r="O497" s="12">
        <f> 'Optimal Choice'!$B$7*'Optimal Choice'!$B$8^(I497+1)</f>
        <v>635314.3158</v>
      </c>
      <c r="P497" s="12">
        <f> 'Optimal Choice'!$B$12*'Optimal Choice'!$B$13^(J497+1)</f>
        <v>7529564.191</v>
      </c>
      <c r="Q497" s="12">
        <f> 'Optimal Choice'!$B$17*'Optimal Choice'!$B$18^(K497+1)</f>
        <v>33383380</v>
      </c>
      <c r="R497" s="12">
        <f> 'Optimal Choice'!$B$22*'Optimal Choice'!$B$23^(L497+1)</f>
        <v>134806482.8</v>
      </c>
      <c r="S497" s="12">
        <f> 'Optimal Choice'!$B$27*'Optimal Choice'!$B$28^(M497+1)</f>
        <v>801528149.8</v>
      </c>
    </row>
    <row r="498" ht="15.75" customHeight="1">
      <c r="A498" s="10">
        <f t="shared" si="2"/>
        <v>757.4978734</v>
      </c>
      <c r="B498" s="6">
        <f>(I498*'Optimal Choice'!$B$6+J498*'Optimal Choice'!$B$11+K498*'Optimal Choice'!$B$16+L498*'Optimal Choice'!$B$21+M498*'Optimal Choice'!$B$26)*'Optimal Choice'!$B$30</f>
        <v>205893.92</v>
      </c>
      <c r="C498" s="10">
        <f>(O498/$B498)+(O498/'Optimal Choice'!$B$6)</f>
        <v>380430.8197</v>
      </c>
      <c r="D498" s="10">
        <f>(P498/$B498)+(P498/'Optimal Choice'!$B$11)</f>
        <v>376514.7797</v>
      </c>
      <c r="E498" s="10">
        <f>(Q498/$B498)+(Q498/'Optimal Choice'!$B$16)</f>
        <v>423040.9848</v>
      </c>
      <c r="F498" s="10">
        <f>(R498/$B498)+(R498/'Optimal Choice'!$B$21)</f>
        <v>375117.1897</v>
      </c>
      <c r="G498" s="10">
        <f>(S498/$B498)+(S498/'Optimal Choice'!$B$26)</f>
        <v>374970.7652</v>
      </c>
      <c r="I498" s="11">
        <f t="shared" ref="I498:M498" si="497">if(min($C497:$G497)=C497,I497+1,I497)</f>
        <v>176</v>
      </c>
      <c r="J498" s="11">
        <f t="shared" si="497"/>
        <v>83</v>
      </c>
      <c r="K498" s="11">
        <f t="shared" si="497"/>
        <v>82</v>
      </c>
      <c r="L498" s="11">
        <f t="shared" si="497"/>
        <v>78</v>
      </c>
      <c r="M498" s="11">
        <f t="shared" si="497"/>
        <v>78</v>
      </c>
      <c r="O498" s="12">
        <f> 'Optimal Choice'!$B$7*'Optimal Choice'!$B$8^(I498+1)</f>
        <v>635314.3158</v>
      </c>
      <c r="P498" s="12">
        <f> 'Optimal Choice'!$B$12*'Optimal Choice'!$B$13^(J498+1)</f>
        <v>7529564.191</v>
      </c>
      <c r="Q498" s="12">
        <f> 'Optimal Choice'!$B$17*'Optimal Choice'!$B$18^(K498+1)</f>
        <v>38057053.2</v>
      </c>
      <c r="R498" s="12">
        <f> 'Optimal Choice'!$B$22*'Optimal Choice'!$B$23^(L498+1)</f>
        <v>134806482.8</v>
      </c>
      <c r="S498" s="12">
        <f> 'Optimal Choice'!$B$27*'Optimal Choice'!$B$28^(M498+1)</f>
        <v>801528149.8</v>
      </c>
    </row>
    <row r="499" ht="15.75" customHeight="1">
      <c r="A499" s="10">
        <f t="shared" si="2"/>
        <v>822.3798403</v>
      </c>
      <c r="B499" s="6">
        <f>(I499*'Optimal Choice'!$B$6+J499*'Optimal Choice'!$B$11+K499*'Optimal Choice'!$B$16+L499*'Optimal Choice'!$B$21+M499*'Optimal Choice'!$B$26)*'Optimal Choice'!$B$30</f>
        <v>208053.92</v>
      </c>
      <c r="C499" s="10">
        <f>(O499/$B499)+(O499/'Optimal Choice'!$B$6)</f>
        <v>380430.7876</v>
      </c>
      <c r="D499" s="10">
        <f>(P499/$B499)+(P499/'Optimal Choice'!$B$11)</f>
        <v>376514.4</v>
      </c>
      <c r="E499" s="10">
        <f>(Q499/$B499)+(Q499/'Optimal Choice'!$B$16)</f>
        <v>423039.0659</v>
      </c>
      <c r="F499" s="10">
        <f>(R499/$B499)+(R499/'Optimal Choice'!$B$21)</f>
        <v>375110.3922</v>
      </c>
      <c r="G499" s="10">
        <f>(S499/$B499)+(S499/'Optimal Choice'!$B$26)</f>
        <v>419921.9911</v>
      </c>
      <c r="I499" s="11">
        <f t="shared" ref="I499:M499" si="498">if(min($C498:$G498)=C498,I498+1,I498)</f>
        <v>176</v>
      </c>
      <c r="J499" s="11">
        <f t="shared" si="498"/>
        <v>83</v>
      </c>
      <c r="K499" s="11">
        <f t="shared" si="498"/>
        <v>82</v>
      </c>
      <c r="L499" s="11">
        <f t="shared" si="498"/>
        <v>78</v>
      </c>
      <c r="M499" s="11">
        <f t="shared" si="498"/>
        <v>79</v>
      </c>
      <c r="O499" s="12">
        <f> 'Optimal Choice'!$B$7*'Optimal Choice'!$B$8^(I499+1)</f>
        <v>635314.3158</v>
      </c>
      <c r="P499" s="12">
        <f> 'Optimal Choice'!$B$12*'Optimal Choice'!$B$13^(J499+1)</f>
        <v>7529564.191</v>
      </c>
      <c r="Q499" s="12">
        <f> 'Optimal Choice'!$B$17*'Optimal Choice'!$B$18^(K499+1)</f>
        <v>38057053.2</v>
      </c>
      <c r="R499" s="12">
        <f> 'Optimal Choice'!$B$22*'Optimal Choice'!$B$23^(L499+1)</f>
        <v>134806482.8</v>
      </c>
      <c r="S499" s="12">
        <f> 'Optimal Choice'!$B$27*'Optimal Choice'!$B$28^(M499+1)</f>
        <v>897711527.8</v>
      </c>
    </row>
    <row r="500" ht="15.75" customHeight="1">
      <c r="A500" s="10">
        <f t="shared" si="2"/>
        <v>833.1788423</v>
      </c>
      <c r="B500" s="6">
        <f>(I500*'Optimal Choice'!$B$6+J500*'Optimal Choice'!$B$11+K500*'Optimal Choice'!$B$16+L500*'Optimal Choice'!$B$21+M500*'Optimal Choice'!$B$26)*'Optimal Choice'!$B$30</f>
        <v>208413.92</v>
      </c>
      <c r="C500" s="10">
        <f>(O500/$B500)+(O500/'Optimal Choice'!$B$6)</f>
        <v>380430.7824</v>
      </c>
      <c r="D500" s="10">
        <f>(P500/$B500)+(P500/'Optimal Choice'!$B$11)</f>
        <v>376514.3375</v>
      </c>
      <c r="E500" s="10">
        <f>(Q500/$B500)+(Q500/'Optimal Choice'!$B$16)</f>
        <v>423038.7499</v>
      </c>
      <c r="F500" s="10">
        <f>(R500/$B500)+(R500/'Optimal Choice'!$B$21)</f>
        <v>423873.4785</v>
      </c>
      <c r="G500" s="10">
        <f>(S500/$B500)+(S500/'Optimal Choice'!$B$26)</f>
        <v>419914.538</v>
      </c>
      <c r="I500" s="11">
        <f t="shared" ref="I500:M500" si="499">if(min($C499:$G499)=C499,I499+1,I499)</f>
        <v>176</v>
      </c>
      <c r="J500" s="11">
        <f t="shared" si="499"/>
        <v>83</v>
      </c>
      <c r="K500" s="11">
        <f t="shared" si="499"/>
        <v>82</v>
      </c>
      <c r="L500" s="11">
        <f t="shared" si="499"/>
        <v>79</v>
      </c>
      <c r="M500" s="11">
        <f t="shared" si="499"/>
        <v>79</v>
      </c>
      <c r="O500" s="12">
        <f> 'Optimal Choice'!$B$7*'Optimal Choice'!$B$8^(I500+1)</f>
        <v>635314.3158</v>
      </c>
      <c r="P500" s="12">
        <f> 'Optimal Choice'!$B$12*'Optimal Choice'!$B$13^(J500+1)</f>
        <v>7529564.191</v>
      </c>
      <c r="Q500" s="12">
        <f> 'Optimal Choice'!$B$17*'Optimal Choice'!$B$18^(K500+1)</f>
        <v>38057053.2</v>
      </c>
      <c r="R500" s="12">
        <f> 'Optimal Choice'!$B$22*'Optimal Choice'!$B$23^(L500+1)</f>
        <v>152331325.5</v>
      </c>
      <c r="S500" s="12">
        <f> 'Optimal Choice'!$B$27*'Optimal Choice'!$B$28^(M500+1)</f>
        <v>897711527.8</v>
      </c>
    </row>
    <row r="501" ht="15.75" customHeight="1">
      <c r="A501" s="10">
        <f t="shared" si="2"/>
        <v>833.7809745</v>
      </c>
      <c r="B501" s="6">
        <f>(I501*'Optimal Choice'!$B$6+J501*'Optimal Choice'!$B$11+K501*'Optimal Choice'!$B$16+L501*'Optimal Choice'!$B$21+M501*'Optimal Choice'!$B$26)*'Optimal Choice'!$B$30</f>
        <v>208433.92</v>
      </c>
      <c r="C501" s="10">
        <f>(O501/$B501)+(O501/'Optimal Choice'!$B$6)</f>
        <v>380430.7821</v>
      </c>
      <c r="D501" s="10">
        <f>(P501/$B501)+(P501/'Optimal Choice'!$B$11)</f>
        <v>432991.4841</v>
      </c>
      <c r="E501" s="10">
        <f>(Q501/$B501)+(Q501/'Optimal Choice'!$B$16)</f>
        <v>423038.7324</v>
      </c>
      <c r="F501" s="10">
        <f>(R501/$B501)+(R501/'Optimal Choice'!$B$21)</f>
        <v>423873.4084</v>
      </c>
      <c r="G501" s="10">
        <f>(S501/$B501)+(S501/'Optimal Choice'!$B$26)</f>
        <v>419914.1247</v>
      </c>
      <c r="I501" s="11">
        <f t="shared" ref="I501:M501" si="500">if(min($C500:$G500)=C500,I500+1,I500)</f>
        <v>176</v>
      </c>
      <c r="J501" s="11">
        <f t="shared" si="500"/>
        <v>84</v>
      </c>
      <c r="K501" s="11">
        <f t="shared" si="500"/>
        <v>82</v>
      </c>
      <c r="L501" s="11">
        <f t="shared" si="500"/>
        <v>79</v>
      </c>
      <c r="M501" s="11">
        <f t="shared" si="500"/>
        <v>79</v>
      </c>
      <c r="O501" s="12">
        <f> 'Optimal Choice'!$B$7*'Optimal Choice'!$B$8^(I501+1)</f>
        <v>635314.3158</v>
      </c>
      <c r="P501" s="12">
        <f> 'Optimal Choice'!$B$12*'Optimal Choice'!$B$13^(J501+1)</f>
        <v>8658998.82</v>
      </c>
      <c r="Q501" s="12">
        <f> 'Optimal Choice'!$B$17*'Optimal Choice'!$B$18^(K501+1)</f>
        <v>38057053.2</v>
      </c>
      <c r="R501" s="12">
        <f> 'Optimal Choice'!$B$22*'Optimal Choice'!$B$23^(L501+1)</f>
        <v>152331325.5</v>
      </c>
      <c r="S501" s="12">
        <f> 'Optimal Choice'!$B$27*'Optimal Choice'!$B$28^(M501+1)</f>
        <v>897711527.8</v>
      </c>
    </row>
    <row r="502" ht="15.75" customHeight="1">
      <c r="A502" s="10">
        <f t="shared" si="2"/>
        <v>833.8317752</v>
      </c>
      <c r="B502" s="6">
        <f>(I502*'Optimal Choice'!$B$6+J502*'Optimal Choice'!$B$11+K502*'Optimal Choice'!$B$16+L502*'Optimal Choice'!$B$21+M502*'Optimal Choice'!$B$26)*'Optimal Choice'!$B$30</f>
        <v>208435.59</v>
      </c>
      <c r="C502" s="10">
        <f>(O502/$B502)+(O502/'Optimal Choice'!$B$6)</f>
        <v>407060.9368</v>
      </c>
      <c r="D502" s="10">
        <f>(P502/$B502)+(P502/'Optimal Choice'!$B$11)</f>
        <v>432991.4838</v>
      </c>
      <c r="E502" s="10">
        <f>(Q502/$B502)+(Q502/'Optimal Choice'!$B$16)</f>
        <v>423038.7309</v>
      </c>
      <c r="F502" s="10">
        <f>(R502/$B502)+(R502/'Optimal Choice'!$B$21)</f>
        <v>423873.4025</v>
      </c>
      <c r="G502" s="10">
        <f>(S502/$B502)+(S502/'Optimal Choice'!$B$26)</f>
        <v>419914.0902</v>
      </c>
      <c r="I502" s="11">
        <f t="shared" ref="I502:M502" si="501">if(min($C501:$G501)=C501,I501+1,I501)</f>
        <v>177</v>
      </c>
      <c r="J502" s="11">
        <f t="shared" si="501"/>
        <v>84</v>
      </c>
      <c r="K502" s="11">
        <f t="shared" si="501"/>
        <v>82</v>
      </c>
      <c r="L502" s="11">
        <f t="shared" si="501"/>
        <v>79</v>
      </c>
      <c r="M502" s="11">
        <f t="shared" si="501"/>
        <v>79</v>
      </c>
      <c r="O502" s="12">
        <f> 'Optimal Choice'!$B$7*'Optimal Choice'!$B$8^(I502+1)</f>
        <v>679786.3179</v>
      </c>
      <c r="P502" s="12">
        <f> 'Optimal Choice'!$B$12*'Optimal Choice'!$B$13^(J502+1)</f>
        <v>8658998.82</v>
      </c>
      <c r="Q502" s="12">
        <f> 'Optimal Choice'!$B$17*'Optimal Choice'!$B$18^(K502+1)</f>
        <v>38057053.2</v>
      </c>
      <c r="R502" s="12">
        <f> 'Optimal Choice'!$B$22*'Optimal Choice'!$B$23^(L502+1)</f>
        <v>152331325.5</v>
      </c>
      <c r="S502" s="12">
        <f> 'Optimal Choice'!$B$27*'Optimal Choice'!$B$28^(M502+1)</f>
        <v>897711527.8</v>
      </c>
    </row>
    <row r="503" ht="15.75" customHeight="1">
      <c r="A503" s="10">
        <f t="shared" si="2"/>
        <v>833.8861314</v>
      </c>
      <c r="B503" s="6">
        <f>(I503*'Optimal Choice'!$B$6+J503*'Optimal Choice'!$B$11+K503*'Optimal Choice'!$B$16+L503*'Optimal Choice'!$B$21+M503*'Optimal Choice'!$B$26)*'Optimal Choice'!$B$30</f>
        <v>208437.26</v>
      </c>
      <c r="C503" s="10">
        <f>(O503/$B503)+(O503/'Optimal Choice'!$B$6)</f>
        <v>435555.2023</v>
      </c>
      <c r="D503" s="10">
        <f>(P503/$B503)+(P503/'Optimal Choice'!$B$11)</f>
        <v>432991.4835</v>
      </c>
      <c r="E503" s="10">
        <f>(Q503/$B503)+(Q503/'Optimal Choice'!$B$16)</f>
        <v>423038.7295</v>
      </c>
      <c r="F503" s="10">
        <f>(R503/$B503)+(R503/'Optimal Choice'!$B$21)</f>
        <v>423873.3967</v>
      </c>
      <c r="G503" s="10">
        <f>(S503/$B503)+(S503/'Optimal Choice'!$B$26)</f>
        <v>419914.0557</v>
      </c>
      <c r="I503" s="11">
        <f t="shared" ref="I503:M503" si="502">if(min($C502:$G502)=C502,I502+1,I502)</f>
        <v>178</v>
      </c>
      <c r="J503" s="11">
        <f t="shared" si="502"/>
        <v>84</v>
      </c>
      <c r="K503" s="11">
        <f t="shared" si="502"/>
        <v>82</v>
      </c>
      <c r="L503" s="11">
        <f t="shared" si="502"/>
        <v>79</v>
      </c>
      <c r="M503" s="11">
        <f t="shared" si="502"/>
        <v>79</v>
      </c>
      <c r="O503" s="12">
        <f> 'Optimal Choice'!$B$7*'Optimal Choice'!$B$8^(I503+1)</f>
        <v>727371.3602</v>
      </c>
      <c r="P503" s="12">
        <f> 'Optimal Choice'!$B$12*'Optimal Choice'!$B$13^(J503+1)</f>
        <v>8658998.82</v>
      </c>
      <c r="Q503" s="12">
        <f> 'Optimal Choice'!$B$17*'Optimal Choice'!$B$18^(K503+1)</f>
        <v>38057053.2</v>
      </c>
      <c r="R503" s="12">
        <f> 'Optimal Choice'!$B$22*'Optimal Choice'!$B$23^(L503+1)</f>
        <v>152331325.5</v>
      </c>
      <c r="S503" s="12">
        <f> 'Optimal Choice'!$B$27*'Optimal Choice'!$B$28^(M503+1)</f>
        <v>897711527.8</v>
      </c>
    </row>
    <row r="504" ht="15.75" customHeight="1">
      <c r="A504" s="10">
        <f t="shared" si="2"/>
        <v>905.6672457</v>
      </c>
      <c r="B504" s="6">
        <f>(I504*'Optimal Choice'!$B$6+J504*'Optimal Choice'!$B$11+K504*'Optimal Choice'!$B$16+L504*'Optimal Choice'!$B$21+M504*'Optimal Choice'!$B$26)*'Optimal Choice'!$B$30</f>
        <v>210597.26</v>
      </c>
      <c r="C504" s="10">
        <f>(O504/$B504)+(O504/'Optimal Choice'!$B$6)</f>
        <v>435555.1665</v>
      </c>
      <c r="D504" s="10">
        <f>(P504/$B504)+(P504/'Optimal Choice'!$B$11)</f>
        <v>432991.0574</v>
      </c>
      <c r="E504" s="10">
        <f>(Q504/$B504)+(Q504/'Optimal Choice'!$B$16)</f>
        <v>423036.8568</v>
      </c>
      <c r="F504" s="10">
        <f>(R504/$B504)+(R504/'Optimal Choice'!$B$21)</f>
        <v>423865.9009</v>
      </c>
      <c r="G504" s="10">
        <f>(S504/$B504)+(S504/'Optimal Choice'!$B$26)</f>
        <v>470254.2679</v>
      </c>
      <c r="I504" s="11">
        <f t="shared" ref="I504:M504" si="503">if(min($C503:$G503)=C503,I503+1,I503)</f>
        <v>178</v>
      </c>
      <c r="J504" s="11">
        <f t="shared" si="503"/>
        <v>84</v>
      </c>
      <c r="K504" s="11">
        <f t="shared" si="503"/>
        <v>82</v>
      </c>
      <c r="L504" s="11">
        <f t="shared" si="503"/>
        <v>79</v>
      </c>
      <c r="M504" s="11">
        <f t="shared" si="503"/>
        <v>80</v>
      </c>
      <c r="O504" s="12">
        <f> 'Optimal Choice'!$B$7*'Optimal Choice'!$B$8^(I504+1)</f>
        <v>727371.3602</v>
      </c>
      <c r="P504" s="12">
        <f> 'Optimal Choice'!$B$12*'Optimal Choice'!$B$13^(J504+1)</f>
        <v>8658998.82</v>
      </c>
      <c r="Q504" s="12">
        <f> 'Optimal Choice'!$B$17*'Optimal Choice'!$B$18^(K504+1)</f>
        <v>38057053.2</v>
      </c>
      <c r="R504" s="12">
        <f> 'Optimal Choice'!$B$22*'Optimal Choice'!$B$23^(L504+1)</f>
        <v>152331325.5</v>
      </c>
      <c r="S504" s="12">
        <f> 'Optimal Choice'!$B$27*'Optimal Choice'!$B$28^(M504+1)</f>
        <v>1005436911</v>
      </c>
    </row>
    <row r="505" ht="15.75" customHeight="1">
      <c r="A505" s="10">
        <f t="shared" si="2"/>
        <v>908.6790808</v>
      </c>
      <c r="B505" s="6">
        <f>(I505*'Optimal Choice'!$B$6+J505*'Optimal Choice'!$B$11+K505*'Optimal Choice'!$B$16+L505*'Optimal Choice'!$B$21+M505*'Optimal Choice'!$B$26)*'Optimal Choice'!$B$30</f>
        <v>210687.26</v>
      </c>
      <c r="C505" s="10">
        <f>(O505/$B505)+(O505/'Optimal Choice'!$B$6)</f>
        <v>435555.1651</v>
      </c>
      <c r="D505" s="10">
        <f>(P505/$B505)+(P505/'Optimal Choice'!$B$11)</f>
        <v>432991.0398</v>
      </c>
      <c r="E505" s="10">
        <f>(Q505/$B505)+(Q505/'Optimal Choice'!$B$16)</f>
        <v>482261.9287</v>
      </c>
      <c r="F505" s="10">
        <f>(R505/$B505)+(R505/'Optimal Choice'!$B$21)</f>
        <v>423865.592</v>
      </c>
      <c r="G505" s="10">
        <f>(S505/$B505)+(S505/'Optimal Choice'!$B$26)</f>
        <v>470252.2285</v>
      </c>
      <c r="I505" s="11">
        <f t="shared" ref="I505:M505" si="504">if(min($C504:$G504)=C504,I504+1,I504)</f>
        <v>178</v>
      </c>
      <c r="J505" s="11">
        <f t="shared" si="504"/>
        <v>84</v>
      </c>
      <c r="K505" s="11">
        <f t="shared" si="504"/>
        <v>83</v>
      </c>
      <c r="L505" s="11">
        <f t="shared" si="504"/>
        <v>79</v>
      </c>
      <c r="M505" s="11">
        <f t="shared" si="504"/>
        <v>80</v>
      </c>
      <c r="O505" s="12">
        <f> 'Optimal Choice'!$B$7*'Optimal Choice'!$B$8^(I505+1)</f>
        <v>727371.3602</v>
      </c>
      <c r="P505" s="12">
        <f> 'Optimal Choice'!$B$12*'Optimal Choice'!$B$13^(J505+1)</f>
        <v>8658998.82</v>
      </c>
      <c r="Q505" s="12">
        <f> 'Optimal Choice'!$B$17*'Optimal Choice'!$B$18^(K505+1)</f>
        <v>43385040.65</v>
      </c>
      <c r="R505" s="12">
        <f> 'Optimal Choice'!$B$22*'Optimal Choice'!$B$23^(L505+1)</f>
        <v>152331325.5</v>
      </c>
      <c r="S505" s="12">
        <f> 'Optimal Choice'!$B$27*'Optimal Choice'!$B$28^(M505+1)</f>
        <v>1005436911</v>
      </c>
    </row>
    <row r="506" ht="15.75" customHeight="1">
      <c r="A506" s="10">
        <f t="shared" si="2"/>
        <v>920.7294318</v>
      </c>
      <c r="B506" s="6">
        <f>(I506*'Optimal Choice'!$B$6+J506*'Optimal Choice'!$B$11+K506*'Optimal Choice'!$B$16+L506*'Optimal Choice'!$B$21+M506*'Optimal Choice'!$B$26)*'Optimal Choice'!$B$30</f>
        <v>211047.26</v>
      </c>
      <c r="C506" s="10">
        <f>(O506/$B506)+(O506/'Optimal Choice'!$B$6)</f>
        <v>435555.1592</v>
      </c>
      <c r="D506" s="10">
        <f>(P506/$B506)+(P506/'Optimal Choice'!$B$11)</f>
        <v>432990.9697</v>
      </c>
      <c r="E506" s="10">
        <f>(Q506/$B506)+(Q506/'Optimal Choice'!$B$16)</f>
        <v>482261.5775</v>
      </c>
      <c r="F506" s="10">
        <f>(R506/$B506)+(R506/'Optimal Choice'!$B$21)</f>
        <v>478966.7253</v>
      </c>
      <c r="G506" s="10">
        <f>(S506/$B506)+(S506/'Optimal Choice'!$B$26)</f>
        <v>470244.0883</v>
      </c>
      <c r="I506" s="11">
        <f t="shared" ref="I506:M506" si="505">if(min($C505:$G505)=C505,I505+1,I505)</f>
        <v>178</v>
      </c>
      <c r="J506" s="11">
        <f t="shared" si="505"/>
        <v>84</v>
      </c>
      <c r="K506" s="11">
        <f t="shared" si="505"/>
        <v>83</v>
      </c>
      <c r="L506" s="11">
        <f t="shared" si="505"/>
        <v>80</v>
      </c>
      <c r="M506" s="11">
        <f t="shared" si="505"/>
        <v>80</v>
      </c>
      <c r="O506" s="12">
        <f> 'Optimal Choice'!$B$7*'Optimal Choice'!$B$8^(I506+1)</f>
        <v>727371.3602</v>
      </c>
      <c r="P506" s="12">
        <f> 'Optimal Choice'!$B$12*'Optimal Choice'!$B$13^(J506+1)</f>
        <v>8658998.82</v>
      </c>
      <c r="Q506" s="12">
        <f> 'Optimal Choice'!$B$17*'Optimal Choice'!$B$18^(K506+1)</f>
        <v>43385040.65</v>
      </c>
      <c r="R506" s="12">
        <f> 'Optimal Choice'!$B$22*'Optimal Choice'!$B$23^(L506+1)</f>
        <v>172134397.8</v>
      </c>
      <c r="S506" s="12">
        <f> 'Optimal Choice'!$B$27*'Optimal Choice'!$B$28^(M506+1)</f>
        <v>1005436911</v>
      </c>
    </row>
    <row r="507" ht="15.75" customHeight="1">
      <c r="A507" s="10">
        <f t="shared" si="2"/>
        <v>921.4132438</v>
      </c>
      <c r="B507" s="6">
        <f>(I507*'Optimal Choice'!$B$6+J507*'Optimal Choice'!$B$11+K507*'Optimal Choice'!$B$16+L507*'Optimal Choice'!$B$21+M507*'Optimal Choice'!$B$26)*'Optimal Choice'!$B$30</f>
        <v>211067.26</v>
      </c>
      <c r="C507" s="10">
        <f>(O507/$B507)+(O507/'Optimal Choice'!$B$6)</f>
        <v>435555.1589</v>
      </c>
      <c r="D507" s="10">
        <f>(P507/$B507)+(P507/'Optimal Choice'!$B$11)</f>
        <v>497939.6107</v>
      </c>
      <c r="E507" s="10">
        <f>(Q507/$B507)+(Q507/'Optimal Choice'!$B$16)</f>
        <v>482261.558</v>
      </c>
      <c r="F507" s="10">
        <f>(R507/$B507)+(R507/'Optimal Choice'!$B$21)</f>
        <v>478966.648</v>
      </c>
      <c r="G507" s="10">
        <f>(S507/$B507)+(S507/'Optimal Choice'!$B$26)</f>
        <v>470243.6368</v>
      </c>
      <c r="I507" s="11">
        <f t="shared" ref="I507:M507" si="506">if(min($C506:$G506)=C506,I506+1,I506)</f>
        <v>178</v>
      </c>
      <c r="J507" s="11">
        <f t="shared" si="506"/>
        <v>85</v>
      </c>
      <c r="K507" s="11">
        <f t="shared" si="506"/>
        <v>83</v>
      </c>
      <c r="L507" s="11">
        <f t="shared" si="506"/>
        <v>80</v>
      </c>
      <c r="M507" s="11">
        <f t="shared" si="506"/>
        <v>80</v>
      </c>
      <c r="O507" s="12">
        <f> 'Optimal Choice'!$B$7*'Optimal Choice'!$B$8^(I507+1)</f>
        <v>727371.3602</v>
      </c>
      <c r="P507" s="12">
        <f> 'Optimal Choice'!$B$12*'Optimal Choice'!$B$13^(J507+1)</f>
        <v>9957848.643</v>
      </c>
      <c r="Q507" s="12">
        <f> 'Optimal Choice'!$B$17*'Optimal Choice'!$B$18^(K507+1)</f>
        <v>43385040.65</v>
      </c>
      <c r="R507" s="12">
        <f> 'Optimal Choice'!$B$22*'Optimal Choice'!$B$23^(L507+1)</f>
        <v>172134397.8</v>
      </c>
      <c r="S507" s="12">
        <f> 'Optimal Choice'!$B$27*'Optimal Choice'!$B$28^(M507+1)</f>
        <v>1005436911</v>
      </c>
    </row>
    <row r="508" ht="15.75" customHeight="1">
      <c r="A508" s="10">
        <f t="shared" si="2"/>
        <v>921.4706798</v>
      </c>
      <c r="B508" s="6">
        <f>(I508*'Optimal Choice'!$B$6+J508*'Optimal Choice'!$B$11+K508*'Optimal Choice'!$B$16+L508*'Optimal Choice'!$B$21+M508*'Optimal Choice'!$B$26)*'Optimal Choice'!$B$30</f>
        <v>211068.93</v>
      </c>
      <c r="C508" s="10">
        <f>(O508/$B508)+(O508/'Optimal Choice'!$B$6)</f>
        <v>466044.0199</v>
      </c>
      <c r="D508" s="10">
        <f>(P508/$B508)+(P508/'Optimal Choice'!$B$11)</f>
        <v>497939.6103</v>
      </c>
      <c r="E508" s="10">
        <f>(Q508/$B508)+(Q508/'Optimal Choice'!$B$16)</f>
        <v>482261.5564</v>
      </c>
      <c r="F508" s="10">
        <f>(R508/$B508)+(R508/'Optimal Choice'!$B$21)</f>
        <v>478966.6415</v>
      </c>
      <c r="G508" s="10">
        <f>(S508/$B508)+(S508/'Optimal Choice'!$B$26)</f>
        <v>470243.5991</v>
      </c>
      <c r="I508" s="11">
        <f t="shared" ref="I508:M508" si="507">if(min($C507:$G507)=C507,I507+1,I507)</f>
        <v>179</v>
      </c>
      <c r="J508" s="11">
        <f t="shared" si="507"/>
        <v>85</v>
      </c>
      <c r="K508" s="11">
        <f t="shared" si="507"/>
        <v>83</v>
      </c>
      <c r="L508" s="11">
        <f t="shared" si="507"/>
        <v>80</v>
      </c>
      <c r="M508" s="11">
        <f t="shared" si="507"/>
        <v>80</v>
      </c>
      <c r="O508" s="12">
        <f> 'Optimal Choice'!$B$7*'Optimal Choice'!$B$8^(I508+1)</f>
        <v>778287.3554</v>
      </c>
      <c r="P508" s="12">
        <f> 'Optimal Choice'!$B$12*'Optimal Choice'!$B$13^(J508+1)</f>
        <v>9957848.643</v>
      </c>
      <c r="Q508" s="12">
        <f> 'Optimal Choice'!$B$17*'Optimal Choice'!$B$18^(K508+1)</f>
        <v>43385040.65</v>
      </c>
      <c r="R508" s="12">
        <f> 'Optimal Choice'!$B$22*'Optimal Choice'!$B$23^(L508+1)</f>
        <v>172134397.8</v>
      </c>
      <c r="S508" s="12">
        <f> 'Optimal Choice'!$B$27*'Optimal Choice'!$B$28^(M508+1)</f>
        <v>1005436911</v>
      </c>
    </row>
    <row r="509" ht="15.75" customHeight="1">
      <c r="A509" s="10">
        <f t="shared" si="2"/>
        <v>921.5321358</v>
      </c>
      <c r="B509" s="6">
        <f>(I509*'Optimal Choice'!$B$6+J509*'Optimal Choice'!$B$11+K509*'Optimal Choice'!$B$16+L509*'Optimal Choice'!$B$21+M509*'Optimal Choice'!$B$26)*'Optimal Choice'!$B$30</f>
        <v>211070.6</v>
      </c>
      <c r="C509" s="10">
        <f>(O509/$B509)+(O509/'Optimal Choice'!$B$6)</f>
        <v>498667.1013</v>
      </c>
      <c r="D509" s="10">
        <f>(P509/$B509)+(P509/'Optimal Choice'!$B$11)</f>
        <v>497939.6099</v>
      </c>
      <c r="E509" s="10">
        <f>(Q509/$B509)+(Q509/'Optimal Choice'!$B$16)</f>
        <v>482261.5547</v>
      </c>
      <c r="F509" s="10">
        <f>(R509/$B509)+(R509/'Optimal Choice'!$B$21)</f>
        <v>478966.6351</v>
      </c>
      <c r="G509" s="10">
        <f>(S509/$B509)+(S509/'Optimal Choice'!$B$26)</f>
        <v>470243.5614</v>
      </c>
      <c r="I509" s="11">
        <f t="shared" ref="I509:M509" si="508">if(min($C508:$G508)=C508,I508+1,I508)</f>
        <v>180</v>
      </c>
      <c r="J509" s="11">
        <f t="shared" si="508"/>
        <v>85</v>
      </c>
      <c r="K509" s="11">
        <f t="shared" si="508"/>
        <v>83</v>
      </c>
      <c r="L509" s="11">
        <f t="shared" si="508"/>
        <v>80</v>
      </c>
      <c r="M509" s="11">
        <f t="shared" si="508"/>
        <v>80</v>
      </c>
      <c r="O509" s="12">
        <f> 'Optimal Choice'!$B$7*'Optimal Choice'!$B$8^(I509+1)</f>
        <v>832767.4703</v>
      </c>
      <c r="P509" s="12">
        <f> 'Optimal Choice'!$B$12*'Optimal Choice'!$B$13^(J509+1)</f>
        <v>9957848.643</v>
      </c>
      <c r="Q509" s="12">
        <f> 'Optimal Choice'!$B$17*'Optimal Choice'!$B$18^(K509+1)</f>
        <v>43385040.65</v>
      </c>
      <c r="R509" s="12">
        <f> 'Optimal Choice'!$B$22*'Optimal Choice'!$B$23^(L509+1)</f>
        <v>172134397.8</v>
      </c>
      <c r="S509" s="12">
        <f> 'Optimal Choice'!$B$27*'Optimal Choice'!$B$28^(M509+1)</f>
        <v>1005436911</v>
      </c>
    </row>
    <row r="510" ht="15.75" customHeight="1">
      <c r="A510" s="10">
        <f t="shared" si="2"/>
        <v>1000.923969</v>
      </c>
      <c r="B510" s="6">
        <f>(I510*'Optimal Choice'!$B$6+J510*'Optimal Choice'!$B$11+K510*'Optimal Choice'!$B$16+L510*'Optimal Choice'!$B$21+M510*'Optimal Choice'!$B$26)*'Optimal Choice'!$B$30</f>
        <v>213230.6</v>
      </c>
      <c r="C510" s="10">
        <f>(O510/$B510)+(O510/'Optimal Choice'!$B$6)</f>
        <v>498667.0613</v>
      </c>
      <c r="D510" s="10">
        <f>(P510/$B510)+(P510/'Optimal Choice'!$B$11)</f>
        <v>497939.132</v>
      </c>
      <c r="E510" s="10">
        <f>(Q510/$B510)+(Q510/'Optimal Choice'!$B$16)</f>
        <v>482259.4726</v>
      </c>
      <c r="F510" s="10">
        <f>(R510/$B510)+(R510/'Optimal Choice'!$B$21)</f>
        <v>478958.3739</v>
      </c>
      <c r="G510" s="10">
        <f>(S510/$B510)+(S510/'Optimal Choice'!$B$26)</f>
        <v>526618.7446</v>
      </c>
      <c r="I510" s="11">
        <f t="shared" ref="I510:M510" si="509">if(min($C509:$G509)=C509,I509+1,I509)</f>
        <v>180</v>
      </c>
      <c r="J510" s="11">
        <f t="shared" si="509"/>
        <v>85</v>
      </c>
      <c r="K510" s="11">
        <f t="shared" si="509"/>
        <v>83</v>
      </c>
      <c r="L510" s="11">
        <f t="shared" si="509"/>
        <v>80</v>
      </c>
      <c r="M510" s="11">
        <f t="shared" si="509"/>
        <v>81</v>
      </c>
      <c r="O510" s="12">
        <f> 'Optimal Choice'!$B$7*'Optimal Choice'!$B$8^(I510+1)</f>
        <v>832767.4703</v>
      </c>
      <c r="P510" s="12">
        <f> 'Optimal Choice'!$B$12*'Optimal Choice'!$B$13^(J510+1)</f>
        <v>9957848.643</v>
      </c>
      <c r="Q510" s="12">
        <f> 'Optimal Choice'!$B$17*'Optimal Choice'!$B$18^(K510+1)</f>
        <v>43385040.65</v>
      </c>
      <c r="R510" s="12">
        <f> 'Optimal Choice'!$B$22*'Optimal Choice'!$B$23^(L510+1)</f>
        <v>172134397.8</v>
      </c>
      <c r="S510" s="12">
        <f> 'Optimal Choice'!$B$27*'Optimal Choice'!$B$28^(M510+1)</f>
        <v>1126089340</v>
      </c>
    </row>
    <row r="511" ht="15.75" customHeight="1">
      <c r="A511" s="10">
        <f t="shared" si="2"/>
        <v>1014.378448</v>
      </c>
      <c r="B511" s="6">
        <f>(I511*'Optimal Choice'!$B$6+J511*'Optimal Choice'!$B$11+K511*'Optimal Choice'!$B$16+L511*'Optimal Choice'!$B$21+M511*'Optimal Choice'!$B$26)*'Optimal Choice'!$B$30</f>
        <v>213590.6</v>
      </c>
      <c r="C511" s="10">
        <f>(O511/$B511)+(O511/'Optimal Choice'!$B$6)</f>
        <v>498667.0548</v>
      </c>
      <c r="D511" s="10">
        <f>(P511/$B511)+(P511/'Optimal Choice'!$B$11)</f>
        <v>497939.0533</v>
      </c>
      <c r="E511" s="10">
        <f>(Q511/$B511)+(Q511/'Optimal Choice'!$B$16)</f>
        <v>482259.1296</v>
      </c>
      <c r="F511" s="10">
        <f>(R511/$B511)+(R511/'Optimal Choice'!$B$21)</f>
        <v>541221.425</v>
      </c>
      <c r="G511" s="10">
        <f>(S511/$B511)+(S511/'Optimal Choice'!$B$26)</f>
        <v>526609.8435</v>
      </c>
      <c r="I511" s="11">
        <f t="shared" ref="I511:M511" si="510">if(min($C510:$G510)=C510,I510+1,I510)</f>
        <v>180</v>
      </c>
      <c r="J511" s="11">
        <f t="shared" si="510"/>
        <v>85</v>
      </c>
      <c r="K511" s="11">
        <f t="shared" si="510"/>
        <v>83</v>
      </c>
      <c r="L511" s="11">
        <f t="shared" si="510"/>
        <v>81</v>
      </c>
      <c r="M511" s="11">
        <f t="shared" si="510"/>
        <v>81</v>
      </c>
      <c r="O511" s="12">
        <f> 'Optimal Choice'!$B$7*'Optimal Choice'!$B$8^(I511+1)</f>
        <v>832767.4703</v>
      </c>
      <c r="P511" s="12">
        <f> 'Optimal Choice'!$B$12*'Optimal Choice'!$B$13^(J511+1)</f>
        <v>9957848.643</v>
      </c>
      <c r="Q511" s="12">
        <f> 'Optimal Choice'!$B$17*'Optimal Choice'!$B$18^(K511+1)</f>
        <v>43385040.65</v>
      </c>
      <c r="R511" s="12">
        <f> 'Optimal Choice'!$B$22*'Optimal Choice'!$B$23^(L511+1)</f>
        <v>194511869.6</v>
      </c>
      <c r="S511" s="12">
        <f> 'Optimal Choice'!$B$27*'Optimal Choice'!$B$28^(M511+1)</f>
        <v>1126089340</v>
      </c>
    </row>
    <row r="512" ht="15.75" customHeight="1">
      <c r="A512" s="10">
        <f t="shared" si="2"/>
        <v>1017.763822</v>
      </c>
      <c r="B512" s="6">
        <f>(I512*'Optimal Choice'!$B$6+J512*'Optimal Choice'!$B$11+K512*'Optimal Choice'!$B$16+L512*'Optimal Choice'!$B$21+M512*'Optimal Choice'!$B$26)*'Optimal Choice'!$B$30</f>
        <v>213680.6</v>
      </c>
      <c r="C512" s="10">
        <f>(O512/$B512)+(O512/'Optimal Choice'!$B$6)</f>
        <v>498667.0531</v>
      </c>
      <c r="D512" s="10">
        <f>(P512/$B512)+(P512/'Optimal Choice'!$B$11)</f>
        <v>497939.0337</v>
      </c>
      <c r="E512" s="10">
        <f>(Q512/$B512)+(Q512/'Optimal Choice'!$B$16)</f>
        <v>549775.3103</v>
      </c>
      <c r="F512" s="10">
        <f>(R512/$B512)+(R512/'Optimal Choice'!$B$21)</f>
        <v>541221.0414</v>
      </c>
      <c r="G512" s="10">
        <f>(S512/$B512)+(S512/'Optimal Choice'!$B$26)</f>
        <v>526607.6229</v>
      </c>
      <c r="I512" s="11">
        <f t="shared" ref="I512:M512" si="511">if(min($C511:$G511)=C511,I511+1,I511)</f>
        <v>180</v>
      </c>
      <c r="J512" s="11">
        <f t="shared" si="511"/>
        <v>85</v>
      </c>
      <c r="K512" s="11">
        <f t="shared" si="511"/>
        <v>84</v>
      </c>
      <c r="L512" s="11">
        <f t="shared" si="511"/>
        <v>81</v>
      </c>
      <c r="M512" s="11">
        <f t="shared" si="511"/>
        <v>81</v>
      </c>
      <c r="O512" s="12">
        <f> 'Optimal Choice'!$B$7*'Optimal Choice'!$B$8^(I512+1)</f>
        <v>832767.4703</v>
      </c>
      <c r="P512" s="12">
        <f> 'Optimal Choice'!$B$12*'Optimal Choice'!$B$13^(J512+1)</f>
        <v>9957848.643</v>
      </c>
      <c r="Q512" s="12">
        <f> 'Optimal Choice'!$B$17*'Optimal Choice'!$B$18^(K512+1)</f>
        <v>49458946.34</v>
      </c>
      <c r="R512" s="12">
        <f> 'Optimal Choice'!$B$22*'Optimal Choice'!$B$23^(L512+1)</f>
        <v>194511869.6</v>
      </c>
      <c r="S512" s="12">
        <f> 'Optimal Choice'!$B$27*'Optimal Choice'!$B$28^(M512+1)</f>
        <v>1126089340</v>
      </c>
    </row>
    <row r="513" ht="15.75" customHeight="1">
      <c r="A513" s="10">
        <f t="shared" si="2"/>
        <v>1018.540514</v>
      </c>
      <c r="B513" s="6">
        <f>(I513*'Optimal Choice'!$B$6+J513*'Optimal Choice'!$B$11+K513*'Optimal Choice'!$B$16+L513*'Optimal Choice'!$B$21+M513*'Optimal Choice'!$B$26)*'Optimal Choice'!$B$30</f>
        <v>213700.6</v>
      </c>
      <c r="C513" s="10">
        <f>(O513/$B513)+(O513/'Optimal Choice'!$B$6)</f>
        <v>498667.0528</v>
      </c>
      <c r="D513" s="10">
        <f>(P513/$B513)+(P513/'Optimal Choice'!$B$11)</f>
        <v>572629.8837</v>
      </c>
      <c r="E513" s="10">
        <f>(Q513/$B513)+(Q513/'Optimal Choice'!$B$16)</f>
        <v>549775.2886</v>
      </c>
      <c r="F513" s="10">
        <f>(R513/$B513)+(R513/'Optimal Choice'!$B$21)</f>
        <v>541220.9562</v>
      </c>
      <c r="G513" s="10">
        <f>(S513/$B513)+(S513/'Optimal Choice'!$B$26)</f>
        <v>526607.1297</v>
      </c>
      <c r="I513" s="11">
        <f t="shared" ref="I513:M513" si="512">if(min($C512:$G512)=C512,I512+1,I512)</f>
        <v>180</v>
      </c>
      <c r="J513" s="11">
        <f t="shared" si="512"/>
        <v>86</v>
      </c>
      <c r="K513" s="11">
        <f t="shared" si="512"/>
        <v>84</v>
      </c>
      <c r="L513" s="11">
        <f t="shared" si="512"/>
        <v>81</v>
      </c>
      <c r="M513" s="11">
        <f t="shared" si="512"/>
        <v>81</v>
      </c>
      <c r="O513" s="12">
        <f> 'Optimal Choice'!$B$7*'Optimal Choice'!$B$8^(I513+1)</f>
        <v>832767.4703</v>
      </c>
      <c r="P513" s="12">
        <f> 'Optimal Choice'!$B$12*'Optimal Choice'!$B$13^(J513+1)</f>
        <v>11451525.94</v>
      </c>
      <c r="Q513" s="12">
        <f> 'Optimal Choice'!$B$17*'Optimal Choice'!$B$18^(K513+1)</f>
        <v>49458946.34</v>
      </c>
      <c r="R513" s="12">
        <f> 'Optimal Choice'!$B$22*'Optimal Choice'!$B$23^(L513+1)</f>
        <v>194511869.6</v>
      </c>
      <c r="S513" s="12">
        <f> 'Optimal Choice'!$B$27*'Optimal Choice'!$B$28^(M513+1)</f>
        <v>1126089340</v>
      </c>
    </row>
    <row r="514" ht="15.75" customHeight="1">
      <c r="A514" s="10">
        <f t="shared" si="2"/>
        <v>1018.605462</v>
      </c>
      <c r="B514" s="6">
        <f>(I514*'Optimal Choice'!$B$6+J514*'Optimal Choice'!$B$11+K514*'Optimal Choice'!$B$16+L514*'Optimal Choice'!$B$21+M514*'Optimal Choice'!$B$26)*'Optimal Choice'!$B$30</f>
        <v>213702.27</v>
      </c>
      <c r="C514" s="10">
        <f>(O514/$B514)+(O514/'Optimal Choice'!$B$6)</f>
        <v>533573.7464</v>
      </c>
      <c r="D514" s="10">
        <f>(P514/$B514)+(P514/'Optimal Choice'!$B$11)</f>
        <v>572629.8833</v>
      </c>
      <c r="E514" s="10">
        <f>(Q514/$B514)+(Q514/'Optimal Choice'!$B$16)</f>
        <v>549775.2868</v>
      </c>
      <c r="F514" s="10">
        <f>(R514/$B514)+(R514/'Optimal Choice'!$B$21)</f>
        <v>541220.9491</v>
      </c>
      <c r="G514" s="10">
        <f>(S514/$B514)+(S514/'Optimal Choice'!$B$26)</f>
        <v>526607.0885</v>
      </c>
      <c r="I514" s="11">
        <f t="shared" ref="I514:M514" si="513">if(min($C513:$G513)=C513,I513+1,I513)</f>
        <v>181</v>
      </c>
      <c r="J514" s="11">
        <f t="shared" si="513"/>
        <v>86</v>
      </c>
      <c r="K514" s="11">
        <f t="shared" si="513"/>
        <v>84</v>
      </c>
      <c r="L514" s="11">
        <f t="shared" si="513"/>
        <v>81</v>
      </c>
      <c r="M514" s="11">
        <f t="shared" si="513"/>
        <v>81</v>
      </c>
      <c r="O514" s="12">
        <f> 'Optimal Choice'!$B$7*'Optimal Choice'!$B$8^(I514+1)</f>
        <v>891061.1932</v>
      </c>
      <c r="P514" s="12">
        <f> 'Optimal Choice'!$B$12*'Optimal Choice'!$B$13^(J514+1)</f>
        <v>11451525.94</v>
      </c>
      <c r="Q514" s="12">
        <f> 'Optimal Choice'!$B$17*'Optimal Choice'!$B$18^(K514+1)</f>
        <v>49458946.34</v>
      </c>
      <c r="R514" s="12">
        <f> 'Optimal Choice'!$B$22*'Optimal Choice'!$B$23^(L514+1)</f>
        <v>194511869.6</v>
      </c>
      <c r="S514" s="12">
        <f> 'Optimal Choice'!$B$27*'Optimal Choice'!$B$28^(M514+1)</f>
        <v>1126089340</v>
      </c>
    </row>
    <row r="515" ht="15.75" customHeight="1">
      <c r="A515" s="10">
        <f t="shared" si="2"/>
        <v>1106.42931</v>
      </c>
      <c r="B515" s="6">
        <f>(I515*'Optimal Choice'!$B$6+J515*'Optimal Choice'!$B$11+K515*'Optimal Choice'!$B$16+L515*'Optimal Choice'!$B$21+M515*'Optimal Choice'!$B$26)*'Optimal Choice'!$B$30</f>
        <v>215862.27</v>
      </c>
      <c r="C515" s="10">
        <f>(O515/$B515)+(O515/'Optimal Choice'!$B$6)</f>
        <v>533573.7047</v>
      </c>
      <c r="D515" s="10">
        <f>(P515/$B515)+(P515/'Optimal Choice'!$B$11)</f>
        <v>572629.3471</v>
      </c>
      <c r="E515" s="10">
        <f>(Q515/$B515)+(Q515/'Optimal Choice'!$B$16)</f>
        <v>549772.9709</v>
      </c>
      <c r="F515" s="10">
        <f>(R515/$B515)+(R515/'Optimal Choice'!$B$21)</f>
        <v>541211.8413</v>
      </c>
      <c r="G515" s="10">
        <f>(S515/$B515)+(S515/'Optimal Choice'!$B$26)</f>
        <v>589740.8839</v>
      </c>
      <c r="I515" s="11">
        <f t="shared" ref="I515:M515" si="514">if(min($C514:$G514)=C514,I514+1,I514)</f>
        <v>181</v>
      </c>
      <c r="J515" s="11">
        <f t="shared" si="514"/>
        <v>86</v>
      </c>
      <c r="K515" s="11">
        <f t="shared" si="514"/>
        <v>84</v>
      </c>
      <c r="L515" s="11">
        <f t="shared" si="514"/>
        <v>81</v>
      </c>
      <c r="M515" s="11">
        <f t="shared" si="514"/>
        <v>82</v>
      </c>
      <c r="O515" s="12">
        <f> 'Optimal Choice'!$B$7*'Optimal Choice'!$B$8^(I515+1)</f>
        <v>891061.1932</v>
      </c>
      <c r="P515" s="12">
        <f> 'Optimal Choice'!$B$12*'Optimal Choice'!$B$13^(J515+1)</f>
        <v>11451525.94</v>
      </c>
      <c r="Q515" s="12">
        <f> 'Optimal Choice'!$B$17*'Optimal Choice'!$B$18^(K515+1)</f>
        <v>49458946.34</v>
      </c>
      <c r="R515" s="12">
        <f> 'Optimal Choice'!$B$22*'Optimal Choice'!$B$23^(L515+1)</f>
        <v>194511869.6</v>
      </c>
      <c r="S515" s="12">
        <f> 'Optimal Choice'!$B$27*'Optimal Choice'!$B$28^(M515+1)</f>
        <v>1261220061</v>
      </c>
    </row>
    <row r="516" ht="15.75" customHeight="1">
      <c r="A516" s="10">
        <f t="shared" si="2"/>
        <v>1106.498109</v>
      </c>
      <c r="B516" s="6">
        <f>(I516*'Optimal Choice'!$B$6+J516*'Optimal Choice'!$B$11+K516*'Optimal Choice'!$B$16+L516*'Optimal Choice'!$B$21+M516*'Optimal Choice'!$B$26)*'Optimal Choice'!$B$30</f>
        <v>215863.94</v>
      </c>
      <c r="C516" s="10">
        <f>(O516/$B516)+(O516/'Optimal Choice'!$B$6)</f>
        <v>570923.864</v>
      </c>
      <c r="D516" s="10">
        <f>(P516/$B516)+(P516/'Optimal Choice'!$B$11)</f>
        <v>572629.3467</v>
      </c>
      <c r="E516" s="10">
        <f>(Q516/$B516)+(Q516/'Optimal Choice'!$B$16)</f>
        <v>549772.9692</v>
      </c>
      <c r="F516" s="10">
        <f>(R516/$B516)+(R516/'Optimal Choice'!$B$21)</f>
        <v>541211.8343</v>
      </c>
      <c r="G516" s="10">
        <f>(S516/$B516)+(S516/'Optimal Choice'!$B$26)</f>
        <v>589740.8387</v>
      </c>
      <c r="I516" s="11">
        <f t="shared" ref="I516:M516" si="515">if(min($C515:$G515)=C515,I515+1,I515)</f>
        <v>182</v>
      </c>
      <c r="J516" s="11">
        <f t="shared" si="515"/>
        <v>86</v>
      </c>
      <c r="K516" s="11">
        <f t="shared" si="515"/>
        <v>84</v>
      </c>
      <c r="L516" s="11">
        <f t="shared" si="515"/>
        <v>81</v>
      </c>
      <c r="M516" s="11">
        <f t="shared" si="515"/>
        <v>82</v>
      </c>
      <c r="O516" s="12">
        <f> 'Optimal Choice'!$B$7*'Optimal Choice'!$B$8^(I516+1)</f>
        <v>953435.4767</v>
      </c>
      <c r="P516" s="12">
        <f> 'Optimal Choice'!$B$12*'Optimal Choice'!$B$13^(J516+1)</f>
        <v>11451525.94</v>
      </c>
      <c r="Q516" s="12">
        <f> 'Optimal Choice'!$B$17*'Optimal Choice'!$B$18^(K516+1)</f>
        <v>49458946.34</v>
      </c>
      <c r="R516" s="12">
        <f> 'Optimal Choice'!$B$22*'Optimal Choice'!$B$23^(L516+1)</f>
        <v>194511869.6</v>
      </c>
      <c r="S516" s="12">
        <f> 'Optimal Choice'!$B$27*'Optimal Choice'!$B$28^(M516+1)</f>
        <v>1261220061</v>
      </c>
    </row>
    <row r="517" ht="15.75" customHeight="1">
      <c r="A517" s="10">
        <f t="shared" si="2"/>
        <v>1121.516201</v>
      </c>
      <c r="B517" s="6">
        <f>(I517*'Optimal Choice'!$B$6+J517*'Optimal Choice'!$B$11+K517*'Optimal Choice'!$B$16+L517*'Optimal Choice'!$B$21+M517*'Optimal Choice'!$B$26)*'Optimal Choice'!$B$30</f>
        <v>216223.94</v>
      </c>
      <c r="C517" s="10">
        <f>(O517/$B517)+(O517/'Optimal Choice'!$B$6)</f>
        <v>570923.8566</v>
      </c>
      <c r="D517" s="10">
        <f>(P517/$B517)+(P517/'Optimal Choice'!$B$11)</f>
        <v>572629.2584</v>
      </c>
      <c r="E517" s="10">
        <f>(Q517/$B517)+(Q517/'Optimal Choice'!$B$16)</f>
        <v>549772.5877</v>
      </c>
      <c r="F517" s="10">
        <f>(R517/$B517)+(R517/'Optimal Choice'!$B$21)</f>
        <v>611567.6775</v>
      </c>
      <c r="G517" s="10">
        <f>(S517/$B517)+(S517/'Optimal Choice'!$B$26)</f>
        <v>589731.111</v>
      </c>
      <c r="I517" s="11">
        <f t="shared" ref="I517:M517" si="516">if(min($C516:$G516)=C516,I516+1,I516)</f>
        <v>182</v>
      </c>
      <c r="J517" s="11">
        <f t="shared" si="516"/>
        <v>86</v>
      </c>
      <c r="K517" s="11">
        <f t="shared" si="516"/>
        <v>84</v>
      </c>
      <c r="L517" s="11">
        <f t="shared" si="516"/>
        <v>82</v>
      </c>
      <c r="M517" s="11">
        <f t="shared" si="516"/>
        <v>82</v>
      </c>
      <c r="O517" s="12">
        <f> 'Optimal Choice'!$B$7*'Optimal Choice'!$B$8^(I517+1)</f>
        <v>953435.4767</v>
      </c>
      <c r="P517" s="12">
        <f> 'Optimal Choice'!$B$12*'Optimal Choice'!$B$13^(J517+1)</f>
        <v>11451525.94</v>
      </c>
      <c r="Q517" s="12">
        <f> 'Optimal Choice'!$B$17*'Optimal Choice'!$B$18^(K517+1)</f>
        <v>49458946.34</v>
      </c>
      <c r="R517" s="12">
        <f> 'Optimal Choice'!$B$22*'Optimal Choice'!$B$23^(L517+1)</f>
        <v>219798412.6</v>
      </c>
      <c r="S517" s="12">
        <f> 'Optimal Choice'!$B$27*'Optimal Choice'!$B$28^(M517+1)</f>
        <v>1261220061</v>
      </c>
    </row>
    <row r="518" ht="15.75" customHeight="1">
      <c r="A518" s="10">
        <f t="shared" si="2"/>
        <v>1125.328525</v>
      </c>
      <c r="B518" s="6">
        <f>(I518*'Optimal Choice'!$B$6+J518*'Optimal Choice'!$B$11+K518*'Optimal Choice'!$B$16+L518*'Optimal Choice'!$B$21+M518*'Optimal Choice'!$B$26)*'Optimal Choice'!$B$30</f>
        <v>216313.94</v>
      </c>
      <c r="C518" s="10">
        <f>(O518/$B518)+(O518/'Optimal Choice'!$B$6)</f>
        <v>570923.8548</v>
      </c>
      <c r="D518" s="10">
        <f>(P518/$B518)+(P518/'Optimal Choice'!$B$11)</f>
        <v>572629.2363</v>
      </c>
      <c r="E518" s="10">
        <f>(Q518/$B518)+(Q518/'Optimal Choice'!$B$16)</f>
        <v>626740.6415</v>
      </c>
      <c r="F518" s="10">
        <f>(R518/$B518)+(R518/'Optimal Choice'!$B$21)</f>
        <v>611567.2545</v>
      </c>
      <c r="G518" s="10">
        <f>(S518/$B518)+(S518/'Optimal Choice'!$B$26)</f>
        <v>589728.6841</v>
      </c>
      <c r="I518" s="11">
        <f t="shared" ref="I518:M518" si="517">if(min($C517:$G517)=C517,I517+1,I517)</f>
        <v>182</v>
      </c>
      <c r="J518" s="11">
        <f t="shared" si="517"/>
        <v>86</v>
      </c>
      <c r="K518" s="11">
        <f t="shared" si="517"/>
        <v>85</v>
      </c>
      <c r="L518" s="11">
        <f t="shared" si="517"/>
        <v>82</v>
      </c>
      <c r="M518" s="11">
        <f t="shared" si="517"/>
        <v>82</v>
      </c>
      <c r="O518" s="12">
        <f> 'Optimal Choice'!$B$7*'Optimal Choice'!$B$8^(I518+1)</f>
        <v>953435.4767</v>
      </c>
      <c r="P518" s="12">
        <f> 'Optimal Choice'!$B$12*'Optimal Choice'!$B$13^(J518+1)</f>
        <v>11451525.94</v>
      </c>
      <c r="Q518" s="12">
        <f> 'Optimal Choice'!$B$17*'Optimal Choice'!$B$18^(K518+1)</f>
        <v>56383198.83</v>
      </c>
      <c r="R518" s="12">
        <f> 'Optimal Choice'!$B$22*'Optimal Choice'!$B$23^(L518+1)</f>
        <v>219798412.6</v>
      </c>
      <c r="S518" s="12">
        <f> 'Optimal Choice'!$B$27*'Optimal Choice'!$B$28^(M518+1)</f>
        <v>1261220061</v>
      </c>
    </row>
    <row r="519" ht="15.75" customHeight="1">
      <c r="A519" s="10">
        <f t="shared" si="2"/>
        <v>1125.401986</v>
      </c>
      <c r="B519" s="6">
        <f>(I519*'Optimal Choice'!$B$6+J519*'Optimal Choice'!$B$11+K519*'Optimal Choice'!$B$16+L519*'Optimal Choice'!$B$21+M519*'Optimal Choice'!$B$26)*'Optimal Choice'!$B$30</f>
        <v>216315.61</v>
      </c>
      <c r="C519" s="10">
        <f>(O519/$B519)+(O519/'Optimal Choice'!$B$6)</f>
        <v>610888.5246</v>
      </c>
      <c r="D519" s="10">
        <f>(P519/$B519)+(P519/'Optimal Choice'!$B$11)</f>
        <v>572629.2359</v>
      </c>
      <c r="E519" s="10">
        <f>(Q519/$B519)+(Q519/'Optimal Choice'!$B$16)</f>
        <v>626740.6394</v>
      </c>
      <c r="F519" s="10">
        <f>(R519/$B519)+(R519/'Optimal Choice'!$B$21)</f>
        <v>611567.2467</v>
      </c>
      <c r="G519" s="10">
        <f>(S519/$B519)+(S519/'Optimal Choice'!$B$26)</f>
        <v>589728.6391</v>
      </c>
      <c r="I519" s="11">
        <f t="shared" ref="I519:M519" si="518">if(min($C518:$G518)=C518,I518+1,I518)</f>
        <v>183</v>
      </c>
      <c r="J519" s="11">
        <f t="shared" si="518"/>
        <v>86</v>
      </c>
      <c r="K519" s="11">
        <f t="shared" si="518"/>
        <v>85</v>
      </c>
      <c r="L519" s="11">
        <f t="shared" si="518"/>
        <v>82</v>
      </c>
      <c r="M519" s="11">
        <f t="shared" si="518"/>
        <v>82</v>
      </c>
      <c r="O519" s="12">
        <f> 'Optimal Choice'!$B$7*'Optimal Choice'!$B$8^(I519+1)</f>
        <v>1020175.96</v>
      </c>
      <c r="P519" s="12">
        <f> 'Optimal Choice'!$B$12*'Optimal Choice'!$B$13^(J519+1)</f>
        <v>11451525.94</v>
      </c>
      <c r="Q519" s="12">
        <f> 'Optimal Choice'!$B$17*'Optimal Choice'!$B$18^(K519+1)</f>
        <v>56383198.83</v>
      </c>
      <c r="R519" s="12">
        <f> 'Optimal Choice'!$B$22*'Optimal Choice'!$B$23^(L519+1)</f>
        <v>219798412.6</v>
      </c>
      <c r="S519" s="12">
        <f> 'Optimal Choice'!$B$27*'Optimal Choice'!$B$28^(M519+1)</f>
        <v>1261220061</v>
      </c>
    </row>
    <row r="520" ht="15.75" customHeight="1">
      <c r="A520" s="10">
        <f t="shared" si="2"/>
        <v>1126.284302</v>
      </c>
      <c r="B520" s="6">
        <f>(I520*'Optimal Choice'!$B$6+J520*'Optimal Choice'!$B$11+K520*'Optimal Choice'!$B$16+L520*'Optimal Choice'!$B$21+M520*'Optimal Choice'!$B$26)*'Optimal Choice'!$B$30</f>
        <v>216335.61</v>
      </c>
      <c r="C520" s="10">
        <f>(O520/$B520)+(O520/'Optimal Choice'!$B$6)</f>
        <v>610888.5242</v>
      </c>
      <c r="D520" s="10">
        <f>(P520/$B520)+(P520/'Optimal Choice'!$B$11)</f>
        <v>658523.6157</v>
      </c>
      <c r="E520" s="10">
        <f>(Q520/$B520)+(Q520/'Optimal Choice'!$B$16)</f>
        <v>626740.6153</v>
      </c>
      <c r="F520" s="10">
        <f>(R520/$B520)+(R520/'Optimal Choice'!$B$21)</f>
        <v>611567.1527</v>
      </c>
      <c r="G520" s="10">
        <f>(S520/$B520)+(S520/'Optimal Choice'!$B$26)</f>
        <v>589728.1001</v>
      </c>
      <c r="I520" s="11">
        <f t="shared" ref="I520:M520" si="519">if(min($C519:$G519)=C519,I519+1,I519)</f>
        <v>183</v>
      </c>
      <c r="J520" s="11">
        <f t="shared" si="519"/>
        <v>87</v>
      </c>
      <c r="K520" s="11">
        <f t="shared" si="519"/>
        <v>85</v>
      </c>
      <c r="L520" s="11">
        <f t="shared" si="519"/>
        <v>82</v>
      </c>
      <c r="M520" s="11">
        <f t="shared" si="519"/>
        <v>82</v>
      </c>
      <c r="O520" s="12">
        <f> 'Optimal Choice'!$B$7*'Optimal Choice'!$B$8^(I520+1)</f>
        <v>1020175.96</v>
      </c>
      <c r="P520" s="12">
        <f> 'Optimal Choice'!$B$12*'Optimal Choice'!$B$13^(J520+1)</f>
        <v>13169254.83</v>
      </c>
      <c r="Q520" s="12">
        <f> 'Optimal Choice'!$B$17*'Optimal Choice'!$B$18^(K520+1)</f>
        <v>56383198.83</v>
      </c>
      <c r="R520" s="12">
        <f> 'Optimal Choice'!$B$22*'Optimal Choice'!$B$23^(L520+1)</f>
        <v>219798412.6</v>
      </c>
      <c r="S520" s="12">
        <f> 'Optimal Choice'!$B$27*'Optimal Choice'!$B$28^(M520+1)</f>
        <v>1261220061</v>
      </c>
    </row>
    <row r="521" ht="15.75" customHeight="1">
      <c r="A521" s="10">
        <f t="shared" si="2"/>
        <v>1223.449694</v>
      </c>
      <c r="B521" s="6">
        <f>(I521*'Optimal Choice'!$B$6+J521*'Optimal Choice'!$B$11+K521*'Optimal Choice'!$B$16+L521*'Optimal Choice'!$B$21+M521*'Optimal Choice'!$B$26)*'Optimal Choice'!$B$30</f>
        <v>218495.61</v>
      </c>
      <c r="C521" s="10">
        <f>(O521/$B521)+(O521/'Optimal Choice'!$B$6)</f>
        <v>610888.4775</v>
      </c>
      <c r="D521" s="10">
        <f>(P521/$B521)+(P521/'Optimal Choice'!$B$11)</f>
        <v>658523.0139</v>
      </c>
      <c r="E521" s="10">
        <f>(Q521/$B521)+(Q521/'Optimal Choice'!$B$16)</f>
        <v>626738.0388</v>
      </c>
      <c r="F521" s="10">
        <f>(R521/$B521)+(R521/'Optimal Choice'!$B$21)</f>
        <v>611557.1087</v>
      </c>
      <c r="G521" s="10">
        <f>(S521/$B521)+(S521/'Optimal Choice'!$B$26)</f>
        <v>660430.9227</v>
      </c>
      <c r="I521" s="11">
        <f t="shared" ref="I521:M521" si="520">if(min($C520:$G520)=C520,I520+1,I520)</f>
        <v>183</v>
      </c>
      <c r="J521" s="11">
        <f t="shared" si="520"/>
        <v>87</v>
      </c>
      <c r="K521" s="11">
        <f t="shared" si="520"/>
        <v>85</v>
      </c>
      <c r="L521" s="11">
        <f t="shared" si="520"/>
        <v>82</v>
      </c>
      <c r="M521" s="11">
        <f t="shared" si="520"/>
        <v>83</v>
      </c>
      <c r="O521" s="12">
        <f> 'Optimal Choice'!$B$7*'Optimal Choice'!$B$8^(I521+1)</f>
        <v>1020175.96</v>
      </c>
      <c r="P521" s="12">
        <f> 'Optimal Choice'!$B$12*'Optimal Choice'!$B$13^(J521+1)</f>
        <v>13169254.83</v>
      </c>
      <c r="Q521" s="12">
        <f> 'Optimal Choice'!$B$17*'Optimal Choice'!$B$18^(K521+1)</f>
        <v>56383198.83</v>
      </c>
      <c r="R521" s="12">
        <f> 'Optimal Choice'!$B$22*'Optimal Choice'!$B$23^(L521+1)</f>
        <v>219798412.6</v>
      </c>
      <c r="S521" s="12">
        <f> 'Optimal Choice'!$B$27*'Optimal Choice'!$B$28^(M521+1)</f>
        <v>1412566469</v>
      </c>
    </row>
    <row r="522" ht="15.75" customHeight="1">
      <c r="A522" s="10">
        <f t="shared" si="2"/>
        <v>1223.527512</v>
      </c>
      <c r="B522" s="6">
        <f>(I522*'Optimal Choice'!$B$6+J522*'Optimal Choice'!$B$11+K522*'Optimal Choice'!$B$16+L522*'Optimal Choice'!$B$21+M522*'Optimal Choice'!$B$26)*'Optimal Choice'!$B$30</f>
        <v>218497.28</v>
      </c>
      <c r="C522" s="10">
        <f>(O522/$B522)+(O522/'Optimal Choice'!$B$6)</f>
        <v>653650.6709</v>
      </c>
      <c r="D522" s="10">
        <f>(P522/$B522)+(P522/'Optimal Choice'!$B$11)</f>
        <v>658523.0134</v>
      </c>
      <c r="E522" s="10">
        <f>(Q522/$B522)+(Q522/'Optimal Choice'!$B$16)</f>
        <v>626738.0369</v>
      </c>
      <c r="F522" s="10">
        <f>(R522/$B522)+(R522/'Optimal Choice'!$B$21)</f>
        <v>611557.101</v>
      </c>
      <c r="G522" s="10">
        <f>(S522/$B522)+(S522/'Optimal Choice'!$B$26)</f>
        <v>660430.8733</v>
      </c>
      <c r="I522" s="11">
        <f t="shared" ref="I522:M522" si="521">if(min($C521:$G521)=C521,I521+1,I521)</f>
        <v>184</v>
      </c>
      <c r="J522" s="11">
        <f t="shared" si="521"/>
        <v>87</v>
      </c>
      <c r="K522" s="11">
        <f t="shared" si="521"/>
        <v>85</v>
      </c>
      <c r="L522" s="11">
        <f t="shared" si="521"/>
        <v>82</v>
      </c>
      <c r="M522" s="11">
        <f t="shared" si="521"/>
        <v>83</v>
      </c>
      <c r="O522" s="12">
        <f> 'Optimal Choice'!$B$7*'Optimal Choice'!$B$8^(I522+1)</f>
        <v>1091588.277</v>
      </c>
      <c r="P522" s="12">
        <f> 'Optimal Choice'!$B$12*'Optimal Choice'!$B$13^(J522+1)</f>
        <v>13169254.83</v>
      </c>
      <c r="Q522" s="12">
        <f> 'Optimal Choice'!$B$17*'Optimal Choice'!$B$18^(K522+1)</f>
        <v>56383198.83</v>
      </c>
      <c r="R522" s="12">
        <f> 'Optimal Choice'!$B$22*'Optimal Choice'!$B$23^(L522+1)</f>
        <v>219798412.6</v>
      </c>
      <c r="S522" s="12">
        <f> 'Optimal Choice'!$B$27*'Optimal Choice'!$B$28^(M522+1)</f>
        <v>1412566469</v>
      </c>
    </row>
    <row r="523" ht="15.75" customHeight="1">
      <c r="A523" s="10">
        <f t="shared" si="2"/>
        <v>1240.293428</v>
      </c>
      <c r="B523" s="6">
        <f>(I523*'Optimal Choice'!$B$6+J523*'Optimal Choice'!$B$11+K523*'Optimal Choice'!$B$16+L523*'Optimal Choice'!$B$21+M523*'Optimal Choice'!$B$26)*'Optimal Choice'!$B$30</f>
        <v>218857.28</v>
      </c>
      <c r="C523" s="10">
        <f>(O523/$B523)+(O523/'Optimal Choice'!$B$6)</f>
        <v>653650.6627</v>
      </c>
      <c r="D523" s="10">
        <f>(P523/$B523)+(P523/'Optimal Choice'!$B$11)</f>
        <v>658522.9143</v>
      </c>
      <c r="E523" s="10">
        <f>(Q523/$B523)+(Q523/'Optimal Choice'!$B$16)</f>
        <v>626737.6124</v>
      </c>
      <c r="F523" s="10">
        <f>(R523/$B523)+(R523/'Optimal Choice'!$B$21)</f>
        <v>691057.6544</v>
      </c>
      <c r="G523" s="10">
        <f>(S523/$B523)+(S523/'Optimal Choice'!$B$26)</f>
        <v>660420.2391</v>
      </c>
      <c r="I523" s="11">
        <f t="shared" ref="I523:M523" si="522">if(min($C522:$G522)=C522,I522+1,I522)</f>
        <v>184</v>
      </c>
      <c r="J523" s="11">
        <f t="shared" si="522"/>
        <v>87</v>
      </c>
      <c r="K523" s="11">
        <f t="shared" si="522"/>
        <v>85</v>
      </c>
      <c r="L523" s="11">
        <f t="shared" si="522"/>
        <v>83</v>
      </c>
      <c r="M523" s="11">
        <f t="shared" si="522"/>
        <v>83</v>
      </c>
      <c r="O523" s="12">
        <f> 'Optimal Choice'!$B$7*'Optimal Choice'!$B$8^(I523+1)</f>
        <v>1091588.277</v>
      </c>
      <c r="P523" s="12">
        <f> 'Optimal Choice'!$B$12*'Optimal Choice'!$B$13^(J523+1)</f>
        <v>13169254.83</v>
      </c>
      <c r="Q523" s="12">
        <f> 'Optimal Choice'!$B$17*'Optimal Choice'!$B$18^(K523+1)</f>
        <v>56383198.83</v>
      </c>
      <c r="R523" s="12">
        <f> 'Optimal Choice'!$B$22*'Optimal Choice'!$B$23^(L523+1)</f>
        <v>248372206.2</v>
      </c>
      <c r="S523" s="12">
        <f> 'Optimal Choice'!$B$27*'Optimal Choice'!$B$28^(M523+1)</f>
        <v>1412566469</v>
      </c>
    </row>
    <row r="524" ht="15.75" customHeight="1">
      <c r="A524" s="10">
        <f t="shared" si="2"/>
        <v>1244.587185</v>
      </c>
      <c r="B524" s="6">
        <f>(I524*'Optimal Choice'!$B$6+J524*'Optimal Choice'!$B$11+K524*'Optimal Choice'!$B$16+L524*'Optimal Choice'!$B$21+M524*'Optimal Choice'!$B$26)*'Optimal Choice'!$B$30</f>
        <v>218947.28</v>
      </c>
      <c r="C524" s="10">
        <f>(O524/$B524)+(O524/'Optimal Choice'!$B$6)</f>
        <v>653650.6607</v>
      </c>
      <c r="D524" s="10">
        <f>(P524/$B524)+(P524/'Optimal Choice'!$B$11)</f>
        <v>658522.8896</v>
      </c>
      <c r="E524" s="10">
        <f>(Q524/$B524)+(Q524/'Optimal Choice'!$B$16)</f>
        <v>714480.7574</v>
      </c>
      <c r="F524" s="10">
        <f>(R524/$B524)+(R524/'Optimal Choice'!$B$21)</f>
        <v>691057.1879</v>
      </c>
      <c r="G524" s="10">
        <f>(S524/$B524)+(S524/'Optimal Choice'!$B$26)</f>
        <v>660417.586</v>
      </c>
      <c r="I524" s="11">
        <f t="shared" ref="I524:M524" si="523">if(min($C523:$G523)=C523,I523+1,I523)</f>
        <v>184</v>
      </c>
      <c r="J524" s="11">
        <f t="shared" si="523"/>
        <v>87</v>
      </c>
      <c r="K524" s="11">
        <f t="shared" si="523"/>
        <v>86</v>
      </c>
      <c r="L524" s="11">
        <f t="shared" si="523"/>
        <v>83</v>
      </c>
      <c r="M524" s="11">
        <f t="shared" si="523"/>
        <v>83</v>
      </c>
      <c r="O524" s="12">
        <f> 'Optimal Choice'!$B$7*'Optimal Choice'!$B$8^(I524+1)</f>
        <v>1091588.277</v>
      </c>
      <c r="P524" s="12">
        <f> 'Optimal Choice'!$B$12*'Optimal Choice'!$B$13^(J524+1)</f>
        <v>13169254.83</v>
      </c>
      <c r="Q524" s="12">
        <f> 'Optimal Choice'!$B$17*'Optimal Choice'!$B$18^(K524+1)</f>
        <v>64276846.66</v>
      </c>
      <c r="R524" s="12">
        <f> 'Optimal Choice'!$B$22*'Optimal Choice'!$B$23^(L524+1)</f>
        <v>248372206.2</v>
      </c>
      <c r="S524" s="12">
        <f> 'Optimal Choice'!$B$27*'Optimal Choice'!$B$28^(M524+1)</f>
        <v>1412566469</v>
      </c>
    </row>
    <row r="525" ht="15.75" customHeight="1">
      <c r="A525" s="10">
        <f t="shared" si="2"/>
        <v>1244.670278</v>
      </c>
      <c r="B525" s="6">
        <f>(I525*'Optimal Choice'!$B$6+J525*'Optimal Choice'!$B$11+K525*'Optimal Choice'!$B$16+L525*'Optimal Choice'!$B$21+M525*'Optimal Choice'!$B$26)*'Optimal Choice'!$B$30</f>
        <v>218948.95</v>
      </c>
      <c r="C525" s="10">
        <f>(O525/$B525)+(O525/'Optimal Choice'!$B$6)</f>
        <v>699406.2069</v>
      </c>
      <c r="D525" s="10">
        <f>(P525/$B525)+(P525/'Optimal Choice'!$B$11)</f>
        <v>658522.8891</v>
      </c>
      <c r="E525" s="10">
        <f>(Q525/$B525)+(Q525/'Optimal Choice'!$B$16)</f>
        <v>714480.7552</v>
      </c>
      <c r="F525" s="10">
        <f>(R525/$B525)+(R525/'Optimal Choice'!$B$21)</f>
        <v>691057.1792</v>
      </c>
      <c r="G525" s="10">
        <f>(S525/$B525)+(S525/'Optimal Choice'!$B$26)</f>
        <v>660417.5368</v>
      </c>
      <c r="I525" s="11">
        <f t="shared" ref="I525:M525" si="524">if(min($C524:$G524)=C524,I524+1,I524)</f>
        <v>185</v>
      </c>
      <c r="J525" s="11">
        <f t="shared" si="524"/>
        <v>87</v>
      </c>
      <c r="K525" s="11">
        <f t="shared" si="524"/>
        <v>86</v>
      </c>
      <c r="L525" s="11">
        <f t="shared" si="524"/>
        <v>83</v>
      </c>
      <c r="M525" s="11">
        <f t="shared" si="524"/>
        <v>83</v>
      </c>
      <c r="O525" s="12">
        <f> 'Optimal Choice'!$B$7*'Optimal Choice'!$B$8^(I525+1)</f>
        <v>1167999.457</v>
      </c>
      <c r="P525" s="12">
        <f> 'Optimal Choice'!$B$12*'Optimal Choice'!$B$13^(J525+1)</f>
        <v>13169254.83</v>
      </c>
      <c r="Q525" s="12">
        <f> 'Optimal Choice'!$B$17*'Optimal Choice'!$B$18^(K525+1)</f>
        <v>64276846.66</v>
      </c>
      <c r="R525" s="12">
        <f> 'Optimal Choice'!$B$22*'Optimal Choice'!$B$23^(L525+1)</f>
        <v>248372206.2</v>
      </c>
      <c r="S525" s="12">
        <f> 'Optimal Choice'!$B$27*'Optimal Choice'!$B$28^(M525+1)</f>
        <v>1412566469</v>
      </c>
    </row>
    <row r="526" ht="15.75" customHeight="1">
      <c r="A526" s="10">
        <f t="shared" si="2"/>
        <v>1245.672738</v>
      </c>
      <c r="B526" s="6">
        <f>(I526*'Optimal Choice'!$B$6+J526*'Optimal Choice'!$B$11+K526*'Optimal Choice'!$B$16+L526*'Optimal Choice'!$B$21+M526*'Optimal Choice'!$B$26)*'Optimal Choice'!$B$30</f>
        <v>218968.95</v>
      </c>
      <c r="C526" s="10">
        <f>(O526/$B526)+(O526/'Optimal Choice'!$B$6)</f>
        <v>699406.2064</v>
      </c>
      <c r="D526" s="10">
        <f>(P526/$B526)+(P526/'Optimal Choice'!$B$11)</f>
        <v>757301.3161</v>
      </c>
      <c r="E526" s="10">
        <f>(Q526/$B526)+(Q526/'Optimal Choice'!$B$16)</f>
        <v>714480.7284</v>
      </c>
      <c r="F526" s="10">
        <f>(R526/$B526)+(R526/'Optimal Choice'!$B$21)</f>
        <v>691057.0756</v>
      </c>
      <c r="G526" s="10">
        <f>(S526/$B526)+(S526/'Optimal Choice'!$B$26)</f>
        <v>660416.9476</v>
      </c>
      <c r="I526" s="11">
        <f t="shared" ref="I526:M526" si="525">if(min($C525:$G525)=C525,I525+1,I525)</f>
        <v>185</v>
      </c>
      <c r="J526" s="11">
        <f t="shared" si="525"/>
        <v>88</v>
      </c>
      <c r="K526" s="11">
        <f t="shared" si="525"/>
        <v>86</v>
      </c>
      <c r="L526" s="11">
        <f t="shared" si="525"/>
        <v>83</v>
      </c>
      <c r="M526" s="11">
        <f t="shared" si="525"/>
        <v>83</v>
      </c>
      <c r="O526" s="12">
        <f> 'Optimal Choice'!$B$7*'Optimal Choice'!$B$8^(I526+1)</f>
        <v>1167999.457</v>
      </c>
      <c r="P526" s="12">
        <f> 'Optimal Choice'!$B$12*'Optimal Choice'!$B$13^(J526+1)</f>
        <v>15144643.05</v>
      </c>
      <c r="Q526" s="12">
        <f> 'Optimal Choice'!$B$17*'Optimal Choice'!$B$18^(K526+1)</f>
        <v>64276846.66</v>
      </c>
      <c r="R526" s="12">
        <f> 'Optimal Choice'!$B$22*'Optimal Choice'!$B$23^(L526+1)</f>
        <v>248372206.2</v>
      </c>
      <c r="S526" s="12">
        <f> 'Optimal Choice'!$B$27*'Optimal Choice'!$B$28^(M526+1)</f>
        <v>1412566469</v>
      </c>
    </row>
    <row r="527" ht="15.75" customHeight="1">
      <c r="A527" s="10">
        <f t="shared" si="2"/>
        <v>1353.189236</v>
      </c>
      <c r="B527" s="6">
        <f>(I527*'Optimal Choice'!$B$6+J527*'Optimal Choice'!$B$11+K527*'Optimal Choice'!$B$16+L527*'Optimal Choice'!$B$21+M527*'Optimal Choice'!$B$26)*'Optimal Choice'!$B$30</f>
        <v>221128.95</v>
      </c>
      <c r="C527" s="10">
        <f>(O527/$B527)+(O527/'Optimal Choice'!$B$6)</f>
        <v>699406.1543</v>
      </c>
      <c r="D527" s="10">
        <f>(P527/$B527)+(P527/'Optimal Choice'!$B$11)</f>
        <v>757300.6405</v>
      </c>
      <c r="E527" s="10">
        <f>(Q527/$B527)+(Q527/'Optimal Choice'!$B$16)</f>
        <v>714477.861</v>
      </c>
      <c r="F527" s="10">
        <f>(R527/$B527)+(R527/'Optimal Choice'!$B$21)</f>
        <v>691045.9959</v>
      </c>
      <c r="G527" s="10">
        <f>(S527/$B527)+(S527/'Optimal Choice'!$B$26)</f>
        <v>739596.406</v>
      </c>
      <c r="I527" s="11">
        <f t="shared" ref="I527:M527" si="526">if(min($C526:$G526)=C526,I526+1,I526)</f>
        <v>185</v>
      </c>
      <c r="J527" s="11">
        <f t="shared" si="526"/>
        <v>88</v>
      </c>
      <c r="K527" s="11">
        <f t="shared" si="526"/>
        <v>86</v>
      </c>
      <c r="L527" s="11">
        <f t="shared" si="526"/>
        <v>83</v>
      </c>
      <c r="M527" s="11">
        <f t="shared" si="526"/>
        <v>84</v>
      </c>
      <c r="O527" s="12">
        <f> 'Optimal Choice'!$B$7*'Optimal Choice'!$B$8^(I527+1)</f>
        <v>1167999.457</v>
      </c>
      <c r="P527" s="12">
        <f> 'Optimal Choice'!$B$12*'Optimal Choice'!$B$13^(J527+1)</f>
        <v>15144643.05</v>
      </c>
      <c r="Q527" s="12">
        <f> 'Optimal Choice'!$B$17*'Optimal Choice'!$B$18^(K527+1)</f>
        <v>64276846.66</v>
      </c>
      <c r="R527" s="12">
        <f> 'Optimal Choice'!$B$22*'Optimal Choice'!$B$23^(L527+1)</f>
        <v>248372206.2</v>
      </c>
      <c r="S527" s="12">
        <f> 'Optimal Choice'!$B$27*'Optimal Choice'!$B$28^(M527+1)</f>
        <v>1582074445</v>
      </c>
    </row>
    <row r="528" ht="15.75" customHeight="1">
      <c r="A528" s="10">
        <f t="shared" si="2"/>
        <v>1371.909248</v>
      </c>
      <c r="B528" s="6">
        <f>(I528*'Optimal Choice'!$B$6+J528*'Optimal Choice'!$B$11+K528*'Optimal Choice'!$B$16+L528*'Optimal Choice'!$B$21+M528*'Optimal Choice'!$B$26)*'Optimal Choice'!$B$30</f>
        <v>221488.95</v>
      </c>
      <c r="C528" s="10">
        <f>(O528/$B528)+(O528/'Optimal Choice'!$B$6)</f>
        <v>699406.1457</v>
      </c>
      <c r="D528" s="10">
        <f>(P528/$B528)+(P528/'Optimal Choice'!$B$11)</f>
        <v>757300.5292</v>
      </c>
      <c r="E528" s="10">
        <f>(Q528/$B528)+(Q528/'Optimal Choice'!$B$16)</f>
        <v>714477.3886</v>
      </c>
      <c r="F528" s="10">
        <f>(R528/$B528)+(R528/'Optimal Choice'!$B$21)</f>
        <v>780879.9124</v>
      </c>
      <c r="G528" s="10">
        <f>(S528/$B528)+(S528/'Optimal Choice'!$B$26)</f>
        <v>739584.7773</v>
      </c>
      <c r="I528" s="11">
        <f t="shared" ref="I528:M528" si="527">if(min($C527:$G527)=C527,I527+1,I527)</f>
        <v>185</v>
      </c>
      <c r="J528" s="11">
        <f t="shared" si="527"/>
        <v>88</v>
      </c>
      <c r="K528" s="11">
        <f t="shared" si="527"/>
        <v>86</v>
      </c>
      <c r="L528" s="11">
        <f t="shared" si="527"/>
        <v>84</v>
      </c>
      <c r="M528" s="11">
        <f t="shared" si="527"/>
        <v>84</v>
      </c>
      <c r="O528" s="12">
        <f> 'Optimal Choice'!$B$7*'Optimal Choice'!$B$8^(I528+1)</f>
        <v>1167999.457</v>
      </c>
      <c r="P528" s="12">
        <f> 'Optimal Choice'!$B$12*'Optimal Choice'!$B$13^(J528+1)</f>
        <v>15144643.05</v>
      </c>
      <c r="Q528" s="12">
        <f> 'Optimal Choice'!$B$17*'Optimal Choice'!$B$18^(K528+1)</f>
        <v>64276846.66</v>
      </c>
      <c r="R528" s="12">
        <f> 'Optimal Choice'!$B$22*'Optimal Choice'!$B$23^(L528+1)</f>
        <v>280660593.1</v>
      </c>
      <c r="S528" s="12">
        <f> 'Optimal Choice'!$B$27*'Optimal Choice'!$B$28^(M528+1)</f>
        <v>1582074445</v>
      </c>
    </row>
    <row r="529" ht="15.75" customHeight="1">
      <c r="A529" s="10">
        <f t="shared" si="2"/>
        <v>1371.997138</v>
      </c>
      <c r="B529" s="6">
        <f>(I529*'Optimal Choice'!$B$6+J529*'Optimal Choice'!$B$11+K529*'Optimal Choice'!$B$16+L529*'Optimal Choice'!$B$21+M529*'Optimal Choice'!$B$26)*'Optimal Choice'!$B$30</f>
        <v>221490.62</v>
      </c>
      <c r="C529" s="10">
        <f>(O529/$B529)+(O529/'Optimal Choice'!$B$6)</f>
        <v>748364.5759</v>
      </c>
      <c r="D529" s="10">
        <f>(P529/$B529)+(P529/'Optimal Choice'!$B$11)</f>
        <v>757300.5287</v>
      </c>
      <c r="E529" s="10">
        <f>(Q529/$B529)+(Q529/'Optimal Choice'!$B$16)</f>
        <v>714477.3864</v>
      </c>
      <c r="F529" s="10">
        <f>(R529/$B529)+(R529/'Optimal Choice'!$B$21)</f>
        <v>780879.9029</v>
      </c>
      <c r="G529" s="10">
        <f>(S529/$B529)+(S529/'Optimal Choice'!$B$26)</f>
        <v>739584.7234</v>
      </c>
      <c r="I529" s="11">
        <f t="shared" ref="I529:M529" si="528">if(min($C528:$G528)=C528,I528+1,I528)</f>
        <v>186</v>
      </c>
      <c r="J529" s="11">
        <f t="shared" si="528"/>
        <v>88</v>
      </c>
      <c r="K529" s="11">
        <f t="shared" si="528"/>
        <v>86</v>
      </c>
      <c r="L529" s="11">
        <f t="shared" si="528"/>
        <v>84</v>
      </c>
      <c r="M529" s="11">
        <f t="shared" si="528"/>
        <v>84</v>
      </c>
      <c r="O529" s="12">
        <f> 'Optimal Choice'!$B$7*'Optimal Choice'!$B$8^(I529+1)</f>
        <v>1249759.419</v>
      </c>
      <c r="P529" s="12">
        <f> 'Optimal Choice'!$B$12*'Optimal Choice'!$B$13^(J529+1)</f>
        <v>15144643.05</v>
      </c>
      <c r="Q529" s="12">
        <f> 'Optimal Choice'!$B$17*'Optimal Choice'!$B$18^(K529+1)</f>
        <v>64276846.66</v>
      </c>
      <c r="R529" s="12">
        <f> 'Optimal Choice'!$B$22*'Optimal Choice'!$B$23^(L529+1)</f>
        <v>280660593.1</v>
      </c>
      <c r="S529" s="12">
        <f> 'Optimal Choice'!$B$27*'Optimal Choice'!$B$28^(M529+1)</f>
        <v>1582074445</v>
      </c>
    </row>
    <row r="530" ht="15.75" customHeight="1">
      <c r="A530" s="10">
        <f t="shared" si="2"/>
        <v>1376.833825</v>
      </c>
      <c r="B530" s="6">
        <f>(I530*'Optimal Choice'!$B$6+J530*'Optimal Choice'!$B$11+K530*'Optimal Choice'!$B$16+L530*'Optimal Choice'!$B$21+M530*'Optimal Choice'!$B$26)*'Optimal Choice'!$B$30</f>
        <v>221580.62</v>
      </c>
      <c r="C530" s="10">
        <f>(O530/$B530)+(O530/'Optimal Choice'!$B$6)</f>
        <v>748364.5736</v>
      </c>
      <c r="D530" s="10">
        <f>(P530/$B530)+(P530/'Optimal Choice'!$B$11)</f>
        <v>757300.5009</v>
      </c>
      <c r="E530" s="10">
        <f>(Q530/$B530)+(Q530/'Optimal Choice'!$B$16)</f>
        <v>814504.0861</v>
      </c>
      <c r="F530" s="10">
        <f>(R530/$B530)+(R530/'Optimal Choice'!$B$21)</f>
        <v>780879.3882</v>
      </c>
      <c r="G530" s="10">
        <f>(S530/$B530)+(S530/'Optimal Choice'!$B$26)</f>
        <v>739581.8222</v>
      </c>
      <c r="I530" s="11">
        <f t="shared" ref="I530:M530" si="529">if(min($C529:$G529)=C529,I529+1,I529)</f>
        <v>186</v>
      </c>
      <c r="J530" s="11">
        <f t="shared" si="529"/>
        <v>88</v>
      </c>
      <c r="K530" s="11">
        <f t="shared" si="529"/>
        <v>87</v>
      </c>
      <c r="L530" s="11">
        <f t="shared" si="529"/>
        <v>84</v>
      </c>
      <c r="M530" s="11">
        <f t="shared" si="529"/>
        <v>84</v>
      </c>
      <c r="O530" s="12">
        <f> 'Optimal Choice'!$B$7*'Optimal Choice'!$B$8^(I530+1)</f>
        <v>1249759.419</v>
      </c>
      <c r="P530" s="12">
        <f> 'Optimal Choice'!$B$12*'Optimal Choice'!$B$13^(J530+1)</f>
        <v>15144643.05</v>
      </c>
      <c r="Q530" s="12">
        <f> 'Optimal Choice'!$B$17*'Optimal Choice'!$B$18^(K530+1)</f>
        <v>73275605.2</v>
      </c>
      <c r="R530" s="12">
        <f> 'Optimal Choice'!$B$22*'Optimal Choice'!$B$23^(L530+1)</f>
        <v>280660593.1</v>
      </c>
      <c r="S530" s="12">
        <f> 'Optimal Choice'!$B$27*'Optimal Choice'!$B$28^(M530+1)</f>
        <v>1582074445</v>
      </c>
    </row>
    <row r="531" ht="15.75" customHeight="1">
      <c r="A531" s="10">
        <f t="shared" si="2"/>
        <v>1495.832984</v>
      </c>
      <c r="B531" s="6">
        <f>(I531*'Optimal Choice'!$B$6+J531*'Optimal Choice'!$B$11+K531*'Optimal Choice'!$B$16+L531*'Optimal Choice'!$B$21+M531*'Optimal Choice'!$B$26)*'Optimal Choice'!$B$30</f>
        <v>223740.62</v>
      </c>
      <c r="C531" s="10">
        <f>(O531/$B531)+(O531/'Optimal Choice'!$B$6)</f>
        <v>748364.5191</v>
      </c>
      <c r="D531" s="10">
        <f>(P531/$B531)+(P531/'Optimal Choice'!$B$11)</f>
        <v>757299.8411</v>
      </c>
      <c r="E531" s="10">
        <f>(Q531/$B531)+(Q531/'Optimal Choice'!$B$16)</f>
        <v>814500.8935</v>
      </c>
      <c r="F531" s="10">
        <f>(R531/$B531)+(R531/'Optimal Choice'!$B$21)</f>
        <v>780867.1601</v>
      </c>
      <c r="G531" s="10">
        <f>(S531/$B531)+(S531/'Optimal Choice'!$B$26)</f>
        <v>828254.44</v>
      </c>
      <c r="I531" s="11">
        <f t="shared" ref="I531:M531" si="530">if(min($C530:$G530)=C530,I530+1,I530)</f>
        <v>186</v>
      </c>
      <c r="J531" s="11">
        <f t="shared" si="530"/>
        <v>88</v>
      </c>
      <c r="K531" s="11">
        <f t="shared" si="530"/>
        <v>87</v>
      </c>
      <c r="L531" s="11">
        <f t="shared" si="530"/>
        <v>84</v>
      </c>
      <c r="M531" s="11">
        <f t="shared" si="530"/>
        <v>85</v>
      </c>
      <c r="O531" s="12">
        <f> 'Optimal Choice'!$B$7*'Optimal Choice'!$B$8^(I531+1)</f>
        <v>1249759.419</v>
      </c>
      <c r="P531" s="12">
        <f> 'Optimal Choice'!$B$12*'Optimal Choice'!$B$13^(J531+1)</f>
        <v>15144643.05</v>
      </c>
      <c r="Q531" s="12">
        <f> 'Optimal Choice'!$B$17*'Optimal Choice'!$B$18^(K531+1)</f>
        <v>73275605.2</v>
      </c>
      <c r="R531" s="12">
        <f> 'Optimal Choice'!$B$22*'Optimal Choice'!$B$23^(L531+1)</f>
        <v>280660593.1</v>
      </c>
      <c r="S531" s="12">
        <f> 'Optimal Choice'!$B$27*'Optimal Choice'!$B$28^(M531+1)</f>
        <v>1771923378</v>
      </c>
    </row>
    <row r="532" ht="15.75" customHeight="1">
      <c r="A532" s="10">
        <f t="shared" si="2"/>
        <v>1495.92608</v>
      </c>
      <c r="B532" s="6">
        <f>(I532*'Optimal Choice'!$B$6+J532*'Optimal Choice'!$B$11+K532*'Optimal Choice'!$B$16+L532*'Optimal Choice'!$B$21+M532*'Optimal Choice'!$B$26)*'Optimal Choice'!$B$30</f>
        <v>223742.29</v>
      </c>
      <c r="C532" s="10">
        <f>(O532/$B532)+(O532/'Optimal Choice'!$B$6)</f>
        <v>800750.0354</v>
      </c>
      <c r="D532" s="10">
        <f>(P532/$B532)+(P532/'Optimal Choice'!$B$11)</f>
        <v>757299.8406</v>
      </c>
      <c r="E532" s="10">
        <f>(Q532/$B532)+(Q532/'Optimal Choice'!$B$16)</f>
        <v>814500.8911</v>
      </c>
      <c r="F532" s="10">
        <f>(R532/$B532)+(R532/'Optimal Choice'!$B$21)</f>
        <v>780867.1507</v>
      </c>
      <c r="G532" s="10">
        <f>(S532/$B532)+(S532/'Optimal Choice'!$B$26)</f>
        <v>828254.3809</v>
      </c>
      <c r="I532" s="11">
        <f t="shared" ref="I532:M532" si="531">if(min($C531:$G531)=C531,I531+1,I531)</f>
        <v>187</v>
      </c>
      <c r="J532" s="11">
        <f t="shared" si="531"/>
        <v>88</v>
      </c>
      <c r="K532" s="11">
        <f t="shared" si="531"/>
        <v>87</v>
      </c>
      <c r="L532" s="11">
        <f t="shared" si="531"/>
        <v>84</v>
      </c>
      <c r="M532" s="11">
        <f t="shared" si="531"/>
        <v>85</v>
      </c>
      <c r="O532" s="12">
        <f> 'Optimal Choice'!$B$7*'Optimal Choice'!$B$8^(I532+1)</f>
        <v>1337242.578</v>
      </c>
      <c r="P532" s="12">
        <f> 'Optimal Choice'!$B$12*'Optimal Choice'!$B$13^(J532+1)</f>
        <v>15144643.05</v>
      </c>
      <c r="Q532" s="12">
        <f> 'Optimal Choice'!$B$17*'Optimal Choice'!$B$18^(K532+1)</f>
        <v>73275605.2</v>
      </c>
      <c r="R532" s="12">
        <f> 'Optimal Choice'!$B$22*'Optimal Choice'!$B$23^(L532+1)</f>
        <v>280660593.1</v>
      </c>
      <c r="S532" s="12">
        <f> 'Optimal Choice'!$B$27*'Optimal Choice'!$B$28^(M532+1)</f>
        <v>1771923378</v>
      </c>
    </row>
    <row r="533" ht="15.75" customHeight="1">
      <c r="A533" s="10">
        <f t="shared" si="2"/>
        <v>1497.054211</v>
      </c>
      <c r="B533" s="6">
        <f>(I533*'Optimal Choice'!$B$6+J533*'Optimal Choice'!$B$11+K533*'Optimal Choice'!$B$16+L533*'Optimal Choice'!$B$21+M533*'Optimal Choice'!$B$26)*'Optimal Choice'!$B$30</f>
        <v>223762.29</v>
      </c>
      <c r="C533" s="10">
        <f>(O533/$B533)+(O533/'Optimal Choice'!$B$6)</f>
        <v>800750.0349</v>
      </c>
      <c r="D533" s="10">
        <f>(P533/$B533)+(P533/'Optimal Choice'!$B$11)</f>
        <v>870894.8097</v>
      </c>
      <c r="E533" s="10">
        <f>(Q533/$B533)+(Q533/'Optimal Choice'!$B$16)</f>
        <v>814500.8618</v>
      </c>
      <c r="F533" s="10">
        <f>(R533/$B533)+(R533/'Optimal Choice'!$B$21)</f>
        <v>780867.0386</v>
      </c>
      <c r="G533" s="10">
        <f>(S533/$B533)+(S533/'Optimal Choice'!$B$26)</f>
        <v>828253.6731</v>
      </c>
      <c r="I533" s="11">
        <f t="shared" ref="I533:M533" si="532">if(min($C532:$G532)=C532,I532+1,I532)</f>
        <v>187</v>
      </c>
      <c r="J533" s="11">
        <f t="shared" si="532"/>
        <v>89</v>
      </c>
      <c r="K533" s="11">
        <f t="shared" si="532"/>
        <v>87</v>
      </c>
      <c r="L533" s="11">
        <f t="shared" si="532"/>
        <v>84</v>
      </c>
      <c r="M533" s="11">
        <f t="shared" si="532"/>
        <v>85</v>
      </c>
      <c r="O533" s="12">
        <f> 'Optimal Choice'!$B$7*'Optimal Choice'!$B$8^(I533+1)</f>
        <v>1337242.578</v>
      </c>
      <c r="P533" s="12">
        <f> 'Optimal Choice'!$B$12*'Optimal Choice'!$B$13^(J533+1)</f>
        <v>17416339.51</v>
      </c>
      <c r="Q533" s="12">
        <f> 'Optimal Choice'!$B$17*'Optimal Choice'!$B$18^(K533+1)</f>
        <v>73275605.2</v>
      </c>
      <c r="R533" s="12">
        <f> 'Optimal Choice'!$B$22*'Optimal Choice'!$B$23^(L533+1)</f>
        <v>280660593.1</v>
      </c>
      <c r="S533" s="12">
        <f> 'Optimal Choice'!$B$27*'Optimal Choice'!$B$28^(M533+1)</f>
        <v>1771923378</v>
      </c>
    </row>
    <row r="534" ht="15.75" customHeight="1">
      <c r="A534" s="10">
        <f t="shared" si="2"/>
        <v>1517.95888</v>
      </c>
      <c r="B534" s="6">
        <f>(I534*'Optimal Choice'!$B$6+J534*'Optimal Choice'!$B$11+K534*'Optimal Choice'!$B$16+L534*'Optimal Choice'!$B$21+M534*'Optimal Choice'!$B$26)*'Optimal Choice'!$B$30</f>
        <v>224122.29</v>
      </c>
      <c r="C534" s="10">
        <f>(O534/$B534)+(O534/'Optimal Choice'!$B$6)</f>
        <v>800750.0253</v>
      </c>
      <c r="D534" s="10">
        <f>(P534/$B534)+(P534/'Optimal Choice'!$B$11)</f>
        <v>870894.6847</v>
      </c>
      <c r="E534" s="10">
        <f>(Q534/$B534)+(Q534/'Optimal Choice'!$B$16)</f>
        <v>814500.3358</v>
      </c>
      <c r="F534" s="10">
        <f>(R534/$B534)+(R534/'Optimal Choice'!$B$21)</f>
        <v>882377.477</v>
      </c>
      <c r="G534" s="10">
        <f>(S534/$B534)+(S534/'Optimal Choice'!$B$26)</f>
        <v>828240.9534</v>
      </c>
      <c r="I534" s="11">
        <f t="shared" ref="I534:M534" si="533">if(min($C533:$G533)=C533,I533+1,I533)</f>
        <v>187</v>
      </c>
      <c r="J534" s="11">
        <f t="shared" si="533"/>
        <v>89</v>
      </c>
      <c r="K534" s="11">
        <f t="shared" si="533"/>
        <v>87</v>
      </c>
      <c r="L534" s="11">
        <f t="shared" si="533"/>
        <v>85</v>
      </c>
      <c r="M534" s="11">
        <f t="shared" si="533"/>
        <v>85</v>
      </c>
      <c r="O534" s="12">
        <f> 'Optimal Choice'!$B$7*'Optimal Choice'!$B$8^(I534+1)</f>
        <v>1337242.578</v>
      </c>
      <c r="P534" s="12">
        <f> 'Optimal Choice'!$B$12*'Optimal Choice'!$B$13^(J534+1)</f>
        <v>17416339.51</v>
      </c>
      <c r="Q534" s="12">
        <f> 'Optimal Choice'!$B$17*'Optimal Choice'!$B$18^(K534+1)</f>
        <v>73275605.2</v>
      </c>
      <c r="R534" s="12">
        <f> 'Optimal Choice'!$B$22*'Optimal Choice'!$B$23^(L534+1)</f>
        <v>317146470.2</v>
      </c>
      <c r="S534" s="12">
        <f> 'Optimal Choice'!$B$27*'Optimal Choice'!$B$28^(M534+1)</f>
        <v>1771923378</v>
      </c>
    </row>
    <row r="535" ht="15.75" customHeight="1">
      <c r="A535" s="10">
        <f t="shared" si="2"/>
        <v>1518.058323</v>
      </c>
      <c r="B535" s="6">
        <f>(I535*'Optimal Choice'!$B$6+J535*'Optimal Choice'!$B$11+K535*'Optimal Choice'!$B$16+L535*'Optimal Choice'!$B$21+M535*'Optimal Choice'!$B$26)*'Optimal Choice'!$B$30</f>
        <v>224123.96</v>
      </c>
      <c r="C535" s="10">
        <f>(O535/$B535)+(O535/'Optimal Choice'!$B$6)</f>
        <v>856802.527</v>
      </c>
      <c r="D535" s="10">
        <f>(P535/$B535)+(P535/'Optimal Choice'!$B$11)</f>
        <v>870894.6841</v>
      </c>
      <c r="E535" s="10">
        <f>(Q535/$B535)+(Q535/'Optimal Choice'!$B$16)</f>
        <v>814500.3334</v>
      </c>
      <c r="F535" s="10">
        <f>(R535/$B535)+(R535/'Optimal Choice'!$B$21)</f>
        <v>882377.4665</v>
      </c>
      <c r="G535" s="10">
        <f>(S535/$B535)+(S535/'Optimal Choice'!$B$26)</f>
        <v>828240.8945</v>
      </c>
      <c r="I535" s="11">
        <f t="shared" ref="I535:M535" si="534">if(min($C534:$G534)=C534,I534+1,I534)</f>
        <v>188</v>
      </c>
      <c r="J535" s="11">
        <f t="shared" si="534"/>
        <v>89</v>
      </c>
      <c r="K535" s="11">
        <f t="shared" si="534"/>
        <v>87</v>
      </c>
      <c r="L535" s="11">
        <f t="shared" si="534"/>
        <v>85</v>
      </c>
      <c r="M535" s="11">
        <f t="shared" si="534"/>
        <v>85</v>
      </c>
      <c r="O535" s="12">
        <f> 'Optimal Choice'!$B$7*'Optimal Choice'!$B$8^(I535+1)</f>
        <v>1430849.558</v>
      </c>
      <c r="P535" s="12">
        <f> 'Optimal Choice'!$B$12*'Optimal Choice'!$B$13^(J535+1)</f>
        <v>17416339.51</v>
      </c>
      <c r="Q535" s="12">
        <f> 'Optimal Choice'!$B$17*'Optimal Choice'!$B$18^(K535+1)</f>
        <v>73275605.2</v>
      </c>
      <c r="R535" s="12">
        <f> 'Optimal Choice'!$B$22*'Optimal Choice'!$B$23^(L535+1)</f>
        <v>317146470.2</v>
      </c>
      <c r="S535" s="12">
        <f> 'Optimal Choice'!$B$27*'Optimal Choice'!$B$28^(M535+1)</f>
        <v>1771923378</v>
      </c>
    </row>
    <row r="536" ht="15.75" customHeight="1">
      <c r="A536" s="10">
        <f t="shared" si="2"/>
        <v>1523.507362</v>
      </c>
      <c r="B536" s="6">
        <f>(I536*'Optimal Choice'!$B$6+J536*'Optimal Choice'!$B$11+K536*'Optimal Choice'!$B$16+L536*'Optimal Choice'!$B$21+M536*'Optimal Choice'!$B$26)*'Optimal Choice'!$B$30</f>
        <v>224213.96</v>
      </c>
      <c r="C536" s="10">
        <f>(O536/$B536)+(O536/'Optimal Choice'!$B$6)</f>
        <v>856802.5244</v>
      </c>
      <c r="D536" s="10">
        <f>(P536/$B536)+(P536/'Optimal Choice'!$B$11)</f>
        <v>870894.6529</v>
      </c>
      <c r="E536" s="10">
        <f>(Q536/$B536)+(Q536/'Optimal Choice'!$B$16)</f>
        <v>928530.2304</v>
      </c>
      <c r="F536" s="10">
        <f>(R536/$B536)+(R536/'Optimal Choice'!$B$21)</f>
        <v>882376.8985</v>
      </c>
      <c r="G536" s="10">
        <f>(S536/$B536)+(S536/'Optimal Choice'!$B$26)</f>
        <v>828237.721</v>
      </c>
      <c r="I536" s="11">
        <f t="shared" ref="I536:M536" si="535">if(min($C535:$G535)=C535,I535+1,I535)</f>
        <v>188</v>
      </c>
      <c r="J536" s="11">
        <f t="shared" si="535"/>
        <v>89</v>
      </c>
      <c r="K536" s="11">
        <f t="shared" si="535"/>
        <v>88</v>
      </c>
      <c r="L536" s="11">
        <f t="shared" si="535"/>
        <v>85</v>
      </c>
      <c r="M536" s="11">
        <f t="shared" si="535"/>
        <v>85</v>
      </c>
      <c r="O536" s="12">
        <f> 'Optimal Choice'!$B$7*'Optimal Choice'!$B$8^(I536+1)</f>
        <v>1430849.558</v>
      </c>
      <c r="P536" s="12">
        <f> 'Optimal Choice'!$B$12*'Optimal Choice'!$B$13^(J536+1)</f>
        <v>17416339.51</v>
      </c>
      <c r="Q536" s="12">
        <f> 'Optimal Choice'!$B$17*'Optimal Choice'!$B$18^(K536+1)</f>
        <v>83534189.92</v>
      </c>
      <c r="R536" s="12">
        <f> 'Optimal Choice'!$B$22*'Optimal Choice'!$B$23^(L536+1)</f>
        <v>317146470.2</v>
      </c>
      <c r="S536" s="12">
        <f> 'Optimal Choice'!$B$27*'Optimal Choice'!$B$28^(M536+1)</f>
        <v>1771923378</v>
      </c>
    </row>
    <row r="537" ht="15.75" customHeight="1">
      <c r="A537" s="10">
        <f t="shared" si="2"/>
        <v>1655.221089</v>
      </c>
      <c r="B537" s="6">
        <f>(I537*'Optimal Choice'!$B$6+J537*'Optimal Choice'!$B$11+K537*'Optimal Choice'!$B$16+L537*'Optimal Choice'!$B$21+M537*'Optimal Choice'!$B$26)*'Optimal Choice'!$B$30</f>
        <v>226373.96</v>
      </c>
      <c r="C537" s="10">
        <f>(O537/$B537)+(O537/'Optimal Choice'!$B$6)</f>
        <v>856802.4635</v>
      </c>
      <c r="D537" s="10">
        <f>(P537/$B537)+(P537/'Optimal Choice'!$B$11)</f>
        <v>870893.9118</v>
      </c>
      <c r="E537" s="10">
        <f>(Q537/$B537)+(Q537/'Optimal Choice'!$B$16)</f>
        <v>928526.6755</v>
      </c>
      <c r="F537" s="10">
        <f>(R537/$B537)+(R537/'Optimal Choice'!$B$21)</f>
        <v>882363.4019</v>
      </c>
      <c r="G537" s="10">
        <f>(S537/$B537)+(S537/'Optimal Choice'!$B$26)</f>
        <v>927541.7921</v>
      </c>
      <c r="I537" s="11">
        <f t="shared" ref="I537:M537" si="536">if(min($C536:$G536)=C536,I536+1,I536)</f>
        <v>188</v>
      </c>
      <c r="J537" s="11">
        <f t="shared" si="536"/>
        <v>89</v>
      </c>
      <c r="K537" s="11">
        <f t="shared" si="536"/>
        <v>88</v>
      </c>
      <c r="L537" s="11">
        <f t="shared" si="536"/>
        <v>85</v>
      </c>
      <c r="M537" s="11">
        <f t="shared" si="536"/>
        <v>86</v>
      </c>
      <c r="O537" s="12">
        <f> 'Optimal Choice'!$B$7*'Optimal Choice'!$B$8^(I537+1)</f>
        <v>1430849.558</v>
      </c>
      <c r="P537" s="12">
        <f> 'Optimal Choice'!$B$12*'Optimal Choice'!$B$13^(J537+1)</f>
        <v>17416339.51</v>
      </c>
      <c r="Q537" s="12">
        <f> 'Optimal Choice'!$B$17*'Optimal Choice'!$B$18^(K537+1)</f>
        <v>83534189.92</v>
      </c>
      <c r="R537" s="12">
        <f> 'Optimal Choice'!$B$22*'Optimal Choice'!$B$23^(L537+1)</f>
        <v>317146470.2</v>
      </c>
      <c r="S537" s="12">
        <f> 'Optimal Choice'!$B$27*'Optimal Choice'!$B$28^(M537+1)</f>
        <v>1984554184</v>
      </c>
    </row>
    <row r="538" ht="15.75" customHeight="1">
      <c r="A538" s="10">
        <f t="shared" si="2"/>
        <v>1655.326434</v>
      </c>
      <c r="B538" s="6">
        <f>(I538*'Optimal Choice'!$B$6+J538*'Optimal Choice'!$B$11+K538*'Optimal Choice'!$B$16+L538*'Optimal Choice'!$B$21+M538*'Optimal Choice'!$B$26)*'Optimal Choice'!$B$30</f>
        <v>226375.63</v>
      </c>
      <c r="C538" s="10">
        <f>(O538/$B538)+(O538/'Optimal Choice'!$B$6)</f>
        <v>916778.6359</v>
      </c>
      <c r="D538" s="10">
        <f>(P538/$B538)+(P538/'Optimal Choice'!$B$11)</f>
        <v>870893.9112</v>
      </c>
      <c r="E538" s="10">
        <f>(Q538/$B538)+(Q538/'Optimal Choice'!$B$16)</f>
        <v>928526.6728</v>
      </c>
      <c r="F538" s="10">
        <f>(R538/$B538)+(R538/'Optimal Choice'!$B$21)</f>
        <v>882363.3915</v>
      </c>
      <c r="G538" s="10">
        <f>(S538/$B538)+(S538/'Optimal Choice'!$B$26)</f>
        <v>927541.7274</v>
      </c>
      <c r="I538" s="11">
        <f t="shared" ref="I538:M538" si="537">if(min($C537:$G537)=C537,I537+1,I537)</f>
        <v>189</v>
      </c>
      <c r="J538" s="11">
        <f t="shared" si="537"/>
        <v>89</v>
      </c>
      <c r="K538" s="11">
        <f t="shared" si="537"/>
        <v>88</v>
      </c>
      <c r="L538" s="11">
        <f t="shared" si="537"/>
        <v>85</v>
      </c>
      <c r="M538" s="11">
        <f t="shared" si="537"/>
        <v>86</v>
      </c>
      <c r="O538" s="12">
        <f> 'Optimal Choice'!$B$7*'Optimal Choice'!$B$8^(I538+1)</f>
        <v>1531009.028</v>
      </c>
      <c r="P538" s="12">
        <f> 'Optimal Choice'!$B$12*'Optimal Choice'!$B$13^(J538+1)</f>
        <v>17416339.51</v>
      </c>
      <c r="Q538" s="12">
        <f> 'Optimal Choice'!$B$17*'Optimal Choice'!$B$18^(K538+1)</f>
        <v>83534189.92</v>
      </c>
      <c r="R538" s="12">
        <f> 'Optimal Choice'!$B$22*'Optimal Choice'!$B$23^(L538+1)</f>
        <v>317146470.2</v>
      </c>
      <c r="S538" s="12">
        <f> 'Optimal Choice'!$B$27*'Optimal Choice'!$B$28^(M538+1)</f>
        <v>1984554184</v>
      </c>
    </row>
    <row r="539" ht="15.75" customHeight="1">
      <c r="A539" s="10">
        <f t="shared" si="2"/>
        <v>1656.608694</v>
      </c>
      <c r="B539" s="6">
        <f>(I539*'Optimal Choice'!$B$6+J539*'Optimal Choice'!$B$11+K539*'Optimal Choice'!$B$16+L539*'Optimal Choice'!$B$21+M539*'Optimal Choice'!$B$26)*'Optimal Choice'!$B$30</f>
        <v>226395.63</v>
      </c>
      <c r="C539" s="10">
        <f>(O539/$B539)+(O539/'Optimal Choice'!$B$6)</f>
        <v>916778.6353</v>
      </c>
      <c r="D539" s="10">
        <f>(P539/$B539)+(P539/'Optimal Choice'!$B$11)</f>
        <v>1001527.99</v>
      </c>
      <c r="E539" s="10">
        <f>(Q539/$B539)+(Q539/'Optimal Choice'!$B$16)</f>
        <v>928526.6402</v>
      </c>
      <c r="F539" s="10">
        <f>(R539/$B539)+(R539/'Optimal Choice'!$B$21)</f>
        <v>882363.2678</v>
      </c>
      <c r="G539" s="10">
        <f>(S539/$B539)+(S539/'Optimal Choice'!$B$26)</f>
        <v>927540.953</v>
      </c>
      <c r="I539" s="11">
        <f t="shared" ref="I539:M539" si="538">if(min($C538:$G538)=C538,I538+1,I538)</f>
        <v>189</v>
      </c>
      <c r="J539" s="11">
        <f t="shared" si="538"/>
        <v>90</v>
      </c>
      <c r="K539" s="11">
        <f t="shared" si="538"/>
        <v>88</v>
      </c>
      <c r="L539" s="11">
        <f t="shared" si="538"/>
        <v>85</v>
      </c>
      <c r="M539" s="11">
        <f t="shared" si="538"/>
        <v>86</v>
      </c>
      <c r="O539" s="12">
        <f> 'Optimal Choice'!$B$7*'Optimal Choice'!$B$8^(I539+1)</f>
        <v>1531009.028</v>
      </c>
      <c r="P539" s="12">
        <f> 'Optimal Choice'!$B$12*'Optimal Choice'!$B$13^(J539+1)</f>
        <v>20028790.44</v>
      </c>
      <c r="Q539" s="12">
        <f> 'Optimal Choice'!$B$17*'Optimal Choice'!$B$18^(K539+1)</f>
        <v>83534189.92</v>
      </c>
      <c r="R539" s="12">
        <f> 'Optimal Choice'!$B$22*'Optimal Choice'!$B$23^(L539+1)</f>
        <v>317146470.2</v>
      </c>
      <c r="S539" s="12">
        <f> 'Optimal Choice'!$B$27*'Optimal Choice'!$B$28^(M539+1)</f>
        <v>1984554184</v>
      </c>
    </row>
    <row r="540" ht="15.75" customHeight="1">
      <c r="A540" s="10">
        <f t="shared" si="2"/>
        <v>1679.956205</v>
      </c>
      <c r="B540" s="6">
        <f>(I540*'Optimal Choice'!$B$6+J540*'Optimal Choice'!$B$11+K540*'Optimal Choice'!$B$16+L540*'Optimal Choice'!$B$21+M540*'Optimal Choice'!$B$26)*'Optimal Choice'!$B$30</f>
        <v>226755.63</v>
      </c>
      <c r="C540" s="10">
        <f>(O540/$B540)+(O540/'Optimal Choice'!$B$6)</f>
        <v>916778.6246</v>
      </c>
      <c r="D540" s="10">
        <f>(P540/$B540)+(P540/'Optimal Choice'!$B$11)</f>
        <v>1001527.85</v>
      </c>
      <c r="E540" s="10">
        <f>(Q540/$B540)+(Q540/'Optimal Choice'!$B$16)</f>
        <v>928526.0544</v>
      </c>
      <c r="F540" s="10">
        <f>(R540/$B540)+(R540/'Optimal Choice'!$B$21)</f>
        <v>997067.9794</v>
      </c>
      <c r="G540" s="10">
        <f>(S540/$B540)+(S540/'Optimal Choice'!$B$26)</f>
        <v>927527.0362</v>
      </c>
      <c r="I540" s="11">
        <f t="shared" ref="I540:M540" si="539">if(min($C539:$G539)=C539,I539+1,I539)</f>
        <v>189</v>
      </c>
      <c r="J540" s="11">
        <f t="shared" si="539"/>
        <v>90</v>
      </c>
      <c r="K540" s="11">
        <f t="shared" si="539"/>
        <v>88</v>
      </c>
      <c r="L540" s="11">
        <f t="shared" si="539"/>
        <v>86</v>
      </c>
      <c r="M540" s="11">
        <f t="shared" si="539"/>
        <v>86</v>
      </c>
      <c r="O540" s="12">
        <f> 'Optimal Choice'!$B$7*'Optimal Choice'!$B$8^(I540+1)</f>
        <v>1531009.028</v>
      </c>
      <c r="P540" s="12">
        <f> 'Optimal Choice'!$B$12*'Optimal Choice'!$B$13^(J540+1)</f>
        <v>20028790.44</v>
      </c>
      <c r="Q540" s="12">
        <f> 'Optimal Choice'!$B$17*'Optimal Choice'!$B$18^(K540+1)</f>
        <v>83534189.92</v>
      </c>
      <c r="R540" s="12">
        <f> 'Optimal Choice'!$B$22*'Optimal Choice'!$B$23^(L540+1)</f>
        <v>358375511.3</v>
      </c>
      <c r="S540" s="12">
        <f> 'Optimal Choice'!$B$27*'Optimal Choice'!$B$28^(M540+1)</f>
        <v>1984554184</v>
      </c>
    </row>
    <row r="541" ht="15.75" customHeight="1">
      <c r="A541" s="10">
        <f t="shared" si="2"/>
        <v>1680.068735</v>
      </c>
      <c r="B541" s="6">
        <f>(I541*'Optimal Choice'!$B$6+J541*'Optimal Choice'!$B$11+K541*'Optimal Choice'!$B$16+L541*'Optimal Choice'!$B$21+M541*'Optimal Choice'!$B$26)*'Optimal Choice'!$B$30</f>
        <v>226757.3</v>
      </c>
      <c r="C541" s="10">
        <f>(O541/$B541)+(O541/'Optimal Choice'!$B$6)</f>
        <v>980953.1283</v>
      </c>
      <c r="D541" s="10">
        <f>(P541/$B541)+(P541/'Optimal Choice'!$B$11)</f>
        <v>1001527.849</v>
      </c>
      <c r="E541" s="10">
        <f>(Q541/$B541)+(Q541/'Optimal Choice'!$B$16)</f>
        <v>928526.0517</v>
      </c>
      <c r="F541" s="10">
        <f>(R541/$B541)+(R541/'Optimal Choice'!$B$21)</f>
        <v>997067.9678</v>
      </c>
      <c r="G541" s="10">
        <f>(S541/$B541)+(S541/'Optimal Choice'!$B$26)</f>
        <v>927526.9717</v>
      </c>
      <c r="I541" s="11">
        <f t="shared" ref="I541:M541" si="540">if(min($C540:$G540)=C540,I540+1,I540)</f>
        <v>190</v>
      </c>
      <c r="J541" s="11">
        <f t="shared" si="540"/>
        <v>90</v>
      </c>
      <c r="K541" s="11">
        <f t="shared" si="540"/>
        <v>88</v>
      </c>
      <c r="L541" s="11">
        <f t="shared" si="540"/>
        <v>86</v>
      </c>
      <c r="M541" s="11">
        <f t="shared" si="540"/>
        <v>86</v>
      </c>
      <c r="O541" s="12">
        <f> 'Optimal Choice'!$B$7*'Optimal Choice'!$B$8^(I541+1)</f>
        <v>1638179.66</v>
      </c>
      <c r="P541" s="12">
        <f> 'Optimal Choice'!$B$12*'Optimal Choice'!$B$13^(J541+1)</f>
        <v>20028790.44</v>
      </c>
      <c r="Q541" s="12">
        <f> 'Optimal Choice'!$B$17*'Optimal Choice'!$B$18^(K541+1)</f>
        <v>83534189.92</v>
      </c>
      <c r="R541" s="12">
        <f> 'Optimal Choice'!$B$22*'Optimal Choice'!$B$23^(L541+1)</f>
        <v>358375511.3</v>
      </c>
      <c r="S541" s="12">
        <f> 'Optimal Choice'!$B$27*'Optimal Choice'!$B$28^(M541+1)</f>
        <v>1984554184</v>
      </c>
    </row>
    <row r="542" ht="15.75" customHeight="1">
      <c r="A542" s="10">
        <f t="shared" si="2"/>
        <v>1825.933512</v>
      </c>
      <c r="B542" s="6">
        <f>(I542*'Optimal Choice'!$B$6+J542*'Optimal Choice'!$B$11+K542*'Optimal Choice'!$B$16+L542*'Optimal Choice'!$B$21+M542*'Optimal Choice'!$B$26)*'Optimal Choice'!$B$30</f>
        <v>228917.3</v>
      </c>
      <c r="C542" s="10">
        <f>(O542/$B542)+(O542/'Optimal Choice'!$B$6)</f>
        <v>980953.0601</v>
      </c>
      <c r="D542" s="10">
        <f>(P542/$B542)+(P542/'Optimal Choice'!$B$11)</f>
        <v>1001527.016</v>
      </c>
      <c r="E542" s="10">
        <f>(Q542/$B542)+(Q542/'Optimal Choice'!$B$16)</f>
        <v>928522.5757</v>
      </c>
      <c r="F542" s="10">
        <f>(R542/$B542)+(R542/'Optimal Choice'!$B$21)</f>
        <v>997053.0552</v>
      </c>
      <c r="G542" s="10">
        <f>(S542/$B542)+(S542/'Optimal Choice'!$B$26)</f>
        <v>1038737.718</v>
      </c>
      <c r="I542" s="11">
        <f t="shared" ref="I542:M542" si="541">if(min($C541:$G541)=C541,I541+1,I541)</f>
        <v>190</v>
      </c>
      <c r="J542" s="11">
        <f t="shared" si="541"/>
        <v>90</v>
      </c>
      <c r="K542" s="11">
        <f t="shared" si="541"/>
        <v>88</v>
      </c>
      <c r="L542" s="11">
        <f t="shared" si="541"/>
        <v>86</v>
      </c>
      <c r="M542" s="11">
        <f t="shared" si="541"/>
        <v>87</v>
      </c>
      <c r="O542" s="12">
        <f> 'Optimal Choice'!$B$7*'Optimal Choice'!$B$8^(I542+1)</f>
        <v>1638179.66</v>
      </c>
      <c r="P542" s="12">
        <f> 'Optimal Choice'!$B$12*'Optimal Choice'!$B$13^(J542+1)</f>
        <v>20028790.44</v>
      </c>
      <c r="Q542" s="12">
        <f> 'Optimal Choice'!$B$17*'Optimal Choice'!$B$18^(K542+1)</f>
        <v>83534189.92</v>
      </c>
      <c r="R542" s="12">
        <f> 'Optimal Choice'!$B$22*'Optimal Choice'!$B$23^(L542+1)</f>
        <v>358375511.3</v>
      </c>
      <c r="S542" s="12">
        <f> 'Optimal Choice'!$B$27*'Optimal Choice'!$B$28^(M542+1)</f>
        <v>2222700686</v>
      </c>
    </row>
    <row r="543" ht="15.75" customHeight="1">
      <c r="A543" s="10">
        <f t="shared" si="2"/>
        <v>1832.015344</v>
      </c>
      <c r="B543" s="6">
        <f>(I543*'Optimal Choice'!$B$6+J543*'Optimal Choice'!$B$11+K543*'Optimal Choice'!$B$16+L543*'Optimal Choice'!$B$21+M543*'Optimal Choice'!$B$26)*'Optimal Choice'!$B$30</f>
        <v>229007.3</v>
      </c>
      <c r="C543" s="10">
        <f>(O543/$B543)+(O543/'Optimal Choice'!$B$6)</f>
        <v>980953.0573</v>
      </c>
      <c r="D543" s="10">
        <f>(P543/$B543)+(P543/'Optimal Choice'!$B$11)</f>
        <v>1001526.981</v>
      </c>
      <c r="E543" s="10">
        <f>(Q543/$B543)+(Q543/'Optimal Choice'!$B$16)</f>
        <v>1058515.573</v>
      </c>
      <c r="F543" s="10">
        <f>(R543/$B543)+(R543/'Optimal Choice'!$B$21)</f>
        <v>997052.44</v>
      </c>
      <c r="G543" s="10">
        <f>(S543/$B543)+(S543/'Optimal Choice'!$B$26)</f>
        <v>1038733.902</v>
      </c>
      <c r="I543" s="11">
        <f t="shared" ref="I543:M543" si="542">if(min($C542:$G542)=C542,I542+1,I542)</f>
        <v>190</v>
      </c>
      <c r="J543" s="11">
        <f t="shared" si="542"/>
        <v>90</v>
      </c>
      <c r="K543" s="11">
        <f t="shared" si="542"/>
        <v>89</v>
      </c>
      <c r="L543" s="11">
        <f t="shared" si="542"/>
        <v>86</v>
      </c>
      <c r="M543" s="11">
        <f t="shared" si="542"/>
        <v>87</v>
      </c>
      <c r="O543" s="12">
        <f> 'Optimal Choice'!$B$7*'Optimal Choice'!$B$8^(I543+1)</f>
        <v>1638179.66</v>
      </c>
      <c r="P543" s="12">
        <f> 'Optimal Choice'!$B$12*'Optimal Choice'!$B$13^(J543+1)</f>
        <v>20028790.44</v>
      </c>
      <c r="Q543" s="12">
        <f> 'Optimal Choice'!$B$17*'Optimal Choice'!$B$18^(K543+1)</f>
        <v>95228976.51</v>
      </c>
      <c r="R543" s="12">
        <f> 'Optimal Choice'!$B$22*'Optimal Choice'!$B$23^(L543+1)</f>
        <v>358375511.3</v>
      </c>
      <c r="S543" s="12">
        <f> 'Optimal Choice'!$B$27*'Optimal Choice'!$B$28^(M543+1)</f>
        <v>2222700686</v>
      </c>
    </row>
    <row r="544" ht="15.75" customHeight="1">
      <c r="A544" s="10">
        <f t="shared" si="2"/>
        <v>1832.134567</v>
      </c>
      <c r="B544" s="6">
        <f>(I544*'Optimal Choice'!$B$6+J544*'Optimal Choice'!$B$11+K544*'Optimal Choice'!$B$16+L544*'Optimal Choice'!$B$21+M544*'Optimal Choice'!$B$26)*'Optimal Choice'!$B$30</f>
        <v>229008.97</v>
      </c>
      <c r="C544" s="10">
        <f>(O544/$B544)+(O544/'Optimal Choice'!$B$6)</f>
        <v>1049619.771</v>
      </c>
      <c r="D544" s="10">
        <f>(P544/$B544)+(P544/'Optimal Choice'!$B$11)</f>
        <v>1001526.981</v>
      </c>
      <c r="E544" s="10">
        <f>(Q544/$B544)+(Q544/'Optimal Choice'!$B$16)</f>
        <v>1058515.57</v>
      </c>
      <c r="F544" s="10">
        <f>(R544/$B544)+(R544/'Optimal Choice'!$B$21)</f>
        <v>997052.4286</v>
      </c>
      <c r="G544" s="10">
        <f>(S544/$B544)+(S544/'Optimal Choice'!$B$26)</f>
        <v>1038733.832</v>
      </c>
      <c r="I544" s="11">
        <f t="shared" ref="I544:M544" si="543">if(min($C543:$G543)=C543,I543+1,I543)</f>
        <v>191</v>
      </c>
      <c r="J544" s="11">
        <f t="shared" si="543"/>
        <v>90</v>
      </c>
      <c r="K544" s="11">
        <f t="shared" si="543"/>
        <v>89</v>
      </c>
      <c r="L544" s="11">
        <f t="shared" si="543"/>
        <v>86</v>
      </c>
      <c r="M544" s="11">
        <f t="shared" si="543"/>
        <v>87</v>
      </c>
      <c r="O544" s="12">
        <f> 'Optimal Choice'!$B$7*'Optimal Choice'!$B$8^(I544+1)</f>
        <v>1752852.236</v>
      </c>
      <c r="P544" s="12">
        <f> 'Optimal Choice'!$B$12*'Optimal Choice'!$B$13^(J544+1)</f>
        <v>20028790.44</v>
      </c>
      <c r="Q544" s="12">
        <f> 'Optimal Choice'!$B$17*'Optimal Choice'!$B$18^(K544+1)</f>
        <v>95228976.51</v>
      </c>
      <c r="R544" s="12">
        <f> 'Optimal Choice'!$B$22*'Optimal Choice'!$B$23^(L544+1)</f>
        <v>358375511.3</v>
      </c>
      <c r="S544" s="12">
        <f> 'Optimal Choice'!$B$27*'Optimal Choice'!$B$28^(M544+1)</f>
        <v>2222700686</v>
      </c>
    </row>
    <row r="545" ht="15.75" customHeight="1">
      <c r="A545" s="10">
        <f t="shared" si="2"/>
        <v>1858.216188</v>
      </c>
      <c r="B545" s="6">
        <f>(I545*'Optimal Choice'!$B$6+J545*'Optimal Choice'!$B$11+K545*'Optimal Choice'!$B$16+L545*'Optimal Choice'!$B$21+M545*'Optimal Choice'!$B$26)*'Optimal Choice'!$B$30</f>
        <v>229368.97</v>
      </c>
      <c r="C545" s="10">
        <f>(O545/$B545)+(O545/'Optimal Choice'!$B$6)</f>
        <v>1049619.759</v>
      </c>
      <c r="D545" s="10">
        <f>(P545/$B545)+(P545/'Optimal Choice'!$B$11)</f>
        <v>1001526.843</v>
      </c>
      <c r="E545" s="10">
        <f>(Q545/$B545)+(Q545/'Optimal Choice'!$B$16)</f>
        <v>1058514.917</v>
      </c>
      <c r="F545" s="10">
        <f>(R545/$B545)+(R545/'Optimal Choice'!$B$21)</f>
        <v>1126666.469</v>
      </c>
      <c r="G545" s="10">
        <f>(S545/$B545)+(S545/'Optimal Choice'!$B$26)</f>
        <v>1038718.598</v>
      </c>
      <c r="I545" s="11">
        <f t="shared" ref="I545:M545" si="544">if(min($C544:$G544)=C544,I544+1,I544)</f>
        <v>191</v>
      </c>
      <c r="J545" s="11">
        <f t="shared" si="544"/>
        <v>90</v>
      </c>
      <c r="K545" s="11">
        <f t="shared" si="544"/>
        <v>89</v>
      </c>
      <c r="L545" s="11">
        <f t="shared" si="544"/>
        <v>87</v>
      </c>
      <c r="M545" s="11">
        <f t="shared" si="544"/>
        <v>87</v>
      </c>
      <c r="O545" s="12">
        <f> 'Optimal Choice'!$B$7*'Optimal Choice'!$B$8^(I545+1)</f>
        <v>1752852.236</v>
      </c>
      <c r="P545" s="12">
        <f> 'Optimal Choice'!$B$12*'Optimal Choice'!$B$13^(J545+1)</f>
        <v>20028790.44</v>
      </c>
      <c r="Q545" s="12">
        <f> 'Optimal Choice'!$B$17*'Optimal Choice'!$B$18^(K545+1)</f>
        <v>95228976.51</v>
      </c>
      <c r="R545" s="12">
        <f> 'Optimal Choice'!$B$22*'Optimal Choice'!$B$23^(L545+1)</f>
        <v>404964327.7</v>
      </c>
      <c r="S545" s="12">
        <f> 'Optimal Choice'!$B$27*'Optimal Choice'!$B$28^(M545+1)</f>
        <v>2222700686</v>
      </c>
    </row>
    <row r="546" ht="15.75" customHeight="1">
      <c r="A546" s="10">
        <f t="shared" si="2"/>
        <v>1859.671543</v>
      </c>
      <c r="B546" s="6">
        <f>(I546*'Optimal Choice'!$B$6+J546*'Optimal Choice'!$B$11+K546*'Optimal Choice'!$B$16+L546*'Optimal Choice'!$B$21+M546*'Optimal Choice'!$B$26)*'Optimal Choice'!$B$30</f>
        <v>229388.97</v>
      </c>
      <c r="C546" s="10">
        <f>(O546/$B546)+(O546/'Optimal Choice'!$B$6)</f>
        <v>1049619.759</v>
      </c>
      <c r="D546" s="10">
        <f>(P546/$B546)+(P546/'Optimal Choice'!$B$11)</f>
        <v>1151755.861</v>
      </c>
      <c r="E546" s="10">
        <f>(Q546/$B546)+(Q546/'Optimal Choice'!$B$16)</f>
        <v>1058514.881</v>
      </c>
      <c r="F546" s="10">
        <f>(R546/$B546)+(R546/'Optimal Choice'!$B$21)</f>
        <v>1126666.315</v>
      </c>
      <c r="G546" s="10">
        <f>(S546/$B546)+(S546/'Optimal Choice'!$B$26)</f>
        <v>1038717.753</v>
      </c>
      <c r="I546" s="11">
        <f t="shared" ref="I546:M546" si="545">if(min($C545:$G545)=C545,I545+1,I545)</f>
        <v>191</v>
      </c>
      <c r="J546" s="11">
        <f t="shared" si="545"/>
        <v>91</v>
      </c>
      <c r="K546" s="11">
        <f t="shared" si="545"/>
        <v>89</v>
      </c>
      <c r="L546" s="11">
        <f t="shared" si="545"/>
        <v>87</v>
      </c>
      <c r="M546" s="11">
        <f t="shared" si="545"/>
        <v>87</v>
      </c>
      <c r="O546" s="12">
        <f> 'Optimal Choice'!$B$7*'Optimal Choice'!$B$8^(I546+1)</f>
        <v>1752852.236</v>
      </c>
      <c r="P546" s="12">
        <f> 'Optimal Choice'!$B$12*'Optimal Choice'!$B$13^(J546+1)</f>
        <v>23033109.01</v>
      </c>
      <c r="Q546" s="12">
        <f> 'Optimal Choice'!$B$17*'Optimal Choice'!$B$18^(K546+1)</f>
        <v>95228976.51</v>
      </c>
      <c r="R546" s="12">
        <f> 'Optimal Choice'!$B$22*'Optimal Choice'!$B$23^(L546+1)</f>
        <v>404964327.7</v>
      </c>
      <c r="S546" s="12">
        <f> 'Optimal Choice'!$B$27*'Optimal Choice'!$B$28^(M546+1)</f>
        <v>2222700686</v>
      </c>
    </row>
    <row r="547" ht="15.75" customHeight="1">
      <c r="A547" s="10">
        <f t="shared" si="2"/>
        <v>2021.165844</v>
      </c>
      <c r="B547" s="6">
        <f>(I547*'Optimal Choice'!$B$6+J547*'Optimal Choice'!$B$11+K547*'Optimal Choice'!$B$16+L547*'Optimal Choice'!$B$21+M547*'Optimal Choice'!$B$26)*'Optimal Choice'!$B$30</f>
        <v>231548.97</v>
      </c>
      <c r="C547" s="10">
        <f>(O547/$B547)+(O547/'Optimal Choice'!$B$6)</f>
        <v>1049619.687</v>
      </c>
      <c r="D547" s="10">
        <f>(P547/$B547)+(P547/'Optimal Choice'!$B$11)</f>
        <v>1151754.924</v>
      </c>
      <c r="E547" s="10">
        <f>(Q547/$B547)+(Q547/'Optimal Choice'!$B$16)</f>
        <v>1058511.008</v>
      </c>
      <c r="F547" s="10">
        <f>(R547/$B547)+(R547/'Optimal Choice'!$B$21)</f>
        <v>1126649.846</v>
      </c>
      <c r="G547" s="10">
        <f>(S547/$B547)+(S547/'Optimal Choice'!$B$26)</f>
        <v>1163262.647</v>
      </c>
      <c r="I547" s="11">
        <f t="shared" ref="I547:M547" si="546">if(min($C546:$G546)=C546,I546+1,I546)</f>
        <v>191</v>
      </c>
      <c r="J547" s="11">
        <f t="shared" si="546"/>
        <v>91</v>
      </c>
      <c r="K547" s="11">
        <f t="shared" si="546"/>
        <v>89</v>
      </c>
      <c r="L547" s="11">
        <f t="shared" si="546"/>
        <v>87</v>
      </c>
      <c r="M547" s="11">
        <f t="shared" si="546"/>
        <v>88</v>
      </c>
      <c r="O547" s="12">
        <f> 'Optimal Choice'!$B$7*'Optimal Choice'!$B$8^(I547+1)</f>
        <v>1752852.236</v>
      </c>
      <c r="P547" s="12">
        <f> 'Optimal Choice'!$B$12*'Optimal Choice'!$B$13^(J547+1)</f>
        <v>23033109.01</v>
      </c>
      <c r="Q547" s="12">
        <f> 'Optimal Choice'!$B$17*'Optimal Choice'!$B$18^(K547+1)</f>
        <v>95228976.51</v>
      </c>
      <c r="R547" s="12">
        <f> 'Optimal Choice'!$B$22*'Optimal Choice'!$B$23^(L547+1)</f>
        <v>404964327.7</v>
      </c>
      <c r="S547" s="12">
        <f> 'Optimal Choice'!$B$27*'Optimal Choice'!$B$28^(M547+1)</f>
        <v>2489424768</v>
      </c>
    </row>
    <row r="548" ht="15.75" customHeight="1">
      <c r="A548" s="10">
        <f t="shared" si="2"/>
        <v>2021.292013</v>
      </c>
      <c r="B548" s="6">
        <f>(I548*'Optimal Choice'!$B$6+J548*'Optimal Choice'!$B$11+K548*'Optimal Choice'!$B$16+L548*'Optimal Choice'!$B$21+M548*'Optimal Choice'!$B$26)*'Optimal Choice'!$B$30</f>
        <v>231550.64</v>
      </c>
      <c r="C548" s="10">
        <f>(O548/$B548)+(O548/'Optimal Choice'!$B$6)</f>
        <v>1123093.065</v>
      </c>
      <c r="D548" s="10">
        <f>(P548/$B548)+(P548/'Optimal Choice'!$B$11)</f>
        <v>1151754.924</v>
      </c>
      <c r="E548" s="10">
        <f>(Q548/$B548)+(Q548/'Optimal Choice'!$B$16)</f>
        <v>1058511.005</v>
      </c>
      <c r="F548" s="10">
        <f>(R548/$B548)+(R548/'Optimal Choice'!$B$21)</f>
        <v>1126649.834</v>
      </c>
      <c r="G548" s="10">
        <f>(S548/$B548)+(S548/'Optimal Choice'!$B$26)</f>
        <v>1163262.57</v>
      </c>
      <c r="I548" s="11">
        <f t="shared" ref="I548:M548" si="547">if(min($C547:$G547)=C547,I547+1,I547)</f>
        <v>192</v>
      </c>
      <c r="J548" s="11">
        <f t="shared" si="547"/>
        <v>91</v>
      </c>
      <c r="K548" s="11">
        <f t="shared" si="547"/>
        <v>89</v>
      </c>
      <c r="L548" s="11">
        <f t="shared" si="547"/>
        <v>87</v>
      </c>
      <c r="M548" s="11">
        <f t="shared" si="547"/>
        <v>88</v>
      </c>
      <c r="O548" s="12">
        <f> 'Optimal Choice'!$B$7*'Optimal Choice'!$B$8^(I548+1)</f>
        <v>1875551.892</v>
      </c>
      <c r="P548" s="12">
        <f> 'Optimal Choice'!$B$12*'Optimal Choice'!$B$13^(J548+1)</f>
        <v>23033109.01</v>
      </c>
      <c r="Q548" s="12">
        <f> 'Optimal Choice'!$B$17*'Optimal Choice'!$B$18^(K548+1)</f>
        <v>95228976.51</v>
      </c>
      <c r="R548" s="12">
        <f> 'Optimal Choice'!$B$22*'Optimal Choice'!$B$23^(L548+1)</f>
        <v>404964327.7</v>
      </c>
      <c r="S548" s="12">
        <f> 'Optimal Choice'!$B$27*'Optimal Choice'!$B$28^(M548+1)</f>
        <v>2489424768</v>
      </c>
    </row>
    <row r="549" ht="15.75" customHeight="1">
      <c r="A549" s="10">
        <f t="shared" si="2"/>
        <v>2028.146451</v>
      </c>
      <c r="B549" s="6">
        <f>(I549*'Optimal Choice'!$B$6+J549*'Optimal Choice'!$B$11+K549*'Optimal Choice'!$B$16+L549*'Optimal Choice'!$B$21+M549*'Optimal Choice'!$B$26)*'Optimal Choice'!$B$30</f>
        <v>231640.64</v>
      </c>
      <c r="C549" s="10">
        <f>(O549/$B549)+(O549/'Optimal Choice'!$B$6)</f>
        <v>1123093.062</v>
      </c>
      <c r="D549" s="10">
        <f>(P549/$B549)+(P549/'Optimal Choice'!$B$11)</f>
        <v>1151754.885</v>
      </c>
      <c r="E549" s="10">
        <f>(Q549/$B549)+(Q549/'Optimal Choice'!$B$16)</f>
        <v>1206702.364</v>
      </c>
      <c r="F549" s="10">
        <f>(R549/$B549)+(R549/'Optimal Choice'!$B$21)</f>
        <v>1126649.154</v>
      </c>
      <c r="G549" s="10">
        <f>(S549/$B549)+(S549/'Optimal Choice'!$B$26)</f>
        <v>1163258.393</v>
      </c>
      <c r="I549" s="11">
        <f t="shared" ref="I549:M549" si="548">if(min($C548:$G548)=C548,I548+1,I548)</f>
        <v>192</v>
      </c>
      <c r="J549" s="11">
        <f t="shared" si="548"/>
        <v>91</v>
      </c>
      <c r="K549" s="11">
        <f t="shared" si="548"/>
        <v>90</v>
      </c>
      <c r="L549" s="11">
        <f t="shared" si="548"/>
        <v>87</v>
      </c>
      <c r="M549" s="11">
        <f t="shared" si="548"/>
        <v>88</v>
      </c>
      <c r="O549" s="12">
        <f> 'Optimal Choice'!$B$7*'Optimal Choice'!$B$8^(I549+1)</f>
        <v>1875551.892</v>
      </c>
      <c r="P549" s="12">
        <f> 'Optimal Choice'!$B$12*'Optimal Choice'!$B$13^(J549+1)</f>
        <v>23033109.01</v>
      </c>
      <c r="Q549" s="12">
        <f> 'Optimal Choice'!$B$17*'Optimal Choice'!$B$18^(K549+1)</f>
        <v>108561033.2</v>
      </c>
      <c r="R549" s="12">
        <f> 'Optimal Choice'!$B$22*'Optimal Choice'!$B$23^(L549+1)</f>
        <v>404964327.7</v>
      </c>
      <c r="S549" s="12">
        <f> 'Optimal Choice'!$B$27*'Optimal Choice'!$B$28^(M549+1)</f>
        <v>2489424768</v>
      </c>
    </row>
    <row r="550" ht="15.75" customHeight="1">
      <c r="A550" s="10">
        <f t="shared" si="2"/>
        <v>2028.281398</v>
      </c>
      <c r="B550" s="6">
        <f>(I550*'Optimal Choice'!$B$6+J550*'Optimal Choice'!$B$11+K550*'Optimal Choice'!$B$16+L550*'Optimal Choice'!$B$21+M550*'Optimal Choice'!$B$26)*'Optimal Choice'!$B$30</f>
        <v>231642.31</v>
      </c>
      <c r="C550" s="10">
        <f>(O550/$B550)+(O550/'Optimal Choice'!$B$6)</f>
        <v>1201709.576</v>
      </c>
      <c r="D550" s="10">
        <f>(P550/$B550)+(P550/'Optimal Choice'!$B$11)</f>
        <v>1151754.884</v>
      </c>
      <c r="E550" s="10">
        <f>(Q550/$B550)+(Q550/'Optimal Choice'!$B$16)</f>
        <v>1206702.361</v>
      </c>
      <c r="F550" s="10">
        <f>(R550/$B550)+(R550/'Optimal Choice'!$B$21)</f>
        <v>1126649.142</v>
      </c>
      <c r="G550" s="10">
        <f>(S550/$B550)+(S550/'Optimal Choice'!$B$26)</f>
        <v>1163258.315</v>
      </c>
      <c r="I550" s="11">
        <f t="shared" ref="I550:M550" si="549">if(min($C549:$G549)=C549,I549+1,I549)</f>
        <v>193</v>
      </c>
      <c r="J550" s="11">
        <f t="shared" si="549"/>
        <v>91</v>
      </c>
      <c r="K550" s="11">
        <f t="shared" si="549"/>
        <v>90</v>
      </c>
      <c r="L550" s="11">
        <f t="shared" si="549"/>
        <v>87</v>
      </c>
      <c r="M550" s="11">
        <f t="shared" si="549"/>
        <v>88</v>
      </c>
      <c r="O550" s="12">
        <f> 'Optimal Choice'!$B$7*'Optimal Choice'!$B$8^(I550+1)</f>
        <v>2006840.525</v>
      </c>
      <c r="P550" s="12">
        <f> 'Optimal Choice'!$B$12*'Optimal Choice'!$B$13^(J550+1)</f>
        <v>23033109.01</v>
      </c>
      <c r="Q550" s="12">
        <f> 'Optimal Choice'!$B$17*'Optimal Choice'!$B$18^(K550+1)</f>
        <v>108561033.2</v>
      </c>
      <c r="R550" s="12">
        <f> 'Optimal Choice'!$B$22*'Optimal Choice'!$B$23^(L550+1)</f>
        <v>404964327.7</v>
      </c>
      <c r="S550" s="12">
        <f> 'Optimal Choice'!$B$27*'Optimal Choice'!$B$28^(M550+1)</f>
        <v>2489424768</v>
      </c>
    </row>
    <row r="551" ht="15.75" customHeight="1">
      <c r="A551" s="10">
        <f t="shared" si="2"/>
        <v>2057.418586</v>
      </c>
      <c r="B551" s="6">
        <f>(I551*'Optimal Choice'!$B$6+J551*'Optimal Choice'!$B$11+K551*'Optimal Choice'!$B$16+L551*'Optimal Choice'!$B$21+M551*'Optimal Choice'!$B$26)*'Optimal Choice'!$B$30</f>
        <v>232002.31</v>
      </c>
      <c r="C551" s="10">
        <f>(O551/$B551)+(O551/'Optimal Choice'!$B$6)</f>
        <v>1201709.563</v>
      </c>
      <c r="D551" s="10">
        <f>(P551/$B551)+(P551/'Optimal Choice'!$B$11)</f>
        <v>1151754.73</v>
      </c>
      <c r="E551" s="10">
        <f>(Q551/$B551)+(Q551/'Optimal Choice'!$B$16)</f>
        <v>1206701.633</v>
      </c>
      <c r="F551" s="10">
        <f>(R551/$B551)+(R551/'Optimal Choice'!$B$21)</f>
        <v>1273110.465</v>
      </c>
      <c r="G551" s="10">
        <f>(S551/$B551)+(S551/'Optimal Choice'!$B$26)</f>
        <v>1163241.639</v>
      </c>
      <c r="I551" s="11">
        <f t="shared" ref="I551:M551" si="550">if(min($C550:$G550)=C550,I550+1,I550)</f>
        <v>193</v>
      </c>
      <c r="J551" s="11">
        <f t="shared" si="550"/>
        <v>91</v>
      </c>
      <c r="K551" s="11">
        <f t="shared" si="550"/>
        <v>90</v>
      </c>
      <c r="L551" s="11">
        <f t="shared" si="550"/>
        <v>88</v>
      </c>
      <c r="M551" s="11">
        <f t="shared" si="550"/>
        <v>88</v>
      </c>
      <c r="O551" s="12">
        <f> 'Optimal Choice'!$B$7*'Optimal Choice'!$B$8^(I551+1)</f>
        <v>2006840.525</v>
      </c>
      <c r="P551" s="12">
        <f> 'Optimal Choice'!$B$12*'Optimal Choice'!$B$13^(J551+1)</f>
        <v>23033109.01</v>
      </c>
      <c r="Q551" s="12">
        <f> 'Optimal Choice'!$B$17*'Optimal Choice'!$B$18^(K551+1)</f>
        <v>108561033.2</v>
      </c>
      <c r="R551" s="12">
        <f> 'Optimal Choice'!$B$22*'Optimal Choice'!$B$23^(L551+1)</f>
        <v>457609690.3</v>
      </c>
      <c r="S551" s="12">
        <f> 'Optimal Choice'!$B$27*'Optimal Choice'!$B$28^(M551+1)</f>
        <v>2489424768</v>
      </c>
    </row>
    <row r="552" ht="15.75" customHeight="1">
      <c r="A552" s="10">
        <f t="shared" si="2"/>
        <v>2059.073247</v>
      </c>
      <c r="B552" s="6">
        <f>(I552*'Optimal Choice'!$B$6+J552*'Optimal Choice'!$B$11+K552*'Optimal Choice'!$B$16+L552*'Optimal Choice'!$B$21+M552*'Optimal Choice'!$B$26)*'Optimal Choice'!$B$30</f>
        <v>232022.31</v>
      </c>
      <c r="C552" s="10">
        <f>(O552/$B552)+(O552/'Optimal Choice'!$B$6)</f>
        <v>1201709.562</v>
      </c>
      <c r="D552" s="10">
        <f>(P552/$B552)+(P552/'Optimal Choice'!$B$11)</f>
        <v>1324517.93</v>
      </c>
      <c r="E552" s="10">
        <f>(Q552/$B552)+(Q552/'Optimal Choice'!$B$16)</f>
        <v>1206701.593</v>
      </c>
      <c r="F552" s="10">
        <f>(R552/$B552)+(R552/'Optimal Choice'!$B$21)</f>
        <v>1273110.295</v>
      </c>
      <c r="G552" s="10">
        <f>(S552/$B552)+(S552/'Optimal Choice'!$B$26)</f>
        <v>1163240.714</v>
      </c>
      <c r="I552" s="11">
        <f t="shared" ref="I552:M552" si="551">if(min($C551:$G551)=C551,I551+1,I551)</f>
        <v>193</v>
      </c>
      <c r="J552" s="11">
        <f t="shared" si="551"/>
        <v>92</v>
      </c>
      <c r="K552" s="11">
        <f t="shared" si="551"/>
        <v>90</v>
      </c>
      <c r="L552" s="11">
        <f t="shared" si="551"/>
        <v>88</v>
      </c>
      <c r="M552" s="11">
        <f t="shared" si="551"/>
        <v>88</v>
      </c>
      <c r="O552" s="12">
        <f> 'Optimal Choice'!$B$7*'Optimal Choice'!$B$8^(I552+1)</f>
        <v>2006840.525</v>
      </c>
      <c r="P552" s="12">
        <f> 'Optimal Choice'!$B$12*'Optimal Choice'!$B$13^(J552+1)</f>
        <v>26488075.36</v>
      </c>
      <c r="Q552" s="12">
        <f> 'Optimal Choice'!$B$17*'Optimal Choice'!$B$18^(K552+1)</f>
        <v>108561033.2</v>
      </c>
      <c r="R552" s="12">
        <f> 'Optimal Choice'!$B$22*'Optimal Choice'!$B$23^(L552+1)</f>
        <v>457609690.3</v>
      </c>
      <c r="S552" s="12">
        <f> 'Optimal Choice'!$B$27*'Optimal Choice'!$B$28^(M552+1)</f>
        <v>2489424768</v>
      </c>
    </row>
    <row r="553" ht="15.75" customHeight="1">
      <c r="A553" s="10">
        <f t="shared" si="2"/>
        <v>2237.894037</v>
      </c>
      <c r="B553" s="6">
        <f>(I553*'Optimal Choice'!$B$6+J553*'Optimal Choice'!$B$11+K553*'Optimal Choice'!$B$16+L553*'Optimal Choice'!$B$21+M553*'Optimal Choice'!$B$26)*'Optimal Choice'!$B$30</f>
        <v>234182.31</v>
      </c>
      <c r="C553" s="10">
        <f>(O553/$B553)+(O553/'Optimal Choice'!$B$6)</f>
        <v>1201709.483</v>
      </c>
      <c r="D553" s="10">
        <f>(P553/$B553)+(P553/'Optimal Choice'!$B$11)</f>
        <v>1324516.877</v>
      </c>
      <c r="E553" s="10">
        <f>(Q553/$B553)+(Q553/'Optimal Choice'!$B$16)</f>
        <v>1206697.277</v>
      </c>
      <c r="F553" s="10">
        <f>(R553/$B553)+(R553/'Optimal Choice'!$B$21)</f>
        <v>1273092.103</v>
      </c>
      <c r="G553" s="10">
        <f>(S553/$B553)+(S553/'Optimal Choice'!$B$26)</f>
        <v>1302718.762</v>
      </c>
      <c r="I553" s="11">
        <f t="shared" ref="I553:M553" si="552">if(min($C552:$G552)=C552,I552+1,I552)</f>
        <v>193</v>
      </c>
      <c r="J553" s="11">
        <f t="shared" si="552"/>
        <v>92</v>
      </c>
      <c r="K553" s="11">
        <f t="shared" si="552"/>
        <v>90</v>
      </c>
      <c r="L553" s="11">
        <f t="shared" si="552"/>
        <v>88</v>
      </c>
      <c r="M553" s="11">
        <f t="shared" si="552"/>
        <v>89</v>
      </c>
      <c r="O553" s="12">
        <f> 'Optimal Choice'!$B$7*'Optimal Choice'!$B$8^(I553+1)</f>
        <v>2006840.525</v>
      </c>
      <c r="P553" s="12">
        <f> 'Optimal Choice'!$B$12*'Optimal Choice'!$B$13^(J553+1)</f>
        <v>26488075.36</v>
      </c>
      <c r="Q553" s="12">
        <f> 'Optimal Choice'!$B$17*'Optimal Choice'!$B$18^(K553+1)</f>
        <v>108561033.2</v>
      </c>
      <c r="R553" s="12">
        <f> 'Optimal Choice'!$B$22*'Optimal Choice'!$B$23^(L553+1)</f>
        <v>457609690.3</v>
      </c>
      <c r="S553" s="12">
        <f> 'Optimal Choice'!$B$27*'Optimal Choice'!$B$28^(M553+1)</f>
        <v>2788155740</v>
      </c>
    </row>
    <row r="554" ht="15.75" customHeight="1">
      <c r="A554" s="10">
        <f t="shared" si="2"/>
        <v>2238.036863</v>
      </c>
      <c r="B554" s="6">
        <f>(I554*'Optimal Choice'!$B$6+J554*'Optimal Choice'!$B$11+K554*'Optimal Choice'!$B$16+L554*'Optimal Choice'!$B$21+M554*'Optimal Choice'!$B$26)*'Optimal Choice'!$B$30</f>
        <v>234183.98</v>
      </c>
      <c r="C554" s="10">
        <f>(O554/$B554)+(O554/'Optimal Choice'!$B$6)</f>
        <v>1285829.146</v>
      </c>
      <c r="D554" s="10">
        <f>(P554/$B554)+(P554/'Optimal Choice'!$B$11)</f>
        <v>1324516.876</v>
      </c>
      <c r="E554" s="10">
        <f>(Q554/$B554)+(Q554/'Optimal Choice'!$B$16)</f>
        <v>1206697.274</v>
      </c>
      <c r="F554" s="10">
        <f>(R554/$B554)+(R554/'Optimal Choice'!$B$21)</f>
        <v>1273092.089</v>
      </c>
      <c r="G554" s="10">
        <f>(S554/$B554)+(S554/'Optimal Choice'!$B$26)</f>
        <v>1302718.677</v>
      </c>
      <c r="I554" s="11">
        <f t="shared" ref="I554:M554" si="553">if(min($C553:$G553)=C553,I553+1,I553)</f>
        <v>194</v>
      </c>
      <c r="J554" s="11">
        <f t="shared" si="553"/>
        <v>92</v>
      </c>
      <c r="K554" s="11">
        <f t="shared" si="553"/>
        <v>90</v>
      </c>
      <c r="L554" s="11">
        <f t="shared" si="553"/>
        <v>88</v>
      </c>
      <c r="M554" s="11">
        <f t="shared" si="553"/>
        <v>89</v>
      </c>
      <c r="O554" s="12">
        <f> 'Optimal Choice'!$B$7*'Optimal Choice'!$B$8^(I554+1)</f>
        <v>2147319.361</v>
      </c>
      <c r="P554" s="12">
        <f> 'Optimal Choice'!$B$12*'Optimal Choice'!$B$13^(J554+1)</f>
        <v>26488075.36</v>
      </c>
      <c r="Q554" s="12">
        <f> 'Optimal Choice'!$B$17*'Optimal Choice'!$B$18^(K554+1)</f>
        <v>108561033.2</v>
      </c>
      <c r="R554" s="12">
        <f> 'Optimal Choice'!$B$22*'Optimal Choice'!$B$23^(L554+1)</f>
        <v>457609690.3</v>
      </c>
      <c r="S554" s="12">
        <f> 'Optimal Choice'!$B$27*'Optimal Choice'!$B$28^(M554+1)</f>
        <v>2788155740</v>
      </c>
    </row>
    <row r="555" ht="15.75" customHeight="1">
      <c r="A555" s="10">
        <f t="shared" si="2"/>
        <v>2245.763056</v>
      </c>
      <c r="B555" s="6">
        <f>(I555*'Optimal Choice'!$B$6+J555*'Optimal Choice'!$B$11+K555*'Optimal Choice'!$B$16+L555*'Optimal Choice'!$B$21+M555*'Optimal Choice'!$B$26)*'Optimal Choice'!$B$30</f>
        <v>234273.98</v>
      </c>
      <c r="C555" s="10">
        <f>(O555/$B555)+(O555/'Optimal Choice'!$B$6)</f>
        <v>1285829.143</v>
      </c>
      <c r="D555" s="10">
        <f>(P555/$B555)+(P555/'Optimal Choice'!$B$11)</f>
        <v>1324516.832</v>
      </c>
      <c r="E555" s="10">
        <f>(Q555/$B555)+(Q555/'Optimal Choice'!$B$16)</f>
        <v>1375634.689</v>
      </c>
      <c r="F555" s="10">
        <f>(R555/$B555)+(R555/'Optimal Choice'!$B$21)</f>
        <v>1273091.339</v>
      </c>
      <c r="G555" s="10">
        <f>(S555/$B555)+(S555/'Optimal Choice'!$B$26)</f>
        <v>1302714.104</v>
      </c>
      <c r="I555" s="11">
        <f t="shared" ref="I555:M555" si="554">if(min($C554:$G554)=C554,I554+1,I554)</f>
        <v>194</v>
      </c>
      <c r="J555" s="11">
        <f t="shared" si="554"/>
        <v>92</v>
      </c>
      <c r="K555" s="11">
        <f t="shared" si="554"/>
        <v>91</v>
      </c>
      <c r="L555" s="11">
        <f t="shared" si="554"/>
        <v>88</v>
      </c>
      <c r="M555" s="11">
        <f t="shared" si="554"/>
        <v>89</v>
      </c>
      <c r="O555" s="12">
        <f> 'Optimal Choice'!$B$7*'Optimal Choice'!$B$8^(I555+1)</f>
        <v>2147319.361</v>
      </c>
      <c r="P555" s="12">
        <f> 'Optimal Choice'!$B$12*'Optimal Choice'!$B$13^(J555+1)</f>
        <v>26488075.36</v>
      </c>
      <c r="Q555" s="12">
        <f> 'Optimal Choice'!$B$17*'Optimal Choice'!$B$18^(K555+1)</f>
        <v>123759577.9</v>
      </c>
      <c r="R555" s="12">
        <f> 'Optimal Choice'!$B$22*'Optimal Choice'!$B$23^(L555+1)</f>
        <v>457609690.3</v>
      </c>
      <c r="S555" s="12">
        <f> 'Optimal Choice'!$B$27*'Optimal Choice'!$B$28^(M555+1)</f>
        <v>2788155740</v>
      </c>
    </row>
    <row r="556" ht="15.75" customHeight="1">
      <c r="A556" s="10">
        <f t="shared" si="2"/>
        <v>2278.318221</v>
      </c>
      <c r="B556" s="6">
        <f>(I556*'Optimal Choice'!$B$6+J556*'Optimal Choice'!$B$11+K556*'Optimal Choice'!$B$16+L556*'Optimal Choice'!$B$21+M556*'Optimal Choice'!$B$26)*'Optimal Choice'!$B$30</f>
        <v>234633.98</v>
      </c>
      <c r="C556" s="10">
        <f>(O556/$B556)+(O556/'Optimal Choice'!$B$6)</f>
        <v>1285829.129</v>
      </c>
      <c r="D556" s="10">
        <f>(P556/$B556)+(P556/'Optimal Choice'!$B$11)</f>
        <v>1324516.659</v>
      </c>
      <c r="E556" s="10">
        <f>(Q556/$B556)+(Q556/'Optimal Choice'!$B$16)</f>
        <v>1375633.879</v>
      </c>
      <c r="F556" s="10">
        <f>(R556/$B556)+(R556/'Optimal Choice'!$B$21)</f>
        <v>1438589.826</v>
      </c>
      <c r="G556" s="10">
        <f>(S556/$B556)+(S556/'Optimal Choice'!$B$26)</f>
        <v>1302695.843</v>
      </c>
      <c r="I556" s="11">
        <f t="shared" ref="I556:M556" si="555">if(min($C555:$G555)=C555,I555+1,I555)</f>
        <v>194</v>
      </c>
      <c r="J556" s="11">
        <f t="shared" si="555"/>
        <v>92</v>
      </c>
      <c r="K556" s="11">
        <f t="shared" si="555"/>
        <v>91</v>
      </c>
      <c r="L556" s="11">
        <f t="shared" si="555"/>
        <v>89</v>
      </c>
      <c r="M556" s="11">
        <f t="shared" si="555"/>
        <v>89</v>
      </c>
      <c r="O556" s="12">
        <f> 'Optimal Choice'!$B$7*'Optimal Choice'!$B$8^(I556+1)</f>
        <v>2147319.361</v>
      </c>
      <c r="P556" s="12">
        <f> 'Optimal Choice'!$B$12*'Optimal Choice'!$B$13^(J556+1)</f>
        <v>26488075.36</v>
      </c>
      <c r="Q556" s="12">
        <f> 'Optimal Choice'!$B$17*'Optimal Choice'!$B$18^(K556+1)</f>
        <v>123759577.9</v>
      </c>
      <c r="R556" s="12">
        <f> 'Optimal Choice'!$B$22*'Optimal Choice'!$B$23^(L556+1)</f>
        <v>517098950.1</v>
      </c>
      <c r="S556" s="12">
        <f> 'Optimal Choice'!$B$27*'Optimal Choice'!$B$28^(M556+1)</f>
        <v>2788155740</v>
      </c>
    </row>
    <row r="557" ht="15.75" customHeight="1">
      <c r="A557" s="10">
        <f t="shared" si="2"/>
        <v>2278.470751</v>
      </c>
      <c r="B557" s="6">
        <f>(I557*'Optimal Choice'!$B$6+J557*'Optimal Choice'!$B$11+K557*'Optimal Choice'!$B$16+L557*'Optimal Choice'!$B$21+M557*'Optimal Choice'!$B$26)*'Optimal Choice'!$B$30</f>
        <v>234635.65</v>
      </c>
      <c r="C557" s="10">
        <f>(O557/$B557)+(O557/'Optimal Choice'!$B$6)</f>
        <v>1375837.168</v>
      </c>
      <c r="D557" s="10">
        <f>(P557/$B557)+(P557/'Optimal Choice'!$B$11)</f>
        <v>1324516.658</v>
      </c>
      <c r="E557" s="10">
        <f>(Q557/$B557)+(Q557/'Optimal Choice'!$B$16)</f>
        <v>1375633.875</v>
      </c>
      <c r="F557" s="10">
        <f>(R557/$B557)+(R557/'Optimal Choice'!$B$21)</f>
        <v>1438589.81</v>
      </c>
      <c r="G557" s="10">
        <f>(S557/$B557)+(S557/'Optimal Choice'!$B$26)</f>
        <v>1302695.759</v>
      </c>
      <c r="I557" s="11">
        <f t="shared" ref="I557:M557" si="556">if(min($C556:$G556)=C556,I556+1,I556)</f>
        <v>195</v>
      </c>
      <c r="J557" s="11">
        <f t="shared" si="556"/>
        <v>92</v>
      </c>
      <c r="K557" s="11">
        <f t="shared" si="556"/>
        <v>91</v>
      </c>
      <c r="L557" s="11">
        <f t="shared" si="556"/>
        <v>89</v>
      </c>
      <c r="M557" s="11">
        <f t="shared" si="556"/>
        <v>89</v>
      </c>
      <c r="O557" s="12">
        <f> 'Optimal Choice'!$B$7*'Optimal Choice'!$B$8^(I557+1)</f>
        <v>2297631.717</v>
      </c>
      <c r="P557" s="12">
        <f> 'Optimal Choice'!$B$12*'Optimal Choice'!$B$13^(J557+1)</f>
        <v>26488075.36</v>
      </c>
      <c r="Q557" s="12">
        <f> 'Optimal Choice'!$B$17*'Optimal Choice'!$B$18^(K557+1)</f>
        <v>123759577.9</v>
      </c>
      <c r="R557" s="12">
        <f> 'Optimal Choice'!$B$22*'Optimal Choice'!$B$23^(L557+1)</f>
        <v>517098950.1</v>
      </c>
      <c r="S557" s="12">
        <f> 'Optimal Choice'!$B$27*'Optimal Choice'!$B$28^(M557+1)</f>
        <v>2788155740</v>
      </c>
    </row>
    <row r="558" ht="15.75" customHeight="1">
      <c r="A558" s="10">
        <f t="shared" si="2"/>
        <v>2476.519352</v>
      </c>
      <c r="B558" s="6">
        <f>(I558*'Optimal Choice'!$B$6+J558*'Optimal Choice'!$B$11+K558*'Optimal Choice'!$B$16+L558*'Optimal Choice'!$B$21+M558*'Optimal Choice'!$B$26)*'Optimal Choice'!$B$30</f>
        <v>236795.65</v>
      </c>
      <c r="C558" s="10">
        <f>(O558/$B558)+(O558/'Optimal Choice'!$B$6)</f>
        <v>1375837.078</v>
      </c>
      <c r="D558" s="10">
        <f>(P558/$B558)+(P558/'Optimal Choice'!$B$11)</f>
        <v>1324515.628</v>
      </c>
      <c r="E558" s="10">
        <f>(Q558/$B558)+(Q558/'Optimal Choice'!$B$16)</f>
        <v>1375629.064</v>
      </c>
      <c r="F558" s="10">
        <f>(R558/$B558)+(R558/'Optimal Choice'!$B$21)</f>
        <v>1438569.707</v>
      </c>
      <c r="G558" s="10">
        <f>(S558/$B558)+(S558/'Optimal Choice'!$B$26)</f>
        <v>1458897.849</v>
      </c>
      <c r="I558" s="11">
        <f t="shared" ref="I558:M558" si="557">if(min($C557:$G557)=C557,I557+1,I557)</f>
        <v>195</v>
      </c>
      <c r="J558" s="11">
        <f t="shared" si="557"/>
        <v>92</v>
      </c>
      <c r="K558" s="11">
        <f t="shared" si="557"/>
        <v>91</v>
      </c>
      <c r="L558" s="11">
        <f t="shared" si="557"/>
        <v>89</v>
      </c>
      <c r="M558" s="11">
        <f t="shared" si="557"/>
        <v>90</v>
      </c>
      <c r="O558" s="12">
        <f> 'Optimal Choice'!$B$7*'Optimal Choice'!$B$8^(I558+1)</f>
        <v>2297631.717</v>
      </c>
      <c r="P558" s="12">
        <f> 'Optimal Choice'!$B$12*'Optimal Choice'!$B$13^(J558+1)</f>
        <v>26488075.36</v>
      </c>
      <c r="Q558" s="12">
        <f> 'Optimal Choice'!$B$17*'Optimal Choice'!$B$18^(K558+1)</f>
        <v>123759577.9</v>
      </c>
      <c r="R558" s="12">
        <f> 'Optimal Choice'!$B$22*'Optimal Choice'!$B$23^(L558+1)</f>
        <v>517098950.1</v>
      </c>
      <c r="S558" s="12">
        <f> 'Optimal Choice'!$B$27*'Optimal Choice'!$B$28^(M558+1)</f>
        <v>3122734429</v>
      </c>
    </row>
    <row r="559" ht="15.75" customHeight="1">
      <c r="A559" s="10">
        <f t="shared" si="2"/>
        <v>2478.383694</v>
      </c>
      <c r="B559" s="6">
        <f>(I559*'Optimal Choice'!$B$6+J559*'Optimal Choice'!$B$11+K559*'Optimal Choice'!$B$16+L559*'Optimal Choice'!$B$21+M559*'Optimal Choice'!$B$26)*'Optimal Choice'!$B$30</f>
        <v>236815.65</v>
      </c>
      <c r="C559" s="10">
        <f>(O559/$B559)+(O559/'Optimal Choice'!$B$6)</f>
        <v>1375837.077</v>
      </c>
      <c r="D559" s="10">
        <f>(P559/$B559)+(P559/'Optimal Choice'!$B$11)</f>
        <v>1523192.962</v>
      </c>
      <c r="E559" s="10">
        <f>(Q559/$B559)+(Q559/'Optimal Choice'!$B$16)</f>
        <v>1375629.02</v>
      </c>
      <c r="F559" s="10">
        <f>(R559/$B559)+(R559/'Optimal Choice'!$B$21)</f>
        <v>1438569.523</v>
      </c>
      <c r="G559" s="10">
        <f>(S559/$B559)+(S559/'Optimal Choice'!$B$26)</f>
        <v>1458896.735</v>
      </c>
      <c r="I559" s="11">
        <f t="shared" ref="I559:M559" si="558">if(min($C558:$G558)=C558,I558+1,I558)</f>
        <v>195</v>
      </c>
      <c r="J559" s="11">
        <f t="shared" si="558"/>
        <v>93</v>
      </c>
      <c r="K559" s="11">
        <f t="shared" si="558"/>
        <v>91</v>
      </c>
      <c r="L559" s="11">
        <f t="shared" si="558"/>
        <v>89</v>
      </c>
      <c r="M559" s="11">
        <f t="shared" si="558"/>
        <v>90</v>
      </c>
      <c r="O559" s="12">
        <f> 'Optimal Choice'!$B$7*'Optimal Choice'!$B$8^(I559+1)</f>
        <v>2297631.717</v>
      </c>
      <c r="P559" s="12">
        <f> 'Optimal Choice'!$B$12*'Optimal Choice'!$B$13^(J559+1)</f>
        <v>30461286.66</v>
      </c>
      <c r="Q559" s="12">
        <f> 'Optimal Choice'!$B$17*'Optimal Choice'!$B$18^(K559+1)</f>
        <v>123759577.9</v>
      </c>
      <c r="R559" s="12">
        <f> 'Optimal Choice'!$B$22*'Optimal Choice'!$B$23^(L559+1)</f>
        <v>517098950.1</v>
      </c>
      <c r="S559" s="12">
        <f> 'Optimal Choice'!$B$27*'Optimal Choice'!$B$28^(M559+1)</f>
        <v>3122734429</v>
      </c>
    </row>
    <row r="560" ht="15.75" customHeight="1">
      <c r="A560" s="10">
        <f t="shared" si="2"/>
        <v>2487.093674</v>
      </c>
      <c r="B560" s="6">
        <f>(I560*'Optimal Choice'!$B$6+J560*'Optimal Choice'!$B$11+K560*'Optimal Choice'!$B$16+L560*'Optimal Choice'!$B$21+M560*'Optimal Choice'!$B$26)*'Optimal Choice'!$B$30</f>
        <v>236905.65</v>
      </c>
      <c r="C560" s="10">
        <f>(O560/$B560)+(O560/'Optimal Choice'!$B$6)</f>
        <v>1375837.074</v>
      </c>
      <c r="D560" s="10">
        <f>(P560/$B560)+(P560/'Optimal Choice'!$B$11)</f>
        <v>1523192.913</v>
      </c>
      <c r="E560" s="10">
        <f>(Q560/$B560)+(Q560/'Optimal Choice'!$B$16)</f>
        <v>1568216.856</v>
      </c>
      <c r="F560" s="10">
        <f>(R560/$B560)+(R560/'Optimal Choice'!$B$21)</f>
        <v>1438568.694</v>
      </c>
      <c r="G560" s="10">
        <f>(S560/$B560)+(S560/'Optimal Choice'!$B$26)</f>
        <v>1458891.726</v>
      </c>
      <c r="I560" s="11">
        <f t="shared" ref="I560:M560" si="559">if(min($C559:$G559)=C559,I559+1,I559)</f>
        <v>195</v>
      </c>
      <c r="J560" s="11">
        <f t="shared" si="559"/>
        <v>93</v>
      </c>
      <c r="K560" s="11">
        <f t="shared" si="559"/>
        <v>92</v>
      </c>
      <c r="L560" s="11">
        <f t="shared" si="559"/>
        <v>89</v>
      </c>
      <c r="M560" s="11">
        <f t="shared" si="559"/>
        <v>90</v>
      </c>
      <c r="O560" s="12">
        <f> 'Optimal Choice'!$B$7*'Optimal Choice'!$B$8^(I560+1)</f>
        <v>2297631.717</v>
      </c>
      <c r="P560" s="12">
        <f> 'Optimal Choice'!$B$12*'Optimal Choice'!$B$13^(J560+1)</f>
        <v>30461286.66</v>
      </c>
      <c r="Q560" s="12">
        <f> 'Optimal Choice'!$B$17*'Optimal Choice'!$B$18^(K560+1)</f>
        <v>141085918.8</v>
      </c>
      <c r="R560" s="12">
        <f> 'Optimal Choice'!$B$22*'Optimal Choice'!$B$23^(L560+1)</f>
        <v>517098950.1</v>
      </c>
      <c r="S560" s="12">
        <f> 'Optimal Choice'!$B$27*'Optimal Choice'!$B$28^(M560+1)</f>
        <v>3122734429</v>
      </c>
    </row>
    <row r="561" ht="15.75" customHeight="1">
      <c r="A561" s="10">
        <f t="shared" si="2"/>
        <v>2487.255316</v>
      </c>
      <c r="B561" s="6">
        <f>(I561*'Optimal Choice'!$B$6+J561*'Optimal Choice'!$B$11+K561*'Optimal Choice'!$B$16+L561*'Optimal Choice'!$B$21+M561*'Optimal Choice'!$B$26)*'Optimal Choice'!$B$30</f>
        <v>236907.32</v>
      </c>
      <c r="C561" s="10">
        <f>(O561/$B561)+(O561/'Optimal Choice'!$B$6)</f>
        <v>1472145.669</v>
      </c>
      <c r="D561" s="10">
        <f>(P561/$B561)+(P561/'Optimal Choice'!$B$11)</f>
        <v>1523192.912</v>
      </c>
      <c r="E561" s="10">
        <f>(Q561/$B561)+(Q561/'Optimal Choice'!$B$16)</f>
        <v>1568216.852</v>
      </c>
      <c r="F561" s="10">
        <f>(R561/$B561)+(R561/'Optimal Choice'!$B$21)</f>
        <v>1438568.678</v>
      </c>
      <c r="G561" s="10">
        <f>(S561/$B561)+(S561/'Optimal Choice'!$B$26)</f>
        <v>1458891.633</v>
      </c>
      <c r="I561" s="11">
        <f t="shared" ref="I561:M561" si="560">if(min($C560:$G560)=C560,I560+1,I560)</f>
        <v>196</v>
      </c>
      <c r="J561" s="11">
        <f t="shared" si="560"/>
        <v>93</v>
      </c>
      <c r="K561" s="11">
        <f t="shared" si="560"/>
        <v>92</v>
      </c>
      <c r="L561" s="11">
        <f t="shared" si="560"/>
        <v>89</v>
      </c>
      <c r="M561" s="11">
        <f t="shared" si="560"/>
        <v>90</v>
      </c>
      <c r="O561" s="12">
        <f> 'Optimal Choice'!$B$7*'Optimal Choice'!$B$8^(I561+1)</f>
        <v>2458465.937</v>
      </c>
      <c r="P561" s="12">
        <f> 'Optimal Choice'!$B$12*'Optimal Choice'!$B$13^(J561+1)</f>
        <v>30461286.66</v>
      </c>
      <c r="Q561" s="12">
        <f> 'Optimal Choice'!$B$17*'Optimal Choice'!$B$18^(K561+1)</f>
        <v>141085918.8</v>
      </c>
      <c r="R561" s="12">
        <f> 'Optimal Choice'!$B$22*'Optimal Choice'!$B$23^(L561+1)</f>
        <v>517098950.1</v>
      </c>
      <c r="S561" s="12">
        <f> 'Optimal Choice'!$B$27*'Optimal Choice'!$B$28^(M561+1)</f>
        <v>3122734429</v>
      </c>
    </row>
    <row r="562" ht="15.75" customHeight="1">
      <c r="A562" s="10">
        <f t="shared" si="2"/>
        <v>2523.633743</v>
      </c>
      <c r="B562" s="6">
        <f>(I562*'Optimal Choice'!$B$6+J562*'Optimal Choice'!$B$11+K562*'Optimal Choice'!$B$16+L562*'Optimal Choice'!$B$21+M562*'Optimal Choice'!$B$26)*'Optimal Choice'!$B$30</f>
        <v>237267.32</v>
      </c>
      <c r="C562" s="10">
        <f>(O562/$B562)+(O562/'Optimal Choice'!$B$6)</f>
        <v>1472145.653</v>
      </c>
      <c r="D562" s="10">
        <f>(P562/$B562)+(P562/'Optimal Choice'!$B$11)</f>
        <v>1523192.717</v>
      </c>
      <c r="E562" s="10">
        <f>(Q562/$B562)+(Q562/'Optimal Choice'!$B$16)</f>
        <v>1568215.948</v>
      </c>
      <c r="F562" s="10">
        <f>(R562/$B562)+(R562/'Optimal Choice'!$B$21)</f>
        <v>1625578.864</v>
      </c>
      <c r="G562" s="10">
        <f>(S562/$B562)+(S562/'Optimal Choice'!$B$26)</f>
        <v>1458871.633</v>
      </c>
      <c r="I562" s="11">
        <f t="shared" ref="I562:M562" si="561">if(min($C561:$G561)=C561,I561+1,I561)</f>
        <v>196</v>
      </c>
      <c r="J562" s="11">
        <f t="shared" si="561"/>
        <v>93</v>
      </c>
      <c r="K562" s="11">
        <f t="shared" si="561"/>
        <v>92</v>
      </c>
      <c r="L562" s="11">
        <f t="shared" si="561"/>
        <v>90</v>
      </c>
      <c r="M562" s="11">
        <f t="shared" si="561"/>
        <v>90</v>
      </c>
      <c r="O562" s="12">
        <f> 'Optimal Choice'!$B$7*'Optimal Choice'!$B$8^(I562+1)</f>
        <v>2458465.937</v>
      </c>
      <c r="P562" s="12">
        <f> 'Optimal Choice'!$B$12*'Optimal Choice'!$B$13^(J562+1)</f>
        <v>30461286.66</v>
      </c>
      <c r="Q562" s="12">
        <f> 'Optimal Choice'!$B$17*'Optimal Choice'!$B$18^(K562+1)</f>
        <v>141085918.8</v>
      </c>
      <c r="R562" s="12">
        <f> 'Optimal Choice'!$B$22*'Optimal Choice'!$B$23^(L562+1)</f>
        <v>584321813.6</v>
      </c>
      <c r="S562" s="12">
        <f> 'Optimal Choice'!$B$27*'Optimal Choice'!$B$28^(M562+1)</f>
        <v>3122734429</v>
      </c>
    </row>
    <row r="563" ht="15.75" customHeight="1">
      <c r="A563" s="10">
        <f t="shared" si="2"/>
        <v>2742.987904</v>
      </c>
      <c r="B563" s="6">
        <f>(I563*'Optimal Choice'!$B$6+J563*'Optimal Choice'!$B$11+K563*'Optimal Choice'!$B$16+L563*'Optimal Choice'!$B$21+M563*'Optimal Choice'!$B$26)*'Optimal Choice'!$B$30</f>
        <v>239427.32</v>
      </c>
      <c r="C563" s="10">
        <f>(O563/$B563)+(O563/'Optimal Choice'!$B$6)</f>
        <v>1472145.56</v>
      </c>
      <c r="D563" s="10">
        <f>(P563/$B563)+(P563/'Optimal Choice'!$B$11)</f>
        <v>1523191.559</v>
      </c>
      <c r="E563" s="10">
        <f>(Q563/$B563)+(Q563/'Optimal Choice'!$B$16)</f>
        <v>1568210.584</v>
      </c>
      <c r="F563" s="10">
        <f>(R563/$B563)+(R563/'Optimal Choice'!$B$21)</f>
        <v>1625556.647</v>
      </c>
      <c r="G563" s="10">
        <f>(S563/$B563)+(S563/'Optimal Choice'!$B$26)</f>
        <v>1633803.247</v>
      </c>
      <c r="I563" s="11">
        <f t="shared" ref="I563:M563" si="562">if(min($C562:$G562)=C562,I562+1,I562)</f>
        <v>196</v>
      </c>
      <c r="J563" s="11">
        <f t="shared" si="562"/>
        <v>93</v>
      </c>
      <c r="K563" s="11">
        <f t="shared" si="562"/>
        <v>92</v>
      </c>
      <c r="L563" s="11">
        <f t="shared" si="562"/>
        <v>90</v>
      </c>
      <c r="M563" s="11">
        <f t="shared" si="562"/>
        <v>91</v>
      </c>
      <c r="O563" s="12">
        <f> 'Optimal Choice'!$B$7*'Optimal Choice'!$B$8^(I563+1)</f>
        <v>2458465.937</v>
      </c>
      <c r="P563" s="12">
        <f> 'Optimal Choice'!$B$12*'Optimal Choice'!$B$13^(J563+1)</f>
        <v>30461286.66</v>
      </c>
      <c r="Q563" s="12">
        <f> 'Optimal Choice'!$B$17*'Optimal Choice'!$B$18^(K563+1)</f>
        <v>141085918.8</v>
      </c>
      <c r="R563" s="12">
        <f> 'Optimal Choice'!$B$22*'Optimal Choice'!$B$23^(L563+1)</f>
        <v>584321813.6</v>
      </c>
      <c r="S563" s="12">
        <f> 'Optimal Choice'!$B$27*'Optimal Choice'!$B$28^(M563+1)</f>
        <v>3497462561</v>
      </c>
    </row>
    <row r="564" ht="15.75" customHeight="1">
      <c r="A564" s="10">
        <f t="shared" si="2"/>
        <v>2743.159039</v>
      </c>
      <c r="B564" s="6">
        <f>(I564*'Optimal Choice'!$B$6+J564*'Optimal Choice'!$B$11+K564*'Optimal Choice'!$B$16+L564*'Optimal Choice'!$B$21+M564*'Optimal Choice'!$B$26)*'Optimal Choice'!$B$30</f>
        <v>239428.99</v>
      </c>
      <c r="C564" s="10">
        <f>(O564/$B564)+(O564/'Optimal Choice'!$B$6)</f>
        <v>1575195.749</v>
      </c>
      <c r="D564" s="10">
        <f>(P564/$B564)+(P564/'Optimal Choice'!$B$11)</f>
        <v>1523191.558</v>
      </c>
      <c r="E564" s="10">
        <f>(Q564/$B564)+(Q564/'Optimal Choice'!$B$16)</f>
        <v>1568210.58</v>
      </c>
      <c r="F564" s="10">
        <f>(R564/$B564)+(R564/'Optimal Choice'!$B$21)</f>
        <v>1625556.63</v>
      </c>
      <c r="G564" s="10">
        <f>(S564/$B564)+(S564/'Optimal Choice'!$B$26)</f>
        <v>1633803.145</v>
      </c>
      <c r="I564" s="11">
        <f t="shared" ref="I564:M564" si="563">if(min($C563:$G563)=C563,I563+1,I563)</f>
        <v>197</v>
      </c>
      <c r="J564" s="11">
        <f t="shared" si="563"/>
        <v>93</v>
      </c>
      <c r="K564" s="11">
        <f t="shared" si="563"/>
        <v>92</v>
      </c>
      <c r="L564" s="11">
        <f t="shared" si="563"/>
        <v>90</v>
      </c>
      <c r="M564" s="11">
        <f t="shared" si="563"/>
        <v>91</v>
      </c>
      <c r="O564" s="12">
        <f> 'Optimal Choice'!$B$7*'Optimal Choice'!$B$8^(I564+1)</f>
        <v>2630558.552</v>
      </c>
      <c r="P564" s="12">
        <f> 'Optimal Choice'!$B$12*'Optimal Choice'!$B$13^(J564+1)</f>
        <v>30461286.66</v>
      </c>
      <c r="Q564" s="12">
        <f> 'Optimal Choice'!$B$17*'Optimal Choice'!$B$18^(K564+1)</f>
        <v>141085918.8</v>
      </c>
      <c r="R564" s="12">
        <f> 'Optimal Choice'!$B$22*'Optimal Choice'!$B$23^(L564+1)</f>
        <v>584321813.6</v>
      </c>
      <c r="S564" s="12">
        <f> 'Optimal Choice'!$B$27*'Optimal Choice'!$B$28^(M564+1)</f>
        <v>3497462561</v>
      </c>
    </row>
    <row r="565" ht="15.75" customHeight="1">
      <c r="A565" s="10">
        <f t="shared" si="2"/>
        <v>2745.279451</v>
      </c>
      <c r="B565" s="6">
        <f>(I565*'Optimal Choice'!$B$6+J565*'Optimal Choice'!$B$11+K565*'Optimal Choice'!$B$16+L565*'Optimal Choice'!$B$21+M565*'Optimal Choice'!$B$26)*'Optimal Choice'!$B$30</f>
        <v>239448.99</v>
      </c>
      <c r="C565" s="10">
        <f>(O565/$B565)+(O565/'Optimal Choice'!$B$6)</f>
        <v>1575195.748</v>
      </c>
      <c r="D565" s="10">
        <f>(P565/$B565)+(P565/'Optimal Choice'!$B$11)</f>
        <v>1751670.279</v>
      </c>
      <c r="E565" s="10">
        <f>(Q565/$B565)+(Q565/'Optimal Choice'!$B$16)</f>
        <v>1568210.531</v>
      </c>
      <c r="F565" s="10">
        <f>(R565/$B565)+(R565/'Optimal Choice'!$B$21)</f>
        <v>1625556.426</v>
      </c>
      <c r="G565" s="10">
        <f>(S565/$B565)+(S565/'Optimal Choice'!$B$26)</f>
        <v>1633801.925</v>
      </c>
      <c r="I565" s="11">
        <f t="shared" ref="I565:M565" si="564">if(min($C564:$G564)=C564,I564+1,I564)</f>
        <v>197</v>
      </c>
      <c r="J565" s="11">
        <f t="shared" si="564"/>
        <v>94</v>
      </c>
      <c r="K565" s="11">
        <f t="shared" si="564"/>
        <v>92</v>
      </c>
      <c r="L565" s="11">
        <f t="shared" si="564"/>
        <v>90</v>
      </c>
      <c r="M565" s="11">
        <f t="shared" si="564"/>
        <v>91</v>
      </c>
      <c r="O565" s="12">
        <f> 'Optimal Choice'!$B$7*'Optimal Choice'!$B$8^(I565+1)</f>
        <v>2630558.552</v>
      </c>
      <c r="P565" s="12">
        <f> 'Optimal Choice'!$B$12*'Optimal Choice'!$B$13^(J565+1)</f>
        <v>35030479.66</v>
      </c>
      <c r="Q565" s="12">
        <f> 'Optimal Choice'!$B$17*'Optimal Choice'!$B$18^(K565+1)</f>
        <v>141085918.8</v>
      </c>
      <c r="R565" s="12">
        <f> 'Optimal Choice'!$B$22*'Optimal Choice'!$B$23^(L565+1)</f>
        <v>584321813.6</v>
      </c>
      <c r="S565" s="12">
        <f> 'Optimal Choice'!$B$27*'Optimal Choice'!$B$28^(M565+1)</f>
        <v>3497462561</v>
      </c>
    </row>
    <row r="566" ht="15.75" customHeight="1">
      <c r="A566" s="10">
        <f t="shared" si="2"/>
        <v>2755.09963</v>
      </c>
      <c r="B566" s="6">
        <f>(I566*'Optimal Choice'!$B$6+J566*'Optimal Choice'!$B$11+K566*'Optimal Choice'!$B$16+L566*'Optimal Choice'!$B$21+M566*'Optimal Choice'!$B$26)*'Optimal Choice'!$B$30</f>
        <v>239538.99</v>
      </c>
      <c r="C566" s="10">
        <f>(O566/$B566)+(O566/'Optimal Choice'!$B$6)</f>
        <v>1575195.744</v>
      </c>
      <c r="D566" s="10">
        <f>(P566/$B566)+(P566/'Optimal Choice'!$B$11)</f>
        <v>1751670.224</v>
      </c>
      <c r="E566" s="10">
        <f>(Q566/$B566)+(Q566/'Optimal Choice'!$B$16)</f>
        <v>1787759.752</v>
      </c>
      <c r="F566" s="10">
        <f>(R566/$B566)+(R566/'Optimal Choice'!$B$21)</f>
        <v>1625555.509</v>
      </c>
      <c r="G566" s="10">
        <f>(S566/$B566)+(S566/'Optimal Choice'!$B$26)</f>
        <v>1633796.437</v>
      </c>
      <c r="I566" s="11">
        <f t="shared" ref="I566:M566" si="565">if(min($C565:$G565)=C565,I565+1,I565)</f>
        <v>197</v>
      </c>
      <c r="J566" s="11">
        <f t="shared" si="565"/>
        <v>94</v>
      </c>
      <c r="K566" s="11">
        <f t="shared" si="565"/>
        <v>93</v>
      </c>
      <c r="L566" s="11">
        <f t="shared" si="565"/>
        <v>90</v>
      </c>
      <c r="M566" s="11">
        <f t="shared" si="565"/>
        <v>91</v>
      </c>
      <c r="O566" s="12">
        <f> 'Optimal Choice'!$B$7*'Optimal Choice'!$B$8^(I566+1)</f>
        <v>2630558.552</v>
      </c>
      <c r="P566" s="12">
        <f> 'Optimal Choice'!$B$12*'Optimal Choice'!$B$13^(J566+1)</f>
        <v>35030479.66</v>
      </c>
      <c r="Q566" s="12">
        <f> 'Optimal Choice'!$B$17*'Optimal Choice'!$B$18^(K566+1)</f>
        <v>160837947.4</v>
      </c>
      <c r="R566" s="12">
        <f> 'Optimal Choice'!$B$22*'Optimal Choice'!$B$23^(L566+1)</f>
        <v>584321813.6</v>
      </c>
      <c r="S566" s="12">
        <f> 'Optimal Choice'!$B$27*'Optimal Choice'!$B$28^(M566+1)</f>
        <v>3497462561</v>
      </c>
    </row>
    <row r="567" ht="15.75" customHeight="1">
      <c r="A567" s="10">
        <f t="shared" si="2"/>
        <v>2755.28266</v>
      </c>
      <c r="B567" s="6">
        <f>(I567*'Optimal Choice'!$B$6+J567*'Optimal Choice'!$B$11+K567*'Optimal Choice'!$B$16+L567*'Optimal Choice'!$B$21+M567*'Optimal Choice'!$B$26)*'Optimal Choice'!$B$30</f>
        <v>239540.66</v>
      </c>
      <c r="C567" s="10">
        <f>(O567/$B567)+(O567/'Optimal Choice'!$B$6)</f>
        <v>1685459.446</v>
      </c>
      <c r="D567" s="10">
        <f>(P567/$B567)+(P567/'Optimal Choice'!$B$11)</f>
        <v>1751670.223</v>
      </c>
      <c r="E567" s="10">
        <f>(Q567/$B567)+(Q567/'Optimal Choice'!$B$16)</f>
        <v>1787759.748</v>
      </c>
      <c r="F567" s="10">
        <f>(R567/$B567)+(R567/'Optimal Choice'!$B$21)</f>
        <v>1625555.492</v>
      </c>
      <c r="G567" s="10">
        <f>(S567/$B567)+(S567/'Optimal Choice'!$B$26)</f>
        <v>1633796.335</v>
      </c>
      <c r="I567" s="11">
        <f t="shared" ref="I567:M567" si="566">if(min($C566:$G566)=C566,I566+1,I566)</f>
        <v>198</v>
      </c>
      <c r="J567" s="11">
        <f t="shared" si="566"/>
        <v>94</v>
      </c>
      <c r="K567" s="11">
        <f t="shared" si="566"/>
        <v>93</v>
      </c>
      <c r="L567" s="11">
        <f t="shared" si="566"/>
        <v>90</v>
      </c>
      <c r="M567" s="11">
        <f t="shared" si="566"/>
        <v>91</v>
      </c>
      <c r="O567" s="12">
        <f> 'Optimal Choice'!$B$7*'Optimal Choice'!$B$8^(I567+1)</f>
        <v>2814697.651</v>
      </c>
      <c r="P567" s="12">
        <f> 'Optimal Choice'!$B$12*'Optimal Choice'!$B$13^(J567+1)</f>
        <v>35030479.66</v>
      </c>
      <c r="Q567" s="12">
        <f> 'Optimal Choice'!$B$17*'Optimal Choice'!$B$18^(K567+1)</f>
        <v>160837947.4</v>
      </c>
      <c r="R567" s="12">
        <f> 'Optimal Choice'!$B$22*'Optimal Choice'!$B$23^(L567+1)</f>
        <v>584321813.6</v>
      </c>
      <c r="S567" s="12">
        <f> 'Optimal Choice'!$B$27*'Optimal Choice'!$B$28^(M567+1)</f>
        <v>3497462561</v>
      </c>
    </row>
    <row r="568" ht="15.75" customHeight="1">
      <c r="A568" s="10">
        <f t="shared" si="2"/>
        <v>2795.938375</v>
      </c>
      <c r="B568" s="6">
        <f>(I568*'Optimal Choice'!$B$6+J568*'Optimal Choice'!$B$11+K568*'Optimal Choice'!$B$16+L568*'Optimal Choice'!$B$21+M568*'Optimal Choice'!$B$26)*'Optimal Choice'!$B$30</f>
        <v>239900.66</v>
      </c>
      <c r="C568" s="10">
        <f>(O568/$B568)+(O568/'Optimal Choice'!$B$6)</f>
        <v>1685459.428</v>
      </c>
      <c r="D568" s="10">
        <f>(P568/$B568)+(P568/'Optimal Choice'!$B$11)</f>
        <v>1751670.004</v>
      </c>
      <c r="E568" s="10">
        <f>(Q568/$B568)+(Q568/'Optimal Choice'!$B$16)</f>
        <v>1787758.74</v>
      </c>
      <c r="F568" s="10">
        <f>(R568/$B568)+(R568/'Optimal Choice'!$B$21)</f>
        <v>1836873.569</v>
      </c>
      <c r="G568" s="10">
        <f>(S568/$B568)+(S568/'Optimal Choice'!$B$26)</f>
        <v>1633774.425</v>
      </c>
      <c r="I568" s="11">
        <f t="shared" ref="I568:M568" si="567">if(min($C567:$G567)=C567,I567+1,I567)</f>
        <v>198</v>
      </c>
      <c r="J568" s="11">
        <f t="shared" si="567"/>
        <v>94</v>
      </c>
      <c r="K568" s="11">
        <f t="shared" si="567"/>
        <v>93</v>
      </c>
      <c r="L568" s="11">
        <f t="shared" si="567"/>
        <v>91</v>
      </c>
      <c r="M568" s="11">
        <f t="shared" si="567"/>
        <v>91</v>
      </c>
      <c r="O568" s="12">
        <f> 'Optimal Choice'!$B$7*'Optimal Choice'!$B$8^(I568+1)</f>
        <v>2814697.651</v>
      </c>
      <c r="P568" s="12">
        <f> 'Optimal Choice'!$B$12*'Optimal Choice'!$B$13^(J568+1)</f>
        <v>35030479.66</v>
      </c>
      <c r="Q568" s="12">
        <f> 'Optimal Choice'!$B$17*'Optimal Choice'!$B$18^(K568+1)</f>
        <v>160837947.4</v>
      </c>
      <c r="R568" s="12">
        <f> 'Optimal Choice'!$B$22*'Optimal Choice'!$B$23^(L568+1)</f>
        <v>660283649.4</v>
      </c>
      <c r="S568" s="12">
        <f> 'Optimal Choice'!$B$27*'Optimal Choice'!$B$28^(M568+1)</f>
        <v>3497462561</v>
      </c>
    </row>
    <row r="569" ht="15.75" customHeight="1">
      <c r="A569" s="10">
        <f t="shared" si="2"/>
        <v>3038.918293</v>
      </c>
      <c r="B569" s="6">
        <f>(I569*'Optimal Choice'!$B$6+J569*'Optimal Choice'!$B$11+K569*'Optimal Choice'!$B$16+L569*'Optimal Choice'!$B$21+M569*'Optimal Choice'!$B$26)*'Optimal Choice'!$B$30</f>
        <v>242060.66</v>
      </c>
      <c r="C569" s="10">
        <f>(O569/$B569)+(O569/'Optimal Choice'!$B$6)</f>
        <v>1685459.323</v>
      </c>
      <c r="D569" s="10">
        <f>(P569/$B569)+(P569/'Optimal Choice'!$B$11)</f>
        <v>1751668.701</v>
      </c>
      <c r="E569" s="10">
        <f>(Q569/$B569)+(Q569/'Optimal Choice'!$B$16)</f>
        <v>1787752.758</v>
      </c>
      <c r="F569" s="10">
        <f>(R569/$B569)+(R569/'Optimal Choice'!$B$21)</f>
        <v>1836849.009</v>
      </c>
      <c r="G569" s="10">
        <f>(S569/$B569)+(S569/'Optimal Choice'!$B$26)</f>
        <v>1829681.653</v>
      </c>
      <c r="I569" s="11">
        <f t="shared" ref="I569:M569" si="568">if(min($C568:$G568)=C568,I568+1,I568)</f>
        <v>198</v>
      </c>
      <c r="J569" s="11">
        <f t="shared" si="568"/>
        <v>94</v>
      </c>
      <c r="K569" s="11">
        <f t="shared" si="568"/>
        <v>93</v>
      </c>
      <c r="L569" s="11">
        <f t="shared" si="568"/>
        <v>91</v>
      </c>
      <c r="M569" s="11">
        <f t="shared" si="568"/>
        <v>92</v>
      </c>
      <c r="O569" s="12">
        <f> 'Optimal Choice'!$B$7*'Optimal Choice'!$B$8^(I569+1)</f>
        <v>2814697.651</v>
      </c>
      <c r="P569" s="12">
        <f> 'Optimal Choice'!$B$12*'Optimal Choice'!$B$13^(J569+1)</f>
        <v>35030479.66</v>
      </c>
      <c r="Q569" s="12">
        <f> 'Optimal Choice'!$B$17*'Optimal Choice'!$B$18^(K569+1)</f>
        <v>160837947.4</v>
      </c>
      <c r="R569" s="12">
        <f> 'Optimal Choice'!$B$22*'Optimal Choice'!$B$23^(L569+1)</f>
        <v>660283649.4</v>
      </c>
      <c r="S569" s="12">
        <f> 'Optimal Choice'!$B$27*'Optimal Choice'!$B$28^(M569+1)</f>
        <v>3917158068</v>
      </c>
    </row>
    <row r="570" ht="15.75" customHeight="1">
      <c r="A570" s="10">
        <f t="shared" si="2"/>
        <v>3039.112094</v>
      </c>
      <c r="B570" s="6">
        <f>(I570*'Optimal Choice'!$B$6+J570*'Optimal Choice'!$B$11+K570*'Optimal Choice'!$B$16+L570*'Optimal Choice'!$B$21+M570*'Optimal Choice'!$B$26)*'Optimal Choice'!$B$30</f>
        <v>242062.33</v>
      </c>
      <c r="C570" s="10">
        <f>(O570/$B570)+(O570/'Optimal Choice'!$B$6)</f>
        <v>1803441.476</v>
      </c>
      <c r="D570" s="10">
        <f>(P570/$B570)+(P570/'Optimal Choice'!$B$11)</f>
        <v>1751668.7</v>
      </c>
      <c r="E570" s="10">
        <f>(Q570/$B570)+(Q570/'Optimal Choice'!$B$16)</f>
        <v>1787752.753</v>
      </c>
      <c r="F570" s="10">
        <f>(R570/$B570)+(R570/'Optimal Choice'!$B$21)</f>
        <v>1836848.991</v>
      </c>
      <c r="G570" s="10">
        <f>(S570/$B570)+(S570/'Optimal Choice'!$B$26)</f>
        <v>1829681.541</v>
      </c>
      <c r="I570" s="11">
        <f t="shared" ref="I570:M570" si="569">if(min($C569:$G569)=C569,I569+1,I569)</f>
        <v>199</v>
      </c>
      <c r="J570" s="11">
        <f t="shared" si="569"/>
        <v>94</v>
      </c>
      <c r="K570" s="11">
        <f t="shared" si="569"/>
        <v>93</v>
      </c>
      <c r="L570" s="11">
        <f t="shared" si="569"/>
        <v>91</v>
      </c>
      <c r="M570" s="11">
        <f t="shared" si="569"/>
        <v>92</v>
      </c>
      <c r="O570" s="12">
        <f> 'Optimal Choice'!$B$7*'Optimal Choice'!$B$8^(I570+1)</f>
        <v>3011726.487</v>
      </c>
      <c r="P570" s="12">
        <f> 'Optimal Choice'!$B$12*'Optimal Choice'!$B$13^(J570+1)</f>
        <v>35030479.66</v>
      </c>
      <c r="Q570" s="12">
        <f> 'Optimal Choice'!$B$17*'Optimal Choice'!$B$18^(K570+1)</f>
        <v>160837947.4</v>
      </c>
      <c r="R570" s="12">
        <f> 'Optimal Choice'!$B$22*'Optimal Choice'!$B$23^(L570+1)</f>
        <v>660283649.4</v>
      </c>
      <c r="S570" s="12">
        <f> 'Optimal Choice'!$B$27*'Optimal Choice'!$B$28^(M570+1)</f>
        <v>3917158068</v>
      </c>
    </row>
    <row r="571" ht="15.75" customHeight="1">
      <c r="A571" s="10">
        <f t="shared" si="2"/>
        <v>3041.52404</v>
      </c>
      <c r="B571" s="6">
        <f>(I571*'Optimal Choice'!$B$6+J571*'Optimal Choice'!$B$11+K571*'Optimal Choice'!$B$16+L571*'Optimal Choice'!$B$21+M571*'Optimal Choice'!$B$26)*'Optimal Choice'!$B$30</f>
        <v>242082.33</v>
      </c>
      <c r="C571" s="10">
        <f>(O571/$B571)+(O571/'Optimal Choice'!$B$6)</f>
        <v>1803441.475</v>
      </c>
      <c r="D571" s="10">
        <f>(P571/$B571)+(P571/'Optimal Choice'!$B$11)</f>
        <v>2014418.991</v>
      </c>
      <c r="E571" s="10">
        <f>(Q571/$B571)+(Q571/'Optimal Choice'!$B$16)</f>
        <v>1787752.698</v>
      </c>
      <c r="F571" s="10">
        <f>(R571/$B571)+(R571/'Optimal Choice'!$B$21)</f>
        <v>1836848.765</v>
      </c>
      <c r="G571" s="10">
        <f>(S571/$B571)+(S571/'Optimal Choice'!$B$26)</f>
        <v>1829680.204</v>
      </c>
      <c r="I571" s="11">
        <f t="shared" ref="I571:M571" si="570">if(min($C570:$G570)=C570,I570+1,I570)</f>
        <v>199</v>
      </c>
      <c r="J571" s="11">
        <f t="shared" si="570"/>
        <v>95</v>
      </c>
      <c r="K571" s="11">
        <f t="shared" si="570"/>
        <v>93</v>
      </c>
      <c r="L571" s="11">
        <f t="shared" si="570"/>
        <v>91</v>
      </c>
      <c r="M571" s="11">
        <f t="shared" si="570"/>
        <v>92</v>
      </c>
      <c r="O571" s="12">
        <f> 'Optimal Choice'!$B$7*'Optimal Choice'!$B$8^(I571+1)</f>
        <v>3011726.487</v>
      </c>
      <c r="P571" s="12">
        <f> 'Optimal Choice'!$B$12*'Optimal Choice'!$B$13^(J571+1)</f>
        <v>40285051.61</v>
      </c>
      <c r="Q571" s="12">
        <f> 'Optimal Choice'!$B$17*'Optimal Choice'!$B$18^(K571+1)</f>
        <v>160837947.4</v>
      </c>
      <c r="R571" s="12">
        <f> 'Optimal Choice'!$B$22*'Optimal Choice'!$B$23^(L571+1)</f>
        <v>660283649.4</v>
      </c>
      <c r="S571" s="12">
        <f> 'Optimal Choice'!$B$27*'Optimal Choice'!$B$28^(M571+1)</f>
        <v>3917158068</v>
      </c>
    </row>
    <row r="572" ht="15.75" customHeight="1">
      <c r="A572" s="10">
        <f t="shared" si="2"/>
        <v>3052.597267</v>
      </c>
      <c r="B572" s="6">
        <f>(I572*'Optimal Choice'!$B$6+J572*'Optimal Choice'!$B$11+K572*'Optimal Choice'!$B$16+L572*'Optimal Choice'!$B$21+M572*'Optimal Choice'!$B$26)*'Optimal Choice'!$B$30</f>
        <v>242172.33</v>
      </c>
      <c r="C572" s="10">
        <f>(O572/$B572)+(O572/'Optimal Choice'!$B$6)</f>
        <v>1803441.47</v>
      </c>
      <c r="D572" s="10">
        <f>(P572/$B572)+(P572/'Optimal Choice'!$B$11)</f>
        <v>2014418.929</v>
      </c>
      <c r="E572" s="10">
        <f>(Q572/$B572)+(Q572/'Optimal Choice'!$B$16)</f>
        <v>2038037.794</v>
      </c>
      <c r="F572" s="10">
        <f>(R572/$B572)+(R572/'Optimal Choice'!$B$21)</f>
        <v>1836847.752</v>
      </c>
      <c r="G572" s="10">
        <f>(S572/$B572)+(S572/'Optimal Choice'!$B$26)</f>
        <v>1829674.191</v>
      </c>
      <c r="I572" s="11">
        <f t="shared" ref="I572:M572" si="571">if(min($C571:$G571)=C571,I571+1,I571)</f>
        <v>199</v>
      </c>
      <c r="J572" s="11">
        <f t="shared" si="571"/>
        <v>95</v>
      </c>
      <c r="K572" s="11">
        <f t="shared" si="571"/>
        <v>94</v>
      </c>
      <c r="L572" s="11">
        <f t="shared" si="571"/>
        <v>91</v>
      </c>
      <c r="M572" s="11">
        <f t="shared" si="571"/>
        <v>92</v>
      </c>
      <c r="O572" s="12">
        <f> 'Optimal Choice'!$B$7*'Optimal Choice'!$B$8^(I572+1)</f>
        <v>3011726.487</v>
      </c>
      <c r="P572" s="12">
        <f> 'Optimal Choice'!$B$12*'Optimal Choice'!$B$13^(J572+1)</f>
        <v>40285051.61</v>
      </c>
      <c r="Q572" s="12">
        <f> 'Optimal Choice'!$B$17*'Optimal Choice'!$B$18^(K572+1)</f>
        <v>183355260</v>
      </c>
      <c r="R572" s="12">
        <f> 'Optimal Choice'!$B$22*'Optimal Choice'!$B$23^(L572+1)</f>
        <v>660283649.4</v>
      </c>
      <c r="S572" s="12">
        <f> 'Optimal Choice'!$B$27*'Optimal Choice'!$B$28^(M572+1)</f>
        <v>3917158068</v>
      </c>
    </row>
    <row r="573" ht="15.75" customHeight="1">
      <c r="A573" s="10">
        <f t="shared" si="2"/>
        <v>3052.804538</v>
      </c>
      <c r="B573" s="6">
        <f>(I573*'Optimal Choice'!$B$6+J573*'Optimal Choice'!$B$11+K573*'Optimal Choice'!$B$16+L573*'Optimal Choice'!$B$21+M573*'Optimal Choice'!$B$26)*'Optimal Choice'!$B$30</f>
        <v>242174</v>
      </c>
      <c r="C573" s="10">
        <f>(O573/$B573)+(O573/'Optimal Choice'!$B$6)</f>
        <v>1929682.373</v>
      </c>
      <c r="D573" s="10">
        <f>(P573/$B573)+(P573/'Optimal Choice'!$B$11)</f>
        <v>2014418.928</v>
      </c>
      <c r="E573" s="10">
        <f>(Q573/$B573)+(Q573/'Optimal Choice'!$B$16)</f>
        <v>2038037.789</v>
      </c>
      <c r="F573" s="10">
        <f>(R573/$B573)+(R573/'Optimal Choice'!$B$21)</f>
        <v>1836847.733</v>
      </c>
      <c r="G573" s="10">
        <f>(S573/$B573)+(S573/'Optimal Choice'!$B$26)</f>
        <v>1829674.079</v>
      </c>
      <c r="I573" s="11">
        <f t="shared" ref="I573:M573" si="572">if(min($C572:$G572)=C572,I572+1,I572)</f>
        <v>200</v>
      </c>
      <c r="J573" s="11">
        <f t="shared" si="572"/>
        <v>95</v>
      </c>
      <c r="K573" s="11">
        <f t="shared" si="572"/>
        <v>94</v>
      </c>
      <c r="L573" s="11">
        <f t="shared" si="572"/>
        <v>91</v>
      </c>
      <c r="M573" s="11">
        <f t="shared" si="572"/>
        <v>92</v>
      </c>
      <c r="O573" s="12">
        <f> 'Optimal Choice'!$B$7*'Optimal Choice'!$B$8^(I573+1)</f>
        <v>3222547.341</v>
      </c>
      <c r="P573" s="12">
        <f> 'Optimal Choice'!$B$12*'Optimal Choice'!$B$13^(J573+1)</f>
        <v>40285051.61</v>
      </c>
      <c r="Q573" s="12">
        <f> 'Optimal Choice'!$B$17*'Optimal Choice'!$B$18^(K573+1)</f>
        <v>183355260</v>
      </c>
      <c r="R573" s="12">
        <f> 'Optimal Choice'!$B$22*'Optimal Choice'!$B$23^(L573+1)</f>
        <v>660283649.4</v>
      </c>
      <c r="S573" s="12">
        <f> 'Optimal Choice'!$B$27*'Optimal Choice'!$B$28^(M573+1)</f>
        <v>3917158068</v>
      </c>
    </row>
    <row r="574" ht="15.75" customHeight="1">
      <c r="A574" s="10">
        <f t="shared" si="2"/>
        <v>3322.387432</v>
      </c>
      <c r="B574" s="6">
        <f>(I574*'Optimal Choice'!$B$6+J574*'Optimal Choice'!$B$11+K574*'Optimal Choice'!$B$16+L574*'Optimal Choice'!$B$21+M574*'Optimal Choice'!$B$26)*'Optimal Choice'!$B$30</f>
        <v>244334</v>
      </c>
      <c r="C574" s="10">
        <f>(O574/$B574)+(O574/'Optimal Choice'!$B$6)</f>
        <v>1929682.255</v>
      </c>
      <c r="D574" s="10">
        <f>(P574/$B574)+(P574/'Optimal Choice'!$B$11)</f>
        <v>2014417.457</v>
      </c>
      <c r="E574" s="10">
        <f>(Q574/$B574)+(Q574/'Optimal Choice'!$B$16)</f>
        <v>2038031.096</v>
      </c>
      <c r="F574" s="10">
        <f>(R574/$B574)+(R574/'Optimal Choice'!$B$21)</f>
        <v>1836823.63</v>
      </c>
      <c r="G574" s="10">
        <f>(S574/$B574)+(S574/'Optimal Choice'!$B$26)</f>
        <v>2049074.817</v>
      </c>
      <c r="I574" s="11">
        <f t="shared" ref="I574:M574" si="573">if(min($C573:$G573)=C573,I573+1,I573)</f>
        <v>200</v>
      </c>
      <c r="J574" s="11">
        <f t="shared" si="573"/>
        <v>95</v>
      </c>
      <c r="K574" s="11">
        <f t="shared" si="573"/>
        <v>94</v>
      </c>
      <c r="L574" s="11">
        <f t="shared" si="573"/>
        <v>91</v>
      </c>
      <c r="M574" s="11">
        <f t="shared" si="573"/>
        <v>93</v>
      </c>
      <c r="O574" s="12">
        <f> 'Optimal Choice'!$B$7*'Optimal Choice'!$B$8^(I574+1)</f>
        <v>3222547.341</v>
      </c>
      <c r="P574" s="12">
        <f> 'Optimal Choice'!$B$12*'Optimal Choice'!$B$13^(J574+1)</f>
        <v>40285051.61</v>
      </c>
      <c r="Q574" s="12">
        <f> 'Optimal Choice'!$B$17*'Optimal Choice'!$B$18^(K574+1)</f>
        <v>183355260</v>
      </c>
      <c r="R574" s="12">
        <f> 'Optimal Choice'!$B$22*'Optimal Choice'!$B$23^(L574+1)</f>
        <v>660283649.4</v>
      </c>
      <c r="S574" s="12">
        <f> 'Optimal Choice'!$B$27*'Optimal Choice'!$B$28^(M574+1)</f>
        <v>4387217036</v>
      </c>
    </row>
    <row r="575" ht="15.75" customHeight="1">
      <c r="A575" s="10">
        <f t="shared" si="2"/>
        <v>3367.427122</v>
      </c>
      <c r="B575" s="6">
        <f>(I575*'Optimal Choice'!$B$6+J575*'Optimal Choice'!$B$11+K575*'Optimal Choice'!$B$16+L575*'Optimal Choice'!$B$21+M575*'Optimal Choice'!$B$26)*'Optimal Choice'!$B$30</f>
        <v>244694</v>
      </c>
      <c r="C575" s="10">
        <f>(O575/$B575)+(O575/'Optimal Choice'!$B$6)</f>
        <v>1929682.236</v>
      </c>
      <c r="D575" s="10">
        <f>(P575/$B575)+(P575/'Optimal Choice'!$B$11)</f>
        <v>2014417.215</v>
      </c>
      <c r="E575" s="10">
        <f>(Q575/$B575)+(Q575/'Optimal Choice'!$B$16)</f>
        <v>2038029.992</v>
      </c>
      <c r="F575" s="10">
        <f>(R575/$B575)+(R575/'Optimal Choice'!$B$21)</f>
        <v>2075606.209</v>
      </c>
      <c r="G575" s="10">
        <f>(S575/$B575)+(S575/'Optimal Choice'!$B$26)</f>
        <v>2049048.4</v>
      </c>
      <c r="I575" s="11">
        <f t="shared" ref="I575:M575" si="574">if(min($C574:$G574)=C574,I574+1,I574)</f>
        <v>200</v>
      </c>
      <c r="J575" s="11">
        <f t="shared" si="574"/>
        <v>95</v>
      </c>
      <c r="K575" s="11">
        <f t="shared" si="574"/>
        <v>94</v>
      </c>
      <c r="L575" s="11">
        <f t="shared" si="574"/>
        <v>92</v>
      </c>
      <c r="M575" s="11">
        <f t="shared" si="574"/>
        <v>93</v>
      </c>
      <c r="O575" s="12">
        <f> 'Optimal Choice'!$B$7*'Optimal Choice'!$B$8^(I575+1)</f>
        <v>3222547.341</v>
      </c>
      <c r="P575" s="12">
        <f> 'Optimal Choice'!$B$12*'Optimal Choice'!$B$13^(J575+1)</f>
        <v>40285051.61</v>
      </c>
      <c r="Q575" s="12">
        <f> 'Optimal Choice'!$B$17*'Optimal Choice'!$B$18^(K575+1)</f>
        <v>183355260</v>
      </c>
      <c r="R575" s="12">
        <f> 'Optimal Choice'!$B$22*'Optimal Choice'!$B$23^(L575+1)</f>
        <v>746120523.8</v>
      </c>
      <c r="S575" s="12">
        <f> 'Optimal Choice'!$B$27*'Optimal Choice'!$B$28^(M575+1)</f>
        <v>4387217036</v>
      </c>
    </row>
    <row r="576" ht="15.75" customHeight="1">
      <c r="A576" s="10">
        <f t="shared" si="2"/>
        <v>3367.646617</v>
      </c>
      <c r="B576" s="6">
        <f>(I576*'Optimal Choice'!$B$6+J576*'Optimal Choice'!$B$11+K576*'Optimal Choice'!$B$16+L576*'Optimal Choice'!$B$21+M576*'Optimal Choice'!$B$26)*'Optimal Choice'!$B$30</f>
        <v>244695.67</v>
      </c>
      <c r="C576" s="10">
        <f>(O576/$B576)+(O576/'Optimal Choice'!$B$6)</f>
        <v>2064759.992</v>
      </c>
      <c r="D576" s="10">
        <f>(P576/$B576)+(P576/'Optimal Choice'!$B$11)</f>
        <v>2014417.214</v>
      </c>
      <c r="E576" s="10">
        <f>(Q576/$B576)+(Q576/'Optimal Choice'!$B$16)</f>
        <v>2038029.987</v>
      </c>
      <c r="F576" s="10">
        <f>(R576/$B576)+(R576/'Optimal Choice'!$B$21)</f>
        <v>2075606.188</v>
      </c>
      <c r="G576" s="10">
        <f>(S576/$B576)+(S576/'Optimal Choice'!$B$26)</f>
        <v>2049048.278</v>
      </c>
      <c r="I576" s="11">
        <f t="shared" ref="I576:M576" si="575">if(min($C575:$G575)=C575,I575+1,I575)</f>
        <v>201</v>
      </c>
      <c r="J576" s="11">
        <f t="shared" si="575"/>
        <v>95</v>
      </c>
      <c r="K576" s="11">
        <f t="shared" si="575"/>
        <v>94</v>
      </c>
      <c r="L576" s="11">
        <f t="shared" si="575"/>
        <v>92</v>
      </c>
      <c r="M576" s="11">
        <f t="shared" si="575"/>
        <v>93</v>
      </c>
      <c r="O576" s="12">
        <f> 'Optimal Choice'!$B$7*'Optimal Choice'!$B$8^(I576+1)</f>
        <v>3448125.655</v>
      </c>
      <c r="P576" s="12">
        <f> 'Optimal Choice'!$B$12*'Optimal Choice'!$B$13^(J576+1)</f>
        <v>40285051.61</v>
      </c>
      <c r="Q576" s="12">
        <f> 'Optimal Choice'!$B$17*'Optimal Choice'!$B$18^(K576+1)</f>
        <v>183355260</v>
      </c>
      <c r="R576" s="12">
        <f> 'Optimal Choice'!$B$22*'Optimal Choice'!$B$23^(L576+1)</f>
        <v>746120523.8</v>
      </c>
      <c r="S576" s="12">
        <f> 'Optimal Choice'!$B$27*'Optimal Choice'!$B$28^(M576+1)</f>
        <v>4387217036</v>
      </c>
    </row>
    <row r="577" ht="15.75" customHeight="1">
      <c r="A577" s="10">
        <f t="shared" si="2"/>
        <v>3370.390505</v>
      </c>
      <c r="B577" s="6">
        <f>(I577*'Optimal Choice'!$B$6+J577*'Optimal Choice'!$B$11+K577*'Optimal Choice'!$B$16+L577*'Optimal Choice'!$B$21+M577*'Optimal Choice'!$B$26)*'Optimal Choice'!$B$30</f>
        <v>244715.67</v>
      </c>
      <c r="C577" s="10">
        <f>(O577/$B577)+(O577/'Optimal Choice'!$B$6)</f>
        <v>2064759.991</v>
      </c>
      <c r="D577" s="10">
        <f>(P577/$B577)+(P577/'Optimal Choice'!$B$11)</f>
        <v>2316579.78</v>
      </c>
      <c r="E577" s="10">
        <f>(Q577/$B577)+(Q577/'Optimal Choice'!$B$16)</f>
        <v>2038029.926</v>
      </c>
      <c r="F577" s="10">
        <f>(R577/$B577)+(R577/'Optimal Choice'!$B$21)</f>
        <v>2075605.939</v>
      </c>
      <c r="G577" s="10">
        <f>(S577/$B577)+(S577/'Optimal Choice'!$B$26)</f>
        <v>2049046.812</v>
      </c>
      <c r="I577" s="11">
        <f t="shared" ref="I577:M577" si="576">if(min($C576:$G576)=C576,I576+1,I576)</f>
        <v>201</v>
      </c>
      <c r="J577" s="11">
        <f t="shared" si="576"/>
        <v>96</v>
      </c>
      <c r="K577" s="11">
        <f t="shared" si="576"/>
        <v>94</v>
      </c>
      <c r="L577" s="11">
        <f t="shared" si="576"/>
        <v>92</v>
      </c>
      <c r="M577" s="11">
        <f t="shared" si="576"/>
        <v>93</v>
      </c>
      <c r="O577" s="12">
        <f> 'Optimal Choice'!$B$7*'Optimal Choice'!$B$8^(I577+1)</f>
        <v>3448125.655</v>
      </c>
      <c r="P577" s="12">
        <f> 'Optimal Choice'!$B$12*'Optimal Choice'!$B$13^(J577+1)</f>
        <v>46327809.35</v>
      </c>
      <c r="Q577" s="12">
        <f> 'Optimal Choice'!$B$17*'Optimal Choice'!$B$18^(K577+1)</f>
        <v>183355260</v>
      </c>
      <c r="R577" s="12">
        <f> 'Optimal Choice'!$B$22*'Optimal Choice'!$B$23^(L577+1)</f>
        <v>746120523.8</v>
      </c>
      <c r="S577" s="12">
        <f> 'Optimal Choice'!$B$27*'Optimal Choice'!$B$28^(M577+1)</f>
        <v>4387217036</v>
      </c>
    </row>
    <row r="578" ht="15.75" customHeight="1">
      <c r="A578" s="10">
        <f t="shared" si="2"/>
        <v>3382.878144</v>
      </c>
      <c r="B578" s="6">
        <f>(I578*'Optimal Choice'!$B$6+J578*'Optimal Choice'!$B$11+K578*'Optimal Choice'!$B$16+L578*'Optimal Choice'!$B$21+M578*'Optimal Choice'!$B$26)*'Optimal Choice'!$B$30</f>
        <v>244805.67</v>
      </c>
      <c r="C578" s="10">
        <f>(O578/$B578)+(O578/'Optimal Choice'!$B$6)</f>
        <v>2064759.986</v>
      </c>
      <c r="D578" s="10">
        <f>(P578/$B578)+(P578/'Optimal Choice'!$B$11)</f>
        <v>2316579.711</v>
      </c>
      <c r="E578" s="10">
        <f>(Q578/$B578)+(Q578/'Optimal Choice'!$B$16)</f>
        <v>2323353.801</v>
      </c>
      <c r="F578" s="10">
        <f>(R578/$B578)+(R578/'Optimal Choice'!$B$21)</f>
        <v>2075604.818</v>
      </c>
      <c r="G578" s="10">
        <f>(S578/$B578)+(S578/'Optimal Choice'!$B$26)</f>
        <v>2049040.221</v>
      </c>
      <c r="I578" s="11">
        <f t="shared" ref="I578:M578" si="577">if(min($C577:$G577)=C577,I577+1,I577)</f>
        <v>201</v>
      </c>
      <c r="J578" s="11">
        <f t="shared" si="577"/>
        <v>96</v>
      </c>
      <c r="K578" s="11">
        <f t="shared" si="577"/>
        <v>95</v>
      </c>
      <c r="L578" s="11">
        <f t="shared" si="577"/>
        <v>92</v>
      </c>
      <c r="M578" s="11">
        <f t="shared" si="577"/>
        <v>93</v>
      </c>
      <c r="O578" s="12">
        <f> 'Optimal Choice'!$B$7*'Optimal Choice'!$B$8^(I578+1)</f>
        <v>3448125.655</v>
      </c>
      <c r="P578" s="12">
        <f> 'Optimal Choice'!$B$12*'Optimal Choice'!$B$13^(J578+1)</f>
        <v>46327809.35</v>
      </c>
      <c r="Q578" s="12">
        <f> 'Optimal Choice'!$B$17*'Optimal Choice'!$B$18^(K578+1)</f>
        <v>209024996.5</v>
      </c>
      <c r="R578" s="12">
        <f> 'Optimal Choice'!$B$22*'Optimal Choice'!$B$23^(L578+1)</f>
        <v>746120523.8</v>
      </c>
      <c r="S578" s="12">
        <f> 'Optimal Choice'!$B$27*'Optimal Choice'!$B$28^(M578+1)</f>
        <v>4387217036</v>
      </c>
    </row>
    <row r="579" ht="15.75" customHeight="1">
      <c r="A579" s="10">
        <f t="shared" si="2"/>
        <v>3681.565196</v>
      </c>
      <c r="B579" s="6">
        <f>(I579*'Optimal Choice'!$B$6+J579*'Optimal Choice'!$B$11+K579*'Optimal Choice'!$B$16+L579*'Optimal Choice'!$B$21+M579*'Optimal Choice'!$B$26)*'Optimal Choice'!$B$30</f>
        <v>246965.67</v>
      </c>
      <c r="C579" s="10">
        <f>(O579/$B579)+(O579/'Optimal Choice'!$B$6)</f>
        <v>2064759.863</v>
      </c>
      <c r="D579" s="10">
        <f>(P579/$B579)+(P579/'Optimal Choice'!$B$11)</f>
        <v>2316578.055</v>
      </c>
      <c r="E579" s="10">
        <f>(Q579/$B579)+(Q579/'Optimal Choice'!$B$16)</f>
        <v>2323346.333</v>
      </c>
      <c r="F579" s="10">
        <f>(R579/$B579)+(R579/'Optimal Choice'!$B$21)</f>
        <v>2075578.161</v>
      </c>
      <c r="G579" s="10">
        <f>(S579/$B579)+(S579/'Optimal Choice'!$B$26)</f>
        <v>2294749.497</v>
      </c>
      <c r="I579" s="11">
        <f t="shared" ref="I579:M579" si="578">if(min($C578:$G578)=C578,I578+1,I578)</f>
        <v>201</v>
      </c>
      <c r="J579" s="11">
        <f t="shared" si="578"/>
        <v>96</v>
      </c>
      <c r="K579" s="11">
        <f t="shared" si="578"/>
        <v>95</v>
      </c>
      <c r="L579" s="11">
        <f t="shared" si="578"/>
        <v>92</v>
      </c>
      <c r="M579" s="11">
        <f t="shared" si="578"/>
        <v>94</v>
      </c>
      <c r="O579" s="12">
        <f> 'Optimal Choice'!$B$7*'Optimal Choice'!$B$8^(I579+1)</f>
        <v>3448125.655</v>
      </c>
      <c r="P579" s="12">
        <f> 'Optimal Choice'!$B$12*'Optimal Choice'!$B$13^(J579+1)</f>
        <v>46327809.35</v>
      </c>
      <c r="Q579" s="12">
        <f> 'Optimal Choice'!$B$17*'Optimal Choice'!$B$18^(K579+1)</f>
        <v>209024996.5</v>
      </c>
      <c r="R579" s="12">
        <f> 'Optimal Choice'!$B$22*'Optimal Choice'!$B$23^(L579+1)</f>
        <v>746120523.8</v>
      </c>
      <c r="S579" s="12">
        <f> 'Optimal Choice'!$B$27*'Optimal Choice'!$B$28^(M579+1)</f>
        <v>4913683080</v>
      </c>
    </row>
    <row r="580" ht="15.75" customHeight="1">
      <c r="A580" s="10">
        <f t="shared" si="2"/>
        <v>3681.797896</v>
      </c>
      <c r="B580" s="6">
        <f>(I580*'Optimal Choice'!$B$6+J580*'Optimal Choice'!$B$11+K580*'Optimal Choice'!$B$16+L580*'Optimal Choice'!$B$21+M580*'Optimal Choice'!$B$26)*'Optimal Choice'!$B$30</f>
        <v>246967.34</v>
      </c>
      <c r="C580" s="10">
        <f>(O580/$B580)+(O580/'Optimal Choice'!$B$6)</f>
        <v>2209293.053</v>
      </c>
      <c r="D580" s="10">
        <f>(P580/$B580)+(P580/'Optimal Choice'!$B$11)</f>
        <v>2316578.054</v>
      </c>
      <c r="E580" s="10">
        <f>(Q580/$B580)+(Q580/'Optimal Choice'!$B$16)</f>
        <v>2323346.328</v>
      </c>
      <c r="F580" s="10">
        <f>(R580/$B580)+(R580/'Optimal Choice'!$B$21)</f>
        <v>2075578.141</v>
      </c>
      <c r="G580" s="10">
        <f>(S580/$B580)+(S580/'Optimal Choice'!$B$26)</f>
        <v>2294749.362</v>
      </c>
      <c r="I580" s="11">
        <f t="shared" ref="I580:M580" si="579">if(min($C579:$G579)=C579,I579+1,I579)</f>
        <v>202</v>
      </c>
      <c r="J580" s="11">
        <f t="shared" si="579"/>
        <v>96</v>
      </c>
      <c r="K580" s="11">
        <f t="shared" si="579"/>
        <v>95</v>
      </c>
      <c r="L580" s="11">
        <f t="shared" si="579"/>
        <v>92</v>
      </c>
      <c r="M580" s="11">
        <f t="shared" si="579"/>
        <v>94</v>
      </c>
      <c r="O580" s="12">
        <f> 'Optimal Choice'!$B$7*'Optimal Choice'!$B$8^(I580+1)</f>
        <v>3689494.45</v>
      </c>
      <c r="P580" s="12">
        <f> 'Optimal Choice'!$B$12*'Optimal Choice'!$B$13^(J580+1)</f>
        <v>46327809.35</v>
      </c>
      <c r="Q580" s="12">
        <f> 'Optimal Choice'!$B$17*'Optimal Choice'!$B$18^(K580+1)</f>
        <v>209024996.5</v>
      </c>
      <c r="R580" s="12">
        <f> 'Optimal Choice'!$B$22*'Optimal Choice'!$B$23^(L580+1)</f>
        <v>746120523.8</v>
      </c>
      <c r="S580" s="12">
        <f> 'Optimal Choice'!$B$27*'Optimal Choice'!$B$28^(M580+1)</f>
        <v>4913683080</v>
      </c>
    </row>
    <row r="581" ht="15.75" customHeight="1">
      <c r="A581" s="10">
        <f t="shared" si="2"/>
        <v>3732.150068</v>
      </c>
      <c r="B581" s="6">
        <f>(I581*'Optimal Choice'!$B$6+J581*'Optimal Choice'!$B$11+K581*'Optimal Choice'!$B$16+L581*'Optimal Choice'!$B$21+M581*'Optimal Choice'!$B$26)*'Optimal Choice'!$B$30</f>
        <v>247327.34</v>
      </c>
      <c r="C581" s="10">
        <f>(O581/$B581)+(O581/'Optimal Choice'!$B$6)</f>
        <v>2209293.031</v>
      </c>
      <c r="D581" s="10">
        <f>(P581/$B581)+(P581/'Optimal Choice'!$B$11)</f>
        <v>2316577.781</v>
      </c>
      <c r="E581" s="10">
        <f>(Q581/$B581)+(Q581/'Optimal Choice'!$B$16)</f>
        <v>2323345.096</v>
      </c>
      <c r="F581" s="10">
        <f>(R581/$B581)+(R581/'Optimal Choice'!$B$21)</f>
        <v>2345398.33</v>
      </c>
      <c r="G581" s="10">
        <f>(S581/$B581)+(S581/'Optimal Choice'!$B$26)</f>
        <v>2294720.403</v>
      </c>
      <c r="I581" s="11">
        <f t="shared" ref="I581:M581" si="580">if(min($C580:$G580)=C580,I580+1,I580)</f>
        <v>202</v>
      </c>
      <c r="J581" s="11">
        <f t="shared" si="580"/>
        <v>96</v>
      </c>
      <c r="K581" s="11">
        <f t="shared" si="580"/>
        <v>95</v>
      </c>
      <c r="L581" s="11">
        <f t="shared" si="580"/>
        <v>93</v>
      </c>
      <c r="M581" s="11">
        <f t="shared" si="580"/>
        <v>94</v>
      </c>
      <c r="O581" s="12">
        <f> 'Optimal Choice'!$B$7*'Optimal Choice'!$B$8^(I581+1)</f>
        <v>3689494.45</v>
      </c>
      <c r="P581" s="12">
        <f> 'Optimal Choice'!$B$12*'Optimal Choice'!$B$13^(J581+1)</f>
        <v>46327809.35</v>
      </c>
      <c r="Q581" s="12">
        <f> 'Optimal Choice'!$B$17*'Optimal Choice'!$B$18^(K581+1)</f>
        <v>209024996.5</v>
      </c>
      <c r="R581" s="12">
        <f> 'Optimal Choice'!$B$22*'Optimal Choice'!$B$23^(L581+1)</f>
        <v>843116191.9</v>
      </c>
      <c r="S581" s="12">
        <f> 'Optimal Choice'!$B$27*'Optimal Choice'!$B$28^(M581+1)</f>
        <v>4913683080</v>
      </c>
    </row>
    <row r="582" ht="15.75" customHeight="1">
      <c r="A582" s="10">
        <f t="shared" si="2"/>
        <v>3732.398692</v>
      </c>
      <c r="B582" s="6">
        <f>(I582*'Optimal Choice'!$B$6+J582*'Optimal Choice'!$B$11+K582*'Optimal Choice'!$B$16+L582*'Optimal Choice'!$B$21+M582*'Optimal Choice'!$B$26)*'Optimal Choice'!$B$30</f>
        <v>247329.01</v>
      </c>
      <c r="C582" s="10">
        <f>(O582/$B582)+(O582/'Optimal Choice'!$B$6)</f>
        <v>2363943.544</v>
      </c>
      <c r="D582" s="10">
        <f>(P582/$B582)+(P582/'Optimal Choice'!$B$11)</f>
        <v>2316577.78</v>
      </c>
      <c r="E582" s="10">
        <f>(Q582/$B582)+(Q582/'Optimal Choice'!$B$16)</f>
        <v>2323345.09</v>
      </c>
      <c r="F582" s="10">
        <f>(R582/$B582)+(R582/'Optimal Choice'!$B$21)</f>
        <v>2345398.307</v>
      </c>
      <c r="G582" s="10">
        <f>(S582/$B582)+(S582/'Optimal Choice'!$B$26)</f>
        <v>2294720.268</v>
      </c>
      <c r="I582" s="11">
        <f t="shared" ref="I582:M582" si="581">if(min($C581:$G581)=C581,I581+1,I581)</f>
        <v>203</v>
      </c>
      <c r="J582" s="11">
        <f t="shared" si="581"/>
        <v>96</v>
      </c>
      <c r="K582" s="11">
        <f t="shared" si="581"/>
        <v>95</v>
      </c>
      <c r="L582" s="11">
        <f t="shared" si="581"/>
        <v>93</v>
      </c>
      <c r="M582" s="11">
        <f t="shared" si="581"/>
        <v>94</v>
      </c>
      <c r="O582" s="12">
        <f> 'Optimal Choice'!$B$7*'Optimal Choice'!$B$8^(I582+1)</f>
        <v>3947759.062</v>
      </c>
      <c r="P582" s="12">
        <f> 'Optimal Choice'!$B$12*'Optimal Choice'!$B$13^(J582+1)</f>
        <v>46327809.35</v>
      </c>
      <c r="Q582" s="12">
        <f> 'Optimal Choice'!$B$17*'Optimal Choice'!$B$18^(K582+1)</f>
        <v>209024996.5</v>
      </c>
      <c r="R582" s="12">
        <f> 'Optimal Choice'!$B$22*'Optimal Choice'!$B$23^(L582+1)</f>
        <v>843116191.9</v>
      </c>
      <c r="S582" s="12">
        <f> 'Optimal Choice'!$B$27*'Optimal Choice'!$B$28^(M582+1)</f>
        <v>4913683080</v>
      </c>
    </row>
    <row r="583" ht="15.75" customHeight="1">
      <c r="A583" s="10">
        <f t="shared" si="2"/>
        <v>4063.5152</v>
      </c>
      <c r="B583" s="6">
        <f>(I583*'Optimal Choice'!$B$6+J583*'Optimal Choice'!$B$11+K583*'Optimal Choice'!$B$16+L583*'Optimal Choice'!$B$21+M583*'Optimal Choice'!$B$26)*'Optimal Choice'!$B$30</f>
        <v>249489.01</v>
      </c>
      <c r="C583" s="10">
        <f>(O583/$B583)+(O583/'Optimal Choice'!$B$6)</f>
        <v>2363943.405</v>
      </c>
      <c r="D583" s="10">
        <f>(P583/$B583)+(P583/'Optimal Choice'!$B$11)</f>
        <v>2316576.158</v>
      </c>
      <c r="E583" s="10">
        <f>(Q583/$B583)+(Q583/'Optimal Choice'!$B$16)</f>
        <v>2323337.773</v>
      </c>
      <c r="F583" s="10">
        <f>(R583/$B583)+(R583/'Optimal Choice'!$B$21)</f>
        <v>2345368.794</v>
      </c>
      <c r="G583" s="10">
        <f>(S583/$B583)+(S583/'Optimal Choice'!$B$26)</f>
        <v>2569894.058</v>
      </c>
      <c r="I583" s="11">
        <f t="shared" ref="I583:M583" si="582">if(min($C582:$G582)=C582,I582+1,I582)</f>
        <v>203</v>
      </c>
      <c r="J583" s="11">
        <f t="shared" si="582"/>
        <v>96</v>
      </c>
      <c r="K583" s="11">
        <f t="shared" si="582"/>
        <v>95</v>
      </c>
      <c r="L583" s="11">
        <f t="shared" si="582"/>
        <v>93</v>
      </c>
      <c r="M583" s="11">
        <f t="shared" si="582"/>
        <v>95</v>
      </c>
      <c r="O583" s="12">
        <f> 'Optimal Choice'!$B$7*'Optimal Choice'!$B$8^(I583+1)</f>
        <v>3947759.062</v>
      </c>
      <c r="P583" s="12">
        <f> 'Optimal Choice'!$B$12*'Optimal Choice'!$B$13^(J583+1)</f>
        <v>46327809.35</v>
      </c>
      <c r="Q583" s="12">
        <f> 'Optimal Choice'!$B$17*'Optimal Choice'!$B$18^(K583+1)</f>
        <v>209024996.5</v>
      </c>
      <c r="R583" s="12">
        <f> 'Optimal Choice'!$B$22*'Optimal Choice'!$B$23^(L583+1)</f>
        <v>843116191.9</v>
      </c>
      <c r="S583" s="12">
        <f> 'Optimal Choice'!$B$27*'Optimal Choice'!$B$28^(M583+1)</f>
        <v>5503325050</v>
      </c>
    </row>
    <row r="584" ht="15.75" customHeight="1">
      <c r="A584" s="10">
        <f t="shared" si="2"/>
        <v>4066.610046</v>
      </c>
      <c r="B584" s="6">
        <f>(I584*'Optimal Choice'!$B$6+J584*'Optimal Choice'!$B$11+K584*'Optimal Choice'!$B$16+L584*'Optimal Choice'!$B$21+M584*'Optimal Choice'!$B$26)*'Optimal Choice'!$B$30</f>
        <v>249509.01</v>
      </c>
      <c r="C584" s="10">
        <f>(O584/$B584)+(O584/'Optimal Choice'!$B$6)</f>
        <v>2363943.404</v>
      </c>
      <c r="D584" s="10">
        <f>(P584/$B584)+(P584/'Optimal Choice'!$B$11)</f>
        <v>2664062.565</v>
      </c>
      <c r="E584" s="10">
        <f>(Q584/$B584)+(Q584/'Optimal Choice'!$B$16)</f>
        <v>2323337.706</v>
      </c>
      <c r="F584" s="10">
        <f>(R584/$B584)+(R584/'Optimal Choice'!$B$21)</f>
        <v>2345368.523</v>
      </c>
      <c r="G584" s="10">
        <f>(S584/$B584)+(S584/'Optimal Choice'!$B$26)</f>
        <v>2569892.29</v>
      </c>
      <c r="I584" s="11">
        <f t="shared" ref="I584:M584" si="583">if(min($C583:$G583)=C583,I583+1,I583)</f>
        <v>203</v>
      </c>
      <c r="J584" s="11">
        <f t="shared" si="583"/>
        <v>97</v>
      </c>
      <c r="K584" s="11">
        <f t="shared" si="583"/>
        <v>95</v>
      </c>
      <c r="L584" s="11">
        <f t="shared" si="583"/>
        <v>93</v>
      </c>
      <c r="M584" s="11">
        <f t="shared" si="583"/>
        <v>95</v>
      </c>
      <c r="O584" s="12">
        <f> 'Optimal Choice'!$B$7*'Optimal Choice'!$B$8^(I584+1)</f>
        <v>3947759.062</v>
      </c>
      <c r="P584" s="12">
        <f> 'Optimal Choice'!$B$12*'Optimal Choice'!$B$13^(J584+1)</f>
        <v>53276980.75</v>
      </c>
      <c r="Q584" s="12">
        <f> 'Optimal Choice'!$B$17*'Optimal Choice'!$B$18^(K584+1)</f>
        <v>209024996.5</v>
      </c>
      <c r="R584" s="12">
        <f> 'Optimal Choice'!$B$22*'Optimal Choice'!$B$23^(L584+1)</f>
        <v>843116191.9</v>
      </c>
      <c r="S584" s="12">
        <f> 'Optimal Choice'!$B$27*'Optimal Choice'!$B$28^(M584+1)</f>
        <v>5503325050</v>
      </c>
    </row>
    <row r="585" ht="15.75" customHeight="1">
      <c r="A585" s="10">
        <f t="shared" si="2"/>
        <v>4080.572468</v>
      </c>
      <c r="B585" s="6">
        <f>(I585*'Optimal Choice'!$B$6+J585*'Optimal Choice'!$B$11+K585*'Optimal Choice'!$B$16+L585*'Optimal Choice'!$B$21+M585*'Optimal Choice'!$B$26)*'Optimal Choice'!$B$30</f>
        <v>249599.01</v>
      </c>
      <c r="C585" s="10">
        <f>(O585/$B585)+(O585/'Optimal Choice'!$B$6)</f>
        <v>2363943.398</v>
      </c>
      <c r="D585" s="10">
        <f>(P585/$B585)+(P585/'Optimal Choice'!$B$11)</f>
        <v>2664062.488</v>
      </c>
      <c r="E585" s="10">
        <f>(Q585/$B585)+(Q585/'Optimal Choice'!$B$16)</f>
        <v>2648604.64</v>
      </c>
      <c r="F585" s="10">
        <f>(R585/$B585)+(R585/'Optimal Choice'!$B$21)</f>
        <v>2345367.305</v>
      </c>
      <c r="G585" s="10">
        <f>(S585/$B585)+(S585/'Optimal Choice'!$B$26)</f>
        <v>2569884.337</v>
      </c>
      <c r="I585" s="11">
        <f t="shared" ref="I585:M585" si="584">if(min($C584:$G584)=C584,I584+1,I584)</f>
        <v>203</v>
      </c>
      <c r="J585" s="11">
        <f t="shared" si="584"/>
        <v>97</v>
      </c>
      <c r="K585" s="11">
        <f t="shared" si="584"/>
        <v>96</v>
      </c>
      <c r="L585" s="11">
        <f t="shared" si="584"/>
        <v>93</v>
      </c>
      <c r="M585" s="11">
        <f t="shared" si="584"/>
        <v>95</v>
      </c>
      <c r="O585" s="12">
        <f> 'Optimal Choice'!$B$7*'Optimal Choice'!$B$8^(I585+1)</f>
        <v>3947759.062</v>
      </c>
      <c r="P585" s="12">
        <f> 'Optimal Choice'!$B$12*'Optimal Choice'!$B$13^(J585+1)</f>
        <v>53276980.75</v>
      </c>
      <c r="Q585" s="12">
        <f> 'Optimal Choice'!$B$17*'Optimal Choice'!$B$18^(K585+1)</f>
        <v>238288496</v>
      </c>
      <c r="R585" s="12">
        <f> 'Optimal Choice'!$B$22*'Optimal Choice'!$B$23^(L585+1)</f>
        <v>843116191.9</v>
      </c>
      <c r="S585" s="12">
        <f> 'Optimal Choice'!$B$27*'Optimal Choice'!$B$28^(M585+1)</f>
        <v>5503325050</v>
      </c>
    </row>
    <row r="586" ht="15.75" customHeight="1">
      <c r="A586" s="10">
        <f t="shared" si="2"/>
        <v>4136.870514</v>
      </c>
      <c r="B586" s="6">
        <f>(I586*'Optimal Choice'!$B$6+J586*'Optimal Choice'!$B$11+K586*'Optimal Choice'!$B$16+L586*'Optimal Choice'!$B$21+M586*'Optimal Choice'!$B$26)*'Optimal Choice'!$B$30</f>
        <v>249959.01</v>
      </c>
      <c r="C586" s="10">
        <f>(O586/$B586)+(O586/'Optimal Choice'!$B$6)</f>
        <v>2363943.376</v>
      </c>
      <c r="D586" s="10">
        <f>(P586/$B586)+(P586/'Optimal Choice'!$B$11)</f>
        <v>2664062.18</v>
      </c>
      <c r="E586" s="10">
        <f>(Q586/$B586)+(Q586/'Optimal Choice'!$B$16)</f>
        <v>2648603.265</v>
      </c>
      <c r="F586" s="10">
        <f>(R586/$B586)+(R586/'Optimal Choice'!$B$21)</f>
        <v>2650259.557</v>
      </c>
      <c r="G586" s="10">
        <f>(S586/$B586)+(S586/'Optimal Choice'!$B$26)</f>
        <v>2569852.581</v>
      </c>
      <c r="I586" s="11">
        <f t="shared" ref="I586:M586" si="585">if(min($C585:$G585)=C585,I585+1,I585)</f>
        <v>203</v>
      </c>
      <c r="J586" s="11">
        <f t="shared" si="585"/>
        <v>97</v>
      </c>
      <c r="K586" s="11">
        <f t="shared" si="585"/>
        <v>96</v>
      </c>
      <c r="L586" s="11">
        <f t="shared" si="585"/>
        <v>94</v>
      </c>
      <c r="M586" s="11">
        <f t="shared" si="585"/>
        <v>95</v>
      </c>
      <c r="O586" s="12">
        <f> 'Optimal Choice'!$B$7*'Optimal Choice'!$B$8^(I586+1)</f>
        <v>3947759.062</v>
      </c>
      <c r="P586" s="12">
        <f> 'Optimal Choice'!$B$12*'Optimal Choice'!$B$13^(J586+1)</f>
        <v>53276980.75</v>
      </c>
      <c r="Q586" s="12">
        <f> 'Optimal Choice'!$B$17*'Optimal Choice'!$B$18^(K586+1)</f>
        <v>238288496</v>
      </c>
      <c r="R586" s="12">
        <f> 'Optimal Choice'!$B$22*'Optimal Choice'!$B$23^(L586+1)</f>
        <v>952721296.8</v>
      </c>
      <c r="S586" s="12">
        <f> 'Optimal Choice'!$B$27*'Optimal Choice'!$B$28^(M586+1)</f>
        <v>5503325050</v>
      </c>
    </row>
    <row r="587" ht="15.75" customHeight="1">
      <c r="A587" s="10">
        <f t="shared" si="2"/>
        <v>4137.133741</v>
      </c>
      <c r="B587" s="6">
        <f>(I587*'Optimal Choice'!$B$6+J587*'Optimal Choice'!$B$11+K587*'Optimal Choice'!$B$16+L587*'Optimal Choice'!$B$21+M587*'Optimal Choice'!$B$26)*'Optimal Choice'!$B$30</f>
        <v>249960.68</v>
      </c>
      <c r="C587" s="10">
        <f>(O587/$B587)+(O587/'Optimal Choice'!$B$6)</f>
        <v>2529419.412</v>
      </c>
      <c r="D587" s="10">
        <f>(P587/$B587)+(P587/'Optimal Choice'!$B$11)</f>
        <v>2664062.179</v>
      </c>
      <c r="E587" s="10">
        <f>(Q587/$B587)+(Q587/'Optimal Choice'!$B$16)</f>
        <v>2648603.259</v>
      </c>
      <c r="F587" s="10">
        <f>(R587/$B587)+(R587/'Optimal Choice'!$B$21)</f>
        <v>2650259.531</v>
      </c>
      <c r="G587" s="10">
        <f>(S587/$B587)+(S587/'Optimal Choice'!$B$26)</f>
        <v>2569852.434</v>
      </c>
      <c r="I587" s="11">
        <f t="shared" ref="I587:M587" si="586">if(min($C586:$G586)=C586,I586+1,I586)</f>
        <v>204</v>
      </c>
      <c r="J587" s="11">
        <f t="shared" si="586"/>
        <v>97</v>
      </c>
      <c r="K587" s="11">
        <f t="shared" si="586"/>
        <v>96</v>
      </c>
      <c r="L587" s="11">
        <f t="shared" si="586"/>
        <v>94</v>
      </c>
      <c r="M587" s="11">
        <f t="shared" si="586"/>
        <v>95</v>
      </c>
      <c r="O587" s="12">
        <f> 'Optimal Choice'!$B$7*'Optimal Choice'!$B$8^(I587+1)</f>
        <v>4224102.196</v>
      </c>
      <c r="P587" s="12">
        <f> 'Optimal Choice'!$B$12*'Optimal Choice'!$B$13^(J587+1)</f>
        <v>53276980.75</v>
      </c>
      <c r="Q587" s="12">
        <f> 'Optimal Choice'!$B$17*'Optimal Choice'!$B$18^(K587+1)</f>
        <v>238288496</v>
      </c>
      <c r="R587" s="12">
        <f> 'Optimal Choice'!$B$22*'Optimal Choice'!$B$23^(L587+1)</f>
        <v>952721296.8</v>
      </c>
      <c r="S587" s="12">
        <f> 'Optimal Choice'!$B$27*'Optimal Choice'!$B$28^(M587+1)</f>
        <v>5503325050</v>
      </c>
    </row>
    <row r="588" ht="15.75" customHeight="1">
      <c r="A588" s="10">
        <f t="shared" si="2"/>
        <v>4137.415392</v>
      </c>
      <c r="B588" s="6">
        <f>(I588*'Optimal Choice'!$B$6+J588*'Optimal Choice'!$B$11+K588*'Optimal Choice'!$B$16+L588*'Optimal Choice'!$B$21+M588*'Optimal Choice'!$B$26)*'Optimal Choice'!$B$30</f>
        <v>249962.35</v>
      </c>
      <c r="C588" s="10">
        <f>(O588/$B588)+(O588/'Optimal Choice'!$B$6)</f>
        <v>2706478.77</v>
      </c>
      <c r="D588" s="10">
        <f>(P588/$B588)+(P588/'Optimal Choice'!$B$11)</f>
        <v>2664062.178</v>
      </c>
      <c r="E588" s="10">
        <f>(Q588/$B588)+(Q588/'Optimal Choice'!$B$16)</f>
        <v>2648603.253</v>
      </c>
      <c r="F588" s="10">
        <f>(R588/$B588)+(R588/'Optimal Choice'!$B$21)</f>
        <v>2650259.506</v>
      </c>
      <c r="G588" s="10">
        <f>(S588/$B588)+(S588/'Optimal Choice'!$B$26)</f>
        <v>2569852.287</v>
      </c>
      <c r="I588" s="11">
        <f t="shared" ref="I588:M588" si="587">if(min($C587:$G587)=C587,I587+1,I587)</f>
        <v>205</v>
      </c>
      <c r="J588" s="11">
        <f t="shared" si="587"/>
        <v>97</v>
      </c>
      <c r="K588" s="11">
        <f t="shared" si="587"/>
        <v>96</v>
      </c>
      <c r="L588" s="11">
        <f t="shared" si="587"/>
        <v>94</v>
      </c>
      <c r="M588" s="11">
        <f t="shared" si="587"/>
        <v>95</v>
      </c>
      <c r="O588" s="12">
        <f> 'Optimal Choice'!$B$7*'Optimal Choice'!$B$8^(I588+1)</f>
        <v>4519789.35</v>
      </c>
      <c r="P588" s="12">
        <f> 'Optimal Choice'!$B$12*'Optimal Choice'!$B$13^(J588+1)</f>
        <v>53276980.75</v>
      </c>
      <c r="Q588" s="12">
        <f> 'Optimal Choice'!$B$17*'Optimal Choice'!$B$18^(K588+1)</f>
        <v>238288496</v>
      </c>
      <c r="R588" s="12">
        <f> 'Optimal Choice'!$B$22*'Optimal Choice'!$B$23^(L588+1)</f>
        <v>952721296.8</v>
      </c>
      <c r="S588" s="12">
        <f> 'Optimal Choice'!$B$27*'Optimal Choice'!$B$28^(M588+1)</f>
        <v>5503325050</v>
      </c>
    </row>
    <row r="589" ht="15.75" customHeight="1">
      <c r="A589" s="10">
        <f t="shared" si="2"/>
        <v>4504.35899</v>
      </c>
      <c r="B589" s="6">
        <f>(I589*'Optimal Choice'!$B$6+J589*'Optimal Choice'!$B$11+K589*'Optimal Choice'!$B$16+L589*'Optimal Choice'!$B$21+M589*'Optimal Choice'!$B$26)*'Optimal Choice'!$B$30</f>
        <v>252122.35</v>
      </c>
      <c r="C589" s="10">
        <f>(O589/$B589)+(O589/'Optimal Choice'!$B$6)</f>
        <v>2706478.616</v>
      </c>
      <c r="D589" s="10">
        <f>(P589/$B589)+(P589/'Optimal Choice'!$B$11)</f>
        <v>2664060.351</v>
      </c>
      <c r="E589" s="10">
        <f>(Q589/$B589)+(Q589/'Optimal Choice'!$B$16)</f>
        <v>2648595.085</v>
      </c>
      <c r="F589" s="10">
        <f>(R589/$B589)+(R589/'Optimal Choice'!$B$21)</f>
        <v>2650226.852</v>
      </c>
      <c r="G589" s="10">
        <f>(S589/$B589)+(S589/'Optimal Choice'!$B$26)</f>
        <v>2878023.305</v>
      </c>
      <c r="I589" s="11">
        <f t="shared" ref="I589:M589" si="588">if(min($C588:$G588)=C588,I588+1,I588)</f>
        <v>205</v>
      </c>
      <c r="J589" s="11">
        <f t="shared" si="588"/>
        <v>97</v>
      </c>
      <c r="K589" s="11">
        <f t="shared" si="588"/>
        <v>96</v>
      </c>
      <c r="L589" s="11">
        <f t="shared" si="588"/>
        <v>94</v>
      </c>
      <c r="M589" s="11">
        <f t="shared" si="588"/>
        <v>96</v>
      </c>
      <c r="O589" s="12">
        <f> 'Optimal Choice'!$B$7*'Optimal Choice'!$B$8^(I589+1)</f>
        <v>4519789.35</v>
      </c>
      <c r="P589" s="12">
        <f> 'Optimal Choice'!$B$12*'Optimal Choice'!$B$13^(J589+1)</f>
        <v>53276980.75</v>
      </c>
      <c r="Q589" s="12">
        <f> 'Optimal Choice'!$B$17*'Optimal Choice'!$B$18^(K589+1)</f>
        <v>238288496</v>
      </c>
      <c r="R589" s="12">
        <f> 'Optimal Choice'!$B$22*'Optimal Choice'!$B$23^(L589+1)</f>
        <v>952721296.8</v>
      </c>
      <c r="S589" s="12">
        <f> 'Optimal Choice'!$B$27*'Optimal Choice'!$B$28^(M589+1)</f>
        <v>6163724056</v>
      </c>
    </row>
    <row r="590" ht="15.75" customHeight="1">
      <c r="A590" s="10">
        <f t="shared" si="2"/>
        <v>4520.111163</v>
      </c>
      <c r="B590" s="6">
        <f>(I590*'Optimal Choice'!$B$6+J590*'Optimal Choice'!$B$11+K590*'Optimal Choice'!$B$16+L590*'Optimal Choice'!$B$21+M590*'Optimal Choice'!$B$26)*'Optimal Choice'!$B$30</f>
        <v>252212.35</v>
      </c>
      <c r="C590" s="10">
        <f>(O590/$B590)+(O590/'Optimal Choice'!$B$6)</f>
        <v>2706478.609</v>
      </c>
      <c r="D590" s="10">
        <f>(P590/$B590)+(P590/'Optimal Choice'!$B$11)</f>
        <v>2664060.276</v>
      </c>
      <c r="E590" s="10">
        <f>(Q590/$B590)+(Q590/'Optimal Choice'!$B$16)</f>
        <v>3019398.013</v>
      </c>
      <c r="F590" s="10">
        <f>(R590/$B590)+(R590/'Optimal Choice'!$B$21)</f>
        <v>2650225.504</v>
      </c>
      <c r="G590" s="10">
        <f>(S590/$B590)+(S590/'Optimal Choice'!$B$26)</f>
        <v>2878014.581</v>
      </c>
      <c r="I590" s="11">
        <f t="shared" ref="I590:M590" si="589">if(min($C589:$G589)=C589,I589+1,I589)</f>
        <v>205</v>
      </c>
      <c r="J590" s="11">
        <f t="shared" si="589"/>
        <v>97</v>
      </c>
      <c r="K590" s="11">
        <f t="shared" si="589"/>
        <v>97</v>
      </c>
      <c r="L590" s="11">
        <f t="shared" si="589"/>
        <v>94</v>
      </c>
      <c r="M590" s="11">
        <f t="shared" si="589"/>
        <v>96</v>
      </c>
      <c r="O590" s="12">
        <f> 'Optimal Choice'!$B$7*'Optimal Choice'!$B$8^(I590+1)</f>
        <v>4519789.35</v>
      </c>
      <c r="P590" s="12">
        <f> 'Optimal Choice'!$B$12*'Optimal Choice'!$B$13^(J590+1)</f>
        <v>53276980.75</v>
      </c>
      <c r="Q590" s="12">
        <f> 'Optimal Choice'!$B$17*'Optimal Choice'!$B$18^(K590+1)</f>
        <v>271648885.4</v>
      </c>
      <c r="R590" s="12">
        <f> 'Optimal Choice'!$B$22*'Optimal Choice'!$B$23^(L590+1)</f>
        <v>952721296.8</v>
      </c>
      <c r="S590" s="12">
        <f> 'Optimal Choice'!$B$27*'Optimal Choice'!$B$28^(M590+1)</f>
        <v>6163724056</v>
      </c>
    </row>
    <row r="591" ht="15.75" customHeight="1">
      <c r="A591" s="10">
        <f t="shared" si="2"/>
        <v>4583.068779</v>
      </c>
      <c r="B591" s="6">
        <f>(I591*'Optimal Choice'!$B$6+J591*'Optimal Choice'!$B$11+K591*'Optimal Choice'!$B$16+L591*'Optimal Choice'!$B$21+M591*'Optimal Choice'!$B$26)*'Optimal Choice'!$B$30</f>
        <v>252572.35</v>
      </c>
      <c r="C591" s="10">
        <f>(O591/$B591)+(O591/'Optimal Choice'!$B$6)</f>
        <v>2706478.584</v>
      </c>
      <c r="D591" s="10">
        <f>(P591/$B591)+(P591/'Optimal Choice'!$B$11)</f>
        <v>2664059.975</v>
      </c>
      <c r="E591" s="10">
        <f>(Q591/$B591)+(Q591/'Optimal Choice'!$B$16)</f>
        <v>3019396.478</v>
      </c>
      <c r="F591" s="10">
        <f>(R591/$B591)+(R591/'Optimal Choice'!$B$21)</f>
        <v>2994748.735</v>
      </c>
      <c r="G591" s="10">
        <f>(S591/$B591)+(S591/'Optimal Choice'!$B$26)</f>
        <v>2877979.748</v>
      </c>
      <c r="I591" s="11">
        <f t="shared" ref="I591:M591" si="590">if(min($C590:$G590)=C590,I590+1,I590)</f>
        <v>205</v>
      </c>
      <c r="J591" s="11">
        <f t="shared" si="590"/>
        <v>97</v>
      </c>
      <c r="K591" s="11">
        <f t="shared" si="590"/>
        <v>97</v>
      </c>
      <c r="L591" s="11">
        <f t="shared" si="590"/>
        <v>95</v>
      </c>
      <c r="M591" s="11">
        <f t="shared" si="590"/>
        <v>96</v>
      </c>
      <c r="O591" s="12">
        <f> 'Optimal Choice'!$B$7*'Optimal Choice'!$B$8^(I591+1)</f>
        <v>4519789.35</v>
      </c>
      <c r="P591" s="12">
        <f> 'Optimal Choice'!$B$12*'Optimal Choice'!$B$13^(J591+1)</f>
        <v>53276980.75</v>
      </c>
      <c r="Q591" s="12">
        <f> 'Optimal Choice'!$B$17*'Optimal Choice'!$B$18^(K591+1)</f>
        <v>271648885.4</v>
      </c>
      <c r="R591" s="12">
        <f> 'Optimal Choice'!$B$22*'Optimal Choice'!$B$23^(L591+1)</f>
        <v>1076575065</v>
      </c>
      <c r="S591" s="12">
        <f> 'Optimal Choice'!$B$27*'Optimal Choice'!$B$28^(M591+1)</f>
        <v>6163724056</v>
      </c>
    </row>
    <row r="592" ht="15.75" customHeight="1">
      <c r="A592" s="10">
        <f t="shared" si="2"/>
        <v>4586.584404</v>
      </c>
      <c r="B592" s="6">
        <f>(I592*'Optimal Choice'!$B$6+J592*'Optimal Choice'!$B$11+K592*'Optimal Choice'!$B$16+L592*'Optimal Choice'!$B$21+M592*'Optimal Choice'!$B$26)*'Optimal Choice'!$B$30</f>
        <v>252592.35</v>
      </c>
      <c r="C592" s="10">
        <f>(O592/$B592)+(O592/'Optimal Choice'!$B$6)</f>
        <v>2706478.582</v>
      </c>
      <c r="D592" s="10">
        <f>(P592/$B592)+(P592/'Optimal Choice'!$B$11)</f>
        <v>3063668.952</v>
      </c>
      <c r="E592" s="10">
        <f>(Q592/$B592)+(Q592/'Optimal Choice'!$B$16)</f>
        <v>3019396.393</v>
      </c>
      <c r="F592" s="10">
        <f>(R592/$B592)+(R592/'Optimal Choice'!$B$21)</f>
        <v>2994748.398</v>
      </c>
      <c r="G592" s="10">
        <f>(S592/$B592)+(S592/'Optimal Choice'!$B$26)</f>
        <v>2877977.815</v>
      </c>
      <c r="I592" s="11">
        <f t="shared" ref="I592:M592" si="591">if(min($C591:$G591)=C591,I591+1,I591)</f>
        <v>205</v>
      </c>
      <c r="J592" s="11">
        <f t="shared" si="591"/>
        <v>98</v>
      </c>
      <c r="K592" s="11">
        <f t="shared" si="591"/>
        <v>97</v>
      </c>
      <c r="L592" s="11">
        <f t="shared" si="591"/>
        <v>95</v>
      </c>
      <c r="M592" s="11">
        <f t="shared" si="591"/>
        <v>96</v>
      </c>
      <c r="O592" s="12">
        <f> 'Optimal Choice'!$B$7*'Optimal Choice'!$B$8^(I592+1)</f>
        <v>4519789.35</v>
      </c>
      <c r="P592" s="12">
        <f> 'Optimal Choice'!$B$12*'Optimal Choice'!$B$13^(J592+1)</f>
        <v>61268527.86</v>
      </c>
      <c r="Q592" s="12">
        <f> 'Optimal Choice'!$B$17*'Optimal Choice'!$B$18^(K592+1)</f>
        <v>271648885.4</v>
      </c>
      <c r="R592" s="12">
        <f> 'Optimal Choice'!$B$22*'Optimal Choice'!$B$23^(L592+1)</f>
        <v>1076575065</v>
      </c>
      <c r="S592" s="12">
        <f> 'Optimal Choice'!$B$27*'Optimal Choice'!$B$28^(M592+1)</f>
        <v>6163724056</v>
      </c>
    </row>
    <row r="593" ht="15.75" customHeight="1">
      <c r="A593" s="10">
        <f t="shared" si="2"/>
        <v>4586.882631</v>
      </c>
      <c r="B593" s="6">
        <f>(I593*'Optimal Choice'!$B$6+J593*'Optimal Choice'!$B$11+K593*'Optimal Choice'!$B$16+L593*'Optimal Choice'!$B$21+M593*'Optimal Choice'!$B$26)*'Optimal Choice'!$B$30</f>
        <v>252594.02</v>
      </c>
      <c r="C593" s="10">
        <f>(O593/$B593)+(O593/'Optimal Choice'!$B$6)</f>
        <v>2895932.083</v>
      </c>
      <c r="D593" s="10">
        <f>(P593/$B593)+(P593/'Optimal Choice'!$B$11)</f>
        <v>3063668.95</v>
      </c>
      <c r="E593" s="10">
        <f>(Q593/$B593)+(Q593/'Optimal Choice'!$B$16)</f>
        <v>3019396.385</v>
      </c>
      <c r="F593" s="10">
        <f>(R593/$B593)+(R593/'Optimal Choice'!$B$21)</f>
        <v>2994748.369</v>
      </c>
      <c r="G593" s="10">
        <f>(S593/$B593)+(S593/'Optimal Choice'!$B$26)</f>
        <v>2877977.654</v>
      </c>
      <c r="I593" s="11">
        <f t="shared" ref="I593:M593" si="592">if(min($C592:$G592)=C592,I592+1,I592)</f>
        <v>206</v>
      </c>
      <c r="J593" s="11">
        <f t="shared" si="592"/>
        <v>98</v>
      </c>
      <c r="K593" s="11">
        <f t="shared" si="592"/>
        <v>97</v>
      </c>
      <c r="L593" s="11">
        <f t="shared" si="592"/>
        <v>95</v>
      </c>
      <c r="M593" s="11">
        <f t="shared" si="592"/>
        <v>96</v>
      </c>
      <c r="O593" s="12">
        <f> 'Optimal Choice'!$B$7*'Optimal Choice'!$B$8^(I593+1)</f>
        <v>4836174.604</v>
      </c>
      <c r="P593" s="12">
        <f> 'Optimal Choice'!$B$12*'Optimal Choice'!$B$13^(J593+1)</f>
        <v>61268527.86</v>
      </c>
      <c r="Q593" s="12">
        <f> 'Optimal Choice'!$B$17*'Optimal Choice'!$B$18^(K593+1)</f>
        <v>271648885.4</v>
      </c>
      <c r="R593" s="12">
        <f> 'Optimal Choice'!$B$22*'Optimal Choice'!$B$23^(L593+1)</f>
        <v>1076575065</v>
      </c>
      <c r="S593" s="12">
        <f> 'Optimal Choice'!$B$27*'Optimal Choice'!$B$28^(M593+1)</f>
        <v>6163724056</v>
      </c>
    </row>
    <row r="594" ht="15.75" customHeight="1">
      <c r="A594" s="10">
        <f t="shared" si="2"/>
        <v>4993.577668</v>
      </c>
      <c r="B594" s="6">
        <f>(I594*'Optimal Choice'!$B$6+J594*'Optimal Choice'!$B$11+K594*'Optimal Choice'!$B$16+L594*'Optimal Choice'!$B$21+M594*'Optimal Choice'!$B$26)*'Optimal Choice'!$B$30</f>
        <v>254754.02</v>
      </c>
      <c r="C594" s="10">
        <f>(O594/$B594)+(O594/'Optimal Choice'!$B$6)</f>
        <v>2895931.92</v>
      </c>
      <c r="D594" s="10">
        <f>(P594/$B594)+(P594/'Optimal Choice'!$B$11)</f>
        <v>3063666.894</v>
      </c>
      <c r="E594" s="10">
        <f>(Q594/$B594)+(Q594/'Optimal Choice'!$B$16)</f>
        <v>3019387.267</v>
      </c>
      <c r="F594" s="10">
        <f>(R594/$B594)+(R594/'Optimal Choice'!$B$21)</f>
        <v>2994712.232</v>
      </c>
      <c r="G594" s="10">
        <f>(S594/$B594)+(S594/'Optimal Choice'!$B$26)</f>
        <v>3223103.249</v>
      </c>
      <c r="I594" s="11">
        <f t="shared" ref="I594:M594" si="593">if(min($C593:$G593)=C593,I593+1,I593)</f>
        <v>206</v>
      </c>
      <c r="J594" s="11">
        <f t="shared" si="593"/>
        <v>98</v>
      </c>
      <c r="K594" s="11">
        <f t="shared" si="593"/>
        <v>97</v>
      </c>
      <c r="L594" s="11">
        <f t="shared" si="593"/>
        <v>95</v>
      </c>
      <c r="M594" s="11">
        <f t="shared" si="593"/>
        <v>97</v>
      </c>
      <c r="O594" s="12">
        <f> 'Optimal Choice'!$B$7*'Optimal Choice'!$B$8^(I594+1)</f>
        <v>4836174.604</v>
      </c>
      <c r="P594" s="12">
        <f> 'Optimal Choice'!$B$12*'Optimal Choice'!$B$13^(J594+1)</f>
        <v>61268527.86</v>
      </c>
      <c r="Q594" s="12">
        <f> 'Optimal Choice'!$B$17*'Optimal Choice'!$B$18^(K594+1)</f>
        <v>271648885.4</v>
      </c>
      <c r="R594" s="12">
        <f> 'Optimal Choice'!$B$22*'Optimal Choice'!$B$23^(L594+1)</f>
        <v>1076575065</v>
      </c>
      <c r="S594" s="12">
        <f> 'Optimal Choice'!$B$27*'Optimal Choice'!$B$28^(M594+1)</f>
        <v>6903370943</v>
      </c>
    </row>
    <row r="595" ht="15.75" customHeight="1">
      <c r="A595" s="10">
        <f t="shared" si="2"/>
        <v>4993.894063</v>
      </c>
      <c r="B595" s="6">
        <f>(I595*'Optimal Choice'!$B$6+J595*'Optimal Choice'!$B$11+K595*'Optimal Choice'!$B$16+L595*'Optimal Choice'!$B$21+M595*'Optimal Choice'!$B$26)*'Optimal Choice'!$B$30</f>
        <v>254755.69</v>
      </c>
      <c r="C595" s="10">
        <f>(O595/$B595)+(O595/'Optimal Choice'!$B$6)</f>
        <v>3098647.155</v>
      </c>
      <c r="D595" s="10">
        <f>(P595/$B595)+(P595/'Optimal Choice'!$B$11)</f>
        <v>3063666.892</v>
      </c>
      <c r="E595" s="10">
        <f>(Q595/$B595)+(Q595/'Optimal Choice'!$B$16)</f>
        <v>3019387.26</v>
      </c>
      <c r="F595" s="10">
        <f>(R595/$B595)+(R595/'Optimal Choice'!$B$21)</f>
        <v>2994712.205</v>
      </c>
      <c r="G595" s="10">
        <f>(S595/$B595)+(S595/'Optimal Choice'!$B$26)</f>
        <v>3223103.071</v>
      </c>
      <c r="I595" s="11">
        <f t="shared" ref="I595:M595" si="594">if(min($C594:$G594)=C594,I594+1,I594)</f>
        <v>207</v>
      </c>
      <c r="J595" s="11">
        <f t="shared" si="594"/>
        <v>98</v>
      </c>
      <c r="K595" s="11">
        <f t="shared" si="594"/>
        <v>97</v>
      </c>
      <c r="L595" s="11">
        <f t="shared" si="594"/>
        <v>95</v>
      </c>
      <c r="M595" s="11">
        <f t="shared" si="594"/>
        <v>97</v>
      </c>
      <c r="O595" s="12">
        <f> 'Optimal Choice'!$B$7*'Optimal Choice'!$B$8^(I595+1)</f>
        <v>5174706.827</v>
      </c>
      <c r="P595" s="12">
        <f> 'Optimal Choice'!$B$12*'Optimal Choice'!$B$13^(J595+1)</f>
        <v>61268527.86</v>
      </c>
      <c r="Q595" s="12">
        <f> 'Optimal Choice'!$B$17*'Optimal Choice'!$B$18^(K595+1)</f>
        <v>271648885.4</v>
      </c>
      <c r="R595" s="12">
        <f> 'Optimal Choice'!$B$22*'Optimal Choice'!$B$23^(L595+1)</f>
        <v>1076575065</v>
      </c>
      <c r="S595" s="12">
        <f> 'Optimal Choice'!$B$27*'Optimal Choice'!$B$28^(M595+1)</f>
        <v>6903370943</v>
      </c>
    </row>
    <row r="596" ht="15.75" customHeight="1">
      <c r="A596" s="10">
        <f t="shared" si="2"/>
        <v>5064.325926</v>
      </c>
      <c r="B596" s="6">
        <f>(I596*'Optimal Choice'!$B$6+J596*'Optimal Choice'!$B$11+K596*'Optimal Choice'!$B$16+L596*'Optimal Choice'!$B$21+M596*'Optimal Choice'!$B$26)*'Optimal Choice'!$B$30</f>
        <v>255115.69</v>
      </c>
      <c r="C596" s="10">
        <f>(O596/$B596)+(O596/'Optimal Choice'!$B$6)</f>
        <v>3098647.126</v>
      </c>
      <c r="D596" s="10">
        <f>(P596/$B596)+(P596/'Optimal Choice'!$B$11)</f>
        <v>3063666.553</v>
      </c>
      <c r="E596" s="10">
        <f>(Q596/$B596)+(Q596/'Optimal Choice'!$B$16)</f>
        <v>3019385.755</v>
      </c>
      <c r="F596" s="10">
        <f>(R596/$B596)+(R596/'Optimal Choice'!$B$21)</f>
        <v>3384018.053</v>
      </c>
      <c r="G596" s="10">
        <f>(S596/$B596)+(S596/'Optimal Choice'!$B$26)</f>
        <v>3223064.832</v>
      </c>
      <c r="I596" s="11">
        <f t="shared" ref="I596:M596" si="595">if(min($C595:$G595)=C595,I595+1,I595)</f>
        <v>207</v>
      </c>
      <c r="J596" s="11">
        <f t="shared" si="595"/>
        <v>98</v>
      </c>
      <c r="K596" s="11">
        <f t="shared" si="595"/>
        <v>97</v>
      </c>
      <c r="L596" s="11">
        <f t="shared" si="595"/>
        <v>96</v>
      </c>
      <c r="M596" s="11">
        <f t="shared" si="595"/>
        <v>97</v>
      </c>
      <c r="O596" s="12">
        <f> 'Optimal Choice'!$B$7*'Optimal Choice'!$B$8^(I596+1)</f>
        <v>5174706.827</v>
      </c>
      <c r="P596" s="12">
        <f> 'Optimal Choice'!$B$12*'Optimal Choice'!$B$13^(J596+1)</f>
        <v>61268527.86</v>
      </c>
      <c r="Q596" s="12">
        <f> 'Optimal Choice'!$B$17*'Optimal Choice'!$B$18^(K596+1)</f>
        <v>271648885.4</v>
      </c>
      <c r="R596" s="12">
        <f> 'Optimal Choice'!$B$22*'Optimal Choice'!$B$23^(L596+1)</f>
        <v>1216529824</v>
      </c>
      <c r="S596" s="12">
        <f> 'Optimal Choice'!$B$27*'Optimal Choice'!$B$28^(M596+1)</f>
        <v>6903370943</v>
      </c>
    </row>
    <row r="597" ht="15.75" customHeight="1">
      <c r="A597" s="10">
        <f t="shared" si="2"/>
        <v>5082.072703</v>
      </c>
      <c r="B597" s="6">
        <f>(I597*'Optimal Choice'!$B$6+J597*'Optimal Choice'!$B$11+K597*'Optimal Choice'!$B$16+L597*'Optimal Choice'!$B$21+M597*'Optimal Choice'!$B$26)*'Optimal Choice'!$B$30</f>
        <v>255205.69</v>
      </c>
      <c r="C597" s="10">
        <f>(O597/$B597)+(O597/'Optimal Choice'!$B$6)</f>
        <v>3098647.119</v>
      </c>
      <c r="D597" s="10">
        <f>(P597/$B597)+(P597/'Optimal Choice'!$B$11)</f>
        <v>3063666.468</v>
      </c>
      <c r="E597" s="10">
        <f>(Q597/$B597)+(Q597/'Optimal Choice'!$B$16)</f>
        <v>3442099.333</v>
      </c>
      <c r="F597" s="10">
        <f>(R597/$B597)+(R597/'Optimal Choice'!$B$21)</f>
        <v>3384016.371</v>
      </c>
      <c r="G597" s="10">
        <f>(S597/$B597)+(S597/'Optimal Choice'!$B$26)</f>
        <v>3223055.29</v>
      </c>
      <c r="I597" s="11">
        <f t="shared" ref="I597:M597" si="596">if(min($C596:$G596)=C596,I596+1,I596)</f>
        <v>207</v>
      </c>
      <c r="J597" s="11">
        <f t="shared" si="596"/>
        <v>98</v>
      </c>
      <c r="K597" s="11">
        <f t="shared" si="596"/>
        <v>98</v>
      </c>
      <c r="L597" s="11">
        <f t="shared" si="596"/>
        <v>96</v>
      </c>
      <c r="M597" s="11">
        <f t="shared" si="596"/>
        <v>97</v>
      </c>
      <c r="O597" s="12">
        <f> 'Optimal Choice'!$B$7*'Optimal Choice'!$B$8^(I597+1)</f>
        <v>5174706.827</v>
      </c>
      <c r="P597" s="12">
        <f> 'Optimal Choice'!$B$12*'Optimal Choice'!$B$13^(J597+1)</f>
        <v>61268527.86</v>
      </c>
      <c r="Q597" s="12">
        <f> 'Optimal Choice'!$B$17*'Optimal Choice'!$B$18^(K597+1)</f>
        <v>309679729.3</v>
      </c>
      <c r="R597" s="12">
        <f> 'Optimal Choice'!$B$22*'Optimal Choice'!$B$23^(L597+1)</f>
        <v>1216529824</v>
      </c>
      <c r="S597" s="12">
        <f> 'Optimal Choice'!$B$27*'Optimal Choice'!$B$28^(M597+1)</f>
        <v>6903370943</v>
      </c>
    </row>
    <row r="598" ht="15.75" customHeight="1">
      <c r="A598" s="10">
        <f t="shared" si="2"/>
        <v>5086.073955</v>
      </c>
      <c r="B598" s="6">
        <f>(I598*'Optimal Choice'!$B$6+J598*'Optimal Choice'!$B$11+K598*'Optimal Choice'!$B$16+L598*'Optimal Choice'!$B$21+M598*'Optimal Choice'!$B$26)*'Optimal Choice'!$B$30</f>
        <v>255225.69</v>
      </c>
      <c r="C598" s="10">
        <f>(O598/$B598)+(O598/'Optimal Choice'!$B$6)</f>
        <v>3098647.117</v>
      </c>
      <c r="D598" s="10">
        <f>(P598/$B598)+(P598/'Optimal Choice'!$B$11)</f>
        <v>3523216.417</v>
      </c>
      <c r="E598" s="10">
        <f>(Q598/$B598)+(Q598/'Optimal Choice'!$B$16)</f>
        <v>3442099.238</v>
      </c>
      <c r="F598" s="10">
        <f>(R598/$B598)+(R598/'Optimal Choice'!$B$21)</f>
        <v>3384015.997</v>
      </c>
      <c r="G598" s="10">
        <f>(S598/$B598)+(S598/'Optimal Choice'!$B$26)</f>
        <v>3223053.17</v>
      </c>
      <c r="I598" s="11">
        <f t="shared" ref="I598:M598" si="597">if(min($C597:$G597)=C597,I597+1,I597)</f>
        <v>207</v>
      </c>
      <c r="J598" s="11">
        <f t="shared" si="597"/>
        <v>99</v>
      </c>
      <c r="K598" s="11">
        <f t="shared" si="597"/>
        <v>98</v>
      </c>
      <c r="L598" s="11">
        <f t="shared" si="597"/>
        <v>96</v>
      </c>
      <c r="M598" s="11">
        <f t="shared" si="597"/>
        <v>97</v>
      </c>
      <c r="O598" s="12">
        <f> 'Optimal Choice'!$B$7*'Optimal Choice'!$B$8^(I598+1)</f>
        <v>5174706.827</v>
      </c>
      <c r="P598" s="12">
        <f> 'Optimal Choice'!$B$12*'Optimal Choice'!$B$13^(J598+1)</f>
        <v>70458807.04</v>
      </c>
      <c r="Q598" s="12">
        <f> 'Optimal Choice'!$B$17*'Optimal Choice'!$B$18^(K598+1)</f>
        <v>309679729.3</v>
      </c>
      <c r="R598" s="12">
        <f> 'Optimal Choice'!$B$22*'Optimal Choice'!$B$23^(L598+1)</f>
        <v>1216529824</v>
      </c>
      <c r="S598" s="12">
        <f> 'Optimal Choice'!$B$27*'Optimal Choice'!$B$28^(M598+1)</f>
        <v>6903370943</v>
      </c>
    </row>
    <row r="599" ht="15.75" customHeight="1">
      <c r="A599" s="10">
        <f t="shared" si="2"/>
        <v>5086.411872</v>
      </c>
      <c r="B599" s="6">
        <f>(I599*'Optimal Choice'!$B$6+J599*'Optimal Choice'!$B$11+K599*'Optimal Choice'!$B$16+L599*'Optimal Choice'!$B$21+M599*'Optimal Choice'!$B$26)*'Optimal Choice'!$B$30</f>
        <v>255227.36</v>
      </c>
      <c r="C599" s="10">
        <f>(O599/$B599)+(O599/'Optimal Choice'!$B$6)</f>
        <v>3315552.415</v>
      </c>
      <c r="D599" s="10">
        <f>(P599/$B599)+(P599/'Optimal Choice'!$B$11)</f>
        <v>3523216.415</v>
      </c>
      <c r="E599" s="10">
        <f>(Q599/$B599)+(Q599/'Optimal Choice'!$B$16)</f>
        <v>3442099.23</v>
      </c>
      <c r="F599" s="10">
        <f>(R599/$B599)+(R599/'Optimal Choice'!$B$21)</f>
        <v>3384015.966</v>
      </c>
      <c r="G599" s="10">
        <f>(S599/$B599)+(S599/'Optimal Choice'!$B$26)</f>
        <v>3223052.993</v>
      </c>
      <c r="I599" s="11">
        <f t="shared" ref="I599:M599" si="598">if(min($C598:$G598)=C598,I598+1,I598)</f>
        <v>208</v>
      </c>
      <c r="J599" s="11">
        <f t="shared" si="598"/>
        <v>99</v>
      </c>
      <c r="K599" s="11">
        <f t="shared" si="598"/>
        <v>98</v>
      </c>
      <c r="L599" s="11">
        <f t="shared" si="598"/>
        <v>96</v>
      </c>
      <c r="M599" s="11">
        <f t="shared" si="598"/>
        <v>97</v>
      </c>
      <c r="O599" s="12">
        <f> 'Optimal Choice'!$B$7*'Optimal Choice'!$B$8^(I599+1)</f>
        <v>5536936.305</v>
      </c>
      <c r="P599" s="12">
        <f> 'Optimal Choice'!$B$12*'Optimal Choice'!$B$13^(J599+1)</f>
        <v>70458807.04</v>
      </c>
      <c r="Q599" s="12">
        <f> 'Optimal Choice'!$B$17*'Optimal Choice'!$B$18^(K599+1)</f>
        <v>309679729.3</v>
      </c>
      <c r="R599" s="12">
        <f> 'Optimal Choice'!$B$22*'Optimal Choice'!$B$23^(L599+1)</f>
        <v>1216529824</v>
      </c>
      <c r="S599" s="12">
        <f> 'Optimal Choice'!$B$27*'Optimal Choice'!$B$28^(M599+1)</f>
        <v>6903370943</v>
      </c>
    </row>
    <row r="600" ht="15.75" customHeight="1">
      <c r="A600" s="10">
        <f t="shared" si="2"/>
        <v>5537.210651</v>
      </c>
      <c r="B600" s="6">
        <f>(I600*'Optimal Choice'!$B$6+J600*'Optimal Choice'!$B$11+K600*'Optimal Choice'!$B$16+L600*'Optimal Choice'!$B$21+M600*'Optimal Choice'!$B$26)*'Optimal Choice'!$B$30</f>
        <v>257387.36</v>
      </c>
      <c r="C600" s="10">
        <f>(O600/$B600)+(O600/'Optimal Choice'!$B$6)</f>
        <v>3315552.233</v>
      </c>
      <c r="D600" s="10">
        <f>(P600/$B600)+(P600/'Optimal Choice'!$B$11)</f>
        <v>3523214.098</v>
      </c>
      <c r="E600" s="10">
        <f>(Q600/$B600)+(Q600/'Optimal Choice'!$B$16)</f>
        <v>3442089.048</v>
      </c>
      <c r="F600" s="10">
        <f>(R600/$B600)+(R600/'Optimal Choice'!$B$21)</f>
        <v>3383975.966</v>
      </c>
      <c r="G600" s="10">
        <f>(S600/$B600)+(S600/'Optimal Choice'!$B$26)</f>
        <v>3609565.127</v>
      </c>
      <c r="I600" s="11">
        <f t="shared" ref="I600:M600" si="599">if(min($C599:$G599)=C599,I599+1,I599)</f>
        <v>208</v>
      </c>
      <c r="J600" s="11">
        <f t="shared" si="599"/>
        <v>99</v>
      </c>
      <c r="K600" s="11">
        <f t="shared" si="599"/>
        <v>98</v>
      </c>
      <c r="L600" s="11">
        <f t="shared" si="599"/>
        <v>96</v>
      </c>
      <c r="M600" s="11">
        <f t="shared" si="599"/>
        <v>98</v>
      </c>
      <c r="O600" s="12">
        <f> 'Optimal Choice'!$B$7*'Optimal Choice'!$B$8^(I600+1)</f>
        <v>5536936.305</v>
      </c>
      <c r="P600" s="12">
        <f> 'Optimal Choice'!$B$12*'Optimal Choice'!$B$13^(J600+1)</f>
        <v>70458807.04</v>
      </c>
      <c r="Q600" s="12">
        <f> 'Optimal Choice'!$B$17*'Optimal Choice'!$B$18^(K600+1)</f>
        <v>309679729.3</v>
      </c>
      <c r="R600" s="12">
        <f> 'Optimal Choice'!$B$22*'Optimal Choice'!$B$23^(L600+1)</f>
        <v>1216529824</v>
      </c>
      <c r="S600" s="12">
        <f> 'Optimal Choice'!$B$27*'Optimal Choice'!$B$28^(M600+1)</f>
        <v>7731775456</v>
      </c>
    </row>
    <row r="601" ht="15.75" customHeight="1">
      <c r="A601" s="10">
        <f t="shared" si="2"/>
        <v>5537.569186</v>
      </c>
      <c r="B601" s="6">
        <f>(I601*'Optimal Choice'!$B$6+J601*'Optimal Choice'!$B$11+K601*'Optimal Choice'!$B$16+L601*'Optimal Choice'!$B$21+M601*'Optimal Choice'!$B$26)*'Optimal Choice'!$B$30</f>
        <v>257389.03</v>
      </c>
      <c r="C601" s="10">
        <f>(O601/$B601)+(O601/'Optimal Choice'!$B$6)</f>
        <v>3547640.89</v>
      </c>
      <c r="D601" s="10">
        <f>(P601/$B601)+(P601/'Optimal Choice'!$B$11)</f>
        <v>3523214.097</v>
      </c>
      <c r="E601" s="10">
        <f>(Q601/$B601)+(Q601/'Optimal Choice'!$B$16)</f>
        <v>3442089.04</v>
      </c>
      <c r="F601" s="10">
        <f>(R601/$B601)+(R601/'Optimal Choice'!$B$21)</f>
        <v>3383975.935</v>
      </c>
      <c r="G601" s="10">
        <f>(S601/$B601)+(S601/'Optimal Choice'!$B$26)</f>
        <v>3609564.932</v>
      </c>
      <c r="I601" s="11">
        <f t="shared" ref="I601:M601" si="600">if(min($C600:$G600)=C600,I600+1,I600)</f>
        <v>209</v>
      </c>
      <c r="J601" s="11">
        <f t="shared" si="600"/>
        <v>99</v>
      </c>
      <c r="K601" s="11">
        <f t="shared" si="600"/>
        <v>98</v>
      </c>
      <c r="L601" s="11">
        <f t="shared" si="600"/>
        <v>96</v>
      </c>
      <c r="M601" s="11">
        <f t="shared" si="600"/>
        <v>98</v>
      </c>
      <c r="O601" s="12">
        <f> 'Optimal Choice'!$B$7*'Optimal Choice'!$B$8^(I601+1)</f>
        <v>5924521.846</v>
      </c>
      <c r="P601" s="12">
        <f> 'Optimal Choice'!$B$12*'Optimal Choice'!$B$13^(J601+1)</f>
        <v>70458807.04</v>
      </c>
      <c r="Q601" s="12">
        <f> 'Optimal Choice'!$B$17*'Optimal Choice'!$B$18^(K601+1)</f>
        <v>309679729.3</v>
      </c>
      <c r="R601" s="12">
        <f> 'Optimal Choice'!$B$22*'Optimal Choice'!$B$23^(L601+1)</f>
        <v>1216529824</v>
      </c>
      <c r="S601" s="12">
        <f> 'Optimal Choice'!$B$27*'Optimal Choice'!$B$28^(M601+1)</f>
        <v>7731775456</v>
      </c>
    </row>
    <row r="602" ht="15.75" customHeight="1">
      <c r="A602" s="10">
        <f t="shared" si="2"/>
        <v>5616.342928</v>
      </c>
      <c r="B602" s="6">
        <f>(I602*'Optimal Choice'!$B$6+J602*'Optimal Choice'!$B$11+K602*'Optimal Choice'!$B$16+L602*'Optimal Choice'!$B$21+M602*'Optimal Choice'!$B$26)*'Optimal Choice'!$B$30</f>
        <v>257749.03</v>
      </c>
      <c r="C602" s="10">
        <f>(O602/$B602)+(O602/'Optimal Choice'!$B$6)</f>
        <v>3547640.857</v>
      </c>
      <c r="D602" s="10">
        <f>(P602/$B602)+(P602/'Optimal Choice'!$B$11)</f>
        <v>3523213.714</v>
      </c>
      <c r="E602" s="10">
        <f>(Q602/$B602)+(Q602/'Optimal Choice'!$B$16)</f>
        <v>3442087.359</v>
      </c>
      <c r="F602" s="10">
        <f>(R602/$B602)+(R602/'Optimal Choice'!$B$21)</f>
        <v>3823885.347</v>
      </c>
      <c r="G602" s="10">
        <f>(S602/$B602)+(S602/'Optimal Choice'!$B$26)</f>
        <v>3609522.976</v>
      </c>
      <c r="I602" s="11">
        <f t="shared" ref="I602:M602" si="601">if(min($C601:$G601)=C601,I601+1,I601)</f>
        <v>209</v>
      </c>
      <c r="J602" s="11">
        <f t="shared" si="601"/>
        <v>99</v>
      </c>
      <c r="K602" s="11">
        <f t="shared" si="601"/>
        <v>98</v>
      </c>
      <c r="L602" s="11">
        <f t="shared" si="601"/>
        <v>97</v>
      </c>
      <c r="M602" s="11">
        <f t="shared" si="601"/>
        <v>98</v>
      </c>
      <c r="O602" s="12">
        <f> 'Optimal Choice'!$B$7*'Optimal Choice'!$B$8^(I602+1)</f>
        <v>5924521.846</v>
      </c>
      <c r="P602" s="12">
        <f> 'Optimal Choice'!$B$12*'Optimal Choice'!$B$13^(J602+1)</f>
        <v>70458807.04</v>
      </c>
      <c r="Q602" s="12">
        <f> 'Optimal Choice'!$B$17*'Optimal Choice'!$B$18^(K602+1)</f>
        <v>309679729.3</v>
      </c>
      <c r="R602" s="12">
        <f> 'Optimal Choice'!$B$22*'Optimal Choice'!$B$23^(L602+1)</f>
        <v>1374678701</v>
      </c>
      <c r="S602" s="12">
        <f> 'Optimal Choice'!$B$27*'Optimal Choice'!$B$28^(M602+1)</f>
        <v>7731775456</v>
      </c>
    </row>
    <row r="603" ht="15.75" customHeight="1">
      <c r="A603" s="10">
        <f t="shared" si="2"/>
        <v>5636.367558</v>
      </c>
      <c r="B603" s="6">
        <f>(I603*'Optimal Choice'!$B$6+J603*'Optimal Choice'!$B$11+K603*'Optimal Choice'!$B$16+L603*'Optimal Choice'!$B$21+M603*'Optimal Choice'!$B$26)*'Optimal Choice'!$B$30</f>
        <v>257839.03</v>
      </c>
      <c r="C603" s="10">
        <f>(O603/$B603)+(O603/'Optimal Choice'!$B$6)</f>
        <v>3547640.849</v>
      </c>
      <c r="D603" s="10">
        <f>(P603/$B603)+(P603/'Optimal Choice'!$B$11)</f>
        <v>3523213.619</v>
      </c>
      <c r="E603" s="10">
        <f>(Q603/$B603)+(Q603/'Optimal Choice'!$B$16)</f>
        <v>3923979.112</v>
      </c>
      <c r="F603" s="10">
        <f>(R603/$B603)+(R603/'Optimal Choice'!$B$21)</f>
        <v>3823883.486</v>
      </c>
      <c r="G603" s="10">
        <f>(S603/$B603)+(S603/'Optimal Choice'!$B$26)</f>
        <v>3609512.505</v>
      </c>
      <c r="I603" s="11">
        <f t="shared" ref="I603:M603" si="602">if(min($C602:$G602)=C602,I602+1,I602)</f>
        <v>209</v>
      </c>
      <c r="J603" s="11">
        <f t="shared" si="602"/>
        <v>99</v>
      </c>
      <c r="K603" s="11">
        <f t="shared" si="602"/>
        <v>99</v>
      </c>
      <c r="L603" s="11">
        <f t="shared" si="602"/>
        <v>97</v>
      </c>
      <c r="M603" s="11">
        <f t="shared" si="602"/>
        <v>98</v>
      </c>
      <c r="O603" s="12">
        <f> 'Optimal Choice'!$B$7*'Optimal Choice'!$B$8^(I603+1)</f>
        <v>5924521.846</v>
      </c>
      <c r="P603" s="12">
        <f> 'Optimal Choice'!$B$12*'Optimal Choice'!$B$13^(J603+1)</f>
        <v>70458807.04</v>
      </c>
      <c r="Q603" s="12">
        <f> 'Optimal Choice'!$B$17*'Optimal Choice'!$B$18^(K603+1)</f>
        <v>353034891.5</v>
      </c>
      <c r="R603" s="12">
        <f> 'Optimal Choice'!$B$22*'Optimal Choice'!$B$23^(L603+1)</f>
        <v>1374678701</v>
      </c>
      <c r="S603" s="12">
        <f> 'Optimal Choice'!$B$27*'Optimal Choice'!$B$28^(M603+1)</f>
        <v>7731775456</v>
      </c>
    </row>
    <row r="604" ht="15.75" customHeight="1">
      <c r="A604" s="10">
        <f t="shared" si="2"/>
        <v>5640.922002</v>
      </c>
      <c r="B604" s="6">
        <f>(I604*'Optimal Choice'!$B$6+J604*'Optimal Choice'!$B$11+K604*'Optimal Choice'!$B$16+L604*'Optimal Choice'!$B$21+M604*'Optimal Choice'!$B$26)*'Optimal Choice'!$B$30</f>
        <v>257859.03</v>
      </c>
      <c r="C604" s="10">
        <f>(O604/$B604)+(O604/'Optimal Choice'!$B$6)</f>
        <v>3547640.848</v>
      </c>
      <c r="D604" s="10">
        <f>(P604/$B604)+(P604/'Optimal Choice'!$B$11)</f>
        <v>4051695.637</v>
      </c>
      <c r="E604" s="10">
        <f>(Q604/$B604)+(Q604/'Optimal Choice'!$B$16)</f>
        <v>3923979.005</v>
      </c>
      <c r="F604" s="10">
        <f>(R604/$B604)+(R604/'Optimal Choice'!$B$21)</f>
        <v>3823883.072</v>
      </c>
      <c r="G604" s="10">
        <f>(S604/$B604)+(S604/'Optimal Choice'!$B$26)</f>
        <v>3609510.179</v>
      </c>
      <c r="I604" s="11">
        <f t="shared" ref="I604:M604" si="603">if(min($C603:$G603)=C603,I603+1,I603)</f>
        <v>209</v>
      </c>
      <c r="J604" s="11">
        <f t="shared" si="603"/>
        <v>100</v>
      </c>
      <c r="K604" s="11">
        <f t="shared" si="603"/>
        <v>99</v>
      </c>
      <c r="L604" s="11">
        <f t="shared" si="603"/>
        <v>97</v>
      </c>
      <c r="M604" s="11">
        <f t="shared" si="603"/>
        <v>98</v>
      </c>
      <c r="O604" s="12">
        <f> 'Optimal Choice'!$B$7*'Optimal Choice'!$B$8^(I604+1)</f>
        <v>5924521.846</v>
      </c>
      <c r="P604" s="12">
        <f> 'Optimal Choice'!$B$12*'Optimal Choice'!$B$13^(J604+1)</f>
        <v>81027628.1</v>
      </c>
      <c r="Q604" s="12">
        <f> 'Optimal Choice'!$B$17*'Optimal Choice'!$B$18^(K604+1)</f>
        <v>353034891.5</v>
      </c>
      <c r="R604" s="12">
        <f> 'Optimal Choice'!$B$22*'Optimal Choice'!$B$23^(L604+1)</f>
        <v>1374678701</v>
      </c>
      <c r="S604" s="12">
        <f> 'Optimal Choice'!$B$27*'Optimal Choice'!$B$28^(M604+1)</f>
        <v>7731775456</v>
      </c>
    </row>
    <row r="605" ht="15.75" customHeight="1">
      <c r="A605" s="10">
        <f t="shared" si="2"/>
        <v>5641.304932</v>
      </c>
      <c r="B605" s="6">
        <f>(I605*'Optimal Choice'!$B$6+J605*'Optimal Choice'!$B$11+K605*'Optimal Choice'!$B$16+L605*'Optimal Choice'!$B$21+M605*'Optimal Choice'!$B$26)*'Optimal Choice'!$B$30</f>
        <v>257860.7</v>
      </c>
      <c r="C605" s="10">
        <f>(O605/$B605)+(O605/'Optimal Choice'!$B$6)</f>
        <v>3795975.707</v>
      </c>
      <c r="D605" s="10">
        <f>(P605/$B605)+(P605/'Optimal Choice'!$B$11)</f>
        <v>4051695.635</v>
      </c>
      <c r="E605" s="10">
        <f>(Q605/$B605)+(Q605/'Optimal Choice'!$B$16)</f>
        <v>3923978.997</v>
      </c>
      <c r="F605" s="10">
        <f>(R605/$B605)+(R605/'Optimal Choice'!$B$21)</f>
        <v>3823883.038</v>
      </c>
      <c r="G605" s="10">
        <f>(S605/$B605)+(S605/'Optimal Choice'!$B$26)</f>
        <v>3609509.985</v>
      </c>
      <c r="I605" s="11">
        <f t="shared" ref="I605:M605" si="604">if(min($C604:$G604)=C604,I604+1,I604)</f>
        <v>210</v>
      </c>
      <c r="J605" s="11">
        <f t="shared" si="604"/>
        <v>100</v>
      </c>
      <c r="K605" s="11">
        <f t="shared" si="604"/>
        <v>99</v>
      </c>
      <c r="L605" s="11">
        <f t="shared" si="604"/>
        <v>97</v>
      </c>
      <c r="M605" s="11">
        <f t="shared" si="604"/>
        <v>98</v>
      </c>
      <c r="O605" s="12">
        <f> 'Optimal Choice'!$B$7*'Optimal Choice'!$B$8^(I605+1)</f>
        <v>6339238.375</v>
      </c>
      <c r="P605" s="12">
        <f> 'Optimal Choice'!$B$12*'Optimal Choice'!$B$13^(J605+1)</f>
        <v>81027628.1</v>
      </c>
      <c r="Q605" s="12">
        <f> 'Optimal Choice'!$B$17*'Optimal Choice'!$B$18^(K605+1)</f>
        <v>353034891.5</v>
      </c>
      <c r="R605" s="12">
        <f> 'Optimal Choice'!$B$22*'Optimal Choice'!$B$23^(L605+1)</f>
        <v>1374678701</v>
      </c>
      <c r="S605" s="12">
        <f> 'Optimal Choice'!$B$27*'Optimal Choice'!$B$28^(M605+1)</f>
        <v>7731775456</v>
      </c>
    </row>
    <row r="606" ht="15.75" customHeight="1">
      <c r="A606" s="10">
        <f t="shared" si="2"/>
        <v>6141.043451</v>
      </c>
      <c r="B606" s="6">
        <f>(I606*'Optimal Choice'!$B$6+J606*'Optimal Choice'!$B$11+K606*'Optimal Choice'!$B$16+L606*'Optimal Choice'!$B$21+M606*'Optimal Choice'!$B$26)*'Optimal Choice'!$B$30</f>
        <v>260020.7</v>
      </c>
      <c r="C606" s="10">
        <f>(O606/$B606)+(O606/'Optimal Choice'!$B$6)</f>
        <v>3795975.503</v>
      </c>
      <c r="D606" s="10">
        <f>(P606/$B606)+(P606/'Optimal Choice'!$B$11)</f>
        <v>4051693.025</v>
      </c>
      <c r="E606" s="10">
        <f>(Q606/$B606)+(Q606/'Optimal Choice'!$B$16)</f>
        <v>3923967.623</v>
      </c>
      <c r="F606" s="10">
        <f>(R606/$B606)+(R606/'Optimal Choice'!$B$21)</f>
        <v>3823838.752</v>
      </c>
      <c r="G606" s="10">
        <f>(S606/$B606)+(S606/'Optimal Choice'!$B$26)</f>
        <v>4042372.213</v>
      </c>
      <c r="I606" s="11">
        <f t="shared" ref="I606:M606" si="605">if(min($C605:$G605)=C605,I605+1,I605)</f>
        <v>210</v>
      </c>
      <c r="J606" s="11">
        <f t="shared" si="605"/>
        <v>100</v>
      </c>
      <c r="K606" s="11">
        <f t="shared" si="605"/>
        <v>99</v>
      </c>
      <c r="L606" s="11">
        <f t="shared" si="605"/>
        <v>97</v>
      </c>
      <c r="M606" s="11">
        <f t="shared" si="605"/>
        <v>99</v>
      </c>
      <c r="O606" s="12">
        <f> 'Optimal Choice'!$B$7*'Optimal Choice'!$B$8^(I606+1)</f>
        <v>6339238.375</v>
      </c>
      <c r="P606" s="12">
        <f> 'Optimal Choice'!$B$12*'Optimal Choice'!$B$13^(J606+1)</f>
        <v>81027628.1</v>
      </c>
      <c r="Q606" s="12">
        <f> 'Optimal Choice'!$B$17*'Optimal Choice'!$B$18^(K606+1)</f>
        <v>353034891.5</v>
      </c>
      <c r="R606" s="12">
        <f> 'Optimal Choice'!$B$22*'Optimal Choice'!$B$23^(L606+1)</f>
        <v>1374678701</v>
      </c>
      <c r="S606" s="12">
        <f> 'Optimal Choice'!$B$27*'Optimal Choice'!$B$28^(M606+1)</f>
        <v>8659588511</v>
      </c>
    </row>
    <row r="607" ht="15.75" customHeight="1">
      <c r="A607" s="10">
        <f t="shared" si="2"/>
        <v>6141.44978</v>
      </c>
      <c r="B607" s="6">
        <f>(I607*'Optimal Choice'!$B$6+J607*'Optimal Choice'!$B$11+K607*'Optimal Choice'!$B$16+L607*'Optimal Choice'!$B$21+M607*'Optimal Choice'!$B$26)*'Optimal Choice'!$B$30</f>
        <v>260022.37</v>
      </c>
      <c r="C607" s="10">
        <f>(O607/$B607)+(O607/'Optimal Choice'!$B$6)</f>
        <v>4061693.788</v>
      </c>
      <c r="D607" s="10">
        <f>(P607/$B607)+(P607/'Optimal Choice'!$B$11)</f>
        <v>4051693.023</v>
      </c>
      <c r="E607" s="10">
        <f>(Q607/$B607)+(Q607/'Optimal Choice'!$B$16)</f>
        <v>3923967.615</v>
      </c>
      <c r="F607" s="10">
        <f>(R607/$B607)+(R607/'Optimal Choice'!$B$21)</f>
        <v>3823838.718</v>
      </c>
      <c r="G607" s="10">
        <f>(S607/$B607)+(S607/'Optimal Choice'!$B$26)</f>
        <v>4042371.999</v>
      </c>
      <c r="I607" s="11">
        <f t="shared" ref="I607:M607" si="606">if(min($C606:$G606)=C606,I606+1,I606)</f>
        <v>211</v>
      </c>
      <c r="J607" s="11">
        <f t="shared" si="606"/>
        <v>100</v>
      </c>
      <c r="K607" s="11">
        <f t="shared" si="606"/>
        <v>99</v>
      </c>
      <c r="L607" s="11">
        <f t="shared" si="606"/>
        <v>97</v>
      </c>
      <c r="M607" s="11">
        <f t="shared" si="606"/>
        <v>99</v>
      </c>
      <c r="O607" s="12">
        <f> 'Optimal Choice'!$B$7*'Optimal Choice'!$B$8^(I607+1)</f>
        <v>6782985.061</v>
      </c>
      <c r="P607" s="12">
        <f> 'Optimal Choice'!$B$12*'Optimal Choice'!$B$13^(J607+1)</f>
        <v>81027628.1</v>
      </c>
      <c r="Q607" s="12">
        <f> 'Optimal Choice'!$B$17*'Optimal Choice'!$B$18^(K607+1)</f>
        <v>353034891.5</v>
      </c>
      <c r="R607" s="12">
        <f> 'Optimal Choice'!$B$22*'Optimal Choice'!$B$23^(L607+1)</f>
        <v>1374678701</v>
      </c>
      <c r="S607" s="12">
        <f> 'Optimal Choice'!$B$27*'Optimal Choice'!$B$28^(M607+1)</f>
        <v>8659588511</v>
      </c>
    </row>
    <row r="608" ht="15.75" customHeight="1">
      <c r="A608" s="10">
        <f t="shared" si="2"/>
        <v>6229.562628</v>
      </c>
      <c r="B608" s="6">
        <f>(I608*'Optimal Choice'!$B$6+J608*'Optimal Choice'!$B$11+K608*'Optimal Choice'!$B$16+L608*'Optimal Choice'!$B$21+M608*'Optimal Choice'!$B$26)*'Optimal Choice'!$B$30</f>
        <v>260382.37</v>
      </c>
      <c r="C608" s="10">
        <f>(O608/$B608)+(O608/'Optimal Choice'!$B$6)</f>
        <v>4061693.752</v>
      </c>
      <c r="D608" s="10">
        <f>(P608/$B608)+(P608/'Optimal Choice'!$B$11)</f>
        <v>4051692.592</v>
      </c>
      <c r="E608" s="10">
        <f>(Q608/$B608)+(Q608/'Optimal Choice'!$B$16)</f>
        <v>3923965.738</v>
      </c>
      <c r="F608" s="10">
        <f>(R608/$B608)+(R608/'Optimal Choice'!$B$21)</f>
        <v>4320929.492</v>
      </c>
      <c r="G608" s="10">
        <f>(S608/$B608)+(S608/'Optimal Choice'!$B$26)</f>
        <v>4042325.955</v>
      </c>
      <c r="I608" s="11">
        <f t="shared" ref="I608:M608" si="607">if(min($C607:$G607)=C607,I607+1,I607)</f>
        <v>211</v>
      </c>
      <c r="J608" s="11">
        <f t="shared" si="607"/>
        <v>100</v>
      </c>
      <c r="K608" s="11">
        <f t="shared" si="607"/>
        <v>99</v>
      </c>
      <c r="L608" s="11">
        <f t="shared" si="607"/>
        <v>98</v>
      </c>
      <c r="M608" s="11">
        <f t="shared" si="607"/>
        <v>99</v>
      </c>
      <c r="O608" s="12">
        <f> 'Optimal Choice'!$B$7*'Optimal Choice'!$B$8^(I608+1)</f>
        <v>6782985.061</v>
      </c>
      <c r="P608" s="12">
        <f> 'Optimal Choice'!$B$12*'Optimal Choice'!$B$13^(J608+1)</f>
        <v>81027628.1</v>
      </c>
      <c r="Q608" s="12">
        <f> 'Optimal Choice'!$B$17*'Optimal Choice'!$B$18^(K608+1)</f>
        <v>353034891.5</v>
      </c>
      <c r="R608" s="12">
        <f> 'Optimal Choice'!$B$22*'Optimal Choice'!$B$23^(L608+1)</f>
        <v>1553386932</v>
      </c>
      <c r="S608" s="12">
        <f> 'Optimal Choice'!$B$27*'Optimal Choice'!$B$28^(M608+1)</f>
        <v>8659588511</v>
      </c>
    </row>
    <row r="609" ht="15.75" customHeight="1">
      <c r="A609" s="10">
        <f t="shared" si="2"/>
        <v>6252.159837</v>
      </c>
      <c r="B609" s="6">
        <f>(I609*'Optimal Choice'!$B$6+J609*'Optimal Choice'!$B$11+K609*'Optimal Choice'!$B$16+L609*'Optimal Choice'!$B$21+M609*'Optimal Choice'!$B$26)*'Optimal Choice'!$B$30</f>
        <v>260472.37</v>
      </c>
      <c r="C609" s="10">
        <f>(O609/$B609)+(O609/'Optimal Choice'!$B$6)</f>
        <v>4061693.743</v>
      </c>
      <c r="D609" s="10">
        <f>(P609/$B609)+(P609/'Optimal Choice'!$B$11)</f>
        <v>4051692.484</v>
      </c>
      <c r="E609" s="10">
        <f>(Q609/$B609)+(Q609/'Optimal Choice'!$B$16)</f>
        <v>4473320.407</v>
      </c>
      <c r="F609" s="10">
        <f>(R609/$B609)+(R609/'Optimal Choice'!$B$21)</f>
        <v>4320927.431</v>
      </c>
      <c r="G609" s="10">
        <f>(S609/$B609)+(S609/'Optimal Choice'!$B$26)</f>
        <v>4042314.463</v>
      </c>
      <c r="I609" s="11">
        <f t="shared" ref="I609:M609" si="608">if(min($C608:$G608)=C608,I608+1,I608)</f>
        <v>211</v>
      </c>
      <c r="J609" s="11">
        <f t="shared" si="608"/>
        <v>100</v>
      </c>
      <c r="K609" s="11">
        <f t="shared" si="608"/>
        <v>100</v>
      </c>
      <c r="L609" s="11">
        <f t="shared" si="608"/>
        <v>98</v>
      </c>
      <c r="M609" s="11">
        <f t="shared" si="608"/>
        <v>99</v>
      </c>
      <c r="O609" s="12">
        <f> 'Optimal Choice'!$B$7*'Optimal Choice'!$B$8^(I609+1)</f>
        <v>6782985.061</v>
      </c>
      <c r="P609" s="12">
        <f> 'Optimal Choice'!$B$12*'Optimal Choice'!$B$13^(J609+1)</f>
        <v>81027628.1</v>
      </c>
      <c r="Q609" s="12">
        <f> 'Optimal Choice'!$B$17*'Optimal Choice'!$B$18^(K609+1)</f>
        <v>402459776.3</v>
      </c>
      <c r="R609" s="12">
        <f> 'Optimal Choice'!$B$22*'Optimal Choice'!$B$23^(L609+1)</f>
        <v>1553386932</v>
      </c>
      <c r="S609" s="12">
        <f> 'Optimal Choice'!$B$27*'Optimal Choice'!$B$28^(M609+1)</f>
        <v>8659588511</v>
      </c>
    </row>
    <row r="610" ht="15.75" customHeight="1">
      <c r="A610" s="10">
        <f t="shared" si="2"/>
        <v>6806.254981</v>
      </c>
      <c r="B610" s="6">
        <f>(I610*'Optimal Choice'!$B$6+J610*'Optimal Choice'!$B$11+K610*'Optimal Choice'!$B$16+L610*'Optimal Choice'!$B$21+M610*'Optimal Choice'!$B$26)*'Optimal Choice'!$B$30</f>
        <v>262632.37</v>
      </c>
      <c r="C610" s="10">
        <f>(O610/$B610)+(O610/'Optimal Choice'!$B$6)</f>
        <v>4061693.528</v>
      </c>
      <c r="D610" s="10">
        <f>(P610/$B610)+(P610/'Optimal Choice'!$B$11)</f>
        <v>4051689.926</v>
      </c>
      <c r="E610" s="10">
        <f>(Q610/$B610)+(Q610/'Optimal Choice'!$B$16)</f>
        <v>4473307.699</v>
      </c>
      <c r="F610" s="10">
        <f>(R610/$B610)+(R610/'Optimal Choice'!$B$21)</f>
        <v>4320878.382</v>
      </c>
      <c r="G610" s="10">
        <f>(S610/$B610)+(S610/'Optimal Choice'!$B$26)</f>
        <v>4527085.961</v>
      </c>
      <c r="I610" s="11">
        <f t="shared" ref="I610:M610" si="609">if(min($C609:$G609)=C609,I609+1,I609)</f>
        <v>211</v>
      </c>
      <c r="J610" s="11">
        <f t="shared" si="609"/>
        <v>100</v>
      </c>
      <c r="K610" s="11">
        <f t="shared" si="609"/>
        <v>100</v>
      </c>
      <c r="L610" s="11">
        <f t="shared" si="609"/>
        <v>98</v>
      </c>
      <c r="M610" s="11">
        <f t="shared" si="609"/>
        <v>100</v>
      </c>
      <c r="O610" s="12">
        <f> 'Optimal Choice'!$B$7*'Optimal Choice'!$B$8^(I610+1)</f>
        <v>6782985.061</v>
      </c>
      <c r="P610" s="12">
        <f> 'Optimal Choice'!$B$12*'Optimal Choice'!$B$13^(J610+1)</f>
        <v>81027628.1</v>
      </c>
      <c r="Q610" s="12">
        <f> 'Optimal Choice'!$B$17*'Optimal Choice'!$B$18^(K610+1)</f>
        <v>402459776.3</v>
      </c>
      <c r="R610" s="12">
        <f> 'Optimal Choice'!$B$22*'Optimal Choice'!$B$23^(L610+1)</f>
        <v>1553386932</v>
      </c>
      <c r="S610" s="12">
        <f> 'Optimal Choice'!$B$27*'Optimal Choice'!$B$28^(M610+1)</f>
        <v>9698739132</v>
      </c>
    </row>
    <row r="611" ht="15.75" customHeight="1">
      <c r="A611" s="10">
        <f t="shared" si="2"/>
        <v>6811.396999</v>
      </c>
      <c r="B611" s="6">
        <f>(I611*'Optimal Choice'!$B$6+J611*'Optimal Choice'!$B$11+K611*'Optimal Choice'!$B$16+L611*'Optimal Choice'!$B$21+M611*'Optimal Choice'!$B$26)*'Optimal Choice'!$B$30</f>
        <v>262652.37</v>
      </c>
      <c r="C611" s="10">
        <f>(O611/$B611)+(O611/'Optimal Choice'!$B$6)</f>
        <v>4061693.526</v>
      </c>
      <c r="D611" s="10">
        <f>(P611/$B611)+(P611/'Optimal Choice'!$B$11)</f>
        <v>4659443.388</v>
      </c>
      <c r="E611" s="10">
        <f>(Q611/$B611)+(Q611/'Optimal Choice'!$B$16)</f>
        <v>4473307.582</v>
      </c>
      <c r="F611" s="10">
        <f>(R611/$B611)+(R611/'Optimal Choice'!$B$21)</f>
        <v>4320877.932</v>
      </c>
      <c r="G611" s="10">
        <f>(S611/$B611)+(S611/'Optimal Choice'!$B$26)</f>
        <v>4527083.149</v>
      </c>
      <c r="I611" s="11">
        <f t="shared" ref="I611:M611" si="610">if(min($C610:$G610)=C610,I610+1,I610)</f>
        <v>211</v>
      </c>
      <c r="J611" s="11">
        <f t="shared" si="610"/>
        <v>101</v>
      </c>
      <c r="K611" s="11">
        <f t="shared" si="610"/>
        <v>100</v>
      </c>
      <c r="L611" s="11">
        <f t="shared" si="610"/>
        <v>98</v>
      </c>
      <c r="M611" s="11">
        <f t="shared" si="610"/>
        <v>100</v>
      </c>
      <c r="O611" s="12">
        <f> 'Optimal Choice'!$B$7*'Optimal Choice'!$B$8^(I611+1)</f>
        <v>6782985.061</v>
      </c>
      <c r="P611" s="12">
        <f> 'Optimal Choice'!$B$12*'Optimal Choice'!$B$13^(J611+1)</f>
        <v>93181772.31</v>
      </c>
      <c r="Q611" s="12">
        <f> 'Optimal Choice'!$B$17*'Optimal Choice'!$B$18^(K611+1)</f>
        <v>402459776.3</v>
      </c>
      <c r="R611" s="12">
        <f> 'Optimal Choice'!$B$22*'Optimal Choice'!$B$23^(L611+1)</f>
        <v>1553386932</v>
      </c>
      <c r="S611" s="12">
        <f> 'Optimal Choice'!$B$27*'Optimal Choice'!$B$28^(M611+1)</f>
        <v>9698739132</v>
      </c>
    </row>
    <row r="612" ht="15.75" customHeight="1">
      <c r="A612" s="10">
        <f t="shared" si="2"/>
        <v>6811.827415</v>
      </c>
      <c r="B612" s="6">
        <f>(I612*'Optimal Choice'!$B$6+J612*'Optimal Choice'!$B$11+K612*'Optimal Choice'!$B$16+L612*'Optimal Choice'!$B$21+M612*'Optimal Choice'!$B$26)*'Optimal Choice'!$B$30</f>
        <v>262654.04</v>
      </c>
      <c r="C612" s="10">
        <f>(O612/$B612)+(O612/'Optimal Choice'!$B$6)</f>
        <v>4346012.073</v>
      </c>
      <c r="D612" s="10">
        <f>(P612/$B612)+(P612/'Optimal Choice'!$B$11)</f>
        <v>4659443.386</v>
      </c>
      <c r="E612" s="10">
        <f>(Q612/$B612)+(Q612/'Optimal Choice'!$B$16)</f>
        <v>4473307.573</v>
      </c>
      <c r="F612" s="10">
        <f>(R612/$B612)+(R612/'Optimal Choice'!$B$21)</f>
        <v>4320877.894</v>
      </c>
      <c r="G612" s="10">
        <f>(S612/$B612)+(S612/'Optimal Choice'!$B$26)</f>
        <v>4527082.914</v>
      </c>
      <c r="I612" s="11">
        <f t="shared" ref="I612:M612" si="611">if(min($C611:$G611)=C611,I611+1,I611)</f>
        <v>212</v>
      </c>
      <c r="J612" s="11">
        <f t="shared" si="611"/>
        <v>101</v>
      </c>
      <c r="K612" s="11">
        <f t="shared" si="611"/>
        <v>100</v>
      </c>
      <c r="L612" s="11">
        <f t="shared" si="611"/>
        <v>98</v>
      </c>
      <c r="M612" s="11">
        <f t="shared" si="611"/>
        <v>100</v>
      </c>
      <c r="O612" s="12">
        <f> 'Optimal Choice'!$B$7*'Optimal Choice'!$B$8^(I612+1)</f>
        <v>7257794.016</v>
      </c>
      <c r="P612" s="12">
        <f> 'Optimal Choice'!$B$12*'Optimal Choice'!$B$13^(J612+1)</f>
        <v>93181772.31</v>
      </c>
      <c r="Q612" s="12">
        <f> 'Optimal Choice'!$B$17*'Optimal Choice'!$B$18^(K612+1)</f>
        <v>402459776.3</v>
      </c>
      <c r="R612" s="12">
        <f> 'Optimal Choice'!$B$22*'Optimal Choice'!$B$23^(L612+1)</f>
        <v>1553386932</v>
      </c>
      <c r="S612" s="12">
        <f> 'Optimal Choice'!$B$27*'Optimal Choice'!$B$28^(M612+1)</f>
        <v>9698739132</v>
      </c>
    </row>
    <row r="613" ht="15.75" customHeight="1">
      <c r="A613" s="10">
        <f t="shared" si="2"/>
        <v>6910.397314</v>
      </c>
      <c r="B613" s="6">
        <f>(I613*'Optimal Choice'!$B$6+J613*'Optimal Choice'!$B$11+K613*'Optimal Choice'!$B$16+L613*'Optimal Choice'!$B$21+M613*'Optimal Choice'!$B$26)*'Optimal Choice'!$B$30</f>
        <v>263014.04</v>
      </c>
      <c r="C613" s="10">
        <f>(O613/$B613)+(O613/'Optimal Choice'!$B$6)</f>
        <v>4346012.035</v>
      </c>
      <c r="D613" s="10">
        <f>(P613/$B613)+(P613/'Optimal Choice'!$B$11)</f>
        <v>4659442.9</v>
      </c>
      <c r="E613" s="10">
        <f>(Q613/$B613)+(Q613/'Optimal Choice'!$B$16)</f>
        <v>4473305.475</v>
      </c>
      <c r="F613" s="10">
        <f>(R613/$B613)+(R613/'Optimal Choice'!$B$21)</f>
        <v>4882582.873</v>
      </c>
      <c r="G613" s="10">
        <f>(S613/$B613)+(S613/'Optimal Choice'!$B$26)</f>
        <v>4527032.372</v>
      </c>
      <c r="I613" s="11">
        <f t="shared" ref="I613:M613" si="612">if(min($C612:$G612)=C612,I612+1,I612)</f>
        <v>212</v>
      </c>
      <c r="J613" s="11">
        <f t="shared" si="612"/>
        <v>101</v>
      </c>
      <c r="K613" s="11">
        <f t="shared" si="612"/>
        <v>100</v>
      </c>
      <c r="L613" s="11">
        <f t="shared" si="612"/>
        <v>99</v>
      </c>
      <c r="M613" s="11">
        <f t="shared" si="612"/>
        <v>100</v>
      </c>
      <c r="O613" s="12">
        <f> 'Optimal Choice'!$B$7*'Optimal Choice'!$B$8^(I613+1)</f>
        <v>7257794.016</v>
      </c>
      <c r="P613" s="12">
        <f> 'Optimal Choice'!$B$12*'Optimal Choice'!$B$13^(J613+1)</f>
        <v>93181772.31</v>
      </c>
      <c r="Q613" s="12">
        <f> 'Optimal Choice'!$B$17*'Optimal Choice'!$B$18^(K613+1)</f>
        <v>402459776.3</v>
      </c>
      <c r="R613" s="12">
        <f> 'Optimal Choice'!$B$22*'Optimal Choice'!$B$23^(L613+1)</f>
        <v>1755327233</v>
      </c>
      <c r="S613" s="12">
        <f> 'Optimal Choice'!$B$27*'Optimal Choice'!$B$28^(M613+1)</f>
        <v>9698739132</v>
      </c>
    </row>
    <row r="614" ht="15.75" customHeight="1">
      <c r="A614" s="10">
        <f t="shared" si="2"/>
        <v>6910.857226</v>
      </c>
      <c r="B614" s="6">
        <f>(I614*'Optimal Choice'!$B$6+J614*'Optimal Choice'!$B$11+K614*'Optimal Choice'!$B$16+L614*'Optimal Choice'!$B$21+M614*'Optimal Choice'!$B$26)*'Optimal Choice'!$B$30</f>
        <v>263015.71</v>
      </c>
      <c r="C614" s="10">
        <f>(O614/$B614)+(O614/'Optimal Choice'!$B$6)</f>
        <v>4650232.878</v>
      </c>
      <c r="D614" s="10">
        <f>(P614/$B614)+(P614/'Optimal Choice'!$B$11)</f>
        <v>4659442.898</v>
      </c>
      <c r="E614" s="10">
        <f>(Q614/$B614)+(Q614/'Optimal Choice'!$B$16)</f>
        <v>4473305.466</v>
      </c>
      <c r="F614" s="10">
        <f>(R614/$B614)+(R614/'Optimal Choice'!$B$21)</f>
        <v>4882582.831</v>
      </c>
      <c r="G614" s="10">
        <f>(S614/$B614)+(S614/'Optimal Choice'!$B$26)</f>
        <v>4527032.138</v>
      </c>
      <c r="I614" s="11">
        <f t="shared" ref="I614:M614" si="613">if(min($C613:$G613)=C613,I613+1,I613)</f>
        <v>213</v>
      </c>
      <c r="J614" s="11">
        <f t="shared" si="613"/>
        <v>101</v>
      </c>
      <c r="K614" s="11">
        <f t="shared" si="613"/>
        <v>100</v>
      </c>
      <c r="L614" s="11">
        <f t="shared" si="613"/>
        <v>99</v>
      </c>
      <c r="M614" s="11">
        <f t="shared" si="613"/>
        <v>100</v>
      </c>
      <c r="O614" s="12">
        <f> 'Optimal Choice'!$B$7*'Optimal Choice'!$B$8^(I614+1)</f>
        <v>7765839.597</v>
      </c>
      <c r="P614" s="12">
        <f> 'Optimal Choice'!$B$12*'Optimal Choice'!$B$13^(J614+1)</f>
        <v>93181772.31</v>
      </c>
      <c r="Q614" s="12">
        <f> 'Optimal Choice'!$B$17*'Optimal Choice'!$B$18^(K614+1)</f>
        <v>402459776.3</v>
      </c>
      <c r="R614" s="12">
        <f> 'Optimal Choice'!$B$22*'Optimal Choice'!$B$23^(L614+1)</f>
        <v>1755327233</v>
      </c>
      <c r="S614" s="12">
        <f> 'Optimal Choice'!$B$27*'Optimal Choice'!$B$28^(M614+1)</f>
        <v>9698739132</v>
      </c>
    </row>
    <row r="615" ht="15.75" customHeight="1">
      <c r="A615" s="10">
        <f t="shared" si="2"/>
        <v>6936.360124</v>
      </c>
      <c r="B615" s="6">
        <f>(I615*'Optimal Choice'!$B$6+J615*'Optimal Choice'!$B$11+K615*'Optimal Choice'!$B$16+L615*'Optimal Choice'!$B$21+M615*'Optimal Choice'!$B$26)*'Optimal Choice'!$B$30</f>
        <v>263105.71</v>
      </c>
      <c r="C615" s="10">
        <f>(O615/$B615)+(O615/'Optimal Choice'!$B$6)</f>
        <v>4650232.867</v>
      </c>
      <c r="D615" s="10">
        <f>(P615/$B615)+(P615/'Optimal Choice'!$B$11)</f>
        <v>4659442.777</v>
      </c>
      <c r="E615" s="10">
        <f>(Q615/$B615)+(Q615/'Optimal Choice'!$B$16)</f>
        <v>5099567.634</v>
      </c>
      <c r="F615" s="10">
        <f>(R615/$B615)+(R615/'Optimal Choice'!$B$21)</f>
        <v>4882580.548</v>
      </c>
      <c r="G615" s="10">
        <f>(S615/$B615)+(S615/'Optimal Choice'!$B$26)</f>
        <v>4527019.524</v>
      </c>
      <c r="I615" s="11">
        <f t="shared" ref="I615:M615" si="614">if(min($C614:$G614)=C614,I614+1,I614)</f>
        <v>213</v>
      </c>
      <c r="J615" s="11">
        <f t="shared" si="614"/>
        <v>101</v>
      </c>
      <c r="K615" s="11">
        <f t="shared" si="614"/>
        <v>101</v>
      </c>
      <c r="L615" s="11">
        <f t="shared" si="614"/>
        <v>99</v>
      </c>
      <c r="M615" s="11">
        <f t="shared" si="614"/>
        <v>100</v>
      </c>
      <c r="O615" s="12">
        <f> 'Optimal Choice'!$B$7*'Optimal Choice'!$B$8^(I615+1)</f>
        <v>7765839.597</v>
      </c>
      <c r="P615" s="12">
        <f> 'Optimal Choice'!$B$12*'Optimal Choice'!$B$13^(J615+1)</f>
        <v>93181772.31</v>
      </c>
      <c r="Q615" s="12">
        <f> 'Optimal Choice'!$B$17*'Optimal Choice'!$B$18^(K615+1)</f>
        <v>458804144.9</v>
      </c>
      <c r="R615" s="12">
        <f> 'Optimal Choice'!$B$22*'Optimal Choice'!$B$23^(L615+1)</f>
        <v>1755327233</v>
      </c>
      <c r="S615" s="12">
        <f> 'Optimal Choice'!$B$27*'Optimal Choice'!$B$28^(M615+1)</f>
        <v>9698739132</v>
      </c>
    </row>
    <row r="616" ht="15.75" customHeight="1">
      <c r="A616" s="10">
        <f t="shared" si="2"/>
        <v>7550.735434</v>
      </c>
      <c r="B616" s="6">
        <f>(I616*'Optimal Choice'!$B$6+J616*'Optimal Choice'!$B$11+K616*'Optimal Choice'!$B$16+L616*'Optimal Choice'!$B$21+M616*'Optimal Choice'!$B$26)*'Optimal Choice'!$B$30</f>
        <v>265265.71</v>
      </c>
      <c r="C616" s="10">
        <f>(O616/$B616)+(O616/'Optimal Choice'!$B$6)</f>
        <v>4650232.627</v>
      </c>
      <c r="D616" s="10">
        <f>(P616/$B616)+(P616/'Optimal Choice'!$B$11)</f>
        <v>4659439.893</v>
      </c>
      <c r="E616" s="10">
        <f>(Q616/$B616)+(Q616/'Optimal Choice'!$B$16)</f>
        <v>5099553.435</v>
      </c>
      <c r="F616" s="10">
        <f>(R616/$B616)+(R616/'Optimal Choice'!$B$21)</f>
        <v>4882526.223</v>
      </c>
      <c r="G616" s="10">
        <f>(S616/$B616)+(S616/'Optimal Choice'!$B$26)</f>
        <v>5069925.684</v>
      </c>
      <c r="I616" s="11">
        <f t="shared" ref="I616:M616" si="615">if(min($C615:$G615)=C615,I615+1,I615)</f>
        <v>213</v>
      </c>
      <c r="J616" s="11">
        <f t="shared" si="615"/>
        <v>101</v>
      </c>
      <c r="K616" s="11">
        <f t="shared" si="615"/>
        <v>101</v>
      </c>
      <c r="L616" s="11">
        <f t="shared" si="615"/>
        <v>99</v>
      </c>
      <c r="M616" s="11">
        <f t="shared" si="615"/>
        <v>101</v>
      </c>
      <c r="O616" s="12">
        <f> 'Optimal Choice'!$B$7*'Optimal Choice'!$B$8^(I616+1)</f>
        <v>7765839.597</v>
      </c>
      <c r="P616" s="12">
        <f> 'Optimal Choice'!$B$12*'Optimal Choice'!$B$13^(J616+1)</f>
        <v>93181772.31</v>
      </c>
      <c r="Q616" s="12">
        <f> 'Optimal Choice'!$B$17*'Optimal Choice'!$B$18^(K616+1)</f>
        <v>458804144.9</v>
      </c>
      <c r="R616" s="12">
        <f> 'Optimal Choice'!$B$22*'Optimal Choice'!$B$23^(L616+1)</f>
        <v>1755327233</v>
      </c>
      <c r="S616" s="12">
        <f> 'Optimal Choice'!$B$27*'Optimal Choice'!$B$28^(M616+1)</f>
        <v>10862587828</v>
      </c>
    </row>
    <row r="617" ht="15.75" customHeight="1">
      <c r="A617" s="10">
        <f t="shared" si="2"/>
        <v>7551.223363</v>
      </c>
      <c r="B617" s="6">
        <f>(I617*'Optimal Choice'!$B$6+J617*'Optimal Choice'!$B$11+K617*'Optimal Choice'!$B$16+L617*'Optimal Choice'!$B$21+M617*'Optimal Choice'!$B$26)*'Optimal Choice'!$B$30</f>
        <v>265267.38</v>
      </c>
      <c r="C617" s="10">
        <f>(O617/$B617)+(O617/'Optimal Choice'!$B$6)</f>
        <v>4975748.911</v>
      </c>
      <c r="D617" s="10">
        <f>(P617/$B617)+(P617/'Optimal Choice'!$B$11)</f>
        <v>4659439.891</v>
      </c>
      <c r="E617" s="10">
        <f>(Q617/$B617)+(Q617/'Optimal Choice'!$B$16)</f>
        <v>5099553.424</v>
      </c>
      <c r="F617" s="10">
        <f>(R617/$B617)+(R617/'Optimal Choice'!$B$21)</f>
        <v>4882526.181</v>
      </c>
      <c r="G617" s="10">
        <f>(S617/$B617)+(S617/'Optimal Choice'!$B$26)</f>
        <v>5069925.426</v>
      </c>
      <c r="I617" s="11">
        <f t="shared" ref="I617:M617" si="616">if(min($C616:$G616)=C616,I616+1,I616)</f>
        <v>214</v>
      </c>
      <c r="J617" s="11">
        <f t="shared" si="616"/>
        <v>101</v>
      </c>
      <c r="K617" s="11">
        <f t="shared" si="616"/>
        <v>101</v>
      </c>
      <c r="L617" s="11">
        <f t="shared" si="616"/>
        <v>99</v>
      </c>
      <c r="M617" s="11">
        <f t="shared" si="616"/>
        <v>101</v>
      </c>
      <c r="O617" s="12">
        <f> 'Optimal Choice'!$B$7*'Optimal Choice'!$B$8^(I617+1)</f>
        <v>8309448.369</v>
      </c>
      <c r="P617" s="12">
        <f> 'Optimal Choice'!$B$12*'Optimal Choice'!$B$13^(J617+1)</f>
        <v>93181772.31</v>
      </c>
      <c r="Q617" s="12">
        <f> 'Optimal Choice'!$B$17*'Optimal Choice'!$B$18^(K617+1)</f>
        <v>458804144.9</v>
      </c>
      <c r="R617" s="12">
        <f> 'Optimal Choice'!$B$22*'Optimal Choice'!$B$23^(L617+1)</f>
        <v>1755327233</v>
      </c>
      <c r="S617" s="12">
        <f> 'Optimal Choice'!$B$27*'Optimal Choice'!$B$28^(M617+1)</f>
        <v>10862587828</v>
      </c>
    </row>
    <row r="618" ht="15.75" customHeight="1">
      <c r="A618" s="10">
        <f t="shared" si="2"/>
        <v>7557.077944</v>
      </c>
      <c r="B618" s="6">
        <f>(I618*'Optimal Choice'!$B$6+J618*'Optimal Choice'!$B$11+K618*'Optimal Choice'!$B$16+L618*'Optimal Choice'!$B$21+M618*'Optimal Choice'!$B$26)*'Optimal Choice'!$B$30</f>
        <v>265287.38</v>
      </c>
      <c r="C618" s="10">
        <f>(O618/$B618)+(O618/'Optimal Choice'!$B$6)</f>
        <v>4975748.908</v>
      </c>
      <c r="D618" s="10">
        <f>(P618/$B618)+(P618/'Optimal Choice'!$B$11)</f>
        <v>5358355.844</v>
      </c>
      <c r="E618" s="10">
        <f>(Q618/$B618)+(Q618/'Optimal Choice'!$B$16)</f>
        <v>5099553.293</v>
      </c>
      <c r="F618" s="10">
        <f>(R618/$B618)+(R618/'Optimal Choice'!$B$21)</f>
        <v>4882525.682</v>
      </c>
      <c r="G618" s="10">
        <f>(S618/$B618)+(S618/'Optimal Choice'!$B$26)</f>
        <v>5069922.339</v>
      </c>
      <c r="I618" s="11">
        <f t="shared" ref="I618:M618" si="617">if(min($C617:$G617)=C617,I617+1,I617)</f>
        <v>214</v>
      </c>
      <c r="J618" s="11">
        <f t="shared" si="617"/>
        <v>102</v>
      </c>
      <c r="K618" s="11">
        <f t="shared" si="617"/>
        <v>101</v>
      </c>
      <c r="L618" s="11">
        <f t="shared" si="617"/>
        <v>99</v>
      </c>
      <c r="M618" s="11">
        <f t="shared" si="617"/>
        <v>101</v>
      </c>
      <c r="O618" s="12">
        <f> 'Optimal Choice'!$B$7*'Optimal Choice'!$B$8^(I618+1)</f>
        <v>8309448.369</v>
      </c>
      <c r="P618" s="12">
        <f> 'Optimal Choice'!$B$12*'Optimal Choice'!$B$13^(J618+1)</f>
        <v>107159038.2</v>
      </c>
      <c r="Q618" s="12">
        <f> 'Optimal Choice'!$B$17*'Optimal Choice'!$B$18^(K618+1)</f>
        <v>458804144.9</v>
      </c>
      <c r="R618" s="12">
        <f> 'Optimal Choice'!$B$22*'Optimal Choice'!$B$23^(L618+1)</f>
        <v>1755327233</v>
      </c>
      <c r="S618" s="12">
        <f> 'Optimal Choice'!$B$27*'Optimal Choice'!$B$28^(M618+1)</f>
        <v>10862587828</v>
      </c>
    </row>
    <row r="619" ht="15.75" customHeight="1">
      <c r="A619" s="10">
        <f t="shared" si="2"/>
        <v>7667.356292</v>
      </c>
      <c r="B619" s="6">
        <f>(I619*'Optimal Choice'!$B$6+J619*'Optimal Choice'!$B$11+K619*'Optimal Choice'!$B$16+L619*'Optimal Choice'!$B$21+M619*'Optimal Choice'!$B$26)*'Optimal Choice'!$B$30</f>
        <v>265647.38</v>
      </c>
      <c r="C619" s="10">
        <f>(O619/$B619)+(O619/'Optimal Choice'!$B$6)</f>
        <v>4975748.866</v>
      </c>
      <c r="D619" s="10">
        <f>(P619/$B619)+(P619/'Optimal Choice'!$B$11)</f>
        <v>5358355.296</v>
      </c>
      <c r="E619" s="10">
        <f>(Q619/$B619)+(Q619/'Optimal Choice'!$B$16)</f>
        <v>5099550.95</v>
      </c>
      <c r="F619" s="10">
        <f>(R619/$B619)+(R619/'Optimal Choice'!$B$21)</f>
        <v>5517243.889</v>
      </c>
      <c r="G619" s="10">
        <f>(S619/$B619)+(S619/'Optimal Choice'!$B$26)</f>
        <v>5069866.849</v>
      </c>
      <c r="I619" s="11">
        <f t="shared" ref="I619:M619" si="618">if(min($C618:$G618)=C618,I618+1,I618)</f>
        <v>214</v>
      </c>
      <c r="J619" s="11">
        <f t="shared" si="618"/>
        <v>102</v>
      </c>
      <c r="K619" s="11">
        <f t="shared" si="618"/>
        <v>101</v>
      </c>
      <c r="L619" s="11">
        <f t="shared" si="618"/>
        <v>100</v>
      </c>
      <c r="M619" s="11">
        <f t="shared" si="618"/>
        <v>101</v>
      </c>
      <c r="O619" s="12">
        <f> 'Optimal Choice'!$B$7*'Optimal Choice'!$B$8^(I619+1)</f>
        <v>8309448.369</v>
      </c>
      <c r="P619" s="12">
        <f> 'Optimal Choice'!$B$12*'Optimal Choice'!$B$13^(J619+1)</f>
        <v>107159038.2</v>
      </c>
      <c r="Q619" s="12">
        <f> 'Optimal Choice'!$B$17*'Optimal Choice'!$B$18^(K619+1)</f>
        <v>458804144.9</v>
      </c>
      <c r="R619" s="12">
        <f> 'Optimal Choice'!$B$22*'Optimal Choice'!$B$23^(L619+1)</f>
        <v>1983519774</v>
      </c>
      <c r="S619" s="12">
        <f> 'Optimal Choice'!$B$27*'Optimal Choice'!$B$28^(M619+1)</f>
        <v>10862587828</v>
      </c>
    </row>
    <row r="620" ht="15.75" customHeight="1">
      <c r="A620" s="10">
        <f t="shared" si="2"/>
        <v>7667.877625</v>
      </c>
      <c r="B620" s="6">
        <f>(I620*'Optimal Choice'!$B$6+J620*'Optimal Choice'!$B$11+K620*'Optimal Choice'!$B$16+L620*'Optimal Choice'!$B$21+M620*'Optimal Choice'!$B$26)*'Optimal Choice'!$B$30</f>
        <v>265649.05</v>
      </c>
      <c r="C620" s="10">
        <f>(O620/$B620)+(O620/'Optimal Choice'!$B$6)</f>
        <v>5324051.286</v>
      </c>
      <c r="D620" s="10">
        <f>(P620/$B620)+(P620/'Optimal Choice'!$B$11)</f>
        <v>5358355.294</v>
      </c>
      <c r="E620" s="10">
        <f>(Q620/$B620)+(Q620/'Optimal Choice'!$B$16)</f>
        <v>5099550.939</v>
      </c>
      <c r="F620" s="10">
        <f>(R620/$B620)+(R620/'Optimal Choice'!$B$21)</f>
        <v>5517243.842</v>
      </c>
      <c r="G620" s="10">
        <f>(S620/$B620)+(S620/'Optimal Choice'!$B$26)</f>
        <v>5069866.592</v>
      </c>
      <c r="I620" s="11">
        <f t="shared" ref="I620:M620" si="619">if(min($C619:$G619)=C619,I619+1,I619)</f>
        <v>215</v>
      </c>
      <c r="J620" s="11">
        <f t="shared" si="619"/>
        <v>102</v>
      </c>
      <c r="K620" s="11">
        <f t="shared" si="619"/>
        <v>101</v>
      </c>
      <c r="L620" s="11">
        <f t="shared" si="619"/>
        <v>100</v>
      </c>
      <c r="M620" s="11">
        <f t="shared" si="619"/>
        <v>101</v>
      </c>
      <c r="O620" s="12">
        <f> 'Optimal Choice'!$B$7*'Optimal Choice'!$B$8^(I620+1)</f>
        <v>8891109.754</v>
      </c>
      <c r="P620" s="12">
        <f> 'Optimal Choice'!$B$12*'Optimal Choice'!$B$13^(J620+1)</f>
        <v>107159038.2</v>
      </c>
      <c r="Q620" s="12">
        <f> 'Optimal Choice'!$B$17*'Optimal Choice'!$B$18^(K620+1)</f>
        <v>458804144.9</v>
      </c>
      <c r="R620" s="12">
        <f> 'Optimal Choice'!$B$22*'Optimal Choice'!$B$23^(L620+1)</f>
        <v>1983519774</v>
      </c>
      <c r="S620" s="12">
        <f> 'Optimal Choice'!$B$27*'Optimal Choice'!$B$28^(M620+1)</f>
        <v>10862587828</v>
      </c>
    </row>
    <row r="621" ht="15.75" customHeight="1">
      <c r="A621" s="10">
        <f t="shared" si="2"/>
        <v>8349.390058</v>
      </c>
      <c r="B621" s="6">
        <f>(I621*'Optimal Choice'!$B$6+J621*'Optimal Choice'!$B$11+K621*'Optimal Choice'!$B$16+L621*'Optimal Choice'!$B$21+M621*'Optimal Choice'!$B$26)*'Optimal Choice'!$B$30</f>
        <v>267809.05</v>
      </c>
      <c r="C621" s="10">
        <f>(O621/$B621)+(O621/'Optimal Choice'!$B$6)</f>
        <v>5324051.016</v>
      </c>
      <c r="D621" s="10">
        <f>(P621/$B621)+(P621/'Optimal Choice'!$B$11)</f>
        <v>5358352.04</v>
      </c>
      <c r="E621" s="10">
        <f>(Q621/$B621)+(Q621/'Optimal Choice'!$B$16)</f>
        <v>5099537.009</v>
      </c>
      <c r="F621" s="10">
        <f>(R621/$B621)+(R621/'Optimal Choice'!$B$21)</f>
        <v>5517183.619</v>
      </c>
      <c r="G621" s="10">
        <f>(S621/$B621)+(S621/'Optimal Choice'!$B$26)</f>
        <v>5677881.205</v>
      </c>
      <c r="I621" s="11">
        <f t="shared" ref="I621:M621" si="620">if(min($C620:$G620)=C620,I620+1,I620)</f>
        <v>215</v>
      </c>
      <c r="J621" s="11">
        <f t="shared" si="620"/>
        <v>102</v>
      </c>
      <c r="K621" s="11">
        <f t="shared" si="620"/>
        <v>101</v>
      </c>
      <c r="L621" s="11">
        <f t="shared" si="620"/>
        <v>100</v>
      </c>
      <c r="M621" s="11">
        <f t="shared" si="620"/>
        <v>102</v>
      </c>
      <c r="O621" s="12">
        <f> 'Optimal Choice'!$B$7*'Optimal Choice'!$B$8^(I621+1)</f>
        <v>8891109.754</v>
      </c>
      <c r="P621" s="12">
        <f> 'Optimal Choice'!$B$12*'Optimal Choice'!$B$13^(J621+1)</f>
        <v>107159038.2</v>
      </c>
      <c r="Q621" s="12">
        <f> 'Optimal Choice'!$B$17*'Optimal Choice'!$B$18^(K621+1)</f>
        <v>458804144.9</v>
      </c>
      <c r="R621" s="12">
        <f> 'Optimal Choice'!$B$22*'Optimal Choice'!$B$23^(L621+1)</f>
        <v>1983519774</v>
      </c>
      <c r="S621" s="12">
        <f> 'Optimal Choice'!$B$27*'Optimal Choice'!$B$28^(M621+1)</f>
        <v>12166098367</v>
      </c>
    </row>
    <row r="622" ht="15.75" customHeight="1">
      <c r="A622" s="10">
        <f t="shared" si="2"/>
        <v>8377.942998</v>
      </c>
      <c r="B622" s="6">
        <f>(I622*'Optimal Choice'!$B$6+J622*'Optimal Choice'!$B$11+K622*'Optimal Choice'!$B$16+L622*'Optimal Choice'!$B$21+M622*'Optimal Choice'!$B$26)*'Optimal Choice'!$B$30</f>
        <v>267899.05</v>
      </c>
      <c r="C622" s="10">
        <f>(O622/$B622)+(O622/'Optimal Choice'!$B$6)</f>
        <v>5324051.005</v>
      </c>
      <c r="D622" s="10">
        <f>(P622/$B622)+(P622/'Optimal Choice'!$B$11)</f>
        <v>5358351.906</v>
      </c>
      <c r="E622" s="10">
        <f>(Q622/$B622)+(Q622/'Optimal Choice'!$B$16)</f>
        <v>5813471.534</v>
      </c>
      <c r="F622" s="10">
        <f>(R622/$B622)+(R622/'Optimal Choice'!$B$21)</f>
        <v>5517181.131</v>
      </c>
      <c r="G622" s="10">
        <f>(S622/$B622)+(S622/'Optimal Choice'!$B$26)</f>
        <v>5677865.943</v>
      </c>
      <c r="I622" s="11">
        <f t="shared" ref="I622:M622" si="621">if(min($C621:$G621)=C621,I621+1,I621)</f>
        <v>215</v>
      </c>
      <c r="J622" s="11">
        <f t="shared" si="621"/>
        <v>102</v>
      </c>
      <c r="K622" s="11">
        <f t="shared" si="621"/>
        <v>102</v>
      </c>
      <c r="L622" s="11">
        <f t="shared" si="621"/>
        <v>100</v>
      </c>
      <c r="M622" s="11">
        <f t="shared" si="621"/>
        <v>102</v>
      </c>
      <c r="O622" s="12">
        <f> 'Optimal Choice'!$B$7*'Optimal Choice'!$B$8^(I622+1)</f>
        <v>8891109.754</v>
      </c>
      <c r="P622" s="12">
        <f> 'Optimal Choice'!$B$12*'Optimal Choice'!$B$13^(J622+1)</f>
        <v>107159038.2</v>
      </c>
      <c r="Q622" s="12">
        <f> 'Optimal Choice'!$B$17*'Optimal Choice'!$B$18^(K622+1)</f>
        <v>523036725.2</v>
      </c>
      <c r="R622" s="12">
        <f> 'Optimal Choice'!$B$22*'Optimal Choice'!$B$23^(L622+1)</f>
        <v>1983519774</v>
      </c>
      <c r="S622" s="12">
        <f> 'Optimal Choice'!$B$27*'Optimal Choice'!$B$28^(M622+1)</f>
        <v>12166098367</v>
      </c>
    </row>
    <row r="623" ht="15.75" customHeight="1">
      <c r="A623" s="10">
        <f t="shared" si="2"/>
        <v>8378.496136</v>
      </c>
      <c r="B623" s="6">
        <f>(I623*'Optimal Choice'!$B$6+J623*'Optimal Choice'!$B$11+K623*'Optimal Choice'!$B$16+L623*'Optimal Choice'!$B$21+M623*'Optimal Choice'!$B$26)*'Optimal Choice'!$B$30</f>
        <v>267900.72</v>
      </c>
      <c r="C623" s="10">
        <f>(O623/$B623)+(O623/'Optimal Choice'!$B$6)</f>
        <v>5696734.575</v>
      </c>
      <c r="D623" s="10">
        <f>(P623/$B623)+(P623/'Optimal Choice'!$B$11)</f>
        <v>5358351.903</v>
      </c>
      <c r="E623" s="10">
        <f>(Q623/$B623)+(Q623/'Optimal Choice'!$B$16)</f>
        <v>5813471.522</v>
      </c>
      <c r="F623" s="10">
        <f>(R623/$B623)+(R623/'Optimal Choice'!$B$21)</f>
        <v>5517181.085</v>
      </c>
      <c r="G623" s="10">
        <f>(S623/$B623)+(S623/'Optimal Choice'!$B$26)</f>
        <v>5677865.66</v>
      </c>
      <c r="I623" s="11">
        <f t="shared" ref="I623:M623" si="622">if(min($C622:$G622)=C622,I622+1,I622)</f>
        <v>216</v>
      </c>
      <c r="J623" s="11">
        <f t="shared" si="622"/>
        <v>102</v>
      </c>
      <c r="K623" s="11">
        <f t="shared" si="622"/>
        <v>102</v>
      </c>
      <c r="L623" s="11">
        <f t="shared" si="622"/>
        <v>100</v>
      </c>
      <c r="M623" s="11">
        <f t="shared" si="622"/>
        <v>102</v>
      </c>
      <c r="O623" s="12">
        <f> 'Optimal Choice'!$B$7*'Optimal Choice'!$B$8^(I623+1)</f>
        <v>9513487.437</v>
      </c>
      <c r="P623" s="12">
        <f> 'Optimal Choice'!$B$12*'Optimal Choice'!$B$13^(J623+1)</f>
        <v>107159038.2</v>
      </c>
      <c r="Q623" s="12">
        <f> 'Optimal Choice'!$B$17*'Optimal Choice'!$B$18^(K623+1)</f>
        <v>523036725.2</v>
      </c>
      <c r="R623" s="12">
        <f> 'Optimal Choice'!$B$22*'Optimal Choice'!$B$23^(L623+1)</f>
        <v>1983519774</v>
      </c>
      <c r="S623" s="12">
        <f> 'Optimal Choice'!$B$27*'Optimal Choice'!$B$28^(M623+1)</f>
        <v>12166098367</v>
      </c>
    </row>
    <row r="624" ht="15.75" customHeight="1">
      <c r="A624" s="10">
        <f t="shared" si="2"/>
        <v>8385.162725</v>
      </c>
      <c r="B624" s="6">
        <f>(I624*'Optimal Choice'!$B$6+J624*'Optimal Choice'!$B$11+K624*'Optimal Choice'!$B$16+L624*'Optimal Choice'!$B$21+M624*'Optimal Choice'!$B$26)*'Optimal Choice'!$B$30</f>
        <v>267920.72</v>
      </c>
      <c r="C624" s="10">
        <f>(O624/$B624)+(O624/'Optimal Choice'!$B$6)</f>
        <v>5696734.573</v>
      </c>
      <c r="D624" s="10">
        <f>(P624/$B624)+(P624/'Optimal Choice'!$B$11)</f>
        <v>6162104.654</v>
      </c>
      <c r="E624" s="10">
        <f>(Q624/$B624)+(Q624/'Optimal Choice'!$B$16)</f>
        <v>5813471.376</v>
      </c>
      <c r="F624" s="10">
        <f>(R624/$B624)+(R624/'Optimal Choice'!$B$21)</f>
        <v>5517180.532</v>
      </c>
      <c r="G624" s="10">
        <f>(S624/$B624)+(S624/'Optimal Choice'!$B$26)</f>
        <v>5677862.27</v>
      </c>
      <c r="I624" s="11">
        <f t="shared" ref="I624:M624" si="623">if(min($C623:$G623)=C623,I623+1,I623)</f>
        <v>216</v>
      </c>
      <c r="J624" s="11">
        <f t="shared" si="623"/>
        <v>103</v>
      </c>
      <c r="K624" s="11">
        <f t="shared" si="623"/>
        <v>102</v>
      </c>
      <c r="L624" s="11">
        <f t="shared" si="623"/>
        <v>100</v>
      </c>
      <c r="M624" s="11">
        <f t="shared" si="623"/>
        <v>102</v>
      </c>
      <c r="O624" s="12">
        <f> 'Optimal Choice'!$B$7*'Optimal Choice'!$B$8^(I624+1)</f>
        <v>9513487.437</v>
      </c>
      <c r="P624" s="12">
        <f> 'Optimal Choice'!$B$12*'Optimal Choice'!$B$13^(J624+1)</f>
        <v>123232893.9</v>
      </c>
      <c r="Q624" s="12">
        <f> 'Optimal Choice'!$B$17*'Optimal Choice'!$B$18^(K624+1)</f>
        <v>523036725.2</v>
      </c>
      <c r="R624" s="12">
        <f> 'Optimal Choice'!$B$22*'Optimal Choice'!$B$23^(L624+1)</f>
        <v>1983519774</v>
      </c>
      <c r="S624" s="12">
        <f> 'Optimal Choice'!$B$27*'Optimal Choice'!$B$28^(M624+1)</f>
        <v>12166098367</v>
      </c>
    </row>
    <row r="625" ht="15.75" customHeight="1">
      <c r="A625" s="10">
        <f t="shared" si="2"/>
        <v>8508.552446</v>
      </c>
      <c r="B625" s="6">
        <f>(I625*'Optimal Choice'!$B$6+J625*'Optimal Choice'!$B$11+K625*'Optimal Choice'!$B$16+L625*'Optimal Choice'!$B$21+M625*'Optimal Choice'!$B$26)*'Optimal Choice'!$B$30</f>
        <v>268280.72</v>
      </c>
      <c r="C625" s="10">
        <f>(O625/$B625)+(O625/'Optimal Choice'!$B$6)</f>
        <v>5696734.525</v>
      </c>
      <c r="D625" s="10">
        <f>(P625/$B625)+(P625/'Optimal Choice'!$B$11)</f>
        <v>6162104.037</v>
      </c>
      <c r="E625" s="10">
        <f>(Q625/$B625)+(Q625/'Optimal Choice'!$B$16)</f>
        <v>5813468.757</v>
      </c>
      <c r="F625" s="10">
        <f>(R625/$B625)+(R625/'Optimal Choice'!$B$21)</f>
        <v>6234402.776</v>
      </c>
      <c r="G625" s="10">
        <f>(S625/$B625)+(S625/'Optimal Choice'!$B$26)</f>
        <v>5677801.336</v>
      </c>
      <c r="I625" s="11">
        <f t="shared" ref="I625:M625" si="624">if(min($C624:$G624)=C624,I624+1,I624)</f>
        <v>216</v>
      </c>
      <c r="J625" s="11">
        <f t="shared" si="624"/>
        <v>103</v>
      </c>
      <c r="K625" s="11">
        <f t="shared" si="624"/>
        <v>102</v>
      </c>
      <c r="L625" s="11">
        <f t="shared" si="624"/>
        <v>101</v>
      </c>
      <c r="M625" s="11">
        <f t="shared" si="624"/>
        <v>102</v>
      </c>
      <c r="O625" s="12">
        <f> 'Optimal Choice'!$B$7*'Optimal Choice'!$B$8^(I625+1)</f>
        <v>9513487.437</v>
      </c>
      <c r="P625" s="12">
        <f> 'Optimal Choice'!$B$12*'Optimal Choice'!$B$13^(J625+1)</f>
        <v>123232893.9</v>
      </c>
      <c r="Q625" s="12">
        <f> 'Optimal Choice'!$B$17*'Optimal Choice'!$B$18^(K625+1)</f>
        <v>523036725.2</v>
      </c>
      <c r="R625" s="12">
        <f> 'Optimal Choice'!$B$22*'Optimal Choice'!$B$23^(L625+1)</f>
        <v>2241377344</v>
      </c>
      <c r="S625" s="12">
        <f> 'Optimal Choice'!$B$27*'Optimal Choice'!$B$28^(M625+1)</f>
        <v>12166098367</v>
      </c>
    </row>
    <row r="626" ht="15.75" customHeight="1">
      <c r="A626" s="10">
        <f t="shared" si="2"/>
        <v>9264.358924</v>
      </c>
      <c r="B626" s="6">
        <f>(I626*'Optimal Choice'!$B$6+J626*'Optimal Choice'!$B$11+K626*'Optimal Choice'!$B$16+L626*'Optimal Choice'!$B$21+M626*'Optimal Choice'!$B$26)*'Optimal Choice'!$B$30</f>
        <v>270440.72</v>
      </c>
      <c r="C626" s="10">
        <f>(O626/$B626)+(O626/'Optimal Choice'!$B$6)</f>
        <v>5696734.242</v>
      </c>
      <c r="D626" s="10">
        <f>(P626/$B626)+(P626/'Optimal Choice'!$B$11)</f>
        <v>6162100.369</v>
      </c>
      <c r="E626" s="10">
        <f>(Q626/$B626)+(Q626/'Optimal Choice'!$B$16)</f>
        <v>5813453.185</v>
      </c>
      <c r="F626" s="10">
        <f>(R626/$B626)+(R626/'Optimal Choice'!$B$21)</f>
        <v>6234336.048</v>
      </c>
      <c r="G626" s="10">
        <f>(S626/$B626)+(S626/'Optimal Choice'!$B$26)</f>
        <v>6358731.837</v>
      </c>
      <c r="I626" s="11">
        <f t="shared" ref="I626:M626" si="625">if(min($C625:$G625)=C625,I625+1,I625)</f>
        <v>216</v>
      </c>
      <c r="J626" s="11">
        <f t="shared" si="625"/>
        <v>103</v>
      </c>
      <c r="K626" s="11">
        <f t="shared" si="625"/>
        <v>102</v>
      </c>
      <c r="L626" s="11">
        <f t="shared" si="625"/>
        <v>101</v>
      </c>
      <c r="M626" s="11">
        <f t="shared" si="625"/>
        <v>103</v>
      </c>
      <c r="O626" s="12">
        <f> 'Optimal Choice'!$B$7*'Optimal Choice'!$B$8^(I626+1)</f>
        <v>9513487.437</v>
      </c>
      <c r="P626" s="12">
        <f> 'Optimal Choice'!$B$12*'Optimal Choice'!$B$13^(J626+1)</f>
        <v>123232893.9</v>
      </c>
      <c r="Q626" s="12">
        <f> 'Optimal Choice'!$B$17*'Optimal Choice'!$B$18^(K626+1)</f>
        <v>523036725.2</v>
      </c>
      <c r="R626" s="12">
        <f> 'Optimal Choice'!$B$22*'Optimal Choice'!$B$23^(L626+1)</f>
        <v>2241377344</v>
      </c>
      <c r="S626" s="12">
        <f> 'Optimal Choice'!$B$27*'Optimal Choice'!$B$28^(M626+1)</f>
        <v>13626030171</v>
      </c>
    </row>
    <row r="627" ht="15.75" customHeight="1">
      <c r="A627" s="10">
        <f t="shared" si="2"/>
        <v>9264.94522</v>
      </c>
      <c r="B627" s="6">
        <f>(I627*'Optimal Choice'!$B$6+J627*'Optimal Choice'!$B$11+K627*'Optimal Choice'!$B$16+L627*'Optimal Choice'!$B$21+M627*'Optimal Choice'!$B$26)*'Optimal Choice'!$B$30</f>
        <v>270442.39</v>
      </c>
      <c r="C627" s="10">
        <f>(O627/$B627)+(O627/'Optimal Choice'!$B$6)</f>
        <v>6095505.639</v>
      </c>
      <c r="D627" s="10">
        <f>(P627/$B627)+(P627/'Optimal Choice'!$B$11)</f>
        <v>6162100.366</v>
      </c>
      <c r="E627" s="10">
        <f>(Q627/$B627)+(Q627/'Optimal Choice'!$B$16)</f>
        <v>5813453.173</v>
      </c>
      <c r="F627" s="10">
        <f>(R627/$B627)+(R627/'Optimal Choice'!$B$21)</f>
        <v>6234335.997</v>
      </c>
      <c r="G627" s="10">
        <f>(S627/$B627)+(S627/'Optimal Choice'!$B$26)</f>
        <v>6358731.526</v>
      </c>
      <c r="I627" s="11">
        <f t="shared" ref="I627:M627" si="626">if(min($C626:$G626)=C626,I626+1,I626)</f>
        <v>217</v>
      </c>
      <c r="J627" s="11">
        <f t="shared" si="626"/>
        <v>103</v>
      </c>
      <c r="K627" s="11">
        <f t="shared" si="626"/>
        <v>102</v>
      </c>
      <c r="L627" s="11">
        <f t="shared" si="626"/>
        <v>101</v>
      </c>
      <c r="M627" s="11">
        <f t="shared" si="626"/>
        <v>103</v>
      </c>
      <c r="O627" s="12">
        <f> 'Optimal Choice'!$B$7*'Optimal Choice'!$B$8^(I627+1)</f>
        <v>10179431.56</v>
      </c>
      <c r="P627" s="12">
        <f> 'Optimal Choice'!$B$12*'Optimal Choice'!$B$13^(J627+1)</f>
        <v>123232893.9</v>
      </c>
      <c r="Q627" s="12">
        <f> 'Optimal Choice'!$B$17*'Optimal Choice'!$B$18^(K627+1)</f>
        <v>523036725.2</v>
      </c>
      <c r="R627" s="12">
        <f> 'Optimal Choice'!$B$22*'Optimal Choice'!$B$23^(L627+1)</f>
        <v>2241377344</v>
      </c>
      <c r="S627" s="12">
        <f> 'Optimal Choice'!$B$27*'Optimal Choice'!$B$28^(M627+1)</f>
        <v>13626030171</v>
      </c>
    </row>
    <row r="628" ht="15.75" customHeight="1">
      <c r="A628" s="10">
        <f t="shared" si="2"/>
        <v>9297.178623</v>
      </c>
      <c r="B628" s="6">
        <f>(I628*'Optimal Choice'!$B$6+J628*'Optimal Choice'!$B$11+K628*'Optimal Choice'!$B$16+L628*'Optimal Choice'!$B$21+M628*'Optimal Choice'!$B$26)*'Optimal Choice'!$B$30</f>
        <v>270532.39</v>
      </c>
      <c r="C628" s="10">
        <f>(O628/$B628)+(O628/'Optimal Choice'!$B$6)</f>
        <v>6095505.626</v>
      </c>
      <c r="D628" s="10">
        <f>(P628/$B628)+(P628/'Optimal Choice'!$B$11)</f>
        <v>6162100.214</v>
      </c>
      <c r="E628" s="10">
        <f>(Q628/$B628)+(Q628/'Optimal Choice'!$B$16)</f>
        <v>6627335.884</v>
      </c>
      <c r="F628" s="10">
        <f>(R628/$B628)+(R628/'Optimal Choice'!$B$21)</f>
        <v>6234333.239</v>
      </c>
      <c r="G628" s="10">
        <f>(S628/$B628)+(S628/'Optimal Choice'!$B$26)</f>
        <v>6358714.764</v>
      </c>
      <c r="I628" s="11">
        <f t="shared" ref="I628:M628" si="627">if(min($C627:$G627)=C627,I627+1,I627)</f>
        <v>217</v>
      </c>
      <c r="J628" s="11">
        <f t="shared" si="627"/>
        <v>103</v>
      </c>
      <c r="K628" s="11">
        <f t="shared" si="627"/>
        <v>103</v>
      </c>
      <c r="L628" s="11">
        <f t="shared" si="627"/>
        <v>101</v>
      </c>
      <c r="M628" s="11">
        <f t="shared" si="627"/>
        <v>103</v>
      </c>
      <c r="O628" s="12">
        <f> 'Optimal Choice'!$B$7*'Optimal Choice'!$B$8^(I628+1)</f>
        <v>10179431.56</v>
      </c>
      <c r="P628" s="12">
        <f> 'Optimal Choice'!$B$12*'Optimal Choice'!$B$13^(J628+1)</f>
        <v>123232893.9</v>
      </c>
      <c r="Q628" s="12">
        <f> 'Optimal Choice'!$B$17*'Optimal Choice'!$B$18^(K628+1)</f>
        <v>596261866.8</v>
      </c>
      <c r="R628" s="12">
        <f> 'Optimal Choice'!$B$22*'Optimal Choice'!$B$23^(L628+1)</f>
        <v>2241377344</v>
      </c>
      <c r="S628" s="12">
        <f> 'Optimal Choice'!$B$27*'Optimal Choice'!$B$28^(M628+1)</f>
        <v>13626030171</v>
      </c>
    </row>
    <row r="629" ht="15.75" customHeight="1">
      <c r="A629" s="10">
        <f t="shared" si="2"/>
        <v>9297.805747</v>
      </c>
      <c r="B629" s="6">
        <f>(I629*'Optimal Choice'!$B$6+J629*'Optimal Choice'!$B$11+K629*'Optimal Choice'!$B$16+L629*'Optimal Choice'!$B$21+M629*'Optimal Choice'!$B$26)*'Optimal Choice'!$B$30</f>
        <v>270534.06</v>
      </c>
      <c r="C629" s="10">
        <f>(O629/$B629)+(O629/'Optimal Choice'!$B$6)</f>
        <v>6522191.02</v>
      </c>
      <c r="D629" s="10">
        <f>(P629/$B629)+(P629/'Optimal Choice'!$B$11)</f>
        <v>6162100.211</v>
      </c>
      <c r="E629" s="10">
        <f>(Q629/$B629)+(Q629/'Optimal Choice'!$B$16)</f>
        <v>6627335.871</v>
      </c>
      <c r="F629" s="10">
        <f>(R629/$B629)+(R629/'Optimal Choice'!$B$21)</f>
        <v>6234333.188</v>
      </c>
      <c r="G629" s="10">
        <f>(S629/$B629)+(S629/'Optimal Choice'!$B$26)</f>
        <v>6358714.454</v>
      </c>
      <c r="I629" s="11">
        <f t="shared" ref="I629:M629" si="628">if(min($C628:$G628)=C628,I628+1,I628)</f>
        <v>218</v>
      </c>
      <c r="J629" s="11">
        <f t="shared" si="628"/>
        <v>103</v>
      </c>
      <c r="K629" s="11">
        <f t="shared" si="628"/>
        <v>103</v>
      </c>
      <c r="L629" s="11">
        <f t="shared" si="628"/>
        <v>101</v>
      </c>
      <c r="M629" s="11">
        <f t="shared" si="628"/>
        <v>103</v>
      </c>
      <c r="O629" s="12">
        <f> 'Optimal Choice'!$B$7*'Optimal Choice'!$B$8^(I629+1)</f>
        <v>10891991.77</v>
      </c>
      <c r="P629" s="12">
        <f> 'Optimal Choice'!$B$12*'Optimal Choice'!$B$13^(J629+1)</f>
        <v>123232893.9</v>
      </c>
      <c r="Q629" s="12">
        <f> 'Optimal Choice'!$B$17*'Optimal Choice'!$B$18^(K629+1)</f>
        <v>596261866.8</v>
      </c>
      <c r="R629" s="12">
        <f> 'Optimal Choice'!$B$22*'Optimal Choice'!$B$23^(L629+1)</f>
        <v>2241377344</v>
      </c>
      <c r="S629" s="12">
        <f> 'Optimal Choice'!$B$27*'Optimal Choice'!$B$28^(M629+1)</f>
        <v>13626030171</v>
      </c>
    </row>
    <row r="630" ht="15.75" customHeight="1">
      <c r="A630" s="10">
        <f t="shared" si="2"/>
        <v>9305.397699</v>
      </c>
      <c r="B630" s="6">
        <f>(I630*'Optimal Choice'!$B$6+J630*'Optimal Choice'!$B$11+K630*'Optimal Choice'!$B$16+L630*'Optimal Choice'!$B$21+M630*'Optimal Choice'!$B$26)*'Optimal Choice'!$B$30</f>
        <v>270554.06</v>
      </c>
      <c r="C630" s="10">
        <f>(O630/$B630)+(O630/'Optimal Choice'!$B$6)</f>
        <v>6522191.017</v>
      </c>
      <c r="D630" s="10">
        <f>(P630/$B630)+(P630/'Optimal Choice'!$B$11)</f>
        <v>7086415.204</v>
      </c>
      <c r="E630" s="10">
        <f>(Q630/$B630)+(Q630/'Optimal Choice'!$B$16)</f>
        <v>6627335.708</v>
      </c>
      <c r="F630" s="10">
        <f>(R630/$B630)+(R630/'Optimal Choice'!$B$21)</f>
        <v>6234332.576</v>
      </c>
      <c r="G630" s="10">
        <f>(S630/$B630)+(S630/'Optimal Choice'!$B$26)</f>
        <v>6358710.73</v>
      </c>
      <c r="I630" s="11">
        <f t="shared" ref="I630:M630" si="629">if(min($C629:$G629)=C629,I629+1,I629)</f>
        <v>218</v>
      </c>
      <c r="J630" s="11">
        <f t="shared" si="629"/>
        <v>104</v>
      </c>
      <c r="K630" s="11">
        <f t="shared" si="629"/>
        <v>103</v>
      </c>
      <c r="L630" s="11">
        <f t="shared" si="629"/>
        <v>101</v>
      </c>
      <c r="M630" s="11">
        <f t="shared" si="629"/>
        <v>103</v>
      </c>
      <c r="O630" s="12">
        <f> 'Optimal Choice'!$B$7*'Optimal Choice'!$B$8^(I630+1)</f>
        <v>10891991.77</v>
      </c>
      <c r="P630" s="12">
        <f> 'Optimal Choice'!$B$12*'Optimal Choice'!$B$13^(J630+1)</f>
        <v>141717828</v>
      </c>
      <c r="Q630" s="12">
        <f> 'Optimal Choice'!$B$17*'Optimal Choice'!$B$18^(K630+1)</f>
        <v>596261866.8</v>
      </c>
      <c r="R630" s="12">
        <f> 'Optimal Choice'!$B$22*'Optimal Choice'!$B$23^(L630+1)</f>
        <v>2241377344</v>
      </c>
      <c r="S630" s="12">
        <f> 'Optimal Choice'!$B$27*'Optimal Choice'!$B$28^(M630+1)</f>
        <v>13626030171</v>
      </c>
    </row>
    <row r="631" ht="15.75" customHeight="1">
      <c r="A631" s="10">
        <f t="shared" si="2"/>
        <v>9443.470988</v>
      </c>
      <c r="B631" s="6">
        <f>(I631*'Optimal Choice'!$B$6+J631*'Optimal Choice'!$B$11+K631*'Optimal Choice'!$B$16+L631*'Optimal Choice'!$B$21+M631*'Optimal Choice'!$B$26)*'Optimal Choice'!$B$30</f>
        <v>270914.06</v>
      </c>
      <c r="C631" s="10">
        <f>(O631/$B631)+(O631/'Optimal Choice'!$B$6)</f>
        <v>6522190.963</v>
      </c>
      <c r="D631" s="10">
        <f>(P631/$B631)+(P631/'Optimal Choice'!$B$11)</f>
        <v>7086414.508</v>
      </c>
      <c r="E631" s="10">
        <f>(Q631/$B631)+(Q631/'Optimal Choice'!$B$16)</f>
        <v>6627332.779</v>
      </c>
      <c r="F631" s="10">
        <f>(R631/$B631)+(R631/'Optimal Choice'!$B$21)</f>
        <v>7044783.371</v>
      </c>
      <c r="G631" s="10">
        <f>(S631/$B631)+(S631/'Optimal Choice'!$B$26)</f>
        <v>6358643.806</v>
      </c>
      <c r="I631" s="11">
        <f t="shared" ref="I631:M631" si="630">if(min($C630:$G630)=C630,I630+1,I630)</f>
        <v>218</v>
      </c>
      <c r="J631" s="11">
        <f t="shared" si="630"/>
        <v>104</v>
      </c>
      <c r="K631" s="11">
        <f t="shared" si="630"/>
        <v>103</v>
      </c>
      <c r="L631" s="11">
        <f t="shared" si="630"/>
        <v>102</v>
      </c>
      <c r="M631" s="11">
        <f t="shared" si="630"/>
        <v>103</v>
      </c>
      <c r="O631" s="12">
        <f> 'Optimal Choice'!$B$7*'Optimal Choice'!$B$8^(I631+1)</f>
        <v>10891991.77</v>
      </c>
      <c r="P631" s="12">
        <f> 'Optimal Choice'!$B$12*'Optimal Choice'!$B$13^(J631+1)</f>
        <v>141717828</v>
      </c>
      <c r="Q631" s="12">
        <f> 'Optimal Choice'!$B$17*'Optimal Choice'!$B$18^(K631+1)</f>
        <v>596261866.8</v>
      </c>
      <c r="R631" s="12">
        <f> 'Optimal Choice'!$B$22*'Optimal Choice'!$B$23^(L631+1)</f>
        <v>2532756399</v>
      </c>
      <c r="S631" s="12">
        <f> 'Optimal Choice'!$B$27*'Optimal Choice'!$B$28^(M631+1)</f>
        <v>13626030171</v>
      </c>
    </row>
    <row r="632" ht="15.75" customHeight="1">
      <c r="A632" s="10">
        <f t="shared" si="2"/>
        <v>10281.74606</v>
      </c>
      <c r="B632" s="6">
        <f>(I632*'Optimal Choice'!$B$6+J632*'Optimal Choice'!$B$11+K632*'Optimal Choice'!$B$16+L632*'Optimal Choice'!$B$21+M632*'Optimal Choice'!$B$26)*'Optimal Choice'!$B$30</f>
        <v>273074.06</v>
      </c>
      <c r="C632" s="10">
        <f>(O632/$B632)+(O632/'Optimal Choice'!$B$6)</f>
        <v>6522190.645</v>
      </c>
      <c r="D632" s="10">
        <f>(P632/$B632)+(P632/'Optimal Choice'!$B$11)</f>
        <v>7086410.37</v>
      </c>
      <c r="E632" s="10">
        <f>(Q632/$B632)+(Q632/'Optimal Choice'!$B$16)</f>
        <v>6627315.37</v>
      </c>
      <c r="F632" s="10">
        <f>(R632/$B632)+(R632/'Optimal Choice'!$B$21)</f>
        <v>7044709.421</v>
      </c>
      <c r="G632" s="10">
        <f>(S632/$B632)+(S632/'Optimal Choice'!$B$26)</f>
        <v>7121235.479</v>
      </c>
      <c r="I632" s="11">
        <f t="shared" ref="I632:M632" si="631">if(min($C631:$G631)=C631,I631+1,I631)</f>
        <v>218</v>
      </c>
      <c r="J632" s="11">
        <f t="shared" si="631"/>
        <v>104</v>
      </c>
      <c r="K632" s="11">
        <f t="shared" si="631"/>
        <v>103</v>
      </c>
      <c r="L632" s="11">
        <f t="shared" si="631"/>
        <v>102</v>
      </c>
      <c r="M632" s="11">
        <f t="shared" si="631"/>
        <v>104</v>
      </c>
      <c r="O632" s="12">
        <f> 'Optimal Choice'!$B$7*'Optimal Choice'!$B$8^(I632+1)</f>
        <v>10891991.77</v>
      </c>
      <c r="P632" s="12">
        <f> 'Optimal Choice'!$B$12*'Optimal Choice'!$B$13^(J632+1)</f>
        <v>141717828</v>
      </c>
      <c r="Q632" s="12">
        <f> 'Optimal Choice'!$B$17*'Optimal Choice'!$B$18^(K632+1)</f>
        <v>596261866.8</v>
      </c>
      <c r="R632" s="12">
        <f> 'Optimal Choice'!$B$22*'Optimal Choice'!$B$23^(L632+1)</f>
        <v>2532756399</v>
      </c>
      <c r="S632" s="12">
        <f> 'Optimal Choice'!$B$27*'Optimal Choice'!$B$28^(M632+1)</f>
        <v>15261153791</v>
      </c>
    </row>
    <row r="633" ht="15.75" customHeight="1">
      <c r="A633" s="10">
        <f t="shared" si="2"/>
        <v>10282.41084</v>
      </c>
      <c r="B633" s="6">
        <f>(I633*'Optimal Choice'!$B$6+J633*'Optimal Choice'!$B$11+K633*'Optimal Choice'!$B$16+L633*'Optimal Choice'!$B$21+M633*'Optimal Choice'!$B$26)*'Optimal Choice'!$B$30</f>
        <v>273075.73</v>
      </c>
      <c r="C633" s="10">
        <f>(O633/$B633)+(O633/'Optimal Choice'!$B$6)</f>
        <v>6978743.99</v>
      </c>
      <c r="D633" s="10">
        <f>(P633/$B633)+(P633/'Optimal Choice'!$B$11)</f>
        <v>7086410.367</v>
      </c>
      <c r="E633" s="10">
        <f>(Q633/$B633)+(Q633/'Optimal Choice'!$B$16)</f>
        <v>6627315.356</v>
      </c>
      <c r="F633" s="10">
        <f>(R633/$B633)+(R633/'Optimal Choice'!$B$21)</f>
        <v>7044709.365</v>
      </c>
      <c r="G633" s="10">
        <f>(S633/$B633)+(S633/'Optimal Choice'!$B$26)</f>
        <v>7121235.137</v>
      </c>
      <c r="I633" s="11">
        <f t="shared" ref="I633:M633" si="632">if(min($C632:$G632)=C632,I632+1,I632)</f>
        <v>219</v>
      </c>
      <c r="J633" s="11">
        <f t="shared" si="632"/>
        <v>104</v>
      </c>
      <c r="K633" s="11">
        <f t="shared" si="632"/>
        <v>103</v>
      </c>
      <c r="L633" s="11">
        <f t="shared" si="632"/>
        <v>102</v>
      </c>
      <c r="M633" s="11">
        <f t="shared" si="632"/>
        <v>104</v>
      </c>
      <c r="O633" s="12">
        <f> 'Optimal Choice'!$B$7*'Optimal Choice'!$B$8^(I633+1)</f>
        <v>11654431.19</v>
      </c>
      <c r="P633" s="12">
        <f> 'Optimal Choice'!$B$12*'Optimal Choice'!$B$13^(J633+1)</f>
        <v>141717828</v>
      </c>
      <c r="Q633" s="12">
        <f> 'Optimal Choice'!$B$17*'Optimal Choice'!$B$18^(K633+1)</f>
        <v>596261866.8</v>
      </c>
      <c r="R633" s="12">
        <f> 'Optimal Choice'!$B$22*'Optimal Choice'!$B$23^(L633+1)</f>
        <v>2532756399</v>
      </c>
      <c r="S633" s="12">
        <f> 'Optimal Choice'!$B$27*'Optimal Choice'!$B$28^(M633+1)</f>
        <v>15261153791</v>
      </c>
    </row>
    <row r="634" ht="15.75" customHeight="1">
      <c r="A634" s="10">
        <f t="shared" si="2"/>
        <v>10318.80256</v>
      </c>
      <c r="B634" s="6">
        <f>(I634*'Optimal Choice'!$B$6+J634*'Optimal Choice'!$B$11+K634*'Optimal Choice'!$B$16+L634*'Optimal Choice'!$B$21+M634*'Optimal Choice'!$B$26)*'Optimal Choice'!$B$30</f>
        <v>273165.73</v>
      </c>
      <c r="C634" s="10">
        <f>(O634/$B634)+(O634/'Optimal Choice'!$B$6)</f>
        <v>6978743.976</v>
      </c>
      <c r="D634" s="10">
        <f>(P634/$B634)+(P634/'Optimal Choice'!$B$11)</f>
        <v>7086410.196</v>
      </c>
      <c r="E634" s="10">
        <f>(Q634/$B634)+(Q634/'Optimal Choice'!$B$16)</f>
        <v>7555138.686</v>
      </c>
      <c r="F634" s="10">
        <f>(R634/$B634)+(R634/'Optimal Choice'!$B$21)</f>
        <v>7044706.309</v>
      </c>
      <c r="G634" s="10">
        <f>(S634/$B634)+(S634/'Optimal Choice'!$B$26)</f>
        <v>7121216.724</v>
      </c>
      <c r="I634" s="11">
        <f t="shared" ref="I634:M634" si="633">if(min($C633:$G633)=C633,I633+1,I633)</f>
        <v>219</v>
      </c>
      <c r="J634" s="11">
        <f t="shared" si="633"/>
        <v>104</v>
      </c>
      <c r="K634" s="11">
        <f t="shared" si="633"/>
        <v>104</v>
      </c>
      <c r="L634" s="11">
        <f t="shared" si="633"/>
        <v>102</v>
      </c>
      <c r="M634" s="11">
        <f t="shared" si="633"/>
        <v>104</v>
      </c>
      <c r="O634" s="12">
        <f> 'Optimal Choice'!$B$7*'Optimal Choice'!$B$8^(I634+1)</f>
        <v>11654431.19</v>
      </c>
      <c r="P634" s="12">
        <f> 'Optimal Choice'!$B$12*'Optimal Choice'!$B$13^(J634+1)</f>
        <v>141717828</v>
      </c>
      <c r="Q634" s="12">
        <f> 'Optimal Choice'!$B$17*'Optimal Choice'!$B$18^(K634+1)</f>
        <v>679738528.1</v>
      </c>
      <c r="R634" s="12">
        <f> 'Optimal Choice'!$B$22*'Optimal Choice'!$B$23^(L634+1)</f>
        <v>2532756399</v>
      </c>
      <c r="S634" s="12">
        <f> 'Optimal Choice'!$B$27*'Optimal Choice'!$B$28^(M634+1)</f>
        <v>15261153791</v>
      </c>
    </row>
    <row r="635" ht="15.75" customHeight="1">
      <c r="A635" s="10">
        <f t="shared" si="2"/>
        <v>10319.51364</v>
      </c>
      <c r="B635" s="6">
        <f>(I635*'Optimal Choice'!$B$6+J635*'Optimal Choice'!$B$11+K635*'Optimal Choice'!$B$16+L635*'Optimal Choice'!$B$21+M635*'Optimal Choice'!$B$26)*'Optimal Choice'!$B$30</f>
        <v>273167.4</v>
      </c>
      <c r="C635" s="10">
        <f>(O635/$B635)+(O635/'Optimal Choice'!$B$6)</f>
        <v>7467256.054</v>
      </c>
      <c r="D635" s="10">
        <f>(P635/$B635)+(P635/'Optimal Choice'!$B$11)</f>
        <v>7086410.193</v>
      </c>
      <c r="E635" s="10">
        <f>(Q635/$B635)+(Q635/'Optimal Choice'!$B$16)</f>
        <v>7555138.671</v>
      </c>
      <c r="F635" s="10">
        <f>(R635/$B635)+(R635/'Optimal Choice'!$B$21)</f>
        <v>7044706.252</v>
      </c>
      <c r="G635" s="10">
        <f>(S635/$B635)+(S635/'Optimal Choice'!$B$26)</f>
        <v>7121216.383</v>
      </c>
      <c r="I635" s="11">
        <f t="shared" ref="I635:M635" si="634">if(min($C634:$G634)=C634,I634+1,I634)</f>
        <v>220</v>
      </c>
      <c r="J635" s="11">
        <f t="shared" si="634"/>
        <v>104</v>
      </c>
      <c r="K635" s="11">
        <f t="shared" si="634"/>
        <v>104</v>
      </c>
      <c r="L635" s="11">
        <f t="shared" si="634"/>
        <v>102</v>
      </c>
      <c r="M635" s="11">
        <f t="shared" si="634"/>
        <v>104</v>
      </c>
      <c r="O635" s="12">
        <f> 'Optimal Choice'!$B$7*'Optimal Choice'!$B$8^(I635+1)</f>
        <v>12470241.37</v>
      </c>
      <c r="P635" s="12">
        <f> 'Optimal Choice'!$B$12*'Optimal Choice'!$B$13^(J635+1)</f>
        <v>141717828</v>
      </c>
      <c r="Q635" s="12">
        <f> 'Optimal Choice'!$B$17*'Optimal Choice'!$B$18^(K635+1)</f>
        <v>679738528.1</v>
      </c>
      <c r="R635" s="12">
        <f> 'Optimal Choice'!$B$22*'Optimal Choice'!$B$23^(L635+1)</f>
        <v>2532756399</v>
      </c>
      <c r="S635" s="12">
        <f> 'Optimal Choice'!$B$27*'Optimal Choice'!$B$28^(M635+1)</f>
        <v>15261153791</v>
      </c>
    </row>
    <row r="636" ht="15.75" customHeight="1">
      <c r="A636" s="10">
        <f t="shared" si="2"/>
        <v>10474.04381</v>
      </c>
      <c r="B636" s="6">
        <f>(I636*'Optimal Choice'!$B$6+J636*'Optimal Choice'!$B$11+K636*'Optimal Choice'!$B$16+L636*'Optimal Choice'!$B$21+M636*'Optimal Choice'!$B$26)*'Optimal Choice'!$B$30</f>
        <v>273527.4</v>
      </c>
      <c r="C636" s="10">
        <f>(O636/$B636)+(O636/'Optimal Choice'!$B$6)</f>
        <v>7467255.994</v>
      </c>
      <c r="D636" s="10">
        <f>(P636/$B636)+(P636/'Optimal Choice'!$B$11)</f>
        <v>7086409.51</v>
      </c>
      <c r="E636" s="10">
        <f>(Q636/$B636)+(Q636/'Optimal Choice'!$B$16)</f>
        <v>7555135.396</v>
      </c>
      <c r="F636" s="10">
        <f>(R636/$B636)+(R636/'Optimal Choice'!$B$21)</f>
        <v>7960504.276</v>
      </c>
      <c r="G636" s="10">
        <f>(S636/$B636)+(S636/'Optimal Choice'!$B$26)</f>
        <v>7121142.853</v>
      </c>
      <c r="I636" s="11">
        <f t="shared" ref="I636:M636" si="635">if(min($C635:$G635)=C635,I635+1,I635)</f>
        <v>220</v>
      </c>
      <c r="J636" s="11">
        <f t="shared" si="635"/>
        <v>104</v>
      </c>
      <c r="K636" s="11">
        <f t="shared" si="635"/>
        <v>104</v>
      </c>
      <c r="L636" s="11">
        <f t="shared" si="635"/>
        <v>103</v>
      </c>
      <c r="M636" s="11">
        <f t="shared" si="635"/>
        <v>104</v>
      </c>
      <c r="O636" s="12">
        <f> 'Optimal Choice'!$B$7*'Optimal Choice'!$B$8^(I636+1)</f>
        <v>12470241.37</v>
      </c>
      <c r="P636" s="12">
        <f> 'Optimal Choice'!$B$12*'Optimal Choice'!$B$13^(J636+1)</f>
        <v>141717828</v>
      </c>
      <c r="Q636" s="12">
        <f> 'Optimal Choice'!$B$17*'Optimal Choice'!$B$18^(K636+1)</f>
        <v>679738528.1</v>
      </c>
      <c r="R636" s="12">
        <f> 'Optimal Choice'!$B$22*'Optimal Choice'!$B$23^(L636+1)</f>
        <v>2862014731</v>
      </c>
      <c r="S636" s="12">
        <f> 'Optimal Choice'!$B$27*'Optimal Choice'!$B$28^(M636+1)</f>
        <v>15261153791</v>
      </c>
    </row>
    <row r="637" ht="15.75" customHeight="1">
      <c r="A637" s="10">
        <f t="shared" si="2"/>
        <v>10482.67901</v>
      </c>
      <c r="B637" s="6">
        <f>(I637*'Optimal Choice'!$B$6+J637*'Optimal Choice'!$B$11+K637*'Optimal Choice'!$B$16+L637*'Optimal Choice'!$B$21+M637*'Optimal Choice'!$B$26)*'Optimal Choice'!$B$30</f>
        <v>273547.4</v>
      </c>
      <c r="C637" s="10">
        <f>(O637/$B637)+(O637/'Optimal Choice'!$B$6)</f>
        <v>7467255.991</v>
      </c>
      <c r="D637" s="10">
        <f>(P637/$B637)+(P637/'Optimal Choice'!$B$11)</f>
        <v>8149370.893</v>
      </c>
      <c r="E637" s="10">
        <f>(Q637/$B637)+(Q637/'Optimal Choice'!$B$16)</f>
        <v>7555135.214</v>
      </c>
      <c r="F637" s="10">
        <f>(R637/$B637)+(R637/'Optimal Choice'!$B$21)</f>
        <v>7960503.511</v>
      </c>
      <c r="G637" s="10">
        <f>(S637/$B637)+(S637/'Optimal Choice'!$B$26)</f>
        <v>7121138.774</v>
      </c>
      <c r="I637" s="11">
        <f t="shared" ref="I637:M637" si="636">if(min($C636:$G636)=C636,I636+1,I636)</f>
        <v>220</v>
      </c>
      <c r="J637" s="11">
        <f t="shared" si="636"/>
        <v>105</v>
      </c>
      <c r="K637" s="11">
        <f t="shared" si="636"/>
        <v>104</v>
      </c>
      <c r="L637" s="11">
        <f t="shared" si="636"/>
        <v>103</v>
      </c>
      <c r="M637" s="11">
        <f t="shared" si="636"/>
        <v>104</v>
      </c>
      <c r="O637" s="12">
        <f> 'Optimal Choice'!$B$7*'Optimal Choice'!$B$8^(I637+1)</f>
        <v>12470241.37</v>
      </c>
      <c r="P637" s="12">
        <f> 'Optimal Choice'!$B$12*'Optimal Choice'!$B$13^(J637+1)</f>
        <v>162975502.2</v>
      </c>
      <c r="Q637" s="12">
        <f> 'Optimal Choice'!$B$17*'Optimal Choice'!$B$18^(K637+1)</f>
        <v>679738528.1</v>
      </c>
      <c r="R637" s="12">
        <f> 'Optimal Choice'!$B$22*'Optimal Choice'!$B$23^(L637+1)</f>
        <v>2862014731</v>
      </c>
      <c r="S637" s="12">
        <f> 'Optimal Choice'!$B$27*'Optimal Choice'!$B$28^(M637+1)</f>
        <v>15261153791</v>
      </c>
    </row>
    <row r="638" ht="15.75" customHeight="1">
      <c r="A638" s="10">
        <f t="shared" si="2"/>
        <v>11412.50896</v>
      </c>
      <c r="B638" s="6">
        <f>(I638*'Optimal Choice'!$B$6+J638*'Optimal Choice'!$B$11+K638*'Optimal Choice'!$B$16+L638*'Optimal Choice'!$B$21+M638*'Optimal Choice'!$B$26)*'Optimal Choice'!$B$30</f>
        <v>275707.4</v>
      </c>
      <c r="C638" s="10">
        <f>(O638/$B638)+(O638/'Optimal Choice'!$B$6)</f>
        <v>7467255.633</v>
      </c>
      <c r="D638" s="10">
        <f>(P638/$B638)+(P638/'Optimal Choice'!$B$11)</f>
        <v>8149366.226</v>
      </c>
      <c r="E638" s="10">
        <f>(Q638/$B638)+(Q638/'Optimal Choice'!$B$16)</f>
        <v>7555115.747</v>
      </c>
      <c r="F638" s="10">
        <f>(R638/$B638)+(R638/'Optimal Choice'!$B$21)</f>
        <v>7960421.543</v>
      </c>
      <c r="G638" s="10">
        <f>(S638/$B638)+(S638/'Optimal Choice'!$B$26)</f>
        <v>7975185.898</v>
      </c>
      <c r="I638" s="11">
        <f t="shared" ref="I638:M638" si="637">if(min($C637:$G637)=C637,I637+1,I637)</f>
        <v>220</v>
      </c>
      <c r="J638" s="11">
        <f t="shared" si="637"/>
        <v>105</v>
      </c>
      <c r="K638" s="11">
        <f t="shared" si="637"/>
        <v>104</v>
      </c>
      <c r="L638" s="11">
        <f t="shared" si="637"/>
        <v>103</v>
      </c>
      <c r="M638" s="11">
        <f t="shared" si="637"/>
        <v>105</v>
      </c>
      <c r="O638" s="12">
        <f> 'Optimal Choice'!$B$7*'Optimal Choice'!$B$8^(I638+1)</f>
        <v>12470241.37</v>
      </c>
      <c r="P638" s="12">
        <f> 'Optimal Choice'!$B$12*'Optimal Choice'!$B$13^(J638+1)</f>
        <v>162975502.2</v>
      </c>
      <c r="Q638" s="12">
        <f> 'Optimal Choice'!$B$17*'Optimal Choice'!$B$18^(K638+1)</f>
        <v>679738528.1</v>
      </c>
      <c r="R638" s="12">
        <f> 'Optimal Choice'!$B$22*'Optimal Choice'!$B$23^(L638+1)</f>
        <v>2862014731</v>
      </c>
      <c r="S638" s="12">
        <f> 'Optimal Choice'!$B$27*'Optimal Choice'!$B$28^(M638+1)</f>
        <v>17092492246</v>
      </c>
    </row>
    <row r="639" ht="15.75" customHeight="1">
      <c r="A639" s="10">
        <f t="shared" si="2"/>
        <v>11413.26279</v>
      </c>
      <c r="B639" s="6">
        <f>(I639*'Optimal Choice'!$B$6+J639*'Optimal Choice'!$B$11+K639*'Optimal Choice'!$B$16+L639*'Optimal Choice'!$B$21+M639*'Optimal Choice'!$B$26)*'Optimal Choice'!$B$30</f>
        <v>275709.07</v>
      </c>
      <c r="C639" s="10">
        <f>(O639/$B639)+(O639/'Optimal Choice'!$B$6)</f>
        <v>7989963.528</v>
      </c>
      <c r="D639" s="10">
        <f>(P639/$B639)+(P639/'Optimal Choice'!$B$11)</f>
        <v>8149366.222</v>
      </c>
      <c r="E639" s="10">
        <f>(Q639/$B639)+(Q639/'Optimal Choice'!$B$16)</f>
        <v>7555115.732</v>
      </c>
      <c r="F639" s="10">
        <f>(R639/$B639)+(R639/'Optimal Choice'!$B$21)</f>
        <v>7960421.48</v>
      </c>
      <c r="G639" s="10">
        <f>(S639/$B639)+(S639/'Optimal Choice'!$B$26)</f>
        <v>7975185.523</v>
      </c>
      <c r="I639" s="11">
        <f t="shared" ref="I639:M639" si="638">if(min($C638:$G638)=C638,I638+1,I638)</f>
        <v>221</v>
      </c>
      <c r="J639" s="11">
        <f t="shared" si="638"/>
        <v>105</v>
      </c>
      <c r="K639" s="11">
        <f t="shared" si="638"/>
        <v>104</v>
      </c>
      <c r="L639" s="11">
        <f t="shared" si="638"/>
        <v>103</v>
      </c>
      <c r="M639" s="11">
        <f t="shared" si="638"/>
        <v>105</v>
      </c>
      <c r="O639" s="12">
        <f> 'Optimal Choice'!$B$7*'Optimal Choice'!$B$8^(I639+1)</f>
        <v>13343158.27</v>
      </c>
      <c r="P639" s="12">
        <f> 'Optimal Choice'!$B$12*'Optimal Choice'!$B$13^(J639+1)</f>
        <v>162975502.2</v>
      </c>
      <c r="Q639" s="12">
        <f> 'Optimal Choice'!$B$17*'Optimal Choice'!$B$18^(K639+1)</f>
        <v>679738528.1</v>
      </c>
      <c r="R639" s="12">
        <f> 'Optimal Choice'!$B$22*'Optimal Choice'!$B$23^(L639+1)</f>
        <v>2862014731</v>
      </c>
      <c r="S639" s="12">
        <f> 'Optimal Choice'!$B$27*'Optimal Choice'!$B$28^(M639+1)</f>
        <v>17092492246</v>
      </c>
    </row>
    <row r="640" ht="15.75" customHeight="1">
      <c r="A640" s="10">
        <f t="shared" si="2"/>
        <v>11454.35311</v>
      </c>
      <c r="B640" s="6">
        <f>(I640*'Optimal Choice'!$B$6+J640*'Optimal Choice'!$B$11+K640*'Optimal Choice'!$B$16+L640*'Optimal Choice'!$B$21+M640*'Optimal Choice'!$B$26)*'Optimal Choice'!$B$30</f>
        <v>275799.07</v>
      </c>
      <c r="C640" s="10">
        <f>(O640/$B640)+(O640/'Optimal Choice'!$B$6)</f>
        <v>7989963.512</v>
      </c>
      <c r="D640" s="10">
        <f>(P640/$B640)+(P640/'Optimal Choice'!$B$11)</f>
        <v>8149366.029</v>
      </c>
      <c r="E640" s="10">
        <f>(Q640/$B640)+(Q640/'Optimal Choice'!$B$16)</f>
        <v>8612831.017</v>
      </c>
      <c r="F640" s="10">
        <f>(R640/$B640)+(R640/'Optimal Choice'!$B$21)</f>
        <v>7960418.092</v>
      </c>
      <c r="G640" s="10">
        <f>(S640/$B640)+(S640/'Optimal Choice'!$B$26)</f>
        <v>7975165.292</v>
      </c>
      <c r="I640" s="11">
        <f t="shared" ref="I640:M640" si="639">if(min($C639:$G639)=C639,I639+1,I639)</f>
        <v>221</v>
      </c>
      <c r="J640" s="11">
        <f t="shared" si="639"/>
        <v>105</v>
      </c>
      <c r="K640" s="11">
        <f t="shared" si="639"/>
        <v>105</v>
      </c>
      <c r="L640" s="11">
        <f t="shared" si="639"/>
        <v>103</v>
      </c>
      <c r="M640" s="11">
        <f t="shared" si="639"/>
        <v>105</v>
      </c>
      <c r="O640" s="12">
        <f> 'Optimal Choice'!$B$7*'Optimal Choice'!$B$8^(I640+1)</f>
        <v>13343158.27</v>
      </c>
      <c r="P640" s="12">
        <f> 'Optimal Choice'!$B$12*'Optimal Choice'!$B$13^(J640+1)</f>
        <v>162975502.2</v>
      </c>
      <c r="Q640" s="12">
        <f> 'Optimal Choice'!$B$17*'Optimal Choice'!$B$18^(K640+1)</f>
        <v>774901922</v>
      </c>
      <c r="R640" s="12">
        <f> 'Optimal Choice'!$B$22*'Optimal Choice'!$B$23^(L640+1)</f>
        <v>2862014731</v>
      </c>
      <c r="S640" s="12">
        <f> 'Optimal Choice'!$B$27*'Optimal Choice'!$B$28^(M640+1)</f>
        <v>17092492246</v>
      </c>
    </row>
    <row r="641" ht="15.75" customHeight="1">
      <c r="A641" s="10">
        <f t="shared" si="2"/>
        <v>11627.306</v>
      </c>
      <c r="B641" s="6">
        <f>(I641*'Optimal Choice'!$B$6+J641*'Optimal Choice'!$B$11+K641*'Optimal Choice'!$B$16+L641*'Optimal Choice'!$B$21+M641*'Optimal Choice'!$B$26)*'Optimal Choice'!$B$30</f>
        <v>276159.07</v>
      </c>
      <c r="C641" s="10">
        <f>(O641/$B641)+(O641/'Optimal Choice'!$B$6)</f>
        <v>7989963.449</v>
      </c>
      <c r="D641" s="10">
        <f>(P641/$B641)+(P641/'Optimal Choice'!$B$11)</f>
        <v>8149365.259</v>
      </c>
      <c r="E641" s="10">
        <f>(Q641/$B641)+(Q641/'Optimal Choice'!$B$16)</f>
        <v>8612827.354</v>
      </c>
      <c r="F641" s="10">
        <f>(R641/$B641)+(R641/'Optimal Choice'!$B$21)</f>
        <v>8995257.158</v>
      </c>
      <c r="G641" s="10">
        <f>(S641/$B641)+(S641/'Optimal Choice'!$B$26)</f>
        <v>7975084.503</v>
      </c>
      <c r="I641" s="11">
        <f t="shared" ref="I641:M641" si="640">if(min($C640:$G640)=C640,I640+1,I640)</f>
        <v>221</v>
      </c>
      <c r="J641" s="11">
        <f t="shared" si="640"/>
        <v>105</v>
      </c>
      <c r="K641" s="11">
        <f t="shared" si="640"/>
        <v>105</v>
      </c>
      <c r="L641" s="11">
        <f t="shared" si="640"/>
        <v>104</v>
      </c>
      <c r="M641" s="11">
        <f t="shared" si="640"/>
        <v>105</v>
      </c>
      <c r="O641" s="12">
        <f> 'Optimal Choice'!$B$7*'Optimal Choice'!$B$8^(I641+1)</f>
        <v>13343158.27</v>
      </c>
      <c r="P641" s="12">
        <f> 'Optimal Choice'!$B$12*'Optimal Choice'!$B$13^(J641+1)</f>
        <v>162975502.2</v>
      </c>
      <c r="Q641" s="12">
        <f> 'Optimal Choice'!$B$17*'Optimal Choice'!$B$18^(K641+1)</f>
        <v>774901922</v>
      </c>
      <c r="R641" s="12">
        <f> 'Optimal Choice'!$B$22*'Optimal Choice'!$B$23^(L641+1)</f>
        <v>3234076646</v>
      </c>
      <c r="S641" s="12">
        <f> 'Optimal Choice'!$B$27*'Optimal Choice'!$B$28^(M641+1)</f>
        <v>17092492246</v>
      </c>
    </row>
    <row r="642" ht="15.75" customHeight="1">
      <c r="A642" s="10">
        <f t="shared" si="2"/>
        <v>12658.8668</v>
      </c>
      <c r="B642" s="6">
        <f>(I642*'Optimal Choice'!$B$6+J642*'Optimal Choice'!$B$11+K642*'Optimal Choice'!$B$16+L642*'Optimal Choice'!$B$21+M642*'Optimal Choice'!$B$26)*'Optimal Choice'!$B$30</f>
        <v>278319.07</v>
      </c>
      <c r="C642" s="10">
        <f>(O642/$B642)+(O642/'Optimal Choice'!$B$6)</f>
        <v>7989963.074</v>
      </c>
      <c r="D642" s="10">
        <f>(P642/$B642)+(P642/'Optimal Choice'!$B$11)</f>
        <v>8149360.679</v>
      </c>
      <c r="E642" s="10">
        <f>(Q642/$B642)+(Q642/'Optimal Choice'!$B$16)</f>
        <v>8612805.577</v>
      </c>
      <c r="F642" s="10">
        <f>(R642/$B642)+(R642/'Optimal Choice'!$B$21)</f>
        <v>8995166.271</v>
      </c>
      <c r="G642" s="10">
        <f>(S642/$B642)+(S642/'Optimal Choice'!$B$26)</f>
        <v>8931556.652</v>
      </c>
      <c r="I642" s="11">
        <f t="shared" ref="I642:M642" si="641">if(min($C641:$G641)=C641,I641+1,I641)</f>
        <v>221</v>
      </c>
      <c r="J642" s="11">
        <f t="shared" si="641"/>
        <v>105</v>
      </c>
      <c r="K642" s="11">
        <f t="shared" si="641"/>
        <v>105</v>
      </c>
      <c r="L642" s="11">
        <f t="shared" si="641"/>
        <v>104</v>
      </c>
      <c r="M642" s="11">
        <f t="shared" si="641"/>
        <v>106</v>
      </c>
      <c r="O642" s="12">
        <f> 'Optimal Choice'!$B$7*'Optimal Choice'!$B$8^(I642+1)</f>
        <v>13343158.27</v>
      </c>
      <c r="P642" s="12">
        <f> 'Optimal Choice'!$B$12*'Optimal Choice'!$B$13^(J642+1)</f>
        <v>162975502.2</v>
      </c>
      <c r="Q642" s="12">
        <f> 'Optimal Choice'!$B$17*'Optimal Choice'!$B$18^(K642+1)</f>
        <v>774901922</v>
      </c>
      <c r="R642" s="12">
        <f> 'Optimal Choice'!$B$22*'Optimal Choice'!$B$23^(L642+1)</f>
        <v>3234076646</v>
      </c>
      <c r="S642" s="12">
        <f> 'Optimal Choice'!$B$27*'Optimal Choice'!$B$28^(M642+1)</f>
        <v>19143591316</v>
      </c>
    </row>
    <row r="643" ht="15.75" customHeight="1">
      <c r="A643" s="10">
        <f t="shared" si="2"/>
        <v>12659.66583</v>
      </c>
      <c r="B643" s="6">
        <f>(I643*'Optimal Choice'!$B$6+J643*'Optimal Choice'!$B$11+K643*'Optimal Choice'!$B$16+L643*'Optimal Choice'!$B$21+M643*'Optimal Choice'!$B$26)*'Optimal Choice'!$B$30</f>
        <v>278320.74</v>
      </c>
      <c r="C643" s="10">
        <f>(O643/$B643)+(O643/'Optimal Choice'!$B$6)</f>
        <v>8549260.489</v>
      </c>
      <c r="D643" s="10">
        <f>(P643/$B643)+(P643/'Optimal Choice'!$B$11)</f>
        <v>8149360.675</v>
      </c>
      <c r="E643" s="10">
        <f>(Q643/$B643)+(Q643/'Optimal Choice'!$B$16)</f>
        <v>8612805.561</v>
      </c>
      <c r="F643" s="10">
        <f>(R643/$B643)+(R643/'Optimal Choice'!$B$21)</f>
        <v>8995166.201</v>
      </c>
      <c r="G643" s="10">
        <f>(S643/$B643)+(S643/'Optimal Choice'!$B$26)</f>
        <v>8931556.24</v>
      </c>
      <c r="I643" s="11">
        <f t="shared" ref="I643:M643" si="642">if(min($C642:$G642)=C642,I642+1,I642)</f>
        <v>222</v>
      </c>
      <c r="J643" s="11">
        <f t="shared" si="642"/>
        <v>105</v>
      </c>
      <c r="K643" s="11">
        <f t="shared" si="642"/>
        <v>105</v>
      </c>
      <c r="L643" s="11">
        <f t="shared" si="642"/>
        <v>104</v>
      </c>
      <c r="M643" s="11">
        <f t="shared" si="642"/>
        <v>106</v>
      </c>
      <c r="O643" s="12">
        <f> 'Optimal Choice'!$B$7*'Optimal Choice'!$B$8^(I643+1)</f>
        <v>14277179.35</v>
      </c>
      <c r="P643" s="12">
        <f> 'Optimal Choice'!$B$12*'Optimal Choice'!$B$13^(J643+1)</f>
        <v>162975502.2</v>
      </c>
      <c r="Q643" s="12">
        <f> 'Optimal Choice'!$B$17*'Optimal Choice'!$B$18^(K643+1)</f>
        <v>774901922</v>
      </c>
      <c r="R643" s="12">
        <f> 'Optimal Choice'!$B$22*'Optimal Choice'!$B$23^(L643+1)</f>
        <v>3234076646</v>
      </c>
      <c r="S643" s="12">
        <f> 'Optimal Choice'!$B$27*'Optimal Choice'!$B$28^(M643+1)</f>
        <v>19143591316</v>
      </c>
    </row>
    <row r="644" ht="15.75" customHeight="1">
      <c r="A644" s="10">
        <f t="shared" si="2"/>
        <v>12669.42529</v>
      </c>
      <c r="B644" s="6">
        <f>(I644*'Optimal Choice'!$B$6+J644*'Optimal Choice'!$B$11+K644*'Optimal Choice'!$B$16+L644*'Optimal Choice'!$B$21+M644*'Optimal Choice'!$B$26)*'Optimal Choice'!$B$30</f>
        <v>278340.74</v>
      </c>
      <c r="C644" s="10">
        <f>(O644/$B644)+(O644/'Optimal Choice'!$B$6)</f>
        <v>8549260.485</v>
      </c>
      <c r="D644" s="10">
        <f>(P644/$B644)+(P644/'Optimal Choice'!$B$11)</f>
        <v>9371764.728</v>
      </c>
      <c r="E644" s="10">
        <f>(Q644/$B644)+(Q644/'Optimal Choice'!$B$16)</f>
        <v>8612805.361</v>
      </c>
      <c r="F644" s="10">
        <f>(R644/$B644)+(R644/'Optimal Choice'!$B$21)</f>
        <v>8995165.366</v>
      </c>
      <c r="G644" s="10">
        <f>(S644/$B644)+(S644/'Optimal Choice'!$B$26)</f>
        <v>8931551.297</v>
      </c>
      <c r="I644" s="11">
        <f t="shared" ref="I644:M644" si="643">if(min($C643:$G643)=C643,I643+1,I643)</f>
        <v>222</v>
      </c>
      <c r="J644" s="11">
        <f t="shared" si="643"/>
        <v>106</v>
      </c>
      <c r="K644" s="11">
        <f t="shared" si="643"/>
        <v>105</v>
      </c>
      <c r="L644" s="11">
        <f t="shared" si="643"/>
        <v>104</v>
      </c>
      <c r="M644" s="11">
        <f t="shared" si="643"/>
        <v>106</v>
      </c>
      <c r="O644" s="12">
        <f> 'Optimal Choice'!$B$7*'Optimal Choice'!$B$8^(I644+1)</f>
        <v>14277179.35</v>
      </c>
      <c r="P644" s="12">
        <f> 'Optimal Choice'!$B$12*'Optimal Choice'!$B$13^(J644+1)</f>
        <v>187421827.5</v>
      </c>
      <c r="Q644" s="12">
        <f> 'Optimal Choice'!$B$17*'Optimal Choice'!$B$18^(K644+1)</f>
        <v>774901922</v>
      </c>
      <c r="R644" s="12">
        <f> 'Optimal Choice'!$B$22*'Optimal Choice'!$B$23^(L644+1)</f>
        <v>3234076646</v>
      </c>
      <c r="S644" s="12">
        <f> 'Optimal Choice'!$B$27*'Optimal Choice'!$B$28^(M644+1)</f>
        <v>19143591316</v>
      </c>
    </row>
    <row r="645" ht="15.75" customHeight="1">
      <c r="A645" s="10">
        <f t="shared" si="2"/>
        <v>12670.28018</v>
      </c>
      <c r="B645" s="6">
        <f>(I645*'Optimal Choice'!$B$6+J645*'Optimal Choice'!$B$11+K645*'Optimal Choice'!$B$16+L645*'Optimal Choice'!$B$21+M645*'Optimal Choice'!$B$26)*'Optimal Choice'!$B$30</f>
        <v>278342.41</v>
      </c>
      <c r="C645" s="10">
        <f>(O645/$B645)+(O645/'Optimal Choice'!$B$6)</f>
        <v>9147708.718</v>
      </c>
      <c r="D645" s="10">
        <f>(P645/$B645)+(P645/'Optimal Choice'!$B$11)</f>
        <v>9371764.724</v>
      </c>
      <c r="E645" s="10">
        <f>(Q645/$B645)+(Q645/'Optimal Choice'!$B$16)</f>
        <v>8612805.344</v>
      </c>
      <c r="F645" s="10">
        <f>(R645/$B645)+(R645/'Optimal Choice'!$B$21)</f>
        <v>8995165.297</v>
      </c>
      <c r="G645" s="10">
        <f>(S645/$B645)+(S645/'Optimal Choice'!$B$26)</f>
        <v>8931550.885</v>
      </c>
      <c r="I645" s="11">
        <f t="shared" ref="I645:M645" si="644">if(min($C644:$G644)=C644,I644+1,I644)</f>
        <v>223</v>
      </c>
      <c r="J645" s="11">
        <f t="shared" si="644"/>
        <v>106</v>
      </c>
      <c r="K645" s="11">
        <f t="shared" si="644"/>
        <v>105</v>
      </c>
      <c r="L645" s="11">
        <f t="shared" si="644"/>
        <v>104</v>
      </c>
      <c r="M645" s="11">
        <f t="shared" si="644"/>
        <v>106</v>
      </c>
      <c r="O645" s="12">
        <f> 'Optimal Choice'!$B$7*'Optimal Choice'!$B$8^(I645+1)</f>
        <v>15276581.9</v>
      </c>
      <c r="P645" s="12">
        <f> 'Optimal Choice'!$B$12*'Optimal Choice'!$B$13^(J645+1)</f>
        <v>187421827.5</v>
      </c>
      <c r="Q645" s="12">
        <f> 'Optimal Choice'!$B$17*'Optimal Choice'!$B$18^(K645+1)</f>
        <v>774901922</v>
      </c>
      <c r="R645" s="12">
        <f> 'Optimal Choice'!$B$22*'Optimal Choice'!$B$23^(L645+1)</f>
        <v>3234076646</v>
      </c>
      <c r="S645" s="12">
        <f> 'Optimal Choice'!$B$27*'Optimal Choice'!$B$28^(M645+1)</f>
        <v>19143591316</v>
      </c>
    </row>
    <row r="646" ht="15.75" customHeight="1">
      <c r="A646" s="10">
        <f t="shared" si="2"/>
        <v>12716.67998</v>
      </c>
      <c r="B646" s="6">
        <f>(I646*'Optimal Choice'!$B$6+J646*'Optimal Choice'!$B$11+K646*'Optimal Choice'!$B$16+L646*'Optimal Choice'!$B$21+M646*'Optimal Choice'!$B$26)*'Optimal Choice'!$B$30</f>
        <v>278432.41</v>
      </c>
      <c r="C646" s="10">
        <f>(O646/$B646)+(O646/'Optimal Choice'!$B$6)</f>
        <v>9147708.701</v>
      </c>
      <c r="D646" s="10">
        <f>(P646/$B646)+(P646/'Optimal Choice'!$B$11)</f>
        <v>9371764.507</v>
      </c>
      <c r="E646" s="10">
        <f>(Q646/$B646)+(Q646/'Optimal Choice'!$B$16)</f>
        <v>9818597.066</v>
      </c>
      <c r="F646" s="10">
        <f>(R646/$B646)+(R646/'Optimal Choice'!$B$21)</f>
        <v>8995161.541</v>
      </c>
      <c r="G646" s="10">
        <f>(S646/$B646)+(S646/'Optimal Choice'!$B$26)</f>
        <v>8931528.653</v>
      </c>
      <c r="I646" s="11">
        <f t="shared" ref="I646:M646" si="645">if(min($C645:$G645)=C645,I645+1,I645)</f>
        <v>223</v>
      </c>
      <c r="J646" s="11">
        <f t="shared" si="645"/>
        <v>106</v>
      </c>
      <c r="K646" s="11">
        <f t="shared" si="645"/>
        <v>106</v>
      </c>
      <c r="L646" s="11">
        <f t="shared" si="645"/>
        <v>104</v>
      </c>
      <c r="M646" s="11">
        <f t="shared" si="645"/>
        <v>106</v>
      </c>
      <c r="O646" s="12">
        <f> 'Optimal Choice'!$B$7*'Optimal Choice'!$B$8^(I646+1)</f>
        <v>15276581.9</v>
      </c>
      <c r="P646" s="12">
        <f> 'Optimal Choice'!$B$12*'Optimal Choice'!$B$13^(J646+1)</f>
        <v>187421827.5</v>
      </c>
      <c r="Q646" s="12">
        <f> 'Optimal Choice'!$B$17*'Optimal Choice'!$B$18^(K646+1)</f>
        <v>883388191.1</v>
      </c>
      <c r="R646" s="12">
        <f> 'Optimal Choice'!$B$22*'Optimal Choice'!$B$23^(L646+1)</f>
        <v>3234076646</v>
      </c>
      <c r="S646" s="12">
        <f> 'Optimal Choice'!$B$27*'Optimal Choice'!$B$28^(M646+1)</f>
        <v>19143591316</v>
      </c>
    </row>
    <row r="647" ht="15.75" customHeight="1">
      <c r="A647" s="10">
        <f t="shared" si="2"/>
        <v>13862.59491</v>
      </c>
      <c r="B647" s="6">
        <f>(I647*'Optimal Choice'!$B$6+J647*'Optimal Choice'!$B$11+K647*'Optimal Choice'!$B$16+L647*'Optimal Choice'!$B$21+M647*'Optimal Choice'!$B$26)*'Optimal Choice'!$B$30</f>
        <v>280592.41</v>
      </c>
      <c r="C647" s="10">
        <f>(O647/$B647)+(O647/'Optimal Choice'!$B$6)</f>
        <v>9147708.278</v>
      </c>
      <c r="D647" s="10">
        <f>(P647/$B647)+(P647/'Optimal Choice'!$B$11)</f>
        <v>9371759.325</v>
      </c>
      <c r="E647" s="10">
        <f>(Q647/$B647)+(Q647/'Optimal Choice'!$B$16)</f>
        <v>9818572.643</v>
      </c>
      <c r="F647" s="10">
        <f>(R647/$B647)+(R647/'Optimal Choice'!$B$21)</f>
        <v>8995072.126</v>
      </c>
      <c r="G647" s="10">
        <f>(S647/$B647)+(S647/'Optimal Choice'!$B$26)</f>
        <v>10002719.3</v>
      </c>
      <c r="I647" s="11">
        <f t="shared" ref="I647:M647" si="646">if(min($C646:$G646)=C646,I646+1,I646)</f>
        <v>223</v>
      </c>
      <c r="J647" s="11">
        <f t="shared" si="646"/>
        <v>106</v>
      </c>
      <c r="K647" s="11">
        <f t="shared" si="646"/>
        <v>106</v>
      </c>
      <c r="L647" s="11">
        <f t="shared" si="646"/>
        <v>104</v>
      </c>
      <c r="M647" s="11">
        <f t="shared" si="646"/>
        <v>107</v>
      </c>
      <c r="O647" s="12">
        <f> 'Optimal Choice'!$B$7*'Optimal Choice'!$B$8^(I647+1)</f>
        <v>15276581.9</v>
      </c>
      <c r="P647" s="12">
        <f> 'Optimal Choice'!$B$12*'Optimal Choice'!$B$13^(J647+1)</f>
        <v>187421827.5</v>
      </c>
      <c r="Q647" s="12">
        <f> 'Optimal Choice'!$B$17*'Optimal Choice'!$B$18^(K647+1)</f>
        <v>883388191.1</v>
      </c>
      <c r="R647" s="12">
        <f> 'Optimal Choice'!$B$22*'Optimal Choice'!$B$23^(L647+1)</f>
        <v>3234076646</v>
      </c>
      <c r="S647" s="12">
        <f> 'Optimal Choice'!$B$27*'Optimal Choice'!$B$28^(M647+1)</f>
        <v>21440822274</v>
      </c>
    </row>
    <row r="648" ht="15.75" customHeight="1">
      <c r="A648" s="10">
        <f t="shared" si="2"/>
        <v>14054.69304</v>
      </c>
      <c r="B648" s="6">
        <f>(I648*'Optimal Choice'!$B$6+J648*'Optimal Choice'!$B$11+K648*'Optimal Choice'!$B$16+L648*'Optimal Choice'!$B$21+M648*'Optimal Choice'!$B$26)*'Optimal Choice'!$B$30</f>
        <v>280952.41</v>
      </c>
      <c r="C648" s="10">
        <f>(O648/$B648)+(O648/'Optimal Choice'!$B$6)</f>
        <v>9147708.209</v>
      </c>
      <c r="D648" s="10">
        <f>(P648/$B648)+(P648/'Optimal Choice'!$B$11)</f>
        <v>9371758.469</v>
      </c>
      <c r="E648" s="10">
        <f>(Q648/$B648)+(Q648/'Optimal Choice'!$B$16)</f>
        <v>9818568.608</v>
      </c>
      <c r="F648" s="10">
        <f>(R648/$B648)+(R648/'Optimal Choice'!$B$21)</f>
        <v>10164414.81</v>
      </c>
      <c r="G648" s="10">
        <f>(S648/$B648)+(S648/'Optimal Choice'!$B$26)</f>
        <v>10002621.39</v>
      </c>
      <c r="I648" s="11">
        <f t="shared" ref="I648:M648" si="647">if(min($C647:$G647)=C647,I647+1,I647)</f>
        <v>223</v>
      </c>
      <c r="J648" s="11">
        <f t="shared" si="647"/>
        <v>106</v>
      </c>
      <c r="K648" s="11">
        <f t="shared" si="647"/>
        <v>106</v>
      </c>
      <c r="L648" s="11">
        <f t="shared" si="647"/>
        <v>105</v>
      </c>
      <c r="M648" s="11">
        <f t="shared" si="647"/>
        <v>107</v>
      </c>
      <c r="O648" s="12">
        <f> 'Optimal Choice'!$B$7*'Optimal Choice'!$B$8^(I648+1)</f>
        <v>15276581.9</v>
      </c>
      <c r="P648" s="12">
        <f> 'Optimal Choice'!$B$12*'Optimal Choice'!$B$13^(J648+1)</f>
        <v>187421827.5</v>
      </c>
      <c r="Q648" s="12">
        <f> 'Optimal Choice'!$B$17*'Optimal Choice'!$B$18^(K648+1)</f>
        <v>883388191.1</v>
      </c>
      <c r="R648" s="12">
        <f> 'Optimal Choice'!$B$22*'Optimal Choice'!$B$23^(L648+1)</f>
        <v>3654506610</v>
      </c>
      <c r="S648" s="12">
        <f> 'Optimal Choice'!$B$27*'Optimal Choice'!$B$28^(M648+1)</f>
        <v>21440822274</v>
      </c>
    </row>
    <row r="649" ht="15.75" customHeight="1">
      <c r="A649" s="10">
        <f t="shared" si="2"/>
        <v>14055.59928</v>
      </c>
      <c r="B649" s="6">
        <f>(I649*'Optimal Choice'!$B$6+J649*'Optimal Choice'!$B$11+K649*'Optimal Choice'!$B$16+L649*'Optimal Choice'!$B$21+M649*'Optimal Choice'!$B$26)*'Optimal Choice'!$B$30</f>
        <v>280954.08</v>
      </c>
      <c r="C649" s="10">
        <f>(O649/$B649)+(O649/'Optimal Choice'!$B$6)</f>
        <v>9788047.783</v>
      </c>
      <c r="D649" s="10">
        <f>(P649/$B649)+(P649/'Optimal Choice'!$B$11)</f>
        <v>9371758.465</v>
      </c>
      <c r="E649" s="10">
        <f>(Q649/$B649)+(Q649/'Optimal Choice'!$B$16)</f>
        <v>9818568.59</v>
      </c>
      <c r="F649" s="10">
        <f>(R649/$B649)+(R649/'Optimal Choice'!$B$21)</f>
        <v>10164414.74</v>
      </c>
      <c r="G649" s="10">
        <f>(S649/$B649)+(S649/'Optimal Choice'!$B$26)</f>
        <v>10002620.94</v>
      </c>
      <c r="I649" s="11">
        <f t="shared" ref="I649:M649" si="648">if(min($C648:$G648)=C648,I648+1,I648)</f>
        <v>224</v>
      </c>
      <c r="J649" s="11">
        <f t="shared" si="648"/>
        <v>106</v>
      </c>
      <c r="K649" s="11">
        <f t="shared" si="648"/>
        <v>106</v>
      </c>
      <c r="L649" s="11">
        <f t="shared" si="648"/>
        <v>105</v>
      </c>
      <c r="M649" s="11">
        <f t="shared" si="648"/>
        <v>107</v>
      </c>
      <c r="O649" s="12">
        <f> 'Optimal Choice'!$B$7*'Optimal Choice'!$B$8^(I649+1)</f>
        <v>16345942.64</v>
      </c>
      <c r="P649" s="12">
        <f> 'Optimal Choice'!$B$12*'Optimal Choice'!$B$13^(J649+1)</f>
        <v>187421827.5</v>
      </c>
      <c r="Q649" s="12">
        <f> 'Optimal Choice'!$B$17*'Optimal Choice'!$B$18^(K649+1)</f>
        <v>883388191.1</v>
      </c>
      <c r="R649" s="12">
        <f> 'Optimal Choice'!$B$22*'Optimal Choice'!$B$23^(L649+1)</f>
        <v>3654506610</v>
      </c>
      <c r="S649" s="12">
        <f> 'Optimal Choice'!$B$27*'Optimal Choice'!$B$28^(M649+1)</f>
        <v>21440822274</v>
      </c>
    </row>
    <row r="650" ht="15.75" customHeight="1">
      <c r="A650" s="10">
        <f t="shared" si="2"/>
        <v>14066.71746</v>
      </c>
      <c r="B650" s="6">
        <f>(I650*'Optimal Choice'!$B$6+J650*'Optimal Choice'!$B$11+K650*'Optimal Choice'!$B$16+L650*'Optimal Choice'!$B$21+M650*'Optimal Choice'!$B$26)*'Optimal Choice'!$B$30</f>
        <v>280974.08</v>
      </c>
      <c r="C650" s="10">
        <f>(O650/$B650)+(O650/'Optimal Choice'!$B$6)</f>
        <v>9788047.779</v>
      </c>
      <c r="D650" s="10">
        <f>(P650/$B650)+(P650/'Optimal Choice'!$B$11)</f>
        <v>10777522.18</v>
      </c>
      <c r="E650" s="10">
        <f>(Q650/$B650)+(Q650/'Optimal Choice'!$B$16)</f>
        <v>9818568.366</v>
      </c>
      <c r="F650" s="10">
        <f>(R650/$B650)+(R650/'Optimal Choice'!$B$21)</f>
        <v>10164413.81</v>
      </c>
      <c r="G650" s="10">
        <f>(S650/$B650)+(S650/'Optimal Choice'!$B$26)</f>
        <v>10002615.51</v>
      </c>
      <c r="I650" s="11">
        <f t="shared" ref="I650:M650" si="649">if(min($C649:$G649)=C649,I649+1,I649)</f>
        <v>224</v>
      </c>
      <c r="J650" s="11">
        <f t="shared" si="649"/>
        <v>107</v>
      </c>
      <c r="K650" s="11">
        <f t="shared" si="649"/>
        <v>106</v>
      </c>
      <c r="L650" s="11">
        <f t="shared" si="649"/>
        <v>105</v>
      </c>
      <c r="M650" s="11">
        <f t="shared" si="649"/>
        <v>107</v>
      </c>
      <c r="O650" s="12">
        <f> 'Optimal Choice'!$B$7*'Optimal Choice'!$B$8^(I650+1)</f>
        <v>16345942.64</v>
      </c>
      <c r="P650" s="12">
        <f> 'Optimal Choice'!$B$12*'Optimal Choice'!$B$13^(J650+1)</f>
        <v>215535101.6</v>
      </c>
      <c r="Q650" s="12">
        <f> 'Optimal Choice'!$B$17*'Optimal Choice'!$B$18^(K650+1)</f>
        <v>883388191.1</v>
      </c>
      <c r="R650" s="12">
        <f> 'Optimal Choice'!$B$22*'Optimal Choice'!$B$23^(L650+1)</f>
        <v>3654506610</v>
      </c>
      <c r="S650" s="12">
        <f> 'Optimal Choice'!$B$27*'Optimal Choice'!$B$28^(M650+1)</f>
        <v>21440822274</v>
      </c>
    </row>
    <row r="651" ht="15.75" customHeight="1">
      <c r="A651" s="10">
        <f t="shared" si="2"/>
        <v>14067.68706</v>
      </c>
      <c r="B651" s="6">
        <f>(I651*'Optimal Choice'!$B$6+J651*'Optimal Choice'!$B$11+K651*'Optimal Choice'!$B$16+L651*'Optimal Choice'!$B$21+M651*'Optimal Choice'!$B$26)*'Optimal Choice'!$B$30</f>
        <v>280975.75</v>
      </c>
      <c r="C651" s="10">
        <f>(O651/$B651)+(O651/'Optimal Choice'!$B$6)</f>
        <v>10473211.12</v>
      </c>
      <c r="D651" s="10">
        <f>(P651/$B651)+(P651/'Optimal Choice'!$B$11)</f>
        <v>10777522.18</v>
      </c>
      <c r="E651" s="10">
        <f>(Q651/$B651)+(Q651/'Optimal Choice'!$B$16)</f>
        <v>9818568.347</v>
      </c>
      <c r="F651" s="10">
        <f>(R651/$B651)+(R651/'Optimal Choice'!$B$21)</f>
        <v>10164413.73</v>
      </c>
      <c r="G651" s="10">
        <f>(S651/$B651)+(S651/'Optimal Choice'!$B$26)</f>
        <v>10002615.05</v>
      </c>
      <c r="I651" s="11">
        <f t="shared" ref="I651:M651" si="650">if(min($C650:$G650)=C650,I650+1,I650)</f>
        <v>225</v>
      </c>
      <c r="J651" s="11">
        <f t="shared" si="650"/>
        <v>107</v>
      </c>
      <c r="K651" s="11">
        <f t="shared" si="650"/>
        <v>106</v>
      </c>
      <c r="L651" s="11">
        <f t="shared" si="650"/>
        <v>105</v>
      </c>
      <c r="M651" s="11">
        <f t="shared" si="650"/>
        <v>107</v>
      </c>
      <c r="O651" s="12">
        <f> 'Optimal Choice'!$B$7*'Optimal Choice'!$B$8^(I651+1)</f>
        <v>17490158.62</v>
      </c>
      <c r="P651" s="12">
        <f> 'Optimal Choice'!$B$12*'Optimal Choice'!$B$13^(J651+1)</f>
        <v>215535101.6</v>
      </c>
      <c r="Q651" s="12">
        <f> 'Optimal Choice'!$B$17*'Optimal Choice'!$B$18^(K651+1)</f>
        <v>883388191.1</v>
      </c>
      <c r="R651" s="12">
        <f> 'Optimal Choice'!$B$22*'Optimal Choice'!$B$23^(L651+1)</f>
        <v>3654506610</v>
      </c>
      <c r="S651" s="12">
        <f> 'Optimal Choice'!$B$27*'Optimal Choice'!$B$28^(M651+1)</f>
        <v>21440822274</v>
      </c>
    </row>
    <row r="652" ht="15.75" customHeight="1">
      <c r="A652" s="10">
        <f t="shared" si="2"/>
        <v>14120.08708</v>
      </c>
      <c r="B652" s="6">
        <f>(I652*'Optimal Choice'!$B$6+J652*'Optimal Choice'!$B$11+K652*'Optimal Choice'!$B$16+L652*'Optimal Choice'!$B$21+M652*'Optimal Choice'!$B$26)*'Optimal Choice'!$B$30</f>
        <v>281065.75</v>
      </c>
      <c r="C652" s="10">
        <f>(O652/$B652)+(O652/'Optimal Choice'!$B$6)</f>
        <v>10473211.1</v>
      </c>
      <c r="D652" s="10">
        <f>(P652/$B652)+(P652/'Optimal Choice'!$B$11)</f>
        <v>10777521.93</v>
      </c>
      <c r="E652" s="10">
        <f>(Q652/$B652)+(Q652/'Optimal Choice'!$B$16)</f>
        <v>11193166.77</v>
      </c>
      <c r="F652" s="10">
        <f>(R652/$B652)+(R652/'Optimal Choice'!$B$21)</f>
        <v>10164409.57</v>
      </c>
      <c r="G652" s="10">
        <f>(S652/$B652)+(S652/'Optimal Choice'!$B$26)</f>
        <v>10002590.62</v>
      </c>
      <c r="I652" s="11">
        <f t="shared" ref="I652:M652" si="651">if(min($C651:$G651)=C651,I651+1,I651)</f>
        <v>225</v>
      </c>
      <c r="J652" s="11">
        <f t="shared" si="651"/>
        <v>107</v>
      </c>
      <c r="K652" s="11">
        <f t="shared" si="651"/>
        <v>107</v>
      </c>
      <c r="L652" s="11">
        <f t="shared" si="651"/>
        <v>105</v>
      </c>
      <c r="M652" s="11">
        <f t="shared" si="651"/>
        <v>107</v>
      </c>
      <c r="O652" s="12">
        <f> 'Optimal Choice'!$B$7*'Optimal Choice'!$B$8^(I652+1)</f>
        <v>17490158.62</v>
      </c>
      <c r="P652" s="12">
        <f> 'Optimal Choice'!$B$12*'Optimal Choice'!$B$13^(J652+1)</f>
        <v>215535101.6</v>
      </c>
      <c r="Q652" s="12">
        <f> 'Optimal Choice'!$B$17*'Optimal Choice'!$B$18^(K652+1)</f>
        <v>1007062538</v>
      </c>
      <c r="R652" s="12">
        <f> 'Optimal Choice'!$B$22*'Optimal Choice'!$B$23^(L652+1)</f>
        <v>3654506610</v>
      </c>
      <c r="S652" s="12">
        <f> 'Optimal Choice'!$B$27*'Optimal Choice'!$B$28^(M652+1)</f>
        <v>21440822274</v>
      </c>
    </row>
    <row r="653" ht="15.75" customHeight="1">
      <c r="A653" s="10">
        <f t="shared" si="2"/>
        <v>15391.48724</v>
      </c>
      <c r="B653" s="6">
        <f>(I653*'Optimal Choice'!$B$6+J653*'Optimal Choice'!$B$11+K653*'Optimal Choice'!$B$16+L653*'Optimal Choice'!$B$21+M653*'Optimal Choice'!$B$26)*'Optimal Choice'!$B$30</f>
        <v>283225.75</v>
      </c>
      <c r="C653" s="10">
        <f>(O653/$B653)+(O653/'Optimal Choice'!$B$6)</f>
        <v>10473210.63</v>
      </c>
      <c r="D653" s="10">
        <f>(P653/$B653)+(P653/'Optimal Choice'!$B$11)</f>
        <v>10777516.08</v>
      </c>
      <c r="E653" s="10">
        <f>(Q653/$B653)+(Q653/'Optimal Choice'!$B$16)</f>
        <v>11193139.44</v>
      </c>
      <c r="F653" s="10">
        <f>(R653/$B653)+(R653/'Optimal Choice'!$B$21)</f>
        <v>10164310.41</v>
      </c>
      <c r="G653" s="10">
        <f>(S653/$B653)+(S653/'Optimal Choice'!$B$26)</f>
        <v>11202249.9</v>
      </c>
      <c r="I653" s="11">
        <f t="shared" ref="I653:M653" si="652">if(min($C652:$G652)=C652,I652+1,I652)</f>
        <v>225</v>
      </c>
      <c r="J653" s="11">
        <f t="shared" si="652"/>
        <v>107</v>
      </c>
      <c r="K653" s="11">
        <f t="shared" si="652"/>
        <v>107</v>
      </c>
      <c r="L653" s="11">
        <f t="shared" si="652"/>
        <v>105</v>
      </c>
      <c r="M653" s="11">
        <f t="shared" si="652"/>
        <v>108</v>
      </c>
      <c r="O653" s="12">
        <f> 'Optimal Choice'!$B$7*'Optimal Choice'!$B$8^(I653+1)</f>
        <v>17490158.62</v>
      </c>
      <c r="P653" s="12">
        <f> 'Optimal Choice'!$B$12*'Optimal Choice'!$B$13^(J653+1)</f>
        <v>215535101.6</v>
      </c>
      <c r="Q653" s="12">
        <f> 'Optimal Choice'!$B$17*'Optimal Choice'!$B$18^(K653+1)</f>
        <v>1007062538</v>
      </c>
      <c r="R653" s="12">
        <f> 'Optimal Choice'!$B$22*'Optimal Choice'!$B$23^(L653+1)</f>
        <v>3654506610</v>
      </c>
      <c r="S653" s="12">
        <f> 'Optimal Choice'!$B$27*'Optimal Choice'!$B$28^(M653+1)</f>
        <v>24013720947</v>
      </c>
    </row>
    <row r="654" ht="15.75" customHeight="1">
      <c r="A654" s="10">
        <f t="shared" si="2"/>
        <v>15606.53987</v>
      </c>
      <c r="B654" s="6">
        <f>(I654*'Optimal Choice'!$B$6+J654*'Optimal Choice'!$B$11+K654*'Optimal Choice'!$B$16+L654*'Optimal Choice'!$B$21+M654*'Optimal Choice'!$B$26)*'Optimal Choice'!$B$30</f>
        <v>283585.75</v>
      </c>
      <c r="C654" s="10">
        <f>(O654/$B654)+(O654/'Optimal Choice'!$B$6)</f>
        <v>10473210.55</v>
      </c>
      <c r="D654" s="10">
        <f>(P654/$B654)+(P654/'Optimal Choice'!$B$11)</f>
        <v>10777515.12</v>
      </c>
      <c r="E654" s="10">
        <f>(Q654/$B654)+(Q654/'Optimal Choice'!$B$16)</f>
        <v>11193134.93</v>
      </c>
      <c r="F654" s="10">
        <f>(R654/$B654)+(R654/'Optimal Choice'!$B$21)</f>
        <v>11485652.25</v>
      </c>
      <c r="G654" s="10">
        <f>(S654/$B654)+(S654/'Optimal Choice'!$B$26)</f>
        <v>11202142.27</v>
      </c>
      <c r="I654" s="11">
        <f t="shared" ref="I654:M654" si="653">if(min($C653:$G653)=C653,I653+1,I653)</f>
        <v>225</v>
      </c>
      <c r="J654" s="11">
        <f t="shared" si="653"/>
        <v>107</v>
      </c>
      <c r="K654" s="11">
        <f t="shared" si="653"/>
        <v>107</v>
      </c>
      <c r="L654" s="11">
        <f t="shared" si="653"/>
        <v>106</v>
      </c>
      <c r="M654" s="11">
        <f t="shared" si="653"/>
        <v>108</v>
      </c>
      <c r="O654" s="12">
        <f> 'Optimal Choice'!$B$7*'Optimal Choice'!$B$8^(I654+1)</f>
        <v>17490158.62</v>
      </c>
      <c r="P654" s="12">
        <f> 'Optimal Choice'!$B$12*'Optimal Choice'!$B$13^(J654+1)</f>
        <v>215535101.6</v>
      </c>
      <c r="Q654" s="12">
        <f> 'Optimal Choice'!$B$17*'Optimal Choice'!$B$18^(K654+1)</f>
        <v>1007062538</v>
      </c>
      <c r="R654" s="12">
        <f> 'Optimal Choice'!$B$22*'Optimal Choice'!$B$23^(L654+1)</f>
        <v>4129592469</v>
      </c>
      <c r="S654" s="12">
        <f> 'Optimal Choice'!$B$27*'Optimal Choice'!$B$28^(M654+1)</f>
        <v>24013720947</v>
      </c>
    </row>
    <row r="655" ht="15.75" customHeight="1">
      <c r="A655" s="10">
        <f t="shared" si="2"/>
        <v>15607.56779</v>
      </c>
      <c r="B655" s="6">
        <f>(I655*'Optimal Choice'!$B$6+J655*'Optimal Choice'!$B$11+K655*'Optimal Choice'!$B$16+L655*'Optimal Choice'!$B$21+M655*'Optimal Choice'!$B$26)*'Optimal Choice'!$B$30</f>
        <v>283587.42</v>
      </c>
      <c r="C655" s="10">
        <f>(O655/$B655)+(O655/'Optimal Choice'!$B$6)</f>
        <v>11206335.29</v>
      </c>
      <c r="D655" s="10">
        <f>(P655/$B655)+(P655/'Optimal Choice'!$B$11)</f>
        <v>10777515.11</v>
      </c>
      <c r="E655" s="10">
        <f>(Q655/$B655)+(Q655/'Optimal Choice'!$B$16)</f>
        <v>11193134.91</v>
      </c>
      <c r="F655" s="10">
        <f>(R655/$B655)+(R655/'Optimal Choice'!$B$21)</f>
        <v>11485652.17</v>
      </c>
      <c r="G655" s="10">
        <f>(S655/$B655)+(S655/'Optimal Choice'!$B$26)</f>
        <v>11202141.77</v>
      </c>
      <c r="I655" s="11">
        <f t="shared" ref="I655:M655" si="654">if(min($C654:$G654)=C654,I654+1,I654)</f>
        <v>226</v>
      </c>
      <c r="J655" s="11">
        <f t="shared" si="654"/>
        <v>107</v>
      </c>
      <c r="K655" s="11">
        <f t="shared" si="654"/>
        <v>107</v>
      </c>
      <c r="L655" s="11">
        <f t="shared" si="654"/>
        <v>106</v>
      </c>
      <c r="M655" s="11">
        <f t="shared" si="654"/>
        <v>108</v>
      </c>
      <c r="O655" s="12">
        <f> 'Optimal Choice'!$B$7*'Optimal Choice'!$B$8^(I655+1)</f>
        <v>18714469.72</v>
      </c>
      <c r="P655" s="12">
        <f> 'Optimal Choice'!$B$12*'Optimal Choice'!$B$13^(J655+1)</f>
        <v>215535101.6</v>
      </c>
      <c r="Q655" s="12">
        <f> 'Optimal Choice'!$B$17*'Optimal Choice'!$B$18^(K655+1)</f>
        <v>1007062538</v>
      </c>
      <c r="R655" s="12">
        <f> 'Optimal Choice'!$B$22*'Optimal Choice'!$B$23^(L655+1)</f>
        <v>4129592469</v>
      </c>
      <c r="S655" s="12">
        <f> 'Optimal Choice'!$B$27*'Optimal Choice'!$B$28^(M655+1)</f>
        <v>24013720947</v>
      </c>
    </row>
    <row r="656" ht="15.75" customHeight="1">
      <c r="A656" s="10">
        <f t="shared" si="2"/>
        <v>15620.23496</v>
      </c>
      <c r="B656" s="6">
        <f>(I656*'Optimal Choice'!$B$6+J656*'Optimal Choice'!$B$11+K656*'Optimal Choice'!$B$16+L656*'Optimal Choice'!$B$21+M656*'Optimal Choice'!$B$26)*'Optimal Choice'!$B$30</f>
        <v>283607.42</v>
      </c>
      <c r="C656" s="10">
        <f>(O656/$B656)+(O656/'Optimal Choice'!$B$6)</f>
        <v>11206335.28</v>
      </c>
      <c r="D656" s="10">
        <f>(P656/$B656)+(P656/'Optimal Choice'!$B$11)</f>
        <v>12394142.32</v>
      </c>
      <c r="E656" s="10">
        <f>(Q656/$B656)+(Q656/'Optimal Choice'!$B$16)</f>
        <v>11193134.66</v>
      </c>
      <c r="F656" s="10">
        <f>(R656/$B656)+(R656/'Optimal Choice'!$B$21)</f>
        <v>11485651.14</v>
      </c>
      <c r="G656" s="10">
        <f>(S656/$B656)+(S656/'Optimal Choice'!$B$26)</f>
        <v>11202135.8</v>
      </c>
      <c r="I656" s="11">
        <f t="shared" ref="I656:M656" si="655">if(min($C655:$G655)=C655,I655+1,I655)</f>
        <v>226</v>
      </c>
      <c r="J656" s="11">
        <f t="shared" si="655"/>
        <v>108</v>
      </c>
      <c r="K656" s="11">
        <f t="shared" si="655"/>
        <v>107</v>
      </c>
      <c r="L656" s="11">
        <f t="shared" si="655"/>
        <v>106</v>
      </c>
      <c r="M656" s="11">
        <f t="shared" si="655"/>
        <v>108</v>
      </c>
      <c r="O656" s="12">
        <f> 'Optimal Choice'!$B$7*'Optimal Choice'!$B$8^(I656+1)</f>
        <v>18714469.72</v>
      </c>
      <c r="P656" s="12">
        <f> 'Optimal Choice'!$B$12*'Optimal Choice'!$B$13^(J656+1)</f>
        <v>247865366.9</v>
      </c>
      <c r="Q656" s="12">
        <f> 'Optimal Choice'!$B$17*'Optimal Choice'!$B$18^(K656+1)</f>
        <v>1007062538</v>
      </c>
      <c r="R656" s="12">
        <f> 'Optimal Choice'!$B$22*'Optimal Choice'!$B$23^(L656+1)</f>
        <v>4129592469</v>
      </c>
      <c r="S656" s="12">
        <f> 'Optimal Choice'!$B$27*'Optimal Choice'!$B$28^(M656+1)</f>
        <v>24013720947</v>
      </c>
    </row>
    <row r="657" ht="15.75" customHeight="1">
      <c r="A657" s="10">
        <f t="shared" si="2"/>
        <v>15679.41669</v>
      </c>
      <c r="B657" s="6">
        <f>(I657*'Optimal Choice'!$B$6+J657*'Optimal Choice'!$B$11+K657*'Optimal Choice'!$B$16+L657*'Optimal Choice'!$B$21+M657*'Optimal Choice'!$B$26)*'Optimal Choice'!$B$30</f>
        <v>283697.42</v>
      </c>
      <c r="C657" s="10">
        <f>(O657/$B657)+(O657/'Optimal Choice'!$B$6)</f>
        <v>11206335.26</v>
      </c>
      <c r="D657" s="10">
        <f>(P657/$B657)+(P657/'Optimal Choice'!$B$11)</f>
        <v>12394142.04</v>
      </c>
      <c r="E657" s="10">
        <f>(Q657/$B657)+(Q657/'Optimal Choice'!$B$16)</f>
        <v>12760172.23</v>
      </c>
      <c r="F657" s="10">
        <f>(R657/$B657)+(R657/'Optimal Choice'!$B$21)</f>
        <v>11485646.52</v>
      </c>
      <c r="G657" s="10">
        <f>(S657/$B657)+(S657/'Optimal Choice'!$B$26)</f>
        <v>11202108.94</v>
      </c>
      <c r="I657" s="11">
        <f t="shared" ref="I657:M657" si="656">if(min($C656:$G656)=C656,I656+1,I656)</f>
        <v>226</v>
      </c>
      <c r="J657" s="11">
        <f t="shared" si="656"/>
        <v>108</v>
      </c>
      <c r="K657" s="11">
        <f t="shared" si="656"/>
        <v>108</v>
      </c>
      <c r="L657" s="11">
        <f t="shared" si="656"/>
        <v>106</v>
      </c>
      <c r="M657" s="11">
        <f t="shared" si="656"/>
        <v>108</v>
      </c>
      <c r="O657" s="12">
        <f> 'Optimal Choice'!$B$7*'Optimal Choice'!$B$8^(I657+1)</f>
        <v>18714469.72</v>
      </c>
      <c r="P657" s="12">
        <f> 'Optimal Choice'!$B$12*'Optimal Choice'!$B$13^(J657+1)</f>
        <v>247865366.9</v>
      </c>
      <c r="Q657" s="12">
        <f> 'Optimal Choice'!$B$17*'Optimal Choice'!$B$18^(K657+1)</f>
        <v>1148051293</v>
      </c>
      <c r="R657" s="12">
        <f> 'Optimal Choice'!$B$22*'Optimal Choice'!$B$23^(L657+1)</f>
        <v>4129592469</v>
      </c>
      <c r="S657" s="12">
        <f> 'Optimal Choice'!$B$27*'Optimal Choice'!$B$28^(M657+1)</f>
        <v>24013720947</v>
      </c>
    </row>
    <row r="658" ht="15.75" customHeight="1">
      <c r="A658" s="10">
        <f t="shared" si="2"/>
        <v>17090.17567</v>
      </c>
      <c r="B658" s="6">
        <f>(I658*'Optimal Choice'!$B$6+J658*'Optimal Choice'!$B$11+K658*'Optimal Choice'!$B$16+L658*'Optimal Choice'!$B$21+M658*'Optimal Choice'!$B$26)*'Optimal Choice'!$B$30</f>
        <v>285857.42</v>
      </c>
      <c r="C658" s="10">
        <f>(O658/$B658)+(O658/'Optimal Choice'!$B$6)</f>
        <v>11206334.76</v>
      </c>
      <c r="D658" s="10">
        <f>(P658/$B658)+(P658/'Optimal Choice'!$B$11)</f>
        <v>12394135.44</v>
      </c>
      <c r="E658" s="10">
        <f>(Q658/$B658)+(Q658/'Optimal Choice'!$B$16)</f>
        <v>12760141.65</v>
      </c>
      <c r="F658" s="10">
        <f>(R658/$B658)+(R658/'Optimal Choice'!$B$21)</f>
        <v>11485536.53</v>
      </c>
      <c r="G658" s="10">
        <f>(S658/$B658)+(S658/'Optimal Choice'!$B$26)</f>
        <v>12545645.66</v>
      </c>
      <c r="I658" s="11">
        <f t="shared" ref="I658:M658" si="657">if(min($C657:$G657)=C657,I657+1,I657)</f>
        <v>226</v>
      </c>
      <c r="J658" s="11">
        <f t="shared" si="657"/>
        <v>108</v>
      </c>
      <c r="K658" s="11">
        <f t="shared" si="657"/>
        <v>108</v>
      </c>
      <c r="L658" s="11">
        <f t="shared" si="657"/>
        <v>106</v>
      </c>
      <c r="M658" s="11">
        <f t="shared" si="657"/>
        <v>109</v>
      </c>
      <c r="O658" s="12">
        <f> 'Optimal Choice'!$B$7*'Optimal Choice'!$B$8^(I658+1)</f>
        <v>18714469.72</v>
      </c>
      <c r="P658" s="12">
        <f> 'Optimal Choice'!$B$12*'Optimal Choice'!$B$13^(J658+1)</f>
        <v>247865366.9</v>
      </c>
      <c r="Q658" s="12">
        <f> 'Optimal Choice'!$B$17*'Optimal Choice'!$B$18^(K658+1)</f>
        <v>1148051293</v>
      </c>
      <c r="R658" s="12">
        <f> 'Optimal Choice'!$B$22*'Optimal Choice'!$B$23^(L658+1)</f>
        <v>4129592469</v>
      </c>
      <c r="S658" s="12">
        <f> 'Optimal Choice'!$B$27*'Optimal Choice'!$B$28^(M658+1)</f>
        <v>26895367460</v>
      </c>
    </row>
    <row r="659" ht="15.75" customHeight="1">
      <c r="A659" s="10">
        <f t="shared" si="2"/>
        <v>17091.2668</v>
      </c>
      <c r="B659" s="6">
        <f>(I659*'Optimal Choice'!$B$6+J659*'Optimal Choice'!$B$11+K659*'Optimal Choice'!$B$16+L659*'Optimal Choice'!$B$21+M659*'Optimal Choice'!$B$26)*'Optimal Choice'!$B$30</f>
        <v>285859.09</v>
      </c>
      <c r="C659" s="10">
        <f>(O659/$B659)+(O659/'Optimal Choice'!$B$6)</f>
        <v>11990778.2</v>
      </c>
      <c r="D659" s="10">
        <f>(P659/$B659)+(P659/'Optimal Choice'!$B$11)</f>
        <v>12394135.43</v>
      </c>
      <c r="E659" s="10">
        <f>(Q659/$B659)+(Q659/'Optimal Choice'!$B$16)</f>
        <v>12760141.62</v>
      </c>
      <c r="F659" s="10">
        <f>(R659/$B659)+(R659/'Optimal Choice'!$B$21)</f>
        <v>11485536.44</v>
      </c>
      <c r="G659" s="10">
        <f>(S659/$B659)+(S659/'Optimal Choice'!$B$26)</f>
        <v>12545645.11</v>
      </c>
      <c r="I659" s="11">
        <f t="shared" ref="I659:M659" si="658">if(min($C658:$G658)=C658,I658+1,I658)</f>
        <v>227</v>
      </c>
      <c r="J659" s="11">
        <f t="shared" si="658"/>
        <v>108</v>
      </c>
      <c r="K659" s="11">
        <f t="shared" si="658"/>
        <v>108</v>
      </c>
      <c r="L659" s="11">
        <f t="shared" si="658"/>
        <v>106</v>
      </c>
      <c r="M659" s="11">
        <f t="shared" si="658"/>
        <v>109</v>
      </c>
      <c r="O659" s="12">
        <f> 'Optimal Choice'!$B$7*'Optimal Choice'!$B$8^(I659+1)</f>
        <v>20024482.61</v>
      </c>
      <c r="P659" s="12">
        <f> 'Optimal Choice'!$B$12*'Optimal Choice'!$B$13^(J659+1)</f>
        <v>247865366.9</v>
      </c>
      <c r="Q659" s="12">
        <f> 'Optimal Choice'!$B$17*'Optimal Choice'!$B$18^(K659+1)</f>
        <v>1148051293</v>
      </c>
      <c r="R659" s="12">
        <f> 'Optimal Choice'!$B$22*'Optimal Choice'!$B$23^(L659+1)</f>
        <v>4129592469</v>
      </c>
      <c r="S659" s="12">
        <f> 'Optimal Choice'!$B$27*'Optimal Choice'!$B$28^(M659+1)</f>
        <v>26895367460</v>
      </c>
    </row>
    <row r="660" ht="15.75" customHeight="1">
      <c r="A660" s="10">
        <f t="shared" si="2"/>
        <v>17332.03766</v>
      </c>
      <c r="B660" s="6">
        <f>(I660*'Optimal Choice'!$B$6+J660*'Optimal Choice'!$B$11+K660*'Optimal Choice'!$B$16+L660*'Optimal Choice'!$B$21+M660*'Optimal Choice'!$B$26)*'Optimal Choice'!$B$30</f>
        <v>286219.09</v>
      </c>
      <c r="C660" s="10">
        <f>(O660/$B660)+(O660/'Optimal Choice'!$B$6)</f>
        <v>11990778.11</v>
      </c>
      <c r="D660" s="10">
        <f>(P660/$B660)+(P660/'Optimal Choice'!$B$11)</f>
        <v>12394134.34</v>
      </c>
      <c r="E660" s="10">
        <f>(Q660/$B660)+(Q660/'Optimal Choice'!$B$16)</f>
        <v>12760136.57</v>
      </c>
      <c r="F660" s="10">
        <f>(R660/$B660)+(R660/'Optimal Choice'!$B$21)</f>
        <v>12978635.65</v>
      </c>
      <c r="G660" s="10">
        <f>(S660/$B660)+(S660/'Optimal Choice'!$B$26)</f>
        <v>12545526.77</v>
      </c>
      <c r="I660" s="11">
        <f t="shared" ref="I660:M660" si="659">if(min($C659:$G659)=C659,I659+1,I659)</f>
        <v>227</v>
      </c>
      <c r="J660" s="11">
        <f t="shared" si="659"/>
        <v>108</v>
      </c>
      <c r="K660" s="11">
        <f t="shared" si="659"/>
        <v>108</v>
      </c>
      <c r="L660" s="11">
        <f t="shared" si="659"/>
        <v>107</v>
      </c>
      <c r="M660" s="11">
        <f t="shared" si="659"/>
        <v>109</v>
      </c>
      <c r="O660" s="12">
        <f> 'Optimal Choice'!$B$7*'Optimal Choice'!$B$8^(I660+1)</f>
        <v>20024482.61</v>
      </c>
      <c r="P660" s="12">
        <f> 'Optimal Choice'!$B$12*'Optimal Choice'!$B$13^(J660+1)</f>
        <v>247865366.9</v>
      </c>
      <c r="Q660" s="12">
        <f> 'Optimal Choice'!$B$17*'Optimal Choice'!$B$18^(K660+1)</f>
        <v>1148051293</v>
      </c>
      <c r="R660" s="12">
        <f> 'Optimal Choice'!$B$22*'Optimal Choice'!$B$23^(L660+1)</f>
        <v>4666439490</v>
      </c>
      <c r="S660" s="12">
        <f> 'Optimal Choice'!$B$27*'Optimal Choice'!$B$28^(M660+1)</f>
        <v>26895367460</v>
      </c>
    </row>
    <row r="661" ht="15.75" customHeight="1">
      <c r="A661" s="10">
        <f t="shared" si="2"/>
        <v>17333.2037</v>
      </c>
      <c r="B661" s="6">
        <f>(I661*'Optimal Choice'!$B$6+J661*'Optimal Choice'!$B$11+K661*'Optimal Choice'!$B$16+L661*'Optimal Choice'!$B$21+M661*'Optimal Choice'!$B$26)*'Optimal Choice'!$B$30</f>
        <v>286220.76</v>
      </c>
      <c r="C661" s="10">
        <f>(O661/$B661)+(O661/'Optimal Choice'!$B$6)</f>
        <v>12830132.58</v>
      </c>
      <c r="D661" s="10">
        <f>(P661/$B661)+(P661/'Optimal Choice'!$B$11)</f>
        <v>12394134.34</v>
      </c>
      <c r="E661" s="10">
        <f>(Q661/$B661)+(Q661/'Optimal Choice'!$B$16)</f>
        <v>12760136.55</v>
      </c>
      <c r="F661" s="10">
        <f>(R661/$B661)+(R661/'Optimal Choice'!$B$21)</f>
        <v>12978635.55</v>
      </c>
      <c r="G661" s="10">
        <f>(S661/$B661)+(S661/'Optimal Choice'!$B$26)</f>
        <v>12545526.22</v>
      </c>
      <c r="I661" s="11">
        <f t="shared" ref="I661:M661" si="660">if(min($C660:$G660)=C660,I660+1,I660)</f>
        <v>228</v>
      </c>
      <c r="J661" s="11">
        <f t="shared" si="660"/>
        <v>108</v>
      </c>
      <c r="K661" s="11">
        <f t="shared" si="660"/>
        <v>108</v>
      </c>
      <c r="L661" s="11">
        <f t="shared" si="660"/>
        <v>107</v>
      </c>
      <c r="M661" s="11">
        <f t="shared" si="660"/>
        <v>109</v>
      </c>
      <c r="O661" s="12">
        <f> 'Optimal Choice'!$B$7*'Optimal Choice'!$B$8^(I661+1)</f>
        <v>21426196.39</v>
      </c>
      <c r="P661" s="12">
        <f> 'Optimal Choice'!$B$12*'Optimal Choice'!$B$13^(J661+1)</f>
        <v>247865366.9</v>
      </c>
      <c r="Q661" s="12">
        <f> 'Optimal Choice'!$B$17*'Optimal Choice'!$B$18^(K661+1)</f>
        <v>1148051293</v>
      </c>
      <c r="R661" s="12">
        <f> 'Optimal Choice'!$B$22*'Optimal Choice'!$B$23^(L661+1)</f>
        <v>4666439490</v>
      </c>
      <c r="S661" s="12">
        <f> 'Optimal Choice'!$B$27*'Optimal Choice'!$B$28^(M661+1)</f>
        <v>26895367460</v>
      </c>
    </row>
    <row r="662" ht="15.75" customHeight="1">
      <c r="A662" s="10">
        <f t="shared" si="2"/>
        <v>17347.63693</v>
      </c>
      <c r="B662" s="6">
        <f>(I662*'Optimal Choice'!$B$6+J662*'Optimal Choice'!$B$11+K662*'Optimal Choice'!$B$16+L662*'Optimal Choice'!$B$21+M662*'Optimal Choice'!$B$26)*'Optimal Choice'!$B$30</f>
        <v>286240.76</v>
      </c>
      <c r="C662" s="10">
        <f>(O662/$B662)+(O662/'Optimal Choice'!$B$6)</f>
        <v>12830132.57</v>
      </c>
      <c r="D662" s="10">
        <f>(P662/$B662)+(P662/'Optimal Choice'!$B$11)</f>
        <v>14253254.42</v>
      </c>
      <c r="E662" s="10">
        <f>(Q662/$B662)+(Q662/'Optimal Choice'!$B$16)</f>
        <v>12760136.27</v>
      </c>
      <c r="F662" s="10">
        <f>(R662/$B662)+(R662/'Optimal Choice'!$B$21)</f>
        <v>12978634.42</v>
      </c>
      <c r="G662" s="10">
        <f>(S662/$B662)+(S662/'Optimal Choice'!$B$26)</f>
        <v>12545519.66</v>
      </c>
      <c r="I662" s="11">
        <f t="shared" ref="I662:M662" si="661">if(min($C661:$G661)=C661,I661+1,I661)</f>
        <v>228</v>
      </c>
      <c r="J662" s="11">
        <f t="shared" si="661"/>
        <v>109</v>
      </c>
      <c r="K662" s="11">
        <f t="shared" si="661"/>
        <v>108</v>
      </c>
      <c r="L662" s="11">
        <f t="shared" si="661"/>
        <v>107</v>
      </c>
      <c r="M662" s="11">
        <f t="shared" si="661"/>
        <v>109</v>
      </c>
      <c r="O662" s="12">
        <f> 'Optimal Choice'!$B$7*'Optimal Choice'!$B$8^(I662+1)</f>
        <v>21426196.39</v>
      </c>
      <c r="P662" s="12">
        <f> 'Optimal Choice'!$B$12*'Optimal Choice'!$B$13^(J662+1)</f>
        <v>285045171.9</v>
      </c>
      <c r="Q662" s="12">
        <f> 'Optimal Choice'!$B$17*'Optimal Choice'!$B$18^(K662+1)</f>
        <v>1148051293</v>
      </c>
      <c r="R662" s="12">
        <f> 'Optimal Choice'!$B$22*'Optimal Choice'!$B$23^(L662+1)</f>
        <v>4666439490</v>
      </c>
      <c r="S662" s="12">
        <f> 'Optimal Choice'!$B$27*'Optimal Choice'!$B$28^(M662+1)</f>
        <v>26895367460</v>
      </c>
    </row>
    <row r="663" ht="15.75" customHeight="1">
      <c r="A663" s="10">
        <f t="shared" si="2"/>
        <v>18913.64774</v>
      </c>
      <c r="B663" s="6">
        <f>(I663*'Optimal Choice'!$B$6+J663*'Optimal Choice'!$B$11+K663*'Optimal Choice'!$B$16+L663*'Optimal Choice'!$B$21+M663*'Optimal Choice'!$B$26)*'Optimal Choice'!$B$30</f>
        <v>288400.76</v>
      </c>
      <c r="C663" s="10">
        <f>(O663/$B663)+(O663/'Optimal Choice'!$B$6)</f>
        <v>12830132.01</v>
      </c>
      <c r="D663" s="10">
        <f>(P663/$B663)+(P663/'Optimal Choice'!$B$11)</f>
        <v>14253246.96</v>
      </c>
      <c r="E663" s="10">
        <f>(Q663/$B663)+(Q663/'Optimal Choice'!$B$16)</f>
        <v>12760106.23</v>
      </c>
      <c r="F663" s="10">
        <f>(R663/$B663)+(R663/'Optimal Choice'!$B$21)</f>
        <v>12978512.32</v>
      </c>
      <c r="G663" s="10">
        <f>(S663/$B663)+(S663/'Optimal Choice'!$B$26)</f>
        <v>14050193.84</v>
      </c>
      <c r="I663" s="11">
        <f t="shared" ref="I663:M663" si="662">if(min($C662:$G662)=C662,I662+1,I662)</f>
        <v>228</v>
      </c>
      <c r="J663" s="11">
        <f t="shared" si="662"/>
        <v>109</v>
      </c>
      <c r="K663" s="11">
        <f t="shared" si="662"/>
        <v>108</v>
      </c>
      <c r="L663" s="11">
        <f t="shared" si="662"/>
        <v>107</v>
      </c>
      <c r="M663" s="11">
        <f t="shared" si="662"/>
        <v>110</v>
      </c>
      <c r="O663" s="12">
        <f> 'Optimal Choice'!$B$7*'Optimal Choice'!$B$8^(I663+1)</f>
        <v>21426196.39</v>
      </c>
      <c r="P663" s="12">
        <f> 'Optimal Choice'!$B$12*'Optimal Choice'!$B$13^(J663+1)</f>
        <v>285045171.9</v>
      </c>
      <c r="Q663" s="12">
        <f> 'Optimal Choice'!$B$17*'Optimal Choice'!$B$18^(K663+1)</f>
        <v>1148051293</v>
      </c>
      <c r="R663" s="12">
        <f> 'Optimal Choice'!$B$22*'Optimal Choice'!$B$23^(L663+1)</f>
        <v>4666439490</v>
      </c>
      <c r="S663" s="12">
        <f> 'Optimal Choice'!$B$27*'Optimal Choice'!$B$28^(M663+1)</f>
        <v>30122811556</v>
      </c>
    </row>
    <row r="664" ht="15.75" customHeight="1">
      <c r="A664" s="10">
        <f t="shared" si="2"/>
        <v>18979.99357</v>
      </c>
      <c r="B664" s="6">
        <f>(I664*'Optimal Choice'!$B$6+J664*'Optimal Choice'!$B$11+K664*'Optimal Choice'!$B$16+L664*'Optimal Choice'!$B$21+M664*'Optimal Choice'!$B$26)*'Optimal Choice'!$B$30</f>
        <v>288490.76</v>
      </c>
      <c r="C664" s="10">
        <f>(O664/$B664)+(O664/'Optimal Choice'!$B$6)</f>
        <v>12830131.99</v>
      </c>
      <c r="D664" s="10">
        <f>(P664/$B664)+(P664/'Optimal Choice'!$B$11)</f>
        <v>14253246.65</v>
      </c>
      <c r="E664" s="10">
        <f>(Q664/$B664)+(Q664/'Optimal Choice'!$B$16)</f>
        <v>14546519.69</v>
      </c>
      <c r="F664" s="10">
        <f>(R664/$B664)+(R664/'Optimal Choice'!$B$21)</f>
        <v>12978507.27</v>
      </c>
      <c r="G664" s="10">
        <f>(S664/$B664)+(S664/'Optimal Choice'!$B$26)</f>
        <v>14050161.26</v>
      </c>
      <c r="I664" s="11">
        <f t="shared" ref="I664:M664" si="663">if(min($C663:$G663)=C663,I663+1,I663)</f>
        <v>228</v>
      </c>
      <c r="J664" s="11">
        <f t="shared" si="663"/>
        <v>109</v>
      </c>
      <c r="K664" s="11">
        <f t="shared" si="663"/>
        <v>109</v>
      </c>
      <c r="L664" s="11">
        <f t="shared" si="663"/>
        <v>107</v>
      </c>
      <c r="M664" s="11">
        <f t="shared" si="663"/>
        <v>110</v>
      </c>
      <c r="O664" s="12">
        <f> 'Optimal Choice'!$B$7*'Optimal Choice'!$B$8^(I664+1)</f>
        <v>21426196.39</v>
      </c>
      <c r="P664" s="12">
        <f> 'Optimal Choice'!$B$12*'Optimal Choice'!$B$13^(J664+1)</f>
        <v>285045171.9</v>
      </c>
      <c r="Q664" s="12">
        <f> 'Optimal Choice'!$B$17*'Optimal Choice'!$B$18^(K664+1)</f>
        <v>1308778474</v>
      </c>
      <c r="R664" s="12">
        <f> 'Optimal Choice'!$B$22*'Optimal Choice'!$B$23^(L664+1)</f>
        <v>4666439490</v>
      </c>
      <c r="S664" s="12">
        <f> 'Optimal Choice'!$B$27*'Optimal Choice'!$B$28^(M664+1)</f>
        <v>30122811556</v>
      </c>
    </row>
    <row r="665" ht="15.75" customHeight="1">
      <c r="A665" s="10">
        <f t="shared" si="2"/>
        <v>18981.2314</v>
      </c>
      <c r="B665" s="6">
        <f>(I665*'Optimal Choice'!$B$6+J665*'Optimal Choice'!$B$11+K665*'Optimal Choice'!$B$16+L665*'Optimal Choice'!$B$21+M665*'Optimal Choice'!$B$26)*'Optimal Choice'!$B$30</f>
        <v>288492.43</v>
      </c>
      <c r="C665" s="10">
        <f>(O665/$B665)+(O665/'Optimal Choice'!$B$6)</f>
        <v>13728241.23</v>
      </c>
      <c r="D665" s="10">
        <f>(P665/$B665)+(P665/'Optimal Choice'!$B$11)</f>
        <v>14253246.64</v>
      </c>
      <c r="E665" s="10">
        <f>(Q665/$B665)+(Q665/'Optimal Choice'!$B$16)</f>
        <v>14546519.66</v>
      </c>
      <c r="F665" s="10">
        <f>(R665/$B665)+(R665/'Optimal Choice'!$B$21)</f>
        <v>12978507.17</v>
      </c>
      <c r="G665" s="10">
        <f>(S665/$B665)+(S665/'Optimal Choice'!$B$26)</f>
        <v>14050160.66</v>
      </c>
      <c r="I665" s="11">
        <f t="shared" ref="I665:M665" si="664">if(min($C664:$G664)=C664,I664+1,I664)</f>
        <v>229</v>
      </c>
      <c r="J665" s="11">
        <f t="shared" si="664"/>
        <v>109</v>
      </c>
      <c r="K665" s="11">
        <f t="shared" si="664"/>
        <v>109</v>
      </c>
      <c r="L665" s="11">
        <f t="shared" si="664"/>
        <v>107</v>
      </c>
      <c r="M665" s="11">
        <f t="shared" si="664"/>
        <v>110</v>
      </c>
      <c r="O665" s="12">
        <f> 'Optimal Choice'!$B$7*'Optimal Choice'!$B$8^(I665+1)</f>
        <v>22926030.13</v>
      </c>
      <c r="P665" s="12">
        <f> 'Optimal Choice'!$B$12*'Optimal Choice'!$B$13^(J665+1)</f>
        <v>285045171.9</v>
      </c>
      <c r="Q665" s="12">
        <f> 'Optimal Choice'!$B$17*'Optimal Choice'!$B$18^(K665+1)</f>
        <v>1308778474</v>
      </c>
      <c r="R665" s="12">
        <f> 'Optimal Choice'!$B$22*'Optimal Choice'!$B$23^(L665+1)</f>
        <v>4666439490</v>
      </c>
      <c r="S665" s="12">
        <f> 'Optimal Choice'!$B$27*'Optimal Choice'!$B$28^(M665+1)</f>
        <v>30122811556</v>
      </c>
    </row>
    <row r="666" ht="15.75" customHeight="1">
      <c r="A666" s="10">
        <f t="shared" si="2"/>
        <v>19250.81903</v>
      </c>
      <c r="B666" s="6">
        <f>(I666*'Optimal Choice'!$B$6+J666*'Optimal Choice'!$B$11+K666*'Optimal Choice'!$B$16+L666*'Optimal Choice'!$B$21+M666*'Optimal Choice'!$B$26)*'Optimal Choice'!$B$30</f>
        <v>288852.43</v>
      </c>
      <c r="C666" s="10">
        <f>(O666/$B666)+(O666/'Optimal Choice'!$B$6)</f>
        <v>13728241.13</v>
      </c>
      <c r="D666" s="10">
        <f>(P666/$B666)+(P666/'Optimal Choice'!$B$11)</f>
        <v>14253245.41</v>
      </c>
      <c r="E666" s="10">
        <f>(Q666/$B666)+(Q666/'Optimal Choice'!$B$16)</f>
        <v>14546514.01</v>
      </c>
      <c r="F666" s="10">
        <f>(R666/$B666)+(R666/'Optimal Choice'!$B$21)</f>
        <v>14665690.33</v>
      </c>
      <c r="G666" s="10">
        <f>(S666/$B666)+(S666/'Optimal Choice'!$B$26)</f>
        <v>14050030.52</v>
      </c>
      <c r="I666" s="11">
        <f t="shared" ref="I666:M666" si="665">if(min($C665:$G665)=C665,I665+1,I665)</f>
        <v>229</v>
      </c>
      <c r="J666" s="11">
        <f t="shared" si="665"/>
        <v>109</v>
      </c>
      <c r="K666" s="11">
        <f t="shared" si="665"/>
        <v>109</v>
      </c>
      <c r="L666" s="11">
        <f t="shared" si="665"/>
        <v>108</v>
      </c>
      <c r="M666" s="11">
        <f t="shared" si="665"/>
        <v>110</v>
      </c>
      <c r="O666" s="12">
        <f> 'Optimal Choice'!$B$7*'Optimal Choice'!$B$8^(I666+1)</f>
        <v>22926030.13</v>
      </c>
      <c r="P666" s="12">
        <f> 'Optimal Choice'!$B$12*'Optimal Choice'!$B$13^(J666+1)</f>
        <v>285045171.9</v>
      </c>
      <c r="Q666" s="12">
        <f> 'Optimal Choice'!$B$17*'Optimal Choice'!$B$18^(K666+1)</f>
        <v>1308778474</v>
      </c>
      <c r="R666" s="12">
        <f> 'Optimal Choice'!$B$22*'Optimal Choice'!$B$23^(L666+1)</f>
        <v>5273076624</v>
      </c>
      <c r="S666" s="12">
        <f> 'Optimal Choice'!$B$27*'Optimal Choice'!$B$28^(M666+1)</f>
        <v>30122811556</v>
      </c>
    </row>
    <row r="667" ht="15.75" customHeight="1">
      <c r="A667" s="10">
        <f t="shared" si="2"/>
        <v>19252.14186</v>
      </c>
      <c r="B667" s="6">
        <f>(I667*'Optimal Choice'!$B$6+J667*'Optimal Choice'!$B$11+K667*'Optimal Choice'!$B$16+L667*'Optimal Choice'!$B$21+M667*'Optimal Choice'!$B$26)*'Optimal Choice'!$B$30</f>
        <v>288854.1</v>
      </c>
      <c r="C667" s="10">
        <f>(O667/$B667)+(O667/'Optimal Choice'!$B$6)</f>
        <v>14689218.01</v>
      </c>
      <c r="D667" s="10">
        <f>(P667/$B667)+(P667/'Optimal Choice'!$B$11)</f>
        <v>14253245.41</v>
      </c>
      <c r="E667" s="10">
        <f>(Q667/$B667)+(Q667/'Optimal Choice'!$B$16)</f>
        <v>14546513.98</v>
      </c>
      <c r="F667" s="10">
        <f>(R667/$B667)+(R667/'Optimal Choice'!$B$21)</f>
        <v>14665690.22</v>
      </c>
      <c r="G667" s="10">
        <f>(S667/$B667)+(S667/'Optimal Choice'!$B$26)</f>
        <v>14050029.92</v>
      </c>
      <c r="I667" s="11">
        <f t="shared" ref="I667:M667" si="666">if(min($C666:$G666)=C666,I666+1,I666)</f>
        <v>230</v>
      </c>
      <c r="J667" s="11">
        <f t="shared" si="666"/>
        <v>109</v>
      </c>
      <c r="K667" s="11">
        <f t="shared" si="666"/>
        <v>109</v>
      </c>
      <c r="L667" s="11">
        <f t="shared" si="666"/>
        <v>108</v>
      </c>
      <c r="M667" s="11">
        <f t="shared" si="666"/>
        <v>110</v>
      </c>
      <c r="O667" s="12">
        <f> 'Optimal Choice'!$B$7*'Optimal Choice'!$B$8^(I667+1)</f>
        <v>24530852.24</v>
      </c>
      <c r="P667" s="12">
        <f> 'Optimal Choice'!$B$12*'Optimal Choice'!$B$13^(J667+1)</f>
        <v>285045171.9</v>
      </c>
      <c r="Q667" s="12">
        <f> 'Optimal Choice'!$B$17*'Optimal Choice'!$B$18^(K667+1)</f>
        <v>1308778474</v>
      </c>
      <c r="R667" s="12">
        <f> 'Optimal Choice'!$B$22*'Optimal Choice'!$B$23^(L667+1)</f>
        <v>5273076624</v>
      </c>
      <c r="S667" s="12">
        <f> 'Optimal Choice'!$B$27*'Optimal Choice'!$B$28^(M667+1)</f>
        <v>30122811556</v>
      </c>
    </row>
    <row r="668" ht="15.75" customHeight="1">
      <c r="A668" s="10">
        <f t="shared" si="2"/>
        <v>20990.20567</v>
      </c>
      <c r="B668" s="6">
        <f>(I668*'Optimal Choice'!$B$6+J668*'Optimal Choice'!$B$11+K668*'Optimal Choice'!$B$16+L668*'Optimal Choice'!$B$21+M668*'Optimal Choice'!$B$26)*'Optimal Choice'!$B$30</f>
        <v>291014.1</v>
      </c>
      <c r="C668" s="10">
        <f>(O668/$B668)+(O668/'Optimal Choice'!$B$6)</f>
        <v>14689217.37</v>
      </c>
      <c r="D668" s="10">
        <f>(P668/$B668)+(P668/'Optimal Choice'!$B$11)</f>
        <v>14253238.08</v>
      </c>
      <c r="E668" s="10">
        <f>(Q668/$B668)+(Q668/'Optimal Choice'!$B$16)</f>
        <v>14546480.35</v>
      </c>
      <c r="F668" s="10">
        <f>(R668/$B668)+(R668/'Optimal Choice'!$B$21)</f>
        <v>14665554.73</v>
      </c>
      <c r="G668" s="10">
        <f>(S668/$B668)+(S668/'Optimal Choice'!$B$26)</f>
        <v>15735166.6</v>
      </c>
      <c r="I668" s="11">
        <f t="shared" ref="I668:M668" si="667">if(min($C667:$G667)=C667,I667+1,I667)</f>
        <v>230</v>
      </c>
      <c r="J668" s="11">
        <f t="shared" si="667"/>
        <v>109</v>
      </c>
      <c r="K668" s="11">
        <f t="shared" si="667"/>
        <v>109</v>
      </c>
      <c r="L668" s="11">
        <f t="shared" si="667"/>
        <v>108</v>
      </c>
      <c r="M668" s="11">
        <f t="shared" si="667"/>
        <v>111</v>
      </c>
      <c r="O668" s="12">
        <f> 'Optimal Choice'!$B$7*'Optimal Choice'!$B$8^(I668+1)</f>
        <v>24530852.24</v>
      </c>
      <c r="P668" s="12">
        <f> 'Optimal Choice'!$B$12*'Optimal Choice'!$B$13^(J668+1)</f>
        <v>285045171.9</v>
      </c>
      <c r="Q668" s="12">
        <f> 'Optimal Choice'!$B$17*'Optimal Choice'!$B$18^(K668+1)</f>
        <v>1308778474</v>
      </c>
      <c r="R668" s="12">
        <f> 'Optimal Choice'!$B$22*'Optimal Choice'!$B$23^(L668+1)</f>
        <v>5273076624</v>
      </c>
      <c r="S668" s="12">
        <f> 'Optimal Choice'!$B$27*'Optimal Choice'!$B$28^(M668+1)</f>
        <v>33737548942</v>
      </c>
    </row>
    <row r="669" ht="15.75" customHeight="1">
      <c r="A669" s="10">
        <f t="shared" si="2"/>
        <v>21006.53049</v>
      </c>
      <c r="B669" s="6">
        <f>(I669*'Optimal Choice'!$B$6+J669*'Optimal Choice'!$B$11+K669*'Optimal Choice'!$B$16+L669*'Optimal Choice'!$B$21+M669*'Optimal Choice'!$B$26)*'Optimal Choice'!$B$30</f>
        <v>291034.1</v>
      </c>
      <c r="C669" s="10">
        <f>(O669/$B669)+(O669/'Optimal Choice'!$B$6)</f>
        <v>14689217.37</v>
      </c>
      <c r="D669" s="10">
        <f>(P669/$B669)+(P669/'Optimal Choice'!$B$11)</f>
        <v>16391223.72</v>
      </c>
      <c r="E669" s="10">
        <f>(Q669/$B669)+(Q669/'Optimal Choice'!$B$16)</f>
        <v>14546480.04</v>
      </c>
      <c r="F669" s="10">
        <f>(R669/$B669)+(R669/'Optimal Choice'!$B$21)</f>
        <v>14665553.48</v>
      </c>
      <c r="G669" s="10">
        <f>(S669/$B669)+(S669/'Optimal Choice'!$B$26)</f>
        <v>15735158.63</v>
      </c>
      <c r="I669" s="11">
        <f t="shared" ref="I669:M669" si="668">if(min($C668:$G668)=C668,I668+1,I668)</f>
        <v>230</v>
      </c>
      <c r="J669" s="11">
        <f t="shared" si="668"/>
        <v>110</v>
      </c>
      <c r="K669" s="11">
        <f t="shared" si="668"/>
        <v>109</v>
      </c>
      <c r="L669" s="11">
        <f t="shared" si="668"/>
        <v>108</v>
      </c>
      <c r="M669" s="11">
        <f t="shared" si="668"/>
        <v>111</v>
      </c>
      <c r="O669" s="12">
        <f> 'Optimal Choice'!$B$7*'Optimal Choice'!$B$8^(I669+1)</f>
        <v>24530852.24</v>
      </c>
      <c r="P669" s="12">
        <f> 'Optimal Choice'!$B$12*'Optimal Choice'!$B$13^(J669+1)</f>
        <v>327801947.7</v>
      </c>
      <c r="Q669" s="12">
        <f> 'Optimal Choice'!$B$17*'Optimal Choice'!$B$18^(K669+1)</f>
        <v>1308778474</v>
      </c>
      <c r="R669" s="12">
        <f> 'Optimal Choice'!$B$22*'Optimal Choice'!$B$23^(L669+1)</f>
        <v>5273076624</v>
      </c>
      <c r="S669" s="12">
        <f> 'Optimal Choice'!$B$27*'Optimal Choice'!$B$28^(M669+1)</f>
        <v>33737548942</v>
      </c>
    </row>
    <row r="670" ht="15.75" customHeight="1">
      <c r="A670" s="10">
        <f t="shared" si="2"/>
        <v>21081.48038</v>
      </c>
      <c r="B670" s="6">
        <f>(I670*'Optimal Choice'!$B$6+J670*'Optimal Choice'!$B$11+K670*'Optimal Choice'!$B$16+L670*'Optimal Choice'!$B$21+M670*'Optimal Choice'!$B$26)*'Optimal Choice'!$B$30</f>
        <v>291124.1</v>
      </c>
      <c r="C670" s="10">
        <f>(O670/$B670)+(O670/'Optimal Choice'!$B$6)</f>
        <v>14689217.34</v>
      </c>
      <c r="D670" s="10">
        <f>(P670/$B670)+(P670/'Optimal Choice'!$B$11)</f>
        <v>16391223.37</v>
      </c>
      <c r="E670" s="10">
        <f>(Q670/$B670)+(Q670/'Optimal Choice'!$B$16)</f>
        <v>16582985.66</v>
      </c>
      <c r="F670" s="10">
        <f>(R670/$B670)+(R670/'Optimal Choice'!$B$21)</f>
        <v>14665547.88</v>
      </c>
      <c r="G670" s="10">
        <f>(S670/$B670)+(S670/'Optimal Choice'!$B$26)</f>
        <v>15735122.79</v>
      </c>
      <c r="I670" s="11">
        <f t="shared" ref="I670:M670" si="669">if(min($C669:$G669)=C669,I669+1,I669)</f>
        <v>230</v>
      </c>
      <c r="J670" s="11">
        <f t="shared" si="669"/>
        <v>110</v>
      </c>
      <c r="K670" s="11">
        <f t="shared" si="669"/>
        <v>110</v>
      </c>
      <c r="L670" s="11">
        <f t="shared" si="669"/>
        <v>108</v>
      </c>
      <c r="M670" s="11">
        <f t="shared" si="669"/>
        <v>111</v>
      </c>
      <c r="O670" s="12">
        <f> 'Optimal Choice'!$B$7*'Optimal Choice'!$B$8^(I670+1)</f>
        <v>24530852.24</v>
      </c>
      <c r="P670" s="12">
        <f> 'Optimal Choice'!$B$12*'Optimal Choice'!$B$13^(J670+1)</f>
        <v>327801947.7</v>
      </c>
      <c r="Q670" s="12">
        <f> 'Optimal Choice'!$B$17*'Optimal Choice'!$B$18^(K670+1)</f>
        <v>1492007461</v>
      </c>
      <c r="R670" s="12">
        <f> 'Optimal Choice'!$B$22*'Optimal Choice'!$B$23^(L670+1)</f>
        <v>5273076624</v>
      </c>
      <c r="S670" s="12">
        <f> 'Optimal Choice'!$B$27*'Optimal Choice'!$B$28^(M670+1)</f>
        <v>33737548942</v>
      </c>
    </row>
    <row r="671" ht="15.75" customHeight="1">
      <c r="A671" s="10">
        <f t="shared" si="2"/>
        <v>21383.36062</v>
      </c>
      <c r="B671" s="6">
        <f>(I671*'Optimal Choice'!$B$6+J671*'Optimal Choice'!$B$11+K671*'Optimal Choice'!$B$16+L671*'Optimal Choice'!$B$21+M671*'Optimal Choice'!$B$26)*'Optimal Choice'!$B$30</f>
        <v>291484.1</v>
      </c>
      <c r="C671" s="10">
        <f>(O671/$B671)+(O671/'Optimal Choice'!$B$6)</f>
        <v>14689217.24</v>
      </c>
      <c r="D671" s="10">
        <f>(P671/$B671)+(P671/'Optimal Choice'!$B$11)</f>
        <v>16391221.98</v>
      </c>
      <c r="E671" s="10">
        <f>(Q671/$B671)+(Q671/'Optimal Choice'!$B$16)</f>
        <v>16582979.33</v>
      </c>
      <c r="F671" s="10">
        <f>(R671/$B671)+(R671/'Optimal Choice'!$B$21)</f>
        <v>16572043.83</v>
      </c>
      <c r="G671" s="10">
        <f>(S671/$B671)+(S671/'Optimal Choice'!$B$26)</f>
        <v>15734979.67</v>
      </c>
      <c r="I671" s="11">
        <f t="shared" ref="I671:M671" si="670">if(min($C670:$G670)=C670,I670+1,I670)</f>
        <v>230</v>
      </c>
      <c r="J671" s="11">
        <f t="shared" si="670"/>
        <v>110</v>
      </c>
      <c r="K671" s="11">
        <f t="shared" si="670"/>
        <v>110</v>
      </c>
      <c r="L671" s="11">
        <f t="shared" si="670"/>
        <v>109</v>
      </c>
      <c r="M671" s="11">
        <f t="shared" si="670"/>
        <v>111</v>
      </c>
      <c r="O671" s="12">
        <f> 'Optimal Choice'!$B$7*'Optimal Choice'!$B$8^(I671+1)</f>
        <v>24530852.24</v>
      </c>
      <c r="P671" s="12">
        <f> 'Optimal Choice'!$B$12*'Optimal Choice'!$B$13^(J671+1)</f>
        <v>327801947.7</v>
      </c>
      <c r="Q671" s="12">
        <f> 'Optimal Choice'!$B$17*'Optimal Choice'!$B$18^(K671+1)</f>
        <v>1492007461</v>
      </c>
      <c r="R671" s="12">
        <f> 'Optimal Choice'!$B$22*'Optimal Choice'!$B$23^(L671+1)</f>
        <v>5958576585</v>
      </c>
      <c r="S671" s="12">
        <f> 'Optimal Choice'!$B$27*'Optimal Choice'!$B$28^(M671+1)</f>
        <v>33737548942</v>
      </c>
    </row>
    <row r="672" ht="15.75" customHeight="1">
      <c r="A672" s="10">
        <f t="shared" si="2"/>
        <v>21384.76326</v>
      </c>
      <c r="B672" s="6">
        <f>(I672*'Optimal Choice'!$B$6+J672*'Optimal Choice'!$B$11+K672*'Optimal Choice'!$B$16+L672*'Optimal Choice'!$B$21+M672*'Optimal Choice'!$B$26)*'Optimal Choice'!$B$30</f>
        <v>291485.77</v>
      </c>
      <c r="C672" s="10">
        <f>(O672/$B672)+(O672/'Optimal Choice'!$B$6)</f>
        <v>15717462.45</v>
      </c>
      <c r="D672" s="10">
        <f>(P672/$B672)+(P672/'Optimal Choice'!$B$11)</f>
        <v>16391221.97</v>
      </c>
      <c r="E672" s="10">
        <f>(Q672/$B672)+(Q672/'Optimal Choice'!$B$16)</f>
        <v>16582979.3</v>
      </c>
      <c r="F672" s="10">
        <f>(R672/$B672)+(R672/'Optimal Choice'!$B$21)</f>
        <v>16572043.71</v>
      </c>
      <c r="G672" s="10">
        <f>(S672/$B672)+(S672/'Optimal Choice'!$B$26)</f>
        <v>15734979</v>
      </c>
      <c r="I672" s="11">
        <f t="shared" ref="I672:M672" si="671">if(min($C671:$G671)=C671,I671+1,I671)</f>
        <v>231</v>
      </c>
      <c r="J672" s="11">
        <f t="shared" si="671"/>
        <v>110</v>
      </c>
      <c r="K672" s="11">
        <f t="shared" si="671"/>
        <v>110</v>
      </c>
      <c r="L672" s="11">
        <f t="shared" si="671"/>
        <v>109</v>
      </c>
      <c r="M672" s="11">
        <f t="shared" si="671"/>
        <v>111</v>
      </c>
      <c r="O672" s="12">
        <f> 'Optimal Choice'!$B$7*'Optimal Choice'!$B$8^(I672+1)</f>
        <v>26248011.9</v>
      </c>
      <c r="P672" s="12">
        <f> 'Optimal Choice'!$B$12*'Optimal Choice'!$B$13^(J672+1)</f>
        <v>327801947.7</v>
      </c>
      <c r="Q672" s="12">
        <f> 'Optimal Choice'!$B$17*'Optimal Choice'!$B$18^(K672+1)</f>
        <v>1492007461</v>
      </c>
      <c r="R672" s="12">
        <f> 'Optimal Choice'!$B$22*'Optimal Choice'!$B$23^(L672+1)</f>
        <v>5958576585</v>
      </c>
      <c r="S672" s="12">
        <f> 'Optimal Choice'!$B$27*'Optimal Choice'!$B$28^(M672+1)</f>
        <v>33737548942</v>
      </c>
    </row>
    <row r="673" ht="15.75" customHeight="1">
      <c r="A673" s="10">
        <f t="shared" si="2"/>
        <v>21386.26407</v>
      </c>
      <c r="B673" s="6">
        <f>(I673*'Optimal Choice'!$B$6+J673*'Optimal Choice'!$B$11+K673*'Optimal Choice'!$B$16+L673*'Optimal Choice'!$B$21+M673*'Optimal Choice'!$B$26)*'Optimal Choice'!$B$30</f>
        <v>291487.44</v>
      </c>
      <c r="C673" s="10">
        <f>(O673/$B673)+(O673/'Optimal Choice'!$B$6)</f>
        <v>16817684.82</v>
      </c>
      <c r="D673" s="10">
        <f>(P673/$B673)+(P673/'Optimal Choice'!$B$11)</f>
        <v>16391221.97</v>
      </c>
      <c r="E673" s="10">
        <f>(Q673/$B673)+(Q673/'Optimal Choice'!$B$16)</f>
        <v>16582979.27</v>
      </c>
      <c r="F673" s="10">
        <f>(R673/$B673)+(R673/'Optimal Choice'!$B$21)</f>
        <v>16572043.59</v>
      </c>
      <c r="G673" s="10">
        <f>(S673/$B673)+(S673/'Optimal Choice'!$B$26)</f>
        <v>15734978.34</v>
      </c>
      <c r="I673" s="11">
        <f t="shared" ref="I673:M673" si="672">if(min($C672:$G672)=C672,I672+1,I672)</f>
        <v>232</v>
      </c>
      <c r="J673" s="11">
        <f t="shared" si="672"/>
        <v>110</v>
      </c>
      <c r="K673" s="11">
        <f t="shared" si="672"/>
        <v>110</v>
      </c>
      <c r="L673" s="11">
        <f t="shared" si="672"/>
        <v>109</v>
      </c>
      <c r="M673" s="11">
        <f t="shared" si="672"/>
        <v>111</v>
      </c>
      <c r="O673" s="12">
        <f> 'Optimal Choice'!$B$7*'Optimal Choice'!$B$8^(I673+1)</f>
        <v>28085372.73</v>
      </c>
      <c r="P673" s="12">
        <f> 'Optimal Choice'!$B$12*'Optimal Choice'!$B$13^(J673+1)</f>
        <v>327801947.7</v>
      </c>
      <c r="Q673" s="12">
        <f> 'Optimal Choice'!$B$17*'Optimal Choice'!$B$18^(K673+1)</f>
        <v>1492007461</v>
      </c>
      <c r="R673" s="12">
        <f> 'Optimal Choice'!$B$22*'Optimal Choice'!$B$23^(L673+1)</f>
        <v>5958576585</v>
      </c>
      <c r="S673" s="12">
        <f> 'Optimal Choice'!$B$27*'Optimal Choice'!$B$28^(M673+1)</f>
        <v>33737548942</v>
      </c>
    </row>
    <row r="674" ht="15.75" customHeight="1">
      <c r="A674" s="10">
        <f t="shared" si="2"/>
        <v>23315.30939</v>
      </c>
      <c r="B674" s="6">
        <f>(I674*'Optimal Choice'!$B$6+J674*'Optimal Choice'!$B$11+K674*'Optimal Choice'!$B$16+L674*'Optimal Choice'!$B$21+M674*'Optimal Choice'!$B$26)*'Optimal Choice'!$B$30</f>
        <v>293647.44</v>
      </c>
      <c r="C674" s="10">
        <f>(O674/$B674)+(O674/'Optimal Choice'!$B$6)</f>
        <v>16817684.11</v>
      </c>
      <c r="D674" s="10">
        <f>(P674/$B674)+(P674/'Optimal Choice'!$B$11)</f>
        <v>16391213.69</v>
      </c>
      <c r="E674" s="10">
        <f>(Q674/$B674)+(Q674/'Optimal Choice'!$B$16)</f>
        <v>16582941.62</v>
      </c>
      <c r="F674" s="10">
        <f>(R674/$B674)+(R674/'Optimal Choice'!$B$21)</f>
        <v>16571893.23</v>
      </c>
      <c r="G674" s="10">
        <f>(S674/$B674)+(S674/'Optimal Choice'!$B$26)</f>
        <v>17622222.2</v>
      </c>
      <c r="I674" s="11">
        <f t="shared" ref="I674:M674" si="673">if(min($C673:$G673)=C673,I673+1,I673)</f>
        <v>232</v>
      </c>
      <c r="J674" s="11">
        <f t="shared" si="673"/>
        <v>110</v>
      </c>
      <c r="K674" s="11">
        <f t="shared" si="673"/>
        <v>110</v>
      </c>
      <c r="L674" s="11">
        <f t="shared" si="673"/>
        <v>109</v>
      </c>
      <c r="M674" s="11">
        <f t="shared" si="673"/>
        <v>112</v>
      </c>
      <c r="O674" s="12">
        <f> 'Optimal Choice'!$B$7*'Optimal Choice'!$B$8^(I674+1)</f>
        <v>28085372.73</v>
      </c>
      <c r="P674" s="12">
        <f> 'Optimal Choice'!$B$12*'Optimal Choice'!$B$13^(J674+1)</f>
        <v>327801947.7</v>
      </c>
      <c r="Q674" s="12">
        <f> 'Optimal Choice'!$B$17*'Optimal Choice'!$B$18^(K674+1)</f>
        <v>1492007461</v>
      </c>
      <c r="R674" s="12">
        <f> 'Optimal Choice'!$B$22*'Optimal Choice'!$B$23^(L674+1)</f>
        <v>5958576585</v>
      </c>
      <c r="S674" s="12">
        <f> 'Optimal Choice'!$B$27*'Optimal Choice'!$B$28^(M674+1)</f>
        <v>37786054815</v>
      </c>
    </row>
    <row r="675" ht="15.75" customHeight="1">
      <c r="A675" s="10">
        <f t="shared" si="2"/>
        <v>23333.91458</v>
      </c>
      <c r="B675" s="6">
        <f>(I675*'Optimal Choice'!$B$6+J675*'Optimal Choice'!$B$11+K675*'Optimal Choice'!$B$16+L675*'Optimal Choice'!$B$21+M675*'Optimal Choice'!$B$26)*'Optimal Choice'!$B$30</f>
        <v>293667.44</v>
      </c>
      <c r="C675" s="10">
        <f>(O675/$B675)+(O675/'Optimal Choice'!$B$6)</f>
        <v>16817684.1</v>
      </c>
      <c r="D675" s="10">
        <f>(P675/$B675)+(P675/'Optimal Choice'!$B$11)</f>
        <v>18849895.66</v>
      </c>
      <c r="E675" s="10">
        <f>(Q675/$B675)+(Q675/'Optimal Choice'!$B$16)</f>
        <v>16582941.28</v>
      </c>
      <c r="F675" s="10">
        <f>(R675/$B675)+(R675/'Optimal Choice'!$B$21)</f>
        <v>16571891.84</v>
      </c>
      <c r="G675" s="10">
        <f>(S675/$B675)+(S675/'Optimal Choice'!$B$26)</f>
        <v>17622213.44</v>
      </c>
      <c r="I675" s="11">
        <f t="shared" ref="I675:M675" si="674">if(min($C674:$G674)=C674,I674+1,I674)</f>
        <v>232</v>
      </c>
      <c r="J675" s="11">
        <f t="shared" si="674"/>
        <v>111</v>
      </c>
      <c r="K675" s="11">
        <f t="shared" si="674"/>
        <v>110</v>
      </c>
      <c r="L675" s="11">
        <f t="shared" si="674"/>
        <v>109</v>
      </c>
      <c r="M675" s="11">
        <f t="shared" si="674"/>
        <v>112</v>
      </c>
      <c r="O675" s="12">
        <f> 'Optimal Choice'!$B$7*'Optimal Choice'!$B$8^(I675+1)</f>
        <v>28085372.73</v>
      </c>
      <c r="P675" s="12">
        <f> 'Optimal Choice'!$B$12*'Optimal Choice'!$B$13^(J675+1)</f>
        <v>376972239.8</v>
      </c>
      <c r="Q675" s="12">
        <f> 'Optimal Choice'!$B$17*'Optimal Choice'!$B$18^(K675+1)</f>
        <v>1492007461</v>
      </c>
      <c r="R675" s="12">
        <f> 'Optimal Choice'!$B$22*'Optimal Choice'!$B$23^(L675+1)</f>
        <v>5958576585</v>
      </c>
      <c r="S675" s="12">
        <f> 'Optimal Choice'!$B$27*'Optimal Choice'!$B$28^(M675+1)</f>
        <v>37786054815</v>
      </c>
    </row>
    <row r="676" ht="15.75" customHeight="1">
      <c r="A676" s="10">
        <f t="shared" si="2"/>
        <v>23672.08489</v>
      </c>
      <c r="B676" s="6">
        <f>(I676*'Optimal Choice'!$B$6+J676*'Optimal Choice'!$B$11+K676*'Optimal Choice'!$B$16+L676*'Optimal Choice'!$B$21+M676*'Optimal Choice'!$B$26)*'Optimal Choice'!$B$30</f>
        <v>294027.44</v>
      </c>
      <c r="C676" s="10">
        <f>(O676/$B676)+(O676/'Optimal Choice'!$B$6)</f>
        <v>16817683.98</v>
      </c>
      <c r="D676" s="10">
        <f>(P676/$B676)+(P676/'Optimal Choice'!$B$11)</f>
        <v>18849894.09</v>
      </c>
      <c r="E676" s="10">
        <f>(Q676/$B676)+(Q676/'Optimal Choice'!$B$16)</f>
        <v>16582935.06</v>
      </c>
      <c r="F676" s="10">
        <f>(R676/$B676)+(R676/'Optimal Choice'!$B$21)</f>
        <v>18726209.71</v>
      </c>
      <c r="G676" s="10">
        <f>(S676/$B676)+(S676/'Optimal Choice'!$B$26)</f>
        <v>17622055.9</v>
      </c>
      <c r="I676" s="11">
        <f t="shared" ref="I676:M676" si="675">if(min($C675:$G675)=C675,I675+1,I675)</f>
        <v>232</v>
      </c>
      <c r="J676" s="11">
        <f t="shared" si="675"/>
        <v>111</v>
      </c>
      <c r="K676" s="11">
        <f t="shared" si="675"/>
        <v>110</v>
      </c>
      <c r="L676" s="11">
        <f t="shared" si="675"/>
        <v>110</v>
      </c>
      <c r="M676" s="11">
        <f t="shared" si="675"/>
        <v>112</v>
      </c>
      <c r="O676" s="12">
        <f> 'Optimal Choice'!$B$7*'Optimal Choice'!$B$8^(I676+1)</f>
        <v>28085372.73</v>
      </c>
      <c r="P676" s="12">
        <f> 'Optimal Choice'!$B$12*'Optimal Choice'!$B$13^(J676+1)</f>
        <v>376972239.8</v>
      </c>
      <c r="Q676" s="12">
        <f> 'Optimal Choice'!$B$17*'Optimal Choice'!$B$18^(K676+1)</f>
        <v>1492007461</v>
      </c>
      <c r="R676" s="12">
        <f> 'Optimal Choice'!$B$22*'Optimal Choice'!$B$23^(L676+1)</f>
        <v>6733191541</v>
      </c>
      <c r="S676" s="12">
        <f> 'Optimal Choice'!$B$27*'Optimal Choice'!$B$28^(M676+1)</f>
        <v>37786054815</v>
      </c>
    </row>
    <row r="677" ht="15.75" customHeight="1">
      <c r="A677" s="10">
        <f t="shared" si="2"/>
        <v>23756.65792</v>
      </c>
      <c r="B677" s="6">
        <f>(I677*'Optimal Choice'!$B$6+J677*'Optimal Choice'!$B$11+K677*'Optimal Choice'!$B$16+L677*'Optimal Choice'!$B$21+M677*'Optimal Choice'!$B$26)*'Optimal Choice'!$B$30</f>
        <v>294117.44</v>
      </c>
      <c r="C677" s="10">
        <f>(O677/$B677)+(O677/'Optimal Choice'!$B$6)</f>
        <v>16817683.95</v>
      </c>
      <c r="D677" s="10">
        <f>(P677/$B677)+(P677/'Optimal Choice'!$B$11)</f>
        <v>18849893.7</v>
      </c>
      <c r="E677" s="10">
        <f>(Q677/$B677)+(Q677/'Optimal Choice'!$B$16)</f>
        <v>18904544.19</v>
      </c>
      <c r="F677" s="10">
        <f>(R677/$B677)+(R677/'Optimal Choice'!$B$21)</f>
        <v>18726202.7</v>
      </c>
      <c r="G677" s="10">
        <f>(S677/$B677)+(S677/'Optimal Choice'!$B$26)</f>
        <v>17622016.57</v>
      </c>
      <c r="I677" s="11">
        <f t="shared" ref="I677:M677" si="676">if(min($C676:$G676)=C676,I676+1,I676)</f>
        <v>232</v>
      </c>
      <c r="J677" s="11">
        <f t="shared" si="676"/>
        <v>111</v>
      </c>
      <c r="K677" s="11">
        <f t="shared" si="676"/>
        <v>111</v>
      </c>
      <c r="L677" s="11">
        <f t="shared" si="676"/>
        <v>110</v>
      </c>
      <c r="M677" s="11">
        <f t="shared" si="676"/>
        <v>112</v>
      </c>
      <c r="O677" s="12">
        <f> 'Optimal Choice'!$B$7*'Optimal Choice'!$B$8^(I677+1)</f>
        <v>28085372.73</v>
      </c>
      <c r="P677" s="12">
        <f> 'Optimal Choice'!$B$12*'Optimal Choice'!$B$13^(J677+1)</f>
        <v>376972239.8</v>
      </c>
      <c r="Q677" s="12">
        <f> 'Optimal Choice'!$B$17*'Optimal Choice'!$B$18^(K677+1)</f>
        <v>1700888505</v>
      </c>
      <c r="R677" s="12">
        <f> 'Optimal Choice'!$B$22*'Optimal Choice'!$B$23^(L677+1)</f>
        <v>6733191541</v>
      </c>
      <c r="S677" s="12">
        <f> 'Optimal Choice'!$B$27*'Optimal Choice'!$B$28^(M677+1)</f>
        <v>37786054815</v>
      </c>
    </row>
    <row r="678" ht="15.75" customHeight="1">
      <c r="A678" s="10">
        <f t="shared" si="2"/>
        <v>23758.24943</v>
      </c>
      <c r="B678" s="6">
        <f>(I678*'Optimal Choice'!$B$6+J678*'Optimal Choice'!$B$11+K678*'Optimal Choice'!$B$16+L678*'Optimal Choice'!$B$21+M678*'Optimal Choice'!$B$26)*'Optimal Choice'!$B$30</f>
        <v>294119.11</v>
      </c>
      <c r="C678" s="10">
        <f>(O678/$B678)+(O678/'Optimal Choice'!$B$6)</f>
        <v>17994921.83</v>
      </c>
      <c r="D678" s="10">
        <f>(P678/$B678)+(P678/'Optimal Choice'!$B$11)</f>
        <v>18849893.69</v>
      </c>
      <c r="E678" s="10">
        <f>(Q678/$B678)+(Q678/'Optimal Choice'!$B$16)</f>
        <v>18904544.16</v>
      </c>
      <c r="F678" s="10">
        <f>(R678/$B678)+(R678/'Optimal Choice'!$B$21)</f>
        <v>18726202.57</v>
      </c>
      <c r="G678" s="10">
        <f>(S678/$B678)+(S678/'Optimal Choice'!$B$26)</f>
        <v>17622015.84</v>
      </c>
      <c r="I678" s="11">
        <f t="shared" ref="I678:M678" si="677">if(min($C677:$G677)=C677,I677+1,I677)</f>
        <v>233</v>
      </c>
      <c r="J678" s="11">
        <f t="shared" si="677"/>
        <v>111</v>
      </c>
      <c r="K678" s="11">
        <f t="shared" si="677"/>
        <v>111</v>
      </c>
      <c r="L678" s="11">
        <f t="shared" si="677"/>
        <v>110</v>
      </c>
      <c r="M678" s="11">
        <f t="shared" si="677"/>
        <v>112</v>
      </c>
      <c r="O678" s="12">
        <f> 'Optimal Choice'!$B$7*'Optimal Choice'!$B$8^(I678+1)</f>
        <v>30051348.83</v>
      </c>
      <c r="P678" s="12">
        <f> 'Optimal Choice'!$B$12*'Optimal Choice'!$B$13^(J678+1)</f>
        <v>376972239.8</v>
      </c>
      <c r="Q678" s="12">
        <f> 'Optimal Choice'!$B$17*'Optimal Choice'!$B$18^(K678+1)</f>
        <v>1700888505</v>
      </c>
      <c r="R678" s="12">
        <f> 'Optimal Choice'!$B$22*'Optimal Choice'!$B$23^(L678+1)</f>
        <v>6733191541</v>
      </c>
      <c r="S678" s="12">
        <f> 'Optimal Choice'!$B$27*'Optimal Choice'!$B$28^(M678+1)</f>
        <v>37786054815</v>
      </c>
    </row>
    <row r="679" ht="15.75" customHeight="1">
      <c r="A679" s="10">
        <f t="shared" si="2"/>
        <v>25899.44855</v>
      </c>
      <c r="B679" s="6">
        <f>(I679*'Optimal Choice'!$B$6+J679*'Optimal Choice'!$B$11+K679*'Optimal Choice'!$B$16+L679*'Optimal Choice'!$B$21+M679*'Optimal Choice'!$B$26)*'Optimal Choice'!$B$30</f>
        <v>296279.11</v>
      </c>
      <c r="C679" s="10">
        <f>(O679/$B679)+(O679/'Optimal Choice'!$B$6)</f>
        <v>17994921.09</v>
      </c>
      <c r="D679" s="10">
        <f>(P679/$B679)+(P679/'Optimal Choice'!$B$11)</f>
        <v>18849884.35</v>
      </c>
      <c r="E679" s="10">
        <f>(Q679/$B679)+(Q679/'Optimal Choice'!$B$16)</f>
        <v>18904502</v>
      </c>
      <c r="F679" s="10">
        <f>(R679/$B679)+(R679/'Optimal Choice'!$B$21)</f>
        <v>18726035.68</v>
      </c>
      <c r="G679" s="10">
        <f>(S679/$B679)+(S679/'Optimal Choice'!$B$26)</f>
        <v>19735608.74</v>
      </c>
      <c r="I679" s="11">
        <f t="shared" ref="I679:M679" si="678">if(min($C678:$G678)=C678,I678+1,I678)</f>
        <v>233</v>
      </c>
      <c r="J679" s="11">
        <f t="shared" si="678"/>
        <v>111</v>
      </c>
      <c r="K679" s="11">
        <f t="shared" si="678"/>
        <v>111</v>
      </c>
      <c r="L679" s="11">
        <f t="shared" si="678"/>
        <v>110</v>
      </c>
      <c r="M679" s="11">
        <f t="shared" si="678"/>
        <v>113</v>
      </c>
      <c r="O679" s="12">
        <f> 'Optimal Choice'!$B$7*'Optimal Choice'!$B$8^(I679+1)</f>
        <v>30051348.83</v>
      </c>
      <c r="P679" s="12">
        <f> 'Optimal Choice'!$B$12*'Optimal Choice'!$B$13^(J679+1)</f>
        <v>376972239.8</v>
      </c>
      <c r="Q679" s="12">
        <f> 'Optimal Choice'!$B$17*'Optimal Choice'!$B$18^(K679+1)</f>
        <v>1700888505</v>
      </c>
      <c r="R679" s="12">
        <f> 'Optimal Choice'!$B$22*'Optimal Choice'!$B$23^(L679+1)</f>
        <v>6733191541</v>
      </c>
      <c r="S679" s="12">
        <f> 'Optimal Choice'!$B$27*'Optimal Choice'!$B$28^(M679+1)</f>
        <v>42320381393</v>
      </c>
    </row>
    <row r="680" ht="15.75" customHeight="1">
      <c r="A680" s="10">
        <f t="shared" si="2"/>
        <v>25901.13904</v>
      </c>
      <c r="B680" s="6">
        <f>(I680*'Optimal Choice'!$B$6+J680*'Optimal Choice'!$B$11+K680*'Optimal Choice'!$B$16+L680*'Optimal Choice'!$B$21+M680*'Optimal Choice'!$B$26)*'Optimal Choice'!$B$30</f>
        <v>296280.78</v>
      </c>
      <c r="C680" s="10">
        <f>(O680/$B680)+(O680/'Optimal Choice'!$B$6)</f>
        <v>19254565.56</v>
      </c>
      <c r="D680" s="10">
        <f>(P680/$B680)+(P680/'Optimal Choice'!$B$11)</f>
        <v>18849884.34</v>
      </c>
      <c r="E680" s="10">
        <f>(Q680/$B680)+(Q680/'Optimal Choice'!$B$16)</f>
        <v>18904501.97</v>
      </c>
      <c r="F680" s="10">
        <f>(R680/$B680)+(R680/'Optimal Choice'!$B$21)</f>
        <v>18726035.55</v>
      </c>
      <c r="G680" s="10">
        <f>(S680/$B680)+(S680/'Optimal Choice'!$B$26)</f>
        <v>19735607.93</v>
      </c>
      <c r="I680" s="11">
        <f t="shared" ref="I680:M680" si="679">if(min($C679:$G679)=C679,I679+1,I679)</f>
        <v>234</v>
      </c>
      <c r="J680" s="11">
        <f t="shared" si="679"/>
        <v>111</v>
      </c>
      <c r="K680" s="11">
        <f t="shared" si="679"/>
        <v>111</v>
      </c>
      <c r="L680" s="11">
        <f t="shared" si="679"/>
        <v>110</v>
      </c>
      <c r="M680" s="11">
        <f t="shared" si="679"/>
        <v>113</v>
      </c>
      <c r="O680" s="12">
        <f> 'Optimal Choice'!$B$7*'Optimal Choice'!$B$8^(I680+1)</f>
        <v>32154943.24</v>
      </c>
      <c r="P680" s="12">
        <f> 'Optimal Choice'!$B$12*'Optimal Choice'!$B$13^(J680+1)</f>
        <v>376972239.8</v>
      </c>
      <c r="Q680" s="12">
        <f> 'Optimal Choice'!$B$17*'Optimal Choice'!$B$18^(K680+1)</f>
        <v>1700888505</v>
      </c>
      <c r="R680" s="12">
        <f> 'Optimal Choice'!$B$22*'Optimal Choice'!$B$23^(L680+1)</f>
        <v>6733191541</v>
      </c>
      <c r="S680" s="12">
        <f> 'Optimal Choice'!$B$27*'Optimal Choice'!$B$28^(M680+1)</f>
        <v>42320381393</v>
      </c>
    </row>
    <row r="681" ht="15.75" customHeight="1">
      <c r="A681" s="10">
        <f t="shared" si="2"/>
        <v>26279.9009</v>
      </c>
      <c r="B681" s="6">
        <f>(I681*'Optimal Choice'!$B$6+J681*'Optimal Choice'!$B$11+K681*'Optimal Choice'!$B$16+L681*'Optimal Choice'!$B$21+M681*'Optimal Choice'!$B$26)*'Optimal Choice'!$B$30</f>
        <v>296640.78</v>
      </c>
      <c r="C681" s="10">
        <f>(O681/$B681)+(O681/'Optimal Choice'!$B$6)</f>
        <v>19254565.43</v>
      </c>
      <c r="D681" s="10">
        <f>(P681/$B681)+(P681/'Optimal Choice'!$B$11)</f>
        <v>18849882.79</v>
      </c>
      <c r="E681" s="10">
        <f>(Q681/$B681)+(Q681/'Optimal Choice'!$B$16)</f>
        <v>18904495</v>
      </c>
      <c r="F681" s="10">
        <f>(R681/$B681)+(R681/'Optimal Choice'!$B$21)</f>
        <v>21160389</v>
      </c>
      <c r="G681" s="10">
        <f>(S681/$B681)+(S681/'Optimal Choice'!$B$26)</f>
        <v>19735434.58</v>
      </c>
      <c r="I681" s="11">
        <f t="shared" ref="I681:M681" si="680">if(min($C680:$G680)=C680,I680+1,I680)</f>
        <v>234</v>
      </c>
      <c r="J681" s="11">
        <f t="shared" si="680"/>
        <v>111</v>
      </c>
      <c r="K681" s="11">
        <f t="shared" si="680"/>
        <v>111</v>
      </c>
      <c r="L681" s="11">
        <f t="shared" si="680"/>
        <v>111</v>
      </c>
      <c r="M681" s="11">
        <f t="shared" si="680"/>
        <v>113</v>
      </c>
      <c r="O681" s="12">
        <f> 'Optimal Choice'!$B$7*'Optimal Choice'!$B$8^(I681+1)</f>
        <v>32154943.24</v>
      </c>
      <c r="P681" s="12">
        <f> 'Optimal Choice'!$B$12*'Optimal Choice'!$B$13^(J681+1)</f>
        <v>376972239.8</v>
      </c>
      <c r="Q681" s="12">
        <f> 'Optimal Choice'!$B$17*'Optimal Choice'!$B$18^(K681+1)</f>
        <v>1700888505</v>
      </c>
      <c r="R681" s="12">
        <f> 'Optimal Choice'!$B$22*'Optimal Choice'!$B$23^(L681+1)</f>
        <v>7608506441</v>
      </c>
      <c r="S681" s="12">
        <f> 'Optimal Choice'!$B$27*'Optimal Choice'!$B$28^(M681+1)</f>
        <v>42320381393</v>
      </c>
    </row>
    <row r="682" ht="15.75" customHeight="1">
      <c r="A682" s="10">
        <f t="shared" si="2"/>
        <v>26301.08096</v>
      </c>
      <c r="B682" s="6">
        <f>(I682*'Optimal Choice'!$B$6+J682*'Optimal Choice'!$B$11+K682*'Optimal Choice'!$B$16+L682*'Optimal Choice'!$B$21+M682*'Optimal Choice'!$B$26)*'Optimal Choice'!$B$30</f>
        <v>296660.78</v>
      </c>
      <c r="C682" s="10">
        <f>(O682/$B682)+(O682/'Optimal Choice'!$B$6)</f>
        <v>19254565.42</v>
      </c>
      <c r="D682" s="10">
        <f>(P682/$B682)+(P682/'Optimal Choice'!$B$11)</f>
        <v>21677365.11</v>
      </c>
      <c r="E682" s="10">
        <f>(Q682/$B682)+(Q682/'Optimal Choice'!$B$16)</f>
        <v>18904494.61</v>
      </c>
      <c r="F682" s="10">
        <f>(R682/$B682)+(R682/'Optimal Choice'!$B$21)</f>
        <v>21160387.27</v>
      </c>
      <c r="G682" s="10">
        <f>(S682/$B682)+(S682/'Optimal Choice'!$B$26)</f>
        <v>19735424.97</v>
      </c>
      <c r="I682" s="11">
        <f t="shared" ref="I682:M682" si="681">if(min($C681:$G681)=C681,I681+1,I681)</f>
        <v>234</v>
      </c>
      <c r="J682" s="11">
        <f t="shared" si="681"/>
        <v>112</v>
      </c>
      <c r="K682" s="11">
        <f t="shared" si="681"/>
        <v>111</v>
      </c>
      <c r="L682" s="11">
        <f t="shared" si="681"/>
        <v>111</v>
      </c>
      <c r="M682" s="11">
        <f t="shared" si="681"/>
        <v>113</v>
      </c>
      <c r="O682" s="12">
        <f> 'Optimal Choice'!$B$7*'Optimal Choice'!$B$8^(I682+1)</f>
        <v>32154943.24</v>
      </c>
      <c r="P682" s="12">
        <f> 'Optimal Choice'!$B$12*'Optimal Choice'!$B$13^(J682+1)</f>
        <v>433518075.8</v>
      </c>
      <c r="Q682" s="12">
        <f> 'Optimal Choice'!$B$17*'Optimal Choice'!$B$18^(K682+1)</f>
        <v>1700888505</v>
      </c>
      <c r="R682" s="12">
        <f> 'Optimal Choice'!$B$22*'Optimal Choice'!$B$23^(L682+1)</f>
        <v>7608506441</v>
      </c>
      <c r="S682" s="12">
        <f> 'Optimal Choice'!$B$27*'Optimal Choice'!$B$28^(M682+1)</f>
        <v>42320381393</v>
      </c>
    </row>
    <row r="683" ht="15.75" customHeight="1">
      <c r="A683" s="10">
        <f t="shared" si="2"/>
        <v>26396.63839</v>
      </c>
      <c r="B683" s="6">
        <f>(I683*'Optimal Choice'!$B$6+J683*'Optimal Choice'!$B$11+K683*'Optimal Choice'!$B$16+L683*'Optimal Choice'!$B$21+M683*'Optimal Choice'!$B$26)*'Optimal Choice'!$B$30</f>
        <v>296750.78</v>
      </c>
      <c r="C683" s="10">
        <f>(O683/$B683)+(O683/'Optimal Choice'!$B$6)</f>
        <v>19254565.39</v>
      </c>
      <c r="D683" s="10">
        <f>(P683/$B683)+(P683/'Optimal Choice'!$B$11)</f>
        <v>21677364.67</v>
      </c>
      <c r="E683" s="10">
        <f>(Q683/$B683)+(Q683/'Optimal Choice'!$B$16)</f>
        <v>21551121.88</v>
      </c>
      <c r="F683" s="10">
        <f>(R683/$B683)+(R683/'Optimal Choice'!$B$21)</f>
        <v>21160379.5</v>
      </c>
      <c r="G683" s="10">
        <f>(S683/$B683)+(S683/'Optimal Choice'!$B$26)</f>
        <v>19735381.7</v>
      </c>
      <c r="I683" s="11">
        <f t="shared" ref="I683:M683" si="682">if(min($C682:$G682)=C682,I682+1,I682)</f>
        <v>234</v>
      </c>
      <c r="J683" s="11">
        <f t="shared" si="682"/>
        <v>112</v>
      </c>
      <c r="K683" s="11">
        <f t="shared" si="682"/>
        <v>112</v>
      </c>
      <c r="L683" s="11">
        <f t="shared" si="682"/>
        <v>111</v>
      </c>
      <c r="M683" s="11">
        <f t="shared" si="682"/>
        <v>113</v>
      </c>
      <c r="O683" s="12">
        <f> 'Optimal Choice'!$B$7*'Optimal Choice'!$B$8^(I683+1)</f>
        <v>32154943.24</v>
      </c>
      <c r="P683" s="12">
        <f> 'Optimal Choice'!$B$12*'Optimal Choice'!$B$13^(J683+1)</f>
        <v>433518075.8</v>
      </c>
      <c r="Q683" s="12">
        <f> 'Optimal Choice'!$B$17*'Optimal Choice'!$B$18^(K683+1)</f>
        <v>1939012896</v>
      </c>
      <c r="R683" s="12">
        <f> 'Optimal Choice'!$B$22*'Optimal Choice'!$B$23^(L683+1)</f>
        <v>7608506441</v>
      </c>
      <c r="S683" s="12">
        <f> 'Optimal Choice'!$B$27*'Optimal Choice'!$B$28^(M683+1)</f>
        <v>42320381393</v>
      </c>
    </row>
    <row r="684" ht="15.75" customHeight="1">
      <c r="A684" s="10">
        <f t="shared" si="2"/>
        <v>26398.44434</v>
      </c>
      <c r="B684" s="6">
        <f>(I684*'Optimal Choice'!$B$6+J684*'Optimal Choice'!$B$11+K684*'Optimal Choice'!$B$16+L684*'Optimal Choice'!$B$21+M684*'Optimal Choice'!$B$26)*'Optimal Choice'!$B$30</f>
        <v>296752.45</v>
      </c>
      <c r="C684" s="10">
        <f>(O684/$B684)+(O684/'Optimal Choice'!$B$6)</f>
        <v>20602384.97</v>
      </c>
      <c r="D684" s="10">
        <f>(P684/$B684)+(P684/'Optimal Choice'!$B$11)</f>
        <v>21677364.66</v>
      </c>
      <c r="E684" s="10">
        <f>(Q684/$B684)+(Q684/'Optimal Choice'!$B$16)</f>
        <v>21551121.84</v>
      </c>
      <c r="F684" s="10">
        <f>(R684/$B684)+(R684/'Optimal Choice'!$B$21)</f>
        <v>21160379.35</v>
      </c>
      <c r="G684" s="10">
        <f>(S684/$B684)+(S684/'Optimal Choice'!$B$26)</f>
        <v>19735380.9</v>
      </c>
      <c r="I684" s="11">
        <f t="shared" ref="I684:M684" si="683">if(min($C683:$G683)=C683,I683+1,I683)</f>
        <v>235</v>
      </c>
      <c r="J684" s="11">
        <f t="shared" si="683"/>
        <v>112</v>
      </c>
      <c r="K684" s="11">
        <f t="shared" si="683"/>
        <v>112</v>
      </c>
      <c r="L684" s="11">
        <f t="shared" si="683"/>
        <v>111</v>
      </c>
      <c r="M684" s="11">
        <f t="shared" si="683"/>
        <v>113</v>
      </c>
      <c r="O684" s="12">
        <f> 'Optimal Choice'!$B$7*'Optimal Choice'!$B$8^(I684+1)</f>
        <v>34405789.27</v>
      </c>
      <c r="P684" s="12">
        <f> 'Optimal Choice'!$B$12*'Optimal Choice'!$B$13^(J684+1)</f>
        <v>433518075.8</v>
      </c>
      <c r="Q684" s="12">
        <f> 'Optimal Choice'!$B$17*'Optimal Choice'!$B$18^(K684+1)</f>
        <v>1939012896</v>
      </c>
      <c r="R684" s="12">
        <f> 'Optimal Choice'!$B$22*'Optimal Choice'!$B$23^(L684+1)</f>
        <v>7608506441</v>
      </c>
      <c r="S684" s="12">
        <f> 'Optimal Choice'!$B$27*'Optimal Choice'!$B$28^(M684+1)</f>
        <v>42320381393</v>
      </c>
    </row>
    <row r="685" ht="15.75" customHeight="1">
      <c r="A685" s="10">
        <f t="shared" si="2"/>
        <v>28775.30657</v>
      </c>
      <c r="B685" s="6">
        <f>(I685*'Optimal Choice'!$B$6+J685*'Optimal Choice'!$B$11+K685*'Optimal Choice'!$B$16+L685*'Optimal Choice'!$B$21+M685*'Optimal Choice'!$B$26)*'Optimal Choice'!$B$30</f>
        <v>298912.45</v>
      </c>
      <c r="C685" s="10">
        <f>(O685/$B685)+(O685/'Optimal Choice'!$B$6)</f>
        <v>20602384.13</v>
      </c>
      <c r="D685" s="10">
        <f>(P685/$B685)+(P685/'Optimal Choice'!$B$11)</f>
        <v>21677354.11</v>
      </c>
      <c r="E685" s="10">
        <f>(Q685/$B685)+(Q685/'Optimal Choice'!$B$16)</f>
        <v>21551074.62</v>
      </c>
      <c r="F685" s="10">
        <f>(R685/$B685)+(R685/'Optimal Choice'!$B$21)</f>
        <v>21160194.08</v>
      </c>
      <c r="G685" s="10">
        <f>(S685/$B685)+(S685/'Optimal Choice'!$B$26)</f>
        <v>22102472.4</v>
      </c>
      <c r="I685" s="11">
        <f t="shared" ref="I685:M685" si="684">if(min($C684:$G684)=C684,I684+1,I684)</f>
        <v>235</v>
      </c>
      <c r="J685" s="11">
        <f t="shared" si="684"/>
        <v>112</v>
      </c>
      <c r="K685" s="11">
        <f t="shared" si="684"/>
        <v>112</v>
      </c>
      <c r="L685" s="11">
        <f t="shared" si="684"/>
        <v>111</v>
      </c>
      <c r="M685" s="11">
        <f t="shared" si="684"/>
        <v>114</v>
      </c>
      <c r="O685" s="12">
        <f> 'Optimal Choice'!$B$7*'Optimal Choice'!$B$8^(I685+1)</f>
        <v>34405789.27</v>
      </c>
      <c r="P685" s="12">
        <f> 'Optimal Choice'!$B$12*'Optimal Choice'!$B$13^(J685+1)</f>
        <v>433518075.8</v>
      </c>
      <c r="Q685" s="12">
        <f> 'Optimal Choice'!$B$17*'Optimal Choice'!$B$18^(K685+1)</f>
        <v>1939012896</v>
      </c>
      <c r="R685" s="12">
        <f> 'Optimal Choice'!$B$22*'Optimal Choice'!$B$23^(L685+1)</f>
        <v>7608506441</v>
      </c>
      <c r="S685" s="12">
        <f> 'Optimal Choice'!$B$27*'Optimal Choice'!$B$28^(M685+1)</f>
        <v>47398827160</v>
      </c>
    </row>
    <row r="686" ht="15.75" customHeight="1">
      <c r="A686" s="10">
        <f t="shared" si="2"/>
        <v>28777.22495</v>
      </c>
      <c r="B686" s="6">
        <f>(I686*'Optimal Choice'!$B$6+J686*'Optimal Choice'!$B$11+K686*'Optimal Choice'!$B$16+L686*'Optimal Choice'!$B$21+M686*'Optimal Choice'!$B$26)*'Optimal Choice'!$B$30</f>
        <v>298914.12</v>
      </c>
      <c r="C686" s="10">
        <f>(O686/$B686)+(O686/'Optimal Choice'!$B$6)</f>
        <v>22044551.02</v>
      </c>
      <c r="D686" s="10">
        <f>(P686/$B686)+(P686/'Optimal Choice'!$B$11)</f>
        <v>21677354.1</v>
      </c>
      <c r="E686" s="10">
        <f>(Q686/$B686)+(Q686/'Optimal Choice'!$B$16)</f>
        <v>21551074.59</v>
      </c>
      <c r="F686" s="10">
        <f>(R686/$B686)+(R686/'Optimal Choice'!$B$21)</f>
        <v>21160193.94</v>
      </c>
      <c r="G686" s="10">
        <f>(S686/$B686)+(S686/'Optimal Choice'!$B$26)</f>
        <v>22102471.51</v>
      </c>
      <c r="I686" s="11">
        <f t="shared" ref="I686:M686" si="685">if(min($C685:$G685)=C685,I685+1,I685)</f>
        <v>236</v>
      </c>
      <c r="J686" s="11">
        <f t="shared" si="685"/>
        <v>112</v>
      </c>
      <c r="K686" s="11">
        <f t="shared" si="685"/>
        <v>112</v>
      </c>
      <c r="L686" s="11">
        <f t="shared" si="685"/>
        <v>111</v>
      </c>
      <c r="M686" s="11">
        <f t="shared" si="685"/>
        <v>114</v>
      </c>
      <c r="O686" s="12">
        <f> 'Optimal Choice'!$B$7*'Optimal Choice'!$B$8^(I686+1)</f>
        <v>36814194.52</v>
      </c>
      <c r="P686" s="12">
        <f> 'Optimal Choice'!$B$12*'Optimal Choice'!$B$13^(J686+1)</f>
        <v>433518075.8</v>
      </c>
      <c r="Q686" s="12">
        <f> 'Optimal Choice'!$B$17*'Optimal Choice'!$B$18^(K686+1)</f>
        <v>1939012896</v>
      </c>
      <c r="R686" s="12">
        <f> 'Optimal Choice'!$B$22*'Optimal Choice'!$B$23^(L686+1)</f>
        <v>7608506441</v>
      </c>
      <c r="S686" s="12">
        <f> 'Optimal Choice'!$B$27*'Optimal Choice'!$B$28^(M686+1)</f>
        <v>47398827160</v>
      </c>
    </row>
    <row r="687" ht="15.75" customHeight="1">
      <c r="A687" s="10">
        <f t="shared" si="2"/>
        <v>29201.4553</v>
      </c>
      <c r="B687" s="6">
        <f>(I687*'Optimal Choice'!$B$6+J687*'Optimal Choice'!$B$11+K687*'Optimal Choice'!$B$16+L687*'Optimal Choice'!$B$21+M687*'Optimal Choice'!$B$26)*'Optimal Choice'!$B$30</f>
        <v>299274.12</v>
      </c>
      <c r="C687" s="10">
        <f>(O687/$B687)+(O687/'Optimal Choice'!$B$6)</f>
        <v>22044550.87</v>
      </c>
      <c r="D687" s="10">
        <f>(P687/$B687)+(P687/'Optimal Choice'!$B$11)</f>
        <v>21677352.35</v>
      </c>
      <c r="E687" s="10">
        <f>(Q687/$B687)+(Q687/'Optimal Choice'!$B$16)</f>
        <v>21551066.78</v>
      </c>
      <c r="F687" s="10">
        <f>(R687/$B687)+(R687/'Optimal Choice'!$B$21)</f>
        <v>23910984.55</v>
      </c>
      <c r="G687" s="10">
        <f>(S687/$B687)+(S687/'Optimal Choice'!$B$26)</f>
        <v>22102280.77</v>
      </c>
      <c r="I687" s="11">
        <f t="shared" ref="I687:M687" si="686">if(min($C686:$G686)=C686,I686+1,I686)</f>
        <v>236</v>
      </c>
      <c r="J687" s="11">
        <f t="shared" si="686"/>
        <v>112</v>
      </c>
      <c r="K687" s="11">
        <f t="shared" si="686"/>
        <v>112</v>
      </c>
      <c r="L687" s="11">
        <f t="shared" si="686"/>
        <v>112</v>
      </c>
      <c r="M687" s="11">
        <f t="shared" si="686"/>
        <v>114</v>
      </c>
      <c r="O687" s="12">
        <f> 'Optimal Choice'!$B$7*'Optimal Choice'!$B$8^(I687+1)</f>
        <v>36814194.52</v>
      </c>
      <c r="P687" s="12">
        <f> 'Optimal Choice'!$B$12*'Optimal Choice'!$B$13^(J687+1)</f>
        <v>433518075.8</v>
      </c>
      <c r="Q687" s="12">
        <f> 'Optimal Choice'!$B$17*'Optimal Choice'!$B$18^(K687+1)</f>
        <v>1939012896</v>
      </c>
      <c r="R687" s="12">
        <f> 'Optimal Choice'!$B$22*'Optimal Choice'!$B$23^(L687+1)</f>
        <v>8597612279</v>
      </c>
      <c r="S687" s="12">
        <f> 'Optimal Choice'!$B$27*'Optimal Choice'!$B$28^(M687+1)</f>
        <v>47398827160</v>
      </c>
    </row>
    <row r="688" ht="15.75" customHeight="1">
      <c r="A688" s="10">
        <f t="shared" si="2"/>
        <v>29309.43952</v>
      </c>
      <c r="B688" s="6">
        <f>(I688*'Optimal Choice'!$B$6+J688*'Optimal Choice'!$B$11+K688*'Optimal Choice'!$B$16+L688*'Optimal Choice'!$B$21+M688*'Optimal Choice'!$B$26)*'Optimal Choice'!$B$30</f>
        <v>299364.12</v>
      </c>
      <c r="C688" s="10">
        <f>(O688/$B688)+(O688/'Optimal Choice'!$B$6)</f>
        <v>22044550.83</v>
      </c>
      <c r="D688" s="10">
        <f>(P688/$B688)+(P688/'Optimal Choice'!$B$11)</f>
        <v>21677351.92</v>
      </c>
      <c r="E688" s="10">
        <f>(Q688/$B688)+(Q688/'Optimal Choice'!$B$16)</f>
        <v>24568213.91</v>
      </c>
      <c r="F688" s="10">
        <f>(R688/$B688)+(R688/'Optimal Choice'!$B$21)</f>
        <v>23910975.91</v>
      </c>
      <c r="G688" s="10">
        <f>(S688/$B688)+(S688/'Optimal Choice'!$B$26)</f>
        <v>22102233.15</v>
      </c>
      <c r="I688" s="11">
        <f t="shared" ref="I688:M688" si="687">if(min($C687:$G687)=C687,I687+1,I687)</f>
        <v>236</v>
      </c>
      <c r="J688" s="11">
        <f t="shared" si="687"/>
        <v>112</v>
      </c>
      <c r="K688" s="11">
        <f t="shared" si="687"/>
        <v>113</v>
      </c>
      <c r="L688" s="11">
        <f t="shared" si="687"/>
        <v>112</v>
      </c>
      <c r="M688" s="11">
        <f t="shared" si="687"/>
        <v>114</v>
      </c>
      <c r="O688" s="12">
        <f> 'Optimal Choice'!$B$7*'Optimal Choice'!$B$8^(I688+1)</f>
        <v>36814194.52</v>
      </c>
      <c r="P688" s="12">
        <f> 'Optimal Choice'!$B$12*'Optimal Choice'!$B$13^(J688+1)</f>
        <v>433518075.8</v>
      </c>
      <c r="Q688" s="12">
        <f> 'Optimal Choice'!$B$17*'Optimal Choice'!$B$18^(K688+1)</f>
        <v>2210474701</v>
      </c>
      <c r="R688" s="12">
        <f> 'Optimal Choice'!$B$22*'Optimal Choice'!$B$23^(L688+1)</f>
        <v>8597612279</v>
      </c>
      <c r="S688" s="12">
        <f> 'Optimal Choice'!$B$27*'Optimal Choice'!$B$28^(M688+1)</f>
        <v>47398827160</v>
      </c>
    </row>
    <row r="689" ht="15.75" customHeight="1">
      <c r="A689" s="10">
        <f t="shared" si="2"/>
        <v>29333.57501</v>
      </c>
      <c r="B689" s="6">
        <f>(I689*'Optimal Choice'!$B$6+J689*'Optimal Choice'!$B$11+K689*'Optimal Choice'!$B$16+L689*'Optimal Choice'!$B$21+M689*'Optimal Choice'!$B$26)*'Optimal Choice'!$B$30</f>
        <v>299384.12</v>
      </c>
      <c r="C689" s="10">
        <f>(O689/$B689)+(O689/'Optimal Choice'!$B$6)</f>
        <v>22044550.82</v>
      </c>
      <c r="D689" s="10">
        <f>(P689/$B689)+(P689/'Optimal Choice'!$B$11)</f>
        <v>24928954.6</v>
      </c>
      <c r="E689" s="10">
        <f>(Q689/$B689)+(Q689/'Optimal Choice'!$B$16)</f>
        <v>24568213.42</v>
      </c>
      <c r="F689" s="10">
        <f>(R689/$B689)+(R689/'Optimal Choice'!$B$21)</f>
        <v>23910973.99</v>
      </c>
      <c r="G689" s="10">
        <f>(S689/$B689)+(S689/'Optimal Choice'!$B$26)</f>
        <v>22102222.58</v>
      </c>
      <c r="I689" s="11">
        <f t="shared" ref="I689:M689" si="688">if(min($C688:$G688)=C688,I688+1,I688)</f>
        <v>236</v>
      </c>
      <c r="J689" s="11">
        <f t="shared" si="688"/>
        <v>113</v>
      </c>
      <c r="K689" s="11">
        <f t="shared" si="688"/>
        <v>113</v>
      </c>
      <c r="L689" s="11">
        <f t="shared" si="688"/>
        <v>112</v>
      </c>
      <c r="M689" s="11">
        <f t="shared" si="688"/>
        <v>114</v>
      </c>
      <c r="O689" s="12">
        <f> 'Optimal Choice'!$B$7*'Optimal Choice'!$B$8^(I689+1)</f>
        <v>36814194.52</v>
      </c>
      <c r="P689" s="12">
        <f> 'Optimal Choice'!$B$12*'Optimal Choice'!$B$13^(J689+1)</f>
        <v>498545787.1</v>
      </c>
      <c r="Q689" s="12">
        <f> 'Optimal Choice'!$B$17*'Optimal Choice'!$B$18^(K689+1)</f>
        <v>2210474701</v>
      </c>
      <c r="R689" s="12">
        <f> 'Optimal Choice'!$B$22*'Optimal Choice'!$B$23^(L689+1)</f>
        <v>8597612279</v>
      </c>
      <c r="S689" s="12">
        <f> 'Optimal Choice'!$B$27*'Optimal Choice'!$B$28^(M689+1)</f>
        <v>47398827160</v>
      </c>
    </row>
    <row r="690" ht="15.75" customHeight="1">
      <c r="A690" s="10">
        <f t="shared" si="2"/>
        <v>29335.62445</v>
      </c>
      <c r="B690" s="6">
        <f>(I690*'Optimal Choice'!$B$6+J690*'Optimal Choice'!$B$11+K690*'Optimal Choice'!$B$16+L690*'Optimal Choice'!$B$21+M690*'Optimal Choice'!$B$26)*'Optimal Choice'!$B$30</f>
        <v>299385.79</v>
      </c>
      <c r="C690" s="10">
        <f>(O690/$B690)+(O690/'Optimal Choice'!$B$6)</f>
        <v>23587669.38</v>
      </c>
      <c r="D690" s="10">
        <f>(P690/$B690)+(P690/'Optimal Choice'!$B$11)</f>
        <v>24928954.59</v>
      </c>
      <c r="E690" s="10">
        <f>(Q690/$B690)+(Q690/'Optimal Choice'!$B$16)</f>
        <v>24568213.38</v>
      </c>
      <c r="F690" s="10">
        <f>(R690/$B690)+(R690/'Optimal Choice'!$B$21)</f>
        <v>23910973.83</v>
      </c>
      <c r="G690" s="10">
        <f>(S690/$B690)+(S690/'Optimal Choice'!$B$26)</f>
        <v>22102221.69</v>
      </c>
      <c r="I690" s="11">
        <f t="shared" ref="I690:M690" si="689">if(min($C689:$G689)=C689,I689+1,I689)</f>
        <v>237</v>
      </c>
      <c r="J690" s="11">
        <f t="shared" si="689"/>
        <v>113</v>
      </c>
      <c r="K690" s="11">
        <f t="shared" si="689"/>
        <v>113</v>
      </c>
      <c r="L690" s="11">
        <f t="shared" si="689"/>
        <v>112</v>
      </c>
      <c r="M690" s="11">
        <f t="shared" si="689"/>
        <v>114</v>
      </c>
      <c r="O690" s="12">
        <f> 'Optimal Choice'!$B$7*'Optimal Choice'!$B$8^(I690+1)</f>
        <v>39391188.14</v>
      </c>
      <c r="P690" s="12">
        <f> 'Optimal Choice'!$B$12*'Optimal Choice'!$B$13^(J690+1)</f>
        <v>498545787.1</v>
      </c>
      <c r="Q690" s="12">
        <f> 'Optimal Choice'!$B$17*'Optimal Choice'!$B$18^(K690+1)</f>
        <v>2210474701</v>
      </c>
      <c r="R690" s="12">
        <f> 'Optimal Choice'!$B$22*'Optimal Choice'!$B$23^(L690+1)</f>
        <v>8597612279</v>
      </c>
      <c r="S690" s="12">
        <f> 'Optimal Choice'!$B$27*'Optimal Choice'!$B$28^(M690+1)</f>
        <v>47398827160</v>
      </c>
    </row>
    <row r="691" ht="15.75" customHeight="1">
      <c r="A691" s="10">
        <f t="shared" si="2"/>
        <v>31974.29495</v>
      </c>
      <c r="B691" s="6">
        <f>(I691*'Optimal Choice'!$B$6+J691*'Optimal Choice'!$B$11+K691*'Optimal Choice'!$B$16+L691*'Optimal Choice'!$B$21+M691*'Optimal Choice'!$B$26)*'Optimal Choice'!$B$30</f>
        <v>301545.79</v>
      </c>
      <c r="C691" s="10">
        <f>(O691/$B691)+(O691/'Optimal Choice'!$B$6)</f>
        <v>23587668.44</v>
      </c>
      <c r="D691" s="10">
        <f>(P691/$B691)+(P691/'Optimal Choice'!$B$11)</f>
        <v>24928942.66</v>
      </c>
      <c r="E691" s="10">
        <f>(Q691/$B691)+(Q691/'Optimal Choice'!$B$16)</f>
        <v>24568160.49</v>
      </c>
      <c r="F691" s="10">
        <f>(R691/$B691)+(R691/'Optimal Choice'!$B$21)</f>
        <v>23910768.13</v>
      </c>
      <c r="G691" s="10">
        <f>(S691/$B691)+(S691/'Optimal Choice'!$B$26)</f>
        <v>24753218.15</v>
      </c>
      <c r="I691" s="11">
        <f t="shared" ref="I691:M691" si="690">if(min($C690:$G690)=C690,I690+1,I690)</f>
        <v>237</v>
      </c>
      <c r="J691" s="11">
        <f t="shared" si="690"/>
        <v>113</v>
      </c>
      <c r="K691" s="11">
        <f t="shared" si="690"/>
        <v>113</v>
      </c>
      <c r="L691" s="11">
        <f t="shared" si="690"/>
        <v>112</v>
      </c>
      <c r="M691" s="11">
        <f t="shared" si="690"/>
        <v>115</v>
      </c>
      <c r="O691" s="12">
        <f> 'Optimal Choice'!$B$7*'Optimal Choice'!$B$8^(I691+1)</f>
        <v>39391188.14</v>
      </c>
      <c r="P691" s="12">
        <f> 'Optimal Choice'!$B$12*'Optimal Choice'!$B$13^(J691+1)</f>
        <v>498545787.1</v>
      </c>
      <c r="Q691" s="12">
        <f> 'Optimal Choice'!$B$17*'Optimal Choice'!$B$18^(K691+1)</f>
        <v>2210474701</v>
      </c>
      <c r="R691" s="12">
        <f> 'Optimal Choice'!$B$22*'Optimal Choice'!$B$23^(L691+1)</f>
        <v>8597612279</v>
      </c>
      <c r="S691" s="12">
        <f> 'Optimal Choice'!$B$27*'Optimal Choice'!$B$28^(M691+1)</f>
        <v>53086686420</v>
      </c>
    </row>
    <row r="692" ht="15.75" customHeight="1">
      <c r="A692" s="10">
        <f t="shared" si="2"/>
        <v>31976.47213</v>
      </c>
      <c r="B692" s="6">
        <f>(I692*'Optimal Choice'!$B$6+J692*'Optimal Choice'!$B$11+K692*'Optimal Choice'!$B$16+L692*'Optimal Choice'!$B$21+M692*'Optimal Choice'!$B$26)*'Optimal Choice'!$B$30</f>
        <v>301547.46</v>
      </c>
      <c r="C692" s="10">
        <f>(O692/$B692)+(O692/'Optimal Choice'!$B$6)</f>
        <v>25238805.23</v>
      </c>
      <c r="D692" s="10">
        <f>(P692/$B692)+(P692/'Optimal Choice'!$B$11)</f>
        <v>24928942.65</v>
      </c>
      <c r="E692" s="10">
        <f>(Q692/$B692)+(Q692/'Optimal Choice'!$B$16)</f>
        <v>24568160.45</v>
      </c>
      <c r="F692" s="10">
        <f>(R692/$B692)+(R692/'Optimal Choice'!$B$21)</f>
        <v>23910767.97</v>
      </c>
      <c r="G692" s="10">
        <f>(S692/$B692)+(S692/'Optimal Choice'!$B$26)</f>
        <v>24753217.17</v>
      </c>
      <c r="I692" s="11">
        <f t="shared" ref="I692:M692" si="691">if(min($C691:$G691)=C691,I691+1,I691)</f>
        <v>238</v>
      </c>
      <c r="J692" s="11">
        <f t="shared" si="691"/>
        <v>113</v>
      </c>
      <c r="K692" s="11">
        <f t="shared" si="691"/>
        <v>113</v>
      </c>
      <c r="L692" s="11">
        <f t="shared" si="691"/>
        <v>112</v>
      </c>
      <c r="M692" s="11">
        <f t="shared" si="691"/>
        <v>115</v>
      </c>
      <c r="O692" s="12">
        <f> 'Optimal Choice'!$B$7*'Optimal Choice'!$B$8^(I692+1)</f>
        <v>42148571.31</v>
      </c>
      <c r="P692" s="12">
        <f> 'Optimal Choice'!$B$12*'Optimal Choice'!$B$13^(J692+1)</f>
        <v>498545787.1</v>
      </c>
      <c r="Q692" s="12">
        <f> 'Optimal Choice'!$B$17*'Optimal Choice'!$B$18^(K692+1)</f>
        <v>2210474701</v>
      </c>
      <c r="R692" s="12">
        <f> 'Optimal Choice'!$B$22*'Optimal Choice'!$B$23^(L692+1)</f>
        <v>8597612279</v>
      </c>
      <c r="S692" s="12">
        <f> 'Optimal Choice'!$B$27*'Optimal Choice'!$B$28^(M692+1)</f>
        <v>53086686420</v>
      </c>
    </row>
    <row r="693" ht="15.75" customHeight="1">
      <c r="A693" s="10">
        <f t="shared" si="2"/>
        <v>32451.66612</v>
      </c>
      <c r="B693" s="6">
        <f>(I693*'Optimal Choice'!$B$6+J693*'Optimal Choice'!$B$11+K693*'Optimal Choice'!$B$16+L693*'Optimal Choice'!$B$21+M693*'Optimal Choice'!$B$26)*'Optimal Choice'!$B$30</f>
        <v>301907.46</v>
      </c>
      <c r="C693" s="10">
        <f>(O693/$B693)+(O693/'Optimal Choice'!$B$6)</f>
        <v>25238805.06</v>
      </c>
      <c r="D693" s="10">
        <f>(P693/$B693)+(P693/'Optimal Choice'!$B$11)</f>
        <v>24928940.68</v>
      </c>
      <c r="E693" s="10">
        <f>(Q693/$B693)+(Q693/'Optimal Choice'!$B$16)</f>
        <v>24568151.71</v>
      </c>
      <c r="F693" s="10">
        <f>(R693/$B693)+(R693/'Optimal Choice'!$B$21)</f>
        <v>27019129.39</v>
      </c>
      <c r="G693" s="10">
        <f>(S693/$B693)+(S693/'Optimal Choice'!$B$26)</f>
        <v>24753007.25</v>
      </c>
      <c r="I693" s="11">
        <f t="shared" ref="I693:M693" si="692">if(min($C692:$G692)=C692,I692+1,I692)</f>
        <v>238</v>
      </c>
      <c r="J693" s="11">
        <f t="shared" si="692"/>
        <v>113</v>
      </c>
      <c r="K693" s="11">
        <f t="shared" si="692"/>
        <v>113</v>
      </c>
      <c r="L693" s="11">
        <f t="shared" si="692"/>
        <v>113</v>
      </c>
      <c r="M693" s="11">
        <f t="shared" si="692"/>
        <v>115</v>
      </c>
      <c r="O693" s="12">
        <f> 'Optimal Choice'!$B$7*'Optimal Choice'!$B$8^(I693+1)</f>
        <v>42148571.31</v>
      </c>
      <c r="P693" s="12">
        <f> 'Optimal Choice'!$B$12*'Optimal Choice'!$B$13^(J693+1)</f>
        <v>498545787.1</v>
      </c>
      <c r="Q693" s="12">
        <f> 'Optimal Choice'!$B$17*'Optimal Choice'!$B$18^(K693+1)</f>
        <v>2210474701</v>
      </c>
      <c r="R693" s="12">
        <f> 'Optimal Choice'!$B$22*'Optimal Choice'!$B$23^(L693+1)</f>
        <v>9715301875</v>
      </c>
      <c r="S693" s="12">
        <f> 'Optimal Choice'!$B$27*'Optimal Choice'!$B$28^(M693+1)</f>
        <v>53086686420</v>
      </c>
    </row>
    <row r="694" ht="15.75" customHeight="1">
      <c r="A694" s="10">
        <f t="shared" si="2"/>
        <v>32573.69439</v>
      </c>
      <c r="B694" s="6">
        <f>(I694*'Optimal Choice'!$B$6+J694*'Optimal Choice'!$B$11+K694*'Optimal Choice'!$B$16+L694*'Optimal Choice'!$B$21+M694*'Optimal Choice'!$B$26)*'Optimal Choice'!$B$30</f>
        <v>301997.46</v>
      </c>
      <c r="C694" s="10">
        <f>(O694/$B694)+(O694/'Optimal Choice'!$B$6)</f>
        <v>25238805.02</v>
      </c>
      <c r="D694" s="10">
        <f>(P694/$B694)+(P694/'Optimal Choice'!$B$11)</f>
        <v>24928940.19</v>
      </c>
      <c r="E694" s="10">
        <f>(Q694/$B694)+(Q694/'Optimal Choice'!$B$16)</f>
        <v>28007690.46</v>
      </c>
      <c r="F694" s="10">
        <f>(R694/$B694)+(R694/'Optimal Choice'!$B$21)</f>
        <v>27019119.8</v>
      </c>
      <c r="G694" s="10">
        <f>(S694/$B694)+(S694/'Optimal Choice'!$B$26)</f>
        <v>24752954.85</v>
      </c>
      <c r="I694" s="11">
        <f t="shared" ref="I694:M694" si="693">if(min($C693:$G693)=C693,I693+1,I693)</f>
        <v>238</v>
      </c>
      <c r="J694" s="11">
        <f t="shared" si="693"/>
        <v>113</v>
      </c>
      <c r="K694" s="11">
        <f t="shared" si="693"/>
        <v>114</v>
      </c>
      <c r="L694" s="11">
        <f t="shared" si="693"/>
        <v>113</v>
      </c>
      <c r="M694" s="11">
        <f t="shared" si="693"/>
        <v>115</v>
      </c>
      <c r="O694" s="12">
        <f> 'Optimal Choice'!$B$7*'Optimal Choice'!$B$8^(I694+1)</f>
        <v>42148571.31</v>
      </c>
      <c r="P694" s="12">
        <f> 'Optimal Choice'!$B$12*'Optimal Choice'!$B$13^(J694+1)</f>
        <v>498545787.1</v>
      </c>
      <c r="Q694" s="12">
        <f> 'Optimal Choice'!$B$17*'Optimal Choice'!$B$18^(K694+1)</f>
        <v>2519941159</v>
      </c>
      <c r="R694" s="12">
        <f> 'Optimal Choice'!$B$22*'Optimal Choice'!$B$23^(L694+1)</f>
        <v>9715301875</v>
      </c>
      <c r="S694" s="12">
        <f> 'Optimal Choice'!$B$27*'Optimal Choice'!$B$28^(M694+1)</f>
        <v>53086686420</v>
      </c>
    </row>
    <row r="695" ht="15.75" customHeight="1">
      <c r="A695" s="10">
        <f t="shared" si="2"/>
        <v>35503.44786</v>
      </c>
      <c r="B695" s="6">
        <f>(I695*'Optimal Choice'!$B$6+J695*'Optimal Choice'!$B$11+K695*'Optimal Choice'!$B$16+L695*'Optimal Choice'!$B$21+M695*'Optimal Choice'!$B$26)*'Optimal Choice'!$B$30</f>
        <v>304157.46</v>
      </c>
      <c r="C695" s="10">
        <f>(O695/$B695)+(O695/'Optimal Choice'!$B$6)</f>
        <v>25238804.03</v>
      </c>
      <c r="D695" s="10">
        <f>(P695/$B695)+(P695/'Optimal Choice'!$B$11)</f>
        <v>24928928.46</v>
      </c>
      <c r="E695" s="10">
        <f>(Q695/$B695)+(Q695/'Optimal Choice'!$B$16)</f>
        <v>28007631.2</v>
      </c>
      <c r="F695" s="10">
        <f>(R695/$B695)+(R695/'Optimal Choice'!$B$21)</f>
        <v>27018891.34</v>
      </c>
      <c r="G695" s="10">
        <f>(S695/$B695)+(S695/'Optimal Choice'!$B$26)</f>
        <v>27721911.27</v>
      </c>
      <c r="I695" s="11">
        <f t="shared" ref="I695:M695" si="694">if(min($C694:$G694)=C694,I694+1,I694)</f>
        <v>238</v>
      </c>
      <c r="J695" s="11">
        <f t="shared" si="694"/>
        <v>113</v>
      </c>
      <c r="K695" s="11">
        <f t="shared" si="694"/>
        <v>114</v>
      </c>
      <c r="L695" s="11">
        <f t="shared" si="694"/>
        <v>113</v>
      </c>
      <c r="M695" s="11">
        <f t="shared" si="694"/>
        <v>116</v>
      </c>
      <c r="O695" s="12">
        <f> 'Optimal Choice'!$B$7*'Optimal Choice'!$B$8^(I695+1)</f>
        <v>42148571.31</v>
      </c>
      <c r="P695" s="12">
        <f> 'Optimal Choice'!$B$12*'Optimal Choice'!$B$13^(J695+1)</f>
        <v>498545787.1</v>
      </c>
      <c r="Q695" s="12">
        <f> 'Optimal Choice'!$B$17*'Optimal Choice'!$B$18^(K695+1)</f>
        <v>2519941159</v>
      </c>
      <c r="R695" s="12">
        <f> 'Optimal Choice'!$B$22*'Optimal Choice'!$B$23^(L695+1)</f>
        <v>9715301875</v>
      </c>
      <c r="S695" s="12">
        <f> 'Optimal Choice'!$B$27*'Optimal Choice'!$B$28^(M695+1)</f>
        <v>59457088790</v>
      </c>
    </row>
    <row r="696" ht="15.75" customHeight="1">
      <c r="A696" s="10">
        <f t="shared" si="2"/>
        <v>35530.76626</v>
      </c>
      <c r="B696" s="6">
        <f>(I696*'Optimal Choice'!$B$6+J696*'Optimal Choice'!$B$11+K696*'Optimal Choice'!$B$16+L696*'Optimal Choice'!$B$21+M696*'Optimal Choice'!$B$26)*'Optimal Choice'!$B$30</f>
        <v>304177.46</v>
      </c>
      <c r="C696" s="10">
        <f>(O696/$B696)+(O696/'Optimal Choice'!$B$6)</f>
        <v>25238804.02</v>
      </c>
      <c r="D696" s="10">
        <f>(P696/$B696)+(P696/'Optimal Choice'!$B$11)</f>
        <v>28668267.61</v>
      </c>
      <c r="E696" s="10">
        <f>(Q696/$B696)+(Q696/'Optimal Choice'!$B$16)</f>
        <v>28007630.66</v>
      </c>
      <c r="F696" s="10">
        <f>(R696/$B696)+(R696/'Optimal Choice'!$B$21)</f>
        <v>27018889.24</v>
      </c>
      <c r="G696" s="10">
        <f>(S696/$B696)+(S696/'Optimal Choice'!$B$26)</f>
        <v>27721898.42</v>
      </c>
      <c r="I696" s="11">
        <f t="shared" ref="I696:M696" si="695">if(min($C695:$G695)=C695,I695+1,I695)</f>
        <v>238</v>
      </c>
      <c r="J696" s="11">
        <f t="shared" si="695"/>
        <v>114</v>
      </c>
      <c r="K696" s="11">
        <f t="shared" si="695"/>
        <v>114</v>
      </c>
      <c r="L696" s="11">
        <f t="shared" si="695"/>
        <v>113</v>
      </c>
      <c r="M696" s="11">
        <f t="shared" si="695"/>
        <v>116</v>
      </c>
      <c r="O696" s="12">
        <f> 'Optimal Choice'!$B$7*'Optimal Choice'!$B$8^(I696+1)</f>
        <v>42148571.31</v>
      </c>
      <c r="P696" s="12">
        <f> 'Optimal Choice'!$B$12*'Optimal Choice'!$B$13^(J696+1)</f>
        <v>573327655.2</v>
      </c>
      <c r="Q696" s="12">
        <f> 'Optimal Choice'!$B$17*'Optimal Choice'!$B$18^(K696+1)</f>
        <v>2519941159</v>
      </c>
      <c r="R696" s="12">
        <f> 'Optimal Choice'!$B$22*'Optimal Choice'!$B$23^(L696+1)</f>
        <v>9715301875</v>
      </c>
      <c r="S696" s="12">
        <f> 'Optimal Choice'!$B$27*'Optimal Choice'!$B$28^(M696+1)</f>
        <v>59457088790</v>
      </c>
    </row>
    <row r="697" ht="15.75" customHeight="1">
      <c r="A697" s="10">
        <f t="shared" si="2"/>
        <v>35533.07569</v>
      </c>
      <c r="B697" s="6">
        <f>(I697*'Optimal Choice'!$B$6+J697*'Optimal Choice'!$B$11+K697*'Optimal Choice'!$B$16+L697*'Optimal Choice'!$B$21+M697*'Optimal Choice'!$B$26)*'Optimal Choice'!$B$30</f>
        <v>304179.13</v>
      </c>
      <c r="C697" s="10">
        <f>(O697/$B697)+(O697/'Optimal Choice'!$B$6)</f>
        <v>27005520.3</v>
      </c>
      <c r="D697" s="10">
        <f>(P697/$B697)+(P697/'Optimal Choice'!$B$11)</f>
        <v>28668267.6</v>
      </c>
      <c r="E697" s="10">
        <f>(Q697/$B697)+(Q697/'Optimal Choice'!$B$16)</f>
        <v>28007630.61</v>
      </c>
      <c r="F697" s="10">
        <f>(R697/$B697)+(R697/'Optimal Choice'!$B$21)</f>
        <v>27018889.06</v>
      </c>
      <c r="G697" s="10">
        <f>(S697/$B697)+(S697/'Optimal Choice'!$B$26)</f>
        <v>27721897.35</v>
      </c>
      <c r="I697" s="11">
        <f t="shared" ref="I697:M697" si="696">if(min($C696:$G696)=C696,I696+1,I696)</f>
        <v>239</v>
      </c>
      <c r="J697" s="11">
        <f t="shared" si="696"/>
        <v>114</v>
      </c>
      <c r="K697" s="11">
        <f t="shared" si="696"/>
        <v>114</v>
      </c>
      <c r="L697" s="11">
        <f t="shared" si="696"/>
        <v>113</v>
      </c>
      <c r="M697" s="11">
        <f t="shared" si="696"/>
        <v>116</v>
      </c>
      <c r="O697" s="12">
        <f> 'Optimal Choice'!$B$7*'Optimal Choice'!$B$8^(I697+1)</f>
        <v>45098971.3</v>
      </c>
      <c r="P697" s="12">
        <f> 'Optimal Choice'!$B$12*'Optimal Choice'!$B$13^(J697+1)</f>
        <v>573327655.2</v>
      </c>
      <c r="Q697" s="12">
        <f> 'Optimal Choice'!$B$17*'Optimal Choice'!$B$18^(K697+1)</f>
        <v>2519941159</v>
      </c>
      <c r="R697" s="12">
        <f> 'Optimal Choice'!$B$22*'Optimal Choice'!$B$23^(L697+1)</f>
        <v>9715301875</v>
      </c>
      <c r="S697" s="12">
        <f> 'Optimal Choice'!$B$27*'Optimal Choice'!$B$28^(M697+1)</f>
        <v>59457088790</v>
      </c>
    </row>
    <row r="698" ht="15.75" customHeight="1">
      <c r="A698" s="10">
        <f t="shared" si="2"/>
        <v>35535.54677</v>
      </c>
      <c r="B698" s="6">
        <f>(I698*'Optimal Choice'!$B$6+J698*'Optimal Choice'!$B$11+K698*'Optimal Choice'!$B$16+L698*'Optimal Choice'!$B$21+M698*'Optimal Choice'!$B$26)*'Optimal Choice'!$B$30</f>
        <v>304180.8</v>
      </c>
      <c r="C698" s="10">
        <f>(O698/$B698)+(O698/'Optimal Choice'!$B$6)</f>
        <v>28895906.72</v>
      </c>
      <c r="D698" s="10">
        <f>(P698/$B698)+(P698/'Optimal Choice'!$B$11)</f>
        <v>28668267.59</v>
      </c>
      <c r="E698" s="10">
        <f>(Q698/$B698)+(Q698/'Optimal Choice'!$B$16)</f>
        <v>28007630.57</v>
      </c>
      <c r="F698" s="10">
        <f>(R698/$B698)+(R698/'Optimal Choice'!$B$21)</f>
        <v>27018888.89</v>
      </c>
      <c r="G698" s="10">
        <f>(S698/$B698)+(S698/'Optimal Choice'!$B$26)</f>
        <v>27721896.27</v>
      </c>
      <c r="I698" s="11">
        <f t="shared" ref="I698:M698" si="697">if(min($C697:$G697)=C697,I697+1,I697)</f>
        <v>240</v>
      </c>
      <c r="J698" s="11">
        <f t="shared" si="697"/>
        <v>114</v>
      </c>
      <c r="K698" s="11">
        <f t="shared" si="697"/>
        <v>114</v>
      </c>
      <c r="L698" s="11">
        <f t="shared" si="697"/>
        <v>113</v>
      </c>
      <c r="M698" s="11">
        <f t="shared" si="697"/>
        <v>116</v>
      </c>
      <c r="O698" s="12">
        <f> 'Optimal Choice'!$B$7*'Optimal Choice'!$B$8^(I698+1)</f>
        <v>48255899.29</v>
      </c>
      <c r="P698" s="12">
        <f> 'Optimal Choice'!$B$12*'Optimal Choice'!$B$13^(J698+1)</f>
        <v>573327655.2</v>
      </c>
      <c r="Q698" s="12">
        <f> 'Optimal Choice'!$B$17*'Optimal Choice'!$B$18^(K698+1)</f>
        <v>2519941159</v>
      </c>
      <c r="R698" s="12">
        <f> 'Optimal Choice'!$B$22*'Optimal Choice'!$B$23^(L698+1)</f>
        <v>9715301875</v>
      </c>
      <c r="S698" s="12">
        <f> 'Optimal Choice'!$B$27*'Optimal Choice'!$B$28^(M698+1)</f>
        <v>59457088790</v>
      </c>
    </row>
    <row r="699" ht="15.75" customHeight="1">
      <c r="A699" s="10">
        <f t="shared" si="2"/>
        <v>36067.86734</v>
      </c>
      <c r="B699" s="6">
        <f>(I699*'Optimal Choice'!$B$6+J699*'Optimal Choice'!$B$11+K699*'Optimal Choice'!$B$16+L699*'Optimal Choice'!$B$21+M699*'Optimal Choice'!$B$26)*'Optimal Choice'!$B$30</f>
        <v>304540.8</v>
      </c>
      <c r="C699" s="10">
        <f>(O699/$B699)+(O699/'Optimal Choice'!$B$6)</f>
        <v>28895906.53</v>
      </c>
      <c r="D699" s="10">
        <f>(P699/$B699)+(P699/'Optimal Choice'!$B$11)</f>
        <v>28668265.36</v>
      </c>
      <c r="E699" s="10">
        <f>(Q699/$B699)+(Q699/'Optimal Choice'!$B$16)</f>
        <v>28007620.78</v>
      </c>
      <c r="F699" s="10">
        <f>(R699/$B699)+(R699/'Optimal Choice'!$B$21)</f>
        <v>30531301.78</v>
      </c>
      <c r="G699" s="10">
        <f>(S699/$B699)+(S699/'Optimal Choice'!$B$26)</f>
        <v>27721665.21</v>
      </c>
      <c r="I699" s="11">
        <f t="shared" ref="I699:M699" si="698">if(min($C698:$G698)=C698,I698+1,I698)</f>
        <v>240</v>
      </c>
      <c r="J699" s="11">
        <f t="shared" si="698"/>
        <v>114</v>
      </c>
      <c r="K699" s="11">
        <f t="shared" si="698"/>
        <v>114</v>
      </c>
      <c r="L699" s="11">
        <f t="shared" si="698"/>
        <v>114</v>
      </c>
      <c r="M699" s="11">
        <f t="shared" si="698"/>
        <v>116</v>
      </c>
      <c r="O699" s="12">
        <f> 'Optimal Choice'!$B$7*'Optimal Choice'!$B$8^(I699+1)</f>
        <v>48255899.29</v>
      </c>
      <c r="P699" s="12">
        <f> 'Optimal Choice'!$B$12*'Optimal Choice'!$B$13^(J699+1)</f>
        <v>573327655.2</v>
      </c>
      <c r="Q699" s="12">
        <f> 'Optimal Choice'!$B$17*'Optimal Choice'!$B$18^(K699+1)</f>
        <v>2519941159</v>
      </c>
      <c r="R699" s="12">
        <f> 'Optimal Choice'!$B$22*'Optimal Choice'!$B$23^(L699+1)</f>
        <v>10978291119</v>
      </c>
      <c r="S699" s="12">
        <f> 'Optimal Choice'!$B$27*'Optimal Choice'!$B$28^(M699+1)</f>
        <v>59457088790</v>
      </c>
    </row>
    <row r="700" ht="15.75" customHeight="1">
      <c r="A700" s="10">
        <f t="shared" si="2"/>
        <v>39321.7876</v>
      </c>
      <c r="B700" s="6">
        <f>(I700*'Optimal Choice'!$B$6+J700*'Optimal Choice'!$B$11+K700*'Optimal Choice'!$B$16+L700*'Optimal Choice'!$B$21+M700*'Optimal Choice'!$B$26)*'Optimal Choice'!$B$30</f>
        <v>306700.8</v>
      </c>
      <c r="C700" s="10">
        <f>(O700/$B700)+(O700/'Optimal Choice'!$B$6)</f>
        <v>28895905.42</v>
      </c>
      <c r="D700" s="10">
        <f>(P700/$B700)+(P700/'Optimal Choice'!$B$11)</f>
        <v>28668252.1</v>
      </c>
      <c r="E700" s="10">
        <f>(Q700/$B700)+(Q700/'Optimal Choice'!$B$16)</f>
        <v>28007562.5</v>
      </c>
      <c r="F700" s="10">
        <f>(R700/$B700)+(R700/'Optimal Choice'!$B$21)</f>
        <v>30531047.9</v>
      </c>
      <c r="G700" s="10">
        <f>(S700/$B700)+(S700/'Optimal Choice'!$B$26)</f>
        <v>31046725.06</v>
      </c>
      <c r="I700" s="11">
        <f t="shared" ref="I700:M700" si="699">if(min($C699:$G699)=C699,I699+1,I699)</f>
        <v>240</v>
      </c>
      <c r="J700" s="11">
        <f t="shared" si="699"/>
        <v>114</v>
      </c>
      <c r="K700" s="11">
        <f t="shared" si="699"/>
        <v>114</v>
      </c>
      <c r="L700" s="11">
        <f t="shared" si="699"/>
        <v>114</v>
      </c>
      <c r="M700" s="11">
        <f t="shared" si="699"/>
        <v>117</v>
      </c>
      <c r="O700" s="12">
        <f> 'Optimal Choice'!$B$7*'Optimal Choice'!$B$8^(I700+1)</f>
        <v>48255899.29</v>
      </c>
      <c r="P700" s="12">
        <f> 'Optimal Choice'!$B$12*'Optimal Choice'!$B$13^(J700+1)</f>
        <v>573327655.2</v>
      </c>
      <c r="Q700" s="12">
        <f> 'Optimal Choice'!$B$17*'Optimal Choice'!$B$18^(K700+1)</f>
        <v>2519941159</v>
      </c>
      <c r="R700" s="12">
        <f> 'Optimal Choice'!$B$22*'Optimal Choice'!$B$23^(L700+1)</f>
        <v>10978291119</v>
      </c>
      <c r="S700" s="12">
        <f> 'Optimal Choice'!$B$27*'Optimal Choice'!$B$28^(M700+1)</f>
        <v>66591939445</v>
      </c>
    </row>
    <row r="701" ht="15.75" customHeight="1">
      <c r="A701" s="10">
        <f t="shared" si="2"/>
        <v>39458.72568</v>
      </c>
      <c r="B701" s="6">
        <f>(I701*'Optimal Choice'!$B$6+J701*'Optimal Choice'!$B$11+K701*'Optimal Choice'!$B$16+L701*'Optimal Choice'!$B$21+M701*'Optimal Choice'!$B$26)*'Optimal Choice'!$B$30</f>
        <v>306790.8</v>
      </c>
      <c r="C701" s="10">
        <f>(O701/$B701)+(O701/'Optimal Choice'!$B$6)</f>
        <v>28895905.37</v>
      </c>
      <c r="D701" s="10">
        <f>(P701/$B701)+(P701/'Optimal Choice'!$B$11)</f>
        <v>28668251.55</v>
      </c>
      <c r="E701" s="10">
        <f>(Q701/$B701)+(Q701/'Optimal Choice'!$B$16)</f>
        <v>31928618.5</v>
      </c>
      <c r="F701" s="10">
        <f>(R701/$B701)+(R701/'Optimal Choice'!$B$21)</f>
        <v>30531037.4</v>
      </c>
      <c r="G701" s="10">
        <f>(S701/$B701)+(S701/'Optimal Choice'!$B$26)</f>
        <v>31046661.36</v>
      </c>
      <c r="I701" s="11">
        <f t="shared" ref="I701:M701" si="700">if(min($C700:$G700)=C700,I700+1,I700)</f>
        <v>240</v>
      </c>
      <c r="J701" s="11">
        <f t="shared" si="700"/>
        <v>114</v>
      </c>
      <c r="K701" s="11">
        <f t="shared" si="700"/>
        <v>115</v>
      </c>
      <c r="L701" s="11">
        <f t="shared" si="700"/>
        <v>114</v>
      </c>
      <c r="M701" s="11">
        <f t="shared" si="700"/>
        <v>117</v>
      </c>
      <c r="O701" s="12">
        <f> 'Optimal Choice'!$B$7*'Optimal Choice'!$B$8^(I701+1)</f>
        <v>48255899.29</v>
      </c>
      <c r="P701" s="12">
        <f> 'Optimal Choice'!$B$12*'Optimal Choice'!$B$13^(J701+1)</f>
        <v>573327655.2</v>
      </c>
      <c r="Q701" s="12">
        <f> 'Optimal Choice'!$B$17*'Optimal Choice'!$B$18^(K701+1)</f>
        <v>2872732922</v>
      </c>
      <c r="R701" s="12">
        <f> 'Optimal Choice'!$B$22*'Optimal Choice'!$B$23^(L701+1)</f>
        <v>10978291119</v>
      </c>
      <c r="S701" s="12">
        <f> 'Optimal Choice'!$B$27*'Optimal Choice'!$B$28^(M701+1)</f>
        <v>66591939445</v>
      </c>
    </row>
    <row r="702" ht="15.75" customHeight="1">
      <c r="A702" s="10">
        <f t="shared" si="2"/>
        <v>39489.87219</v>
      </c>
      <c r="B702" s="6">
        <f>(I702*'Optimal Choice'!$B$6+J702*'Optimal Choice'!$B$11+K702*'Optimal Choice'!$B$16+L702*'Optimal Choice'!$B$21+M702*'Optimal Choice'!$B$26)*'Optimal Choice'!$B$30</f>
        <v>306810.8</v>
      </c>
      <c r="C702" s="10">
        <f>(O702/$B702)+(O702/'Optimal Choice'!$B$6)</f>
        <v>28895905.36</v>
      </c>
      <c r="D702" s="10">
        <f>(P702/$B702)+(P702/'Optimal Choice'!$B$11)</f>
        <v>32968489.14</v>
      </c>
      <c r="E702" s="10">
        <f>(Q702/$B702)+(Q702/'Optimal Choice'!$B$16)</f>
        <v>31928617.89</v>
      </c>
      <c r="F702" s="10">
        <f>(R702/$B702)+(R702/'Optimal Choice'!$B$21)</f>
        <v>30531035.07</v>
      </c>
      <c r="G702" s="10">
        <f>(S702/$B702)+(S702/'Optimal Choice'!$B$26)</f>
        <v>31046647.21</v>
      </c>
      <c r="I702" s="11">
        <f t="shared" ref="I702:M702" si="701">if(min($C701:$G701)=C701,I701+1,I701)</f>
        <v>240</v>
      </c>
      <c r="J702" s="11">
        <f t="shared" si="701"/>
        <v>115</v>
      </c>
      <c r="K702" s="11">
        <f t="shared" si="701"/>
        <v>115</v>
      </c>
      <c r="L702" s="11">
        <f t="shared" si="701"/>
        <v>114</v>
      </c>
      <c r="M702" s="11">
        <f t="shared" si="701"/>
        <v>117</v>
      </c>
      <c r="O702" s="12">
        <f> 'Optimal Choice'!$B$7*'Optimal Choice'!$B$8^(I702+1)</f>
        <v>48255899.29</v>
      </c>
      <c r="P702" s="12">
        <f> 'Optimal Choice'!$B$12*'Optimal Choice'!$B$13^(J702+1)</f>
        <v>659326803.5</v>
      </c>
      <c r="Q702" s="12">
        <f> 'Optimal Choice'!$B$17*'Optimal Choice'!$B$18^(K702+1)</f>
        <v>2872732922</v>
      </c>
      <c r="R702" s="12">
        <f> 'Optimal Choice'!$B$22*'Optimal Choice'!$B$23^(L702+1)</f>
        <v>10978291119</v>
      </c>
      <c r="S702" s="12">
        <f> 'Optimal Choice'!$B$27*'Optimal Choice'!$B$28^(M702+1)</f>
        <v>66591939445</v>
      </c>
    </row>
    <row r="703" ht="15.75" customHeight="1">
      <c r="A703" s="10">
        <f t="shared" si="2"/>
        <v>39492.49356</v>
      </c>
      <c r="B703" s="6">
        <f>(I703*'Optimal Choice'!$B$6+J703*'Optimal Choice'!$B$11+K703*'Optimal Choice'!$B$16+L703*'Optimal Choice'!$B$21+M703*'Optimal Choice'!$B$26)*'Optimal Choice'!$B$30</f>
        <v>306812.47</v>
      </c>
      <c r="C703" s="10">
        <f>(O703/$B703)+(O703/'Optimal Choice'!$B$6)</f>
        <v>30918618.73</v>
      </c>
      <c r="D703" s="10">
        <f>(P703/$B703)+(P703/'Optimal Choice'!$B$11)</f>
        <v>32968489.13</v>
      </c>
      <c r="E703" s="10">
        <f>(Q703/$B703)+(Q703/'Optimal Choice'!$B$16)</f>
        <v>31928617.84</v>
      </c>
      <c r="F703" s="10">
        <f>(R703/$B703)+(R703/'Optimal Choice'!$B$21)</f>
        <v>30531034.87</v>
      </c>
      <c r="G703" s="10">
        <f>(S703/$B703)+(S703/'Optimal Choice'!$B$26)</f>
        <v>31046646.03</v>
      </c>
      <c r="I703" s="11">
        <f t="shared" ref="I703:M703" si="702">if(min($C702:$G702)=C702,I702+1,I702)</f>
        <v>241</v>
      </c>
      <c r="J703" s="11">
        <f t="shared" si="702"/>
        <v>115</v>
      </c>
      <c r="K703" s="11">
        <f t="shared" si="702"/>
        <v>115</v>
      </c>
      <c r="L703" s="11">
        <f t="shared" si="702"/>
        <v>114</v>
      </c>
      <c r="M703" s="11">
        <f t="shared" si="702"/>
        <v>117</v>
      </c>
      <c r="O703" s="12">
        <f> 'Optimal Choice'!$B$7*'Optimal Choice'!$B$8^(I703+1)</f>
        <v>51633812.24</v>
      </c>
      <c r="P703" s="12">
        <f> 'Optimal Choice'!$B$12*'Optimal Choice'!$B$13^(J703+1)</f>
        <v>659326803.5</v>
      </c>
      <c r="Q703" s="12">
        <f> 'Optimal Choice'!$B$17*'Optimal Choice'!$B$18^(K703+1)</f>
        <v>2872732922</v>
      </c>
      <c r="R703" s="12">
        <f> 'Optimal Choice'!$B$22*'Optimal Choice'!$B$23^(L703+1)</f>
        <v>10978291119</v>
      </c>
      <c r="S703" s="12">
        <f> 'Optimal Choice'!$B$27*'Optimal Choice'!$B$28^(M703+1)</f>
        <v>66591939445</v>
      </c>
    </row>
    <row r="704" ht="15.75" customHeight="1">
      <c r="A704" s="10">
        <f t="shared" si="2"/>
        <v>40088.85628</v>
      </c>
      <c r="B704" s="6">
        <f>(I704*'Optimal Choice'!$B$6+J704*'Optimal Choice'!$B$11+K704*'Optimal Choice'!$B$16+L704*'Optimal Choice'!$B$21+M704*'Optimal Choice'!$B$26)*'Optimal Choice'!$B$30</f>
        <v>307172.47</v>
      </c>
      <c r="C704" s="10">
        <f>(O704/$B704)+(O704/'Optimal Choice'!$B$6)</f>
        <v>30918618.54</v>
      </c>
      <c r="D704" s="10">
        <f>(P704/$B704)+(P704/'Optimal Choice'!$B$11)</f>
        <v>32968486.61</v>
      </c>
      <c r="E704" s="10">
        <f>(Q704/$B704)+(Q704/'Optimal Choice'!$B$16)</f>
        <v>31928606.87</v>
      </c>
      <c r="F704" s="10">
        <f>(R704/$B704)+(R704/'Optimal Choice'!$B$21)</f>
        <v>34500022.02</v>
      </c>
      <c r="G704" s="10">
        <f>(S704/$B704)+(S704/'Optimal Choice'!$B$26)</f>
        <v>31046391.66</v>
      </c>
      <c r="I704" s="11">
        <f t="shared" ref="I704:M704" si="703">if(min($C703:$G703)=C703,I703+1,I703)</f>
        <v>241</v>
      </c>
      <c r="J704" s="11">
        <f t="shared" si="703"/>
        <v>115</v>
      </c>
      <c r="K704" s="11">
        <f t="shared" si="703"/>
        <v>115</v>
      </c>
      <c r="L704" s="11">
        <f t="shared" si="703"/>
        <v>115</v>
      </c>
      <c r="M704" s="11">
        <f t="shared" si="703"/>
        <v>117</v>
      </c>
      <c r="O704" s="12">
        <f> 'Optimal Choice'!$B$7*'Optimal Choice'!$B$8^(I704+1)</f>
        <v>51633812.24</v>
      </c>
      <c r="P704" s="12">
        <f> 'Optimal Choice'!$B$12*'Optimal Choice'!$B$13^(J704+1)</f>
        <v>659326803.5</v>
      </c>
      <c r="Q704" s="12">
        <f> 'Optimal Choice'!$B$17*'Optimal Choice'!$B$18^(K704+1)</f>
        <v>2872732922</v>
      </c>
      <c r="R704" s="12">
        <f> 'Optimal Choice'!$B$22*'Optimal Choice'!$B$23^(L704+1)</f>
        <v>12405468964</v>
      </c>
      <c r="S704" s="12">
        <f> 'Optimal Choice'!$B$27*'Optimal Choice'!$B$28^(M704+1)</f>
        <v>66591939445</v>
      </c>
    </row>
    <row r="705" ht="15.75" customHeight="1">
      <c r="A705" s="10">
        <f t="shared" si="2"/>
        <v>40091.65784</v>
      </c>
      <c r="B705" s="6">
        <f>(I705*'Optimal Choice'!$B$6+J705*'Optimal Choice'!$B$11+K705*'Optimal Choice'!$B$16+L705*'Optimal Choice'!$B$21+M705*'Optimal Choice'!$B$26)*'Optimal Choice'!$B$30</f>
        <v>307174.14</v>
      </c>
      <c r="C705" s="10">
        <f>(O705/$B705)+(O705/'Optimal Choice'!$B$6)</f>
        <v>33082921.83</v>
      </c>
      <c r="D705" s="10">
        <f>(P705/$B705)+(P705/'Optimal Choice'!$B$11)</f>
        <v>32968486.6</v>
      </c>
      <c r="E705" s="10">
        <f>(Q705/$B705)+(Q705/'Optimal Choice'!$B$16)</f>
        <v>31928606.82</v>
      </c>
      <c r="F705" s="10">
        <f>(R705/$B705)+(R705/'Optimal Choice'!$B$21)</f>
        <v>34500021.8</v>
      </c>
      <c r="G705" s="10">
        <f>(S705/$B705)+(S705/'Optimal Choice'!$B$26)</f>
        <v>31046390.48</v>
      </c>
      <c r="I705" s="11">
        <f t="shared" ref="I705:M705" si="704">if(min($C704:$G704)=C704,I704+1,I704)</f>
        <v>242</v>
      </c>
      <c r="J705" s="11">
        <f t="shared" si="704"/>
        <v>115</v>
      </c>
      <c r="K705" s="11">
        <f t="shared" si="704"/>
        <v>115</v>
      </c>
      <c r="L705" s="11">
        <f t="shared" si="704"/>
        <v>115</v>
      </c>
      <c r="M705" s="11">
        <f t="shared" si="704"/>
        <v>117</v>
      </c>
      <c r="O705" s="12">
        <f> 'Optimal Choice'!$B$7*'Optimal Choice'!$B$8^(I705+1)</f>
        <v>55248179.09</v>
      </c>
      <c r="P705" s="12">
        <f> 'Optimal Choice'!$B$12*'Optimal Choice'!$B$13^(J705+1)</f>
        <v>659326803.5</v>
      </c>
      <c r="Q705" s="12">
        <f> 'Optimal Choice'!$B$17*'Optimal Choice'!$B$18^(K705+1)</f>
        <v>2872732922</v>
      </c>
      <c r="R705" s="12">
        <f> 'Optimal Choice'!$B$22*'Optimal Choice'!$B$23^(L705+1)</f>
        <v>12405468964</v>
      </c>
      <c r="S705" s="12">
        <f> 'Optimal Choice'!$B$27*'Optimal Choice'!$B$28^(M705+1)</f>
        <v>66591939445</v>
      </c>
    </row>
    <row r="706" ht="15.75" customHeight="1">
      <c r="A706" s="10">
        <f t="shared" si="2"/>
        <v>43704.80593</v>
      </c>
      <c r="B706" s="6">
        <f>(I706*'Optimal Choice'!$B$6+J706*'Optimal Choice'!$B$11+K706*'Optimal Choice'!$B$16+L706*'Optimal Choice'!$B$21+M706*'Optimal Choice'!$B$26)*'Optimal Choice'!$B$30</f>
        <v>309334.14</v>
      </c>
      <c r="C706" s="10">
        <f>(O706/$B706)+(O706/'Optimal Choice'!$B$6)</f>
        <v>33082920.58</v>
      </c>
      <c r="D706" s="10">
        <f>(P706/$B706)+(P706/'Optimal Choice'!$B$11)</f>
        <v>32968471.61</v>
      </c>
      <c r="E706" s="10">
        <f>(Q706/$B706)+(Q706/'Optimal Choice'!$B$16)</f>
        <v>31928541.51</v>
      </c>
      <c r="F706" s="10">
        <f>(R706/$B706)+(R706/'Optimal Choice'!$B$21)</f>
        <v>34499739.79</v>
      </c>
      <c r="G706" s="10">
        <f>(S706/$B706)+(S706/'Optimal Choice'!$B$26)</f>
        <v>34770261.9</v>
      </c>
      <c r="I706" s="11">
        <f t="shared" ref="I706:M706" si="705">if(min($C705:$G705)=C705,I705+1,I705)</f>
        <v>242</v>
      </c>
      <c r="J706" s="11">
        <f t="shared" si="705"/>
        <v>115</v>
      </c>
      <c r="K706" s="11">
        <f t="shared" si="705"/>
        <v>115</v>
      </c>
      <c r="L706" s="11">
        <f t="shared" si="705"/>
        <v>115</v>
      </c>
      <c r="M706" s="11">
        <f t="shared" si="705"/>
        <v>118</v>
      </c>
      <c r="O706" s="12">
        <f> 'Optimal Choice'!$B$7*'Optimal Choice'!$B$8^(I706+1)</f>
        <v>55248179.09</v>
      </c>
      <c r="P706" s="12">
        <f> 'Optimal Choice'!$B$12*'Optimal Choice'!$B$13^(J706+1)</f>
        <v>659326803.5</v>
      </c>
      <c r="Q706" s="12">
        <f> 'Optimal Choice'!$B$17*'Optimal Choice'!$B$18^(K706+1)</f>
        <v>2872732922</v>
      </c>
      <c r="R706" s="12">
        <f> 'Optimal Choice'!$B$22*'Optimal Choice'!$B$23^(L706+1)</f>
        <v>12405468964</v>
      </c>
      <c r="S706" s="12">
        <f> 'Optimal Choice'!$B$27*'Optimal Choice'!$B$28^(M706+1)</f>
        <v>74582972178</v>
      </c>
    </row>
    <row r="707" ht="15.75" customHeight="1">
      <c r="A707" s="10">
        <f t="shared" si="2"/>
        <v>43859.5864</v>
      </c>
      <c r="B707" s="6">
        <f>(I707*'Optimal Choice'!$B$6+J707*'Optimal Choice'!$B$11+K707*'Optimal Choice'!$B$16+L707*'Optimal Choice'!$B$21+M707*'Optimal Choice'!$B$26)*'Optimal Choice'!$B$30</f>
        <v>309424.14</v>
      </c>
      <c r="C707" s="10">
        <f>(O707/$B707)+(O707/'Optimal Choice'!$B$6)</f>
        <v>33082920.52</v>
      </c>
      <c r="D707" s="10">
        <f>(P707/$B707)+(P707/'Optimal Choice'!$B$11)</f>
        <v>32968470.99</v>
      </c>
      <c r="E707" s="10">
        <f>(Q707/$B707)+(Q707/'Optimal Choice'!$B$16)</f>
        <v>36398534.25</v>
      </c>
      <c r="F707" s="10">
        <f>(R707/$B707)+(R707/'Optimal Choice'!$B$21)</f>
        <v>34499728.13</v>
      </c>
      <c r="G707" s="10">
        <f>(S707/$B707)+(S707/'Optimal Choice'!$B$26)</f>
        <v>34770191.77</v>
      </c>
      <c r="I707" s="11">
        <f t="shared" ref="I707:M707" si="706">if(min($C706:$G706)=C706,I706+1,I706)</f>
        <v>242</v>
      </c>
      <c r="J707" s="11">
        <f t="shared" si="706"/>
        <v>115</v>
      </c>
      <c r="K707" s="11">
        <f t="shared" si="706"/>
        <v>116</v>
      </c>
      <c r="L707" s="11">
        <f t="shared" si="706"/>
        <v>115</v>
      </c>
      <c r="M707" s="11">
        <f t="shared" si="706"/>
        <v>118</v>
      </c>
      <c r="O707" s="12">
        <f> 'Optimal Choice'!$B$7*'Optimal Choice'!$B$8^(I707+1)</f>
        <v>55248179.09</v>
      </c>
      <c r="P707" s="12">
        <f> 'Optimal Choice'!$B$12*'Optimal Choice'!$B$13^(J707+1)</f>
        <v>659326803.5</v>
      </c>
      <c r="Q707" s="12">
        <f> 'Optimal Choice'!$B$17*'Optimal Choice'!$B$18^(K707+1)</f>
        <v>3274915531</v>
      </c>
      <c r="R707" s="12">
        <f> 'Optimal Choice'!$B$22*'Optimal Choice'!$B$23^(L707+1)</f>
        <v>12405468964</v>
      </c>
      <c r="S707" s="12">
        <f> 'Optimal Choice'!$B$27*'Optimal Choice'!$B$28^(M707+1)</f>
        <v>74582972178</v>
      </c>
    </row>
    <row r="708" ht="15.75" customHeight="1">
      <c r="A708" s="10">
        <f t="shared" si="2"/>
        <v>43895.10005</v>
      </c>
      <c r="B708" s="6">
        <f>(I708*'Optimal Choice'!$B$6+J708*'Optimal Choice'!$B$11+K708*'Optimal Choice'!$B$16+L708*'Optimal Choice'!$B$21+M708*'Optimal Choice'!$B$26)*'Optimal Choice'!$B$30</f>
        <v>309444.14</v>
      </c>
      <c r="C708" s="10">
        <f>(O708/$B708)+(O708/'Optimal Choice'!$B$6)</f>
        <v>33082920.51</v>
      </c>
      <c r="D708" s="10">
        <f>(P708/$B708)+(P708/'Optimal Choice'!$B$11)</f>
        <v>37913741.48</v>
      </c>
      <c r="E708" s="10">
        <f>(Q708/$B708)+(Q708/'Optimal Choice'!$B$16)</f>
        <v>36398533.56</v>
      </c>
      <c r="F708" s="10">
        <f>(R708/$B708)+(R708/'Optimal Choice'!$B$21)</f>
        <v>34499725.54</v>
      </c>
      <c r="G708" s="10">
        <f>(S708/$B708)+(S708/'Optimal Choice'!$B$26)</f>
        <v>34770176.2</v>
      </c>
      <c r="I708" s="11">
        <f t="shared" ref="I708:M708" si="707">if(min($C707:$G707)=C707,I707+1,I707)</f>
        <v>242</v>
      </c>
      <c r="J708" s="11">
        <f t="shared" si="707"/>
        <v>116</v>
      </c>
      <c r="K708" s="11">
        <f t="shared" si="707"/>
        <v>116</v>
      </c>
      <c r="L708" s="11">
        <f t="shared" si="707"/>
        <v>115</v>
      </c>
      <c r="M708" s="11">
        <f t="shared" si="707"/>
        <v>118</v>
      </c>
      <c r="O708" s="12">
        <f> 'Optimal Choice'!$B$7*'Optimal Choice'!$B$8^(I708+1)</f>
        <v>55248179.09</v>
      </c>
      <c r="P708" s="12">
        <f> 'Optimal Choice'!$B$12*'Optimal Choice'!$B$13^(J708+1)</f>
        <v>758225824</v>
      </c>
      <c r="Q708" s="12">
        <f> 'Optimal Choice'!$B$17*'Optimal Choice'!$B$18^(K708+1)</f>
        <v>3274915531</v>
      </c>
      <c r="R708" s="12">
        <f> 'Optimal Choice'!$B$22*'Optimal Choice'!$B$23^(L708+1)</f>
        <v>12405468964</v>
      </c>
      <c r="S708" s="12">
        <f> 'Optimal Choice'!$B$27*'Optimal Choice'!$B$28^(M708+1)</f>
        <v>74582972178</v>
      </c>
    </row>
    <row r="709" ht="15.75" customHeight="1">
      <c r="A709" s="10">
        <f t="shared" si="2"/>
        <v>43898.07571</v>
      </c>
      <c r="B709" s="6">
        <f>(I709*'Optimal Choice'!$B$6+J709*'Optimal Choice'!$B$11+K709*'Optimal Choice'!$B$16+L709*'Optimal Choice'!$B$21+M709*'Optimal Choice'!$B$26)*'Optimal Choice'!$B$30</f>
        <v>309445.81</v>
      </c>
      <c r="C709" s="10">
        <f>(O709/$B709)+(O709/'Optimal Choice'!$B$6)</f>
        <v>35398724.95</v>
      </c>
      <c r="D709" s="10">
        <f>(P709/$B709)+(P709/'Optimal Choice'!$B$11)</f>
        <v>37913741.47</v>
      </c>
      <c r="E709" s="10">
        <f>(Q709/$B709)+(Q709/'Optimal Choice'!$B$16)</f>
        <v>36398533.5</v>
      </c>
      <c r="F709" s="10">
        <f>(R709/$B709)+(R709/'Optimal Choice'!$B$21)</f>
        <v>34499725.32</v>
      </c>
      <c r="G709" s="10">
        <f>(S709/$B709)+(S709/'Optimal Choice'!$B$26)</f>
        <v>34770174.89</v>
      </c>
      <c r="I709" s="11">
        <f t="shared" ref="I709:M709" si="708">if(min($C708:$G708)=C708,I708+1,I708)</f>
        <v>243</v>
      </c>
      <c r="J709" s="11">
        <f t="shared" si="708"/>
        <v>116</v>
      </c>
      <c r="K709" s="11">
        <f t="shared" si="708"/>
        <v>116</v>
      </c>
      <c r="L709" s="11">
        <f t="shared" si="708"/>
        <v>115</v>
      </c>
      <c r="M709" s="11">
        <f t="shared" si="708"/>
        <v>118</v>
      </c>
      <c r="O709" s="12">
        <f> 'Optimal Choice'!$B$7*'Optimal Choice'!$B$8^(I709+1)</f>
        <v>59115551.63</v>
      </c>
      <c r="P709" s="12">
        <f> 'Optimal Choice'!$B$12*'Optimal Choice'!$B$13^(J709+1)</f>
        <v>758225824</v>
      </c>
      <c r="Q709" s="12">
        <f> 'Optimal Choice'!$B$17*'Optimal Choice'!$B$18^(K709+1)</f>
        <v>3274915531</v>
      </c>
      <c r="R709" s="12">
        <f> 'Optimal Choice'!$B$22*'Optimal Choice'!$B$23^(L709+1)</f>
        <v>12405468964</v>
      </c>
      <c r="S709" s="12">
        <f> 'Optimal Choice'!$B$27*'Optimal Choice'!$B$28^(M709+1)</f>
        <v>74582972178</v>
      </c>
    </row>
    <row r="710" ht="15.75" customHeight="1">
      <c r="A710" s="10">
        <f t="shared" si="2"/>
        <v>44566.23088</v>
      </c>
      <c r="B710" s="6">
        <f>(I710*'Optimal Choice'!$B$6+J710*'Optimal Choice'!$B$11+K710*'Optimal Choice'!$B$16+L710*'Optimal Choice'!$B$21+M710*'Optimal Choice'!$B$26)*'Optimal Choice'!$B$30</f>
        <v>309805.81</v>
      </c>
      <c r="C710" s="10">
        <f>(O710/$B710)+(O710/'Optimal Choice'!$B$6)</f>
        <v>35398724.73</v>
      </c>
      <c r="D710" s="10">
        <f>(P710/$B710)+(P710/'Optimal Choice'!$B$11)</f>
        <v>37913738.62</v>
      </c>
      <c r="E710" s="10">
        <f>(Q710/$B710)+(Q710/'Optimal Choice'!$B$16)</f>
        <v>36398521.21</v>
      </c>
      <c r="F710" s="10">
        <f>(R710/$B710)+(R710/'Optimal Choice'!$B$21)</f>
        <v>38984636.97</v>
      </c>
      <c r="G710" s="10">
        <f>(S710/$B710)+(S710/'Optimal Choice'!$B$26)</f>
        <v>34769894.82</v>
      </c>
      <c r="I710" s="11">
        <f t="shared" ref="I710:M710" si="709">if(min($C709:$G709)=C709,I709+1,I709)</f>
        <v>243</v>
      </c>
      <c r="J710" s="11">
        <f t="shared" si="709"/>
        <v>116</v>
      </c>
      <c r="K710" s="11">
        <f t="shared" si="709"/>
        <v>116</v>
      </c>
      <c r="L710" s="11">
        <f t="shared" si="709"/>
        <v>116</v>
      </c>
      <c r="M710" s="11">
        <f t="shared" si="709"/>
        <v>118</v>
      </c>
      <c r="O710" s="12">
        <f> 'Optimal Choice'!$B$7*'Optimal Choice'!$B$8^(I710+1)</f>
        <v>59115551.63</v>
      </c>
      <c r="P710" s="12">
        <f> 'Optimal Choice'!$B$12*'Optimal Choice'!$B$13^(J710+1)</f>
        <v>758225824</v>
      </c>
      <c r="Q710" s="12">
        <f> 'Optimal Choice'!$B$17*'Optimal Choice'!$B$18^(K710+1)</f>
        <v>3274915531</v>
      </c>
      <c r="R710" s="12">
        <f> 'Optimal Choice'!$B$22*'Optimal Choice'!$B$23^(L710+1)</f>
        <v>14018179929</v>
      </c>
      <c r="S710" s="12">
        <f> 'Optimal Choice'!$B$27*'Optimal Choice'!$B$28^(M710+1)</f>
        <v>74582972178</v>
      </c>
    </row>
    <row r="711" ht="15.75" customHeight="1">
      <c r="A711" s="10">
        <f t="shared" si="2"/>
        <v>48578.58151</v>
      </c>
      <c r="B711" s="6">
        <f>(I711*'Optimal Choice'!$B$6+J711*'Optimal Choice'!$B$11+K711*'Optimal Choice'!$B$16+L711*'Optimal Choice'!$B$21+M711*'Optimal Choice'!$B$26)*'Optimal Choice'!$B$30</f>
        <v>311965.81</v>
      </c>
      <c r="C711" s="10">
        <f>(O711/$B711)+(O711/'Optimal Choice'!$B$6)</f>
        <v>35398723.4</v>
      </c>
      <c r="D711" s="10">
        <f>(P711/$B711)+(P711/'Optimal Choice'!$B$11)</f>
        <v>37913721.68</v>
      </c>
      <c r="E711" s="10">
        <f>(Q711/$B711)+(Q711/'Optimal Choice'!$B$16)</f>
        <v>36398448.02</v>
      </c>
      <c r="F711" s="10">
        <f>(R711/$B711)+(R711/'Optimal Choice'!$B$21)</f>
        <v>38984323.68</v>
      </c>
      <c r="G711" s="10">
        <f>(S711/$B711)+(S711/'Optimal Choice'!$B$26)</f>
        <v>38940415.33</v>
      </c>
      <c r="I711" s="11">
        <f t="shared" ref="I711:M711" si="710">if(min($C710:$G710)=C710,I710+1,I710)</f>
        <v>243</v>
      </c>
      <c r="J711" s="11">
        <f t="shared" si="710"/>
        <v>116</v>
      </c>
      <c r="K711" s="11">
        <f t="shared" si="710"/>
        <v>116</v>
      </c>
      <c r="L711" s="11">
        <f t="shared" si="710"/>
        <v>116</v>
      </c>
      <c r="M711" s="11">
        <f t="shared" si="710"/>
        <v>119</v>
      </c>
      <c r="O711" s="12">
        <f> 'Optimal Choice'!$B$7*'Optimal Choice'!$B$8^(I711+1)</f>
        <v>59115551.63</v>
      </c>
      <c r="P711" s="12">
        <f> 'Optimal Choice'!$B$12*'Optimal Choice'!$B$13^(J711+1)</f>
        <v>758225824</v>
      </c>
      <c r="Q711" s="12">
        <f> 'Optimal Choice'!$B$17*'Optimal Choice'!$B$18^(K711+1)</f>
        <v>3274915531</v>
      </c>
      <c r="R711" s="12">
        <f> 'Optimal Choice'!$B$22*'Optimal Choice'!$B$23^(L711+1)</f>
        <v>14018179929</v>
      </c>
      <c r="S711" s="12">
        <f> 'Optimal Choice'!$B$27*'Optimal Choice'!$B$28^(M711+1)</f>
        <v>83532928840</v>
      </c>
    </row>
    <row r="712" ht="15.75" customHeight="1">
      <c r="A712" s="10">
        <f t="shared" si="2"/>
        <v>48581.73973</v>
      </c>
      <c r="B712" s="6">
        <f>(I712*'Optimal Choice'!$B$6+J712*'Optimal Choice'!$B$11+K712*'Optimal Choice'!$B$16+L712*'Optimal Choice'!$B$21+M712*'Optimal Choice'!$B$26)*'Optimal Choice'!$B$30</f>
        <v>311967.48</v>
      </c>
      <c r="C712" s="10">
        <f>(O712/$B712)+(O712/'Optimal Choice'!$B$6)</f>
        <v>37876634.04</v>
      </c>
      <c r="D712" s="10">
        <f>(P712/$B712)+(P712/'Optimal Choice'!$B$11)</f>
        <v>37913721.67</v>
      </c>
      <c r="E712" s="10">
        <f>(Q712/$B712)+(Q712/'Optimal Choice'!$B$16)</f>
        <v>36398447.96</v>
      </c>
      <c r="F712" s="10">
        <f>(R712/$B712)+(R712/'Optimal Choice'!$B$21)</f>
        <v>38984323.44</v>
      </c>
      <c r="G712" s="10">
        <f>(S712/$B712)+(S712/'Optimal Choice'!$B$26)</f>
        <v>38940413.9</v>
      </c>
      <c r="I712" s="11">
        <f t="shared" ref="I712:M712" si="711">if(min($C711:$G711)=C711,I711+1,I711)</f>
        <v>244</v>
      </c>
      <c r="J712" s="11">
        <f t="shared" si="711"/>
        <v>116</v>
      </c>
      <c r="K712" s="11">
        <f t="shared" si="711"/>
        <v>116</v>
      </c>
      <c r="L712" s="11">
        <f t="shared" si="711"/>
        <v>116</v>
      </c>
      <c r="M712" s="11">
        <f t="shared" si="711"/>
        <v>119</v>
      </c>
      <c r="O712" s="12">
        <f> 'Optimal Choice'!$B$7*'Optimal Choice'!$B$8^(I712+1)</f>
        <v>63253640.25</v>
      </c>
      <c r="P712" s="12">
        <f> 'Optimal Choice'!$B$12*'Optimal Choice'!$B$13^(J712+1)</f>
        <v>758225824</v>
      </c>
      <c r="Q712" s="12">
        <f> 'Optimal Choice'!$B$17*'Optimal Choice'!$B$18^(K712+1)</f>
        <v>3274915531</v>
      </c>
      <c r="R712" s="12">
        <f> 'Optimal Choice'!$B$22*'Optimal Choice'!$B$23^(L712+1)</f>
        <v>14018179929</v>
      </c>
      <c r="S712" s="12">
        <f> 'Optimal Choice'!$B$27*'Optimal Choice'!$B$28^(M712+1)</f>
        <v>83532928840</v>
      </c>
    </row>
    <row r="713" ht="15.75" customHeight="1">
      <c r="A713" s="10">
        <f t="shared" si="2"/>
        <v>48756.70004</v>
      </c>
      <c r="B713" s="6">
        <f>(I713*'Optimal Choice'!$B$6+J713*'Optimal Choice'!$B$11+K713*'Optimal Choice'!$B$16+L713*'Optimal Choice'!$B$21+M713*'Optimal Choice'!$B$26)*'Optimal Choice'!$B$30</f>
        <v>312057.48</v>
      </c>
      <c r="C713" s="10">
        <f>(O713/$B713)+(O713/'Optimal Choice'!$B$6)</f>
        <v>37876633.98</v>
      </c>
      <c r="D713" s="10">
        <f>(P713/$B713)+(P713/'Optimal Choice'!$B$11)</f>
        <v>37913720.96</v>
      </c>
      <c r="E713" s="10">
        <f>(Q713/$B713)+(Q713/'Optimal Choice'!$B$16)</f>
        <v>41494227.22</v>
      </c>
      <c r="F713" s="10">
        <f>(R713/$B713)+(R713/'Optimal Choice'!$B$21)</f>
        <v>38984310.48</v>
      </c>
      <c r="G713" s="10">
        <f>(S713/$B713)+(S713/'Optimal Choice'!$B$26)</f>
        <v>38940336.67</v>
      </c>
      <c r="I713" s="11">
        <f t="shared" ref="I713:M713" si="712">if(min($C712:$G712)=C712,I712+1,I712)</f>
        <v>244</v>
      </c>
      <c r="J713" s="11">
        <f t="shared" si="712"/>
        <v>116</v>
      </c>
      <c r="K713" s="11">
        <f t="shared" si="712"/>
        <v>117</v>
      </c>
      <c r="L713" s="11">
        <f t="shared" si="712"/>
        <v>116</v>
      </c>
      <c r="M713" s="11">
        <f t="shared" si="712"/>
        <v>119</v>
      </c>
      <c r="O713" s="12">
        <f> 'Optimal Choice'!$B$7*'Optimal Choice'!$B$8^(I713+1)</f>
        <v>63253640.25</v>
      </c>
      <c r="P713" s="12">
        <f> 'Optimal Choice'!$B$12*'Optimal Choice'!$B$13^(J713+1)</f>
        <v>758225824</v>
      </c>
      <c r="Q713" s="12">
        <f> 'Optimal Choice'!$B$17*'Optimal Choice'!$B$18^(K713+1)</f>
        <v>3733403705</v>
      </c>
      <c r="R713" s="12">
        <f> 'Optimal Choice'!$B$22*'Optimal Choice'!$B$23^(L713+1)</f>
        <v>14018179929</v>
      </c>
      <c r="S713" s="12">
        <f> 'Optimal Choice'!$B$27*'Optimal Choice'!$B$28^(M713+1)</f>
        <v>83532928840</v>
      </c>
    </row>
    <row r="714" ht="15.75" customHeight="1">
      <c r="A714" s="10">
        <f t="shared" si="2"/>
        <v>48760.07835</v>
      </c>
      <c r="B714" s="6">
        <f>(I714*'Optimal Choice'!$B$6+J714*'Optimal Choice'!$B$11+K714*'Optimal Choice'!$B$16+L714*'Optimal Choice'!$B$21+M714*'Optimal Choice'!$B$26)*'Optimal Choice'!$B$30</f>
        <v>312059.15</v>
      </c>
      <c r="C714" s="10">
        <f>(O714/$B714)+(O714/'Optimal Choice'!$B$6)</f>
        <v>40527998.36</v>
      </c>
      <c r="D714" s="10">
        <f>(P714/$B714)+(P714/'Optimal Choice'!$B$11)</f>
        <v>37913720.95</v>
      </c>
      <c r="E714" s="10">
        <f>(Q714/$B714)+(Q714/'Optimal Choice'!$B$16)</f>
        <v>41494227.16</v>
      </c>
      <c r="F714" s="10">
        <f>(R714/$B714)+(R714/'Optimal Choice'!$B$21)</f>
        <v>38984310.24</v>
      </c>
      <c r="G714" s="10">
        <f>(S714/$B714)+(S714/'Optimal Choice'!$B$26)</f>
        <v>38940335.24</v>
      </c>
      <c r="I714" s="11">
        <f t="shared" ref="I714:M714" si="713">if(min($C713:$G713)=C713,I713+1,I713)</f>
        <v>245</v>
      </c>
      <c r="J714" s="11">
        <f t="shared" si="713"/>
        <v>116</v>
      </c>
      <c r="K714" s="11">
        <f t="shared" si="713"/>
        <v>117</v>
      </c>
      <c r="L714" s="11">
        <f t="shared" si="713"/>
        <v>116</v>
      </c>
      <c r="M714" s="11">
        <f t="shared" si="713"/>
        <v>119</v>
      </c>
      <c r="O714" s="12">
        <f> 'Optimal Choice'!$B$7*'Optimal Choice'!$B$8^(I714+1)</f>
        <v>67681395.06</v>
      </c>
      <c r="P714" s="12">
        <f> 'Optimal Choice'!$B$12*'Optimal Choice'!$B$13^(J714+1)</f>
        <v>758225824</v>
      </c>
      <c r="Q714" s="12">
        <f> 'Optimal Choice'!$B$17*'Optimal Choice'!$B$18^(K714+1)</f>
        <v>3733403705</v>
      </c>
      <c r="R714" s="12">
        <f> 'Optimal Choice'!$B$22*'Optimal Choice'!$B$23^(L714+1)</f>
        <v>14018179929</v>
      </c>
      <c r="S714" s="12">
        <f> 'Optimal Choice'!$B$27*'Optimal Choice'!$B$28^(M714+1)</f>
        <v>83532928840</v>
      </c>
    </row>
    <row r="715" ht="15.75" customHeight="1">
      <c r="A715" s="10">
        <f t="shared" si="2"/>
        <v>48800.57419</v>
      </c>
      <c r="B715" s="6">
        <f>(I715*'Optimal Choice'!$B$6+J715*'Optimal Choice'!$B$11+K715*'Optimal Choice'!$B$16+L715*'Optimal Choice'!$B$21+M715*'Optimal Choice'!$B$26)*'Optimal Choice'!$B$30</f>
        <v>312079.15</v>
      </c>
      <c r="C715" s="10">
        <f>(O715/$B715)+(O715/'Optimal Choice'!$B$6)</f>
        <v>40527998.35</v>
      </c>
      <c r="D715" s="10">
        <f>(P715/$B715)+(P715/'Optimal Choice'!$B$11)</f>
        <v>43600778.92</v>
      </c>
      <c r="E715" s="10">
        <f>(Q715/$B715)+(Q715/'Optimal Choice'!$B$16)</f>
        <v>41494226.39</v>
      </c>
      <c r="F715" s="10">
        <f>(R715/$B715)+(R715/'Optimal Choice'!$B$21)</f>
        <v>38984307.36</v>
      </c>
      <c r="G715" s="10">
        <f>(S715/$B715)+(S715/'Optimal Choice'!$B$26)</f>
        <v>38940318.08</v>
      </c>
      <c r="I715" s="11">
        <f t="shared" ref="I715:M715" si="714">if(min($C714:$G714)=C714,I714+1,I714)</f>
        <v>245</v>
      </c>
      <c r="J715" s="11">
        <f t="shared" si="714"/>
        <v>117</v>
      </c>
      <c r="K715" s="11">
        <f t="shared" si="714"/>
        <v>117</v>
      </c>
      <c r="L715" s="11">
        <f t="shared" si="714"/>
        <v>116</v>
      </c>
      <c r="M715" s="11">
        <f t="shared" si="714"/>
        <v>119</v>
      </c>
      <c r="O715" s="12">
        <f> 'Optimal Choice'!$B$7*'Optimal Choice'!$B$8^(I715+1)</f>
        <v>67681395.06</v>
      </c>
      <c r="P715" s="12">
        <f> 'Optimal Choice'!$B$12*'Optimal Choice'!$B$13^(J715+1)</f>
        <v>871959697.6</v>
      </c>
      <c r="Q715" s="12">
        <f> 'Optimal Choice'!$B$17*'Optimal Choice'!$B$18^(K715+1)</f>
        <v>3733403705</v>
      </c>
      <c r="R715" s="12">
        <f> 'Optimal Choice'!$B$22*'Optimal Choice'!$B$23^(L715+1)</f>
        <v>14018179929</v>
      </c>
      <c r="S715" s="12">
        <f> 'Optimal Choice'!$B$27*'Optimal Choice'!$B$28^(M715+1)</f>
        <v>83532928840</v>
      </c>
    </row>
    <row r="716" ht="15.75" customHeight="1">
      <c r="A716" s="10">
        <f t="shared" si="2"/>
        <v>53261.67158</v>
      </c>
      <c r="B716" s="6">
        <f>(I716*'Optimal Choice'!$B$6+J716*'Optimal Choice'!$B$11+K716*'Optimal Choice'!$B$16+L716*'Optimal Choice'!$B$21+M716*'Optimal Choice'!$B$26)*'Optimal Choice'!$B$30</f>
        <v>314239.15</v>
      </c>
      <c r="C716" s="10">
        <f>(O716/$B716)+(O716/'Optimal Choice'!$B$6)</f>
        <v>40527996.86</v>
      </c>
      <c r="D716" s="10">
        <f>(P716/$B716)+(P716/'Optimal Choice'!$B$11)</f>
        <v>43600759.71</v>
      </c>
      <c r="E716" s="10">
        <f>(Q716/$B716)+(Q716/'Optimal Choice'!$B$16)</f>
        <v>41494144.16</v>
      </c>
      <c r="F716" s="10">
        <f>(R716/$B716)+(R716/'Optimal Choice'!$B$21)</f>
        <v>38983998.6</v>
      </c>
      <c r="G716" s="10">
        <f>(S716/$B716)+(S716/'Optimal Choice'!$B$26)</f>
        <v>43611095.6</v>
      </c>
      <c r="I716" s="11">
        <f t="shared" ref="I716:M716" si="715">if(min($C715:$G715)=C715,I715+1,I715)</f>
        <v>245</v>
      </c>
      <c r="J716" s="11">
        <f t="shared" si="715"/>
        <v>117</v>
      </c>
      <c r="K716" s="11">
        <f t="shared" si="715"/>
        <v>117</v>
      </c>
      <c r="L716" s="11">
        <f t="shared" si="715"/>
        <v>116</v>
      </c>
      <c r="M716" s="11">
        <f t="shared" si="715"/>
        <v>120</v>
      </c>
      <c r="O716" s="12">
        <f> 'Optimal Choice'!$B$7*'Optimal Choice'!$B$8^(I716+1)</f>
        <v>67681395.06</v>
      </c>
      <c r="P716" s="12">
        <f> 'Optimal Choice'!$B$12*'Optimal Choice'!$B$13^(J716+1)</f>
        <v>871959697.6</v>
      </c>
      <c r="Q716" s="12">
        <f> 'Optimal Choice'!$B$17*'Optimal Choice'!$B$18^(K716+1)</f>
        <v>3733403705</v>
      </c>
      <c r="R716" s="12">
        <f> 'Optimal Choice'!$B$22*'Optimal Choice'!$B$23^(L716+1)</f>
        <v>14018179929</v>
      </c>
      <c r="S716" s="12">
        <f> 'Optimal Choice'!$B$27*'Optimal Choice'!$B$28^(M716+1)</f>
        <v>93556880300</v>
      </c>
    </row>
    <row r="717" ht="15.75" customHeight="1">
      <c r="A717" s="10">
        <f t="shared" si="2"/>
        <v>54005.17006</v>
      </c>
      <c r="B717" s="6">
        <f>(I717*'Optimal Choice'!$B$6+J717*'Optimal Choice'!$B$11+K717*'Optimal Choice'!$B$16+L717*'Optimal Choice'!$B$21+M717*'Optimal Choice'!$B$26)*'Optimal Choice'!$B$30</f>
        <v>314599.15</v>
      </c>
      <c r="C717" s="10">
        <f>(O717/$B717)+(O717/'Optimal Choice'!$B$6)</f>
        <v>40527996.61</v>
      </c>
      <c r="D717" s="10">
        <f>(P717/$B717)+(P717/'Optimal Choice'!$B$11)</f>
        <v>43600756.53</v>
      </c>
      <c r="E717" s="10">
        <f>(Q717/$B717)+(Q717/'Optimal Choice'!$B$16)</f>
        <v>41494130.57</v>
      </c>
      <c r="F717" s="10">
        <f>(R717/$B717)+(R717/'Optimal Choice'!$B$21)</f>
        <v>44051860.74</v>
      </c>
      <c r="G717" s="10">
        <f>(S717/$B717)+(S717/'Optimal Choice'!$B$26)</f>
        <v>43610754.91</v>
      </c>
      <c r="I717" s="11">
        <f t="shared" ref="I717:M717" si="716">if(min($C716:$G716)=C716,I716+1,I716)</f>
        <v>245</v>
      </c>
      <c r="J717" s="11">
        <f t="shared" si="716"/>
        <v>117</v>
      </c>
      <c r="K717" s="11">
        <f t="shared" si="716"/>
        <v>117</v>
      </c>
      <c r="L717" s="11">
        <f t="shared" si="716"/>
        <v>117</v>
      </c>
      <c r="M717" s="11">
        <f t="shared" si="716"/>
        <v>120</v>
      </c>
      <c r="O717" s="12">
        <f> 'Optimal Choice'!$B$7*'Optimal Choice'!$B$8^(I717+1)</f>
        <v>67681395.06</v>
      </c>
      <c r="P717" s="12">
        <f> 'Optimal Choice'!$B$12*'Optimal Choice'!$B$13^(J717+1)</f>
        <v>871959697.6</v>
      </c>
      <c r="Q717" s="12">
        <f> 'Optimal Choice'!$B$17*'Optimal Choice'!$B$18^(K717+1)</f>
        <v>3733403705</v>
      </c>
      <c r="R717" s="12">
        <f> 'Optimal Choice'!$B$22*'Optimal Choice'!$B$23^(L717+1)</f>
        <v>15840543320</v>
      </c>
      <c r="S717" s="12">
        <f> 'Optimal Choice'!$B$27*'Optimal Choice'!$B$28^(M717+1)</f>
        <v>93556880300</v>
      </c>
    </row>
    <row r="718" ht="15.75" customHeight="1">
      <c r="A718" s="10">
        <f t="shared" si="2"/>
        <v>54008.75565</v>
      </c>
      <c r="B718" s="6">
        <f>(I718*'Optimal Choice'!$B$6+J718*'Optimal Choice'!$B$11+K718*'Optimal Choice'!$B$16+L718*'Optimal Choice'!$B$21+M718*'Optimal Choice'!$B$26)*'Optimal Choice'!$B$30</f>
        <v>314600.82</v>
      </c>
      <c r="C718" s="10">
        <f>(O718/$B718)+(O718/'Optimal Choice'!$B$6)</f>
        <v>43364956.37</v>
      </c>
      <c r="D718" s="10">
        <f>(P718/$B718)+(P718/'Optimal Choice'!$B$11)</f>
        <v>43600756.52</v>
      </c>
      <c r="E718" s="10">
        <f>(Q718/$B718)+(Q718/'Optimal Choice'!$B$16)</f>
        <v>41494130.5</v>
      </c>
      <c r="F718" s="10">
        <f>(R718/$B718)+(R718/'Optimal Choice'!$B$21)</f>
        <v>44051860.47</v>
      </c>
      <c r="G718" s="10">
        <f>(S718/$B718)+(S718/'Optimal Choice'!$B$26)</f>
        <v>43610753.33</v>
      </c>
      <c r="I718" s="11">
        <f t="shared" ref="I718:M718" si="717">if(min($C717:$G717)=C717,I717+1,I717)</f>
        <v>246</v>
      </c>
      <c r="J718" s="11">
        <f t="shared" si="717"/>
        <v>117</v>
      </c>
      <c r="K718" s="11">
        <f t="shared" si="717"/>
        <v>117</v>
      </c>
      <c r="L718" s="11">
        <f t="shared" si="717"/>
        <v>117</v>
      </c>
      <c r="M718" s="11">
        <f t="shared" si="717"/>
        <v>120</v>
      </c>
      <c r="O718" s="12">
        <f> 'Optimal Choice'!$B$7*'Optimal Choice'!$B$8^(I718+1)</f>
        <v>72419092.72</v>
      </c>
      <c r="P718" s="12">
        <f> 'Optimal Choice'!$B$12*'Optimal Choice'!$B$13^(J718+1)</f>
        <v>871959697.6</v>
      </c>
      <c r="Q718" s="12">
        <f> 'Optimal Choice'!$B$17*'Optimal Choice'!$B$18^(K718+1)</f>
        <v>3733403705</v>
      </c>
      <c r="R718" s="12">
        <f> 'Optimal Choice'!$B$22*'Optimal Choice'!$B$23^(L718+1)</f>
        <v>15840543320</v>
      </c>
      <c r="S718" s="12">
        <f> 'Optimal Choice'!$B$27*'Optimal Choice'!$B$28^(M718+1)</f>
        <v>93556880300</v>
      </c>
    </row>
    <row r="719" ht="15.75" customHeight="1">
      <c r="A719" s="10">
        <f t="shared" si="2"/>
        <v>54206.54088</v>
      </c>
      <c r="B719" s="6">
        <f>(I719*'Optimal Choice'!$B$6+J719*'Optimal Choice'!$B$11+K719*'Optimal Choice'!$B$16+L719*'Optimal Choice'!$B$21+M719*'Optimal Choice'!$B$26)*'Optimal Choice'!$B$30</f>
        <v>314690.82</v>
      </c>
      <c r="C719" s="10">
        <f>(O719/$B719)+(O719/'Optimal Choice'!$B$6)</f>
        <v>43364956.31</v>
      </c>
      <c r="D719" s="10">
        <f>(P719/$B719)+(P719/'Optimal Choice'!$B$11)</f>
        <v>43600755.73</v>
      </c>
      <c r="E719" s="10">
        <f>(Q719/$B719)+(Q719/'Optimal Choice'!$B$16)</f>
        <v>47303304.9</v>
      </c>
      <c r="F719" s="10">
        <f>(R719/$B719)+(R719/'Optimal Choice'!$B$21)</f>
        <v>44051846.07</v>
      </c>
      <c r="G719" s="10">
        <f>(S719/$B719)+(S719/'Optimal Choice'!$B$26)</f>
        <v>43610668.28</v>
      </c>
      <c r="I719" s="11">
        <f t="shared" ref="I719:M719" si="718">if(min($C718:$G718)=C718,I718+1,I718)</f>
        <v>246</v>
      </c>
      <c r="J719" s="11">
        <f t="shared" si="718"/>
        <v>117</v>
      </c>
      <c r="K719" s="11">
        <f t="shared" si="718"/>
        <v>118</v>
      </c>
      <c r="L719" s="11">
        <f t="shared" si="718"/>
        <v>117</v>
      </c>
      <c r="M719" s="11">
        <f t="shared" si="718"/>
        <v>120</v>
      </c>
      <c r="O719" s="12">
        <f> 'Optimal Choice'!$B$7*'Optimal Choice'!$B$8^(I719+1)</f>
        <v>72419092.72</v>
      </c>
      <c r="P719" s="12">
        <f> 'Optimal Choice'!$B$12*'Optimal Choice'!$B$13^(J719+1)</f>
        <v>871959697.6</v>
      </c>
      <c r="Q719" s="12">
        <f> 'Optimal Choice'!$B$17*'Optimal Choice'!$B$18^(K719+1)</f>
        <v>4256080224</v>
      </c>
      <c r="R719" s="12">
        <f> 'Optimal Choice'!$B$22*'Optimal Choice'!$B$23^(L719+1)</f>
        <v>15840543320</v>
      </c>
      <c r="S719" s="12">
        <f> 'Optimal Choice'!$B$27*'Optimal Choice'!$B$28^(M719+1)</f>
        <v>93556880300</v>
      </c>
    </row>
    <row r="720" ht="15.75" customHeight="1">
      <c r="A720" s="10">
        <f t="shared" si="2"/>
        <v>54210.37634</v>
      </c>
      <c r="B720" s="6">
        <f>(I720*'Optimal Choice'!$B$6+J720*'Optimal Choice'!$B$11+K720*'Optimal Choice'!$B$16+L720*'Optimal Choice'!$B$21+M720*'Optimal Choice'!$B$26)*'Optimal Choice'!$B$30</f>
        <v>314692.49</v>
      </c>
      <c r="C720" s="10">
        <f>(O720/$B720)+(O720/'Optimal Choice'!$B$6)</f>
        <v>46400503.25</v>
      </c>
      <c r="D720" s="10">
        <f>(P720/$B720)+(P720/'Optimal Choice'!$B$11)</f>
        <v>43600755.71</v>
      </c>
      <c r="E720" s="10">
        <f>(Q720/$B720)+(Q720/'Optimal Choice'!$B$16)</f>
        <v>47303304.83</v>
      </c>
      <c r="F720" s="10">
        <f>(R720/$B720)+(R720/'Optimal Choice'!$B$21)</f>
        <v>44051845.8</v>
      </c>
      <c r="G720" s="10">
        <f>(S720/$B720)+(S720/'Optimal Choice'!$B$26)</f>
        <v>43610666.71</v>
      </c>
      <c r="I720" s="11">
        <f t="shared" ref="I720:M720" si="719">if(min($C719:$G719)=C719,I719+1,I719)</f>
        <v>247</v>
      </c>
      <c r="J720" s="11">
        <f t="shared" si="719"/>
        <v>117</v>
      </c>
      <c r="K720" s="11">
        <f t="shared" si="719"/>
        <v>118</v>
      </c>
      <c r="L720" s="11">
        <f t="shared" si="719"/>
        <v>117</v>
      </c>
      <c r="M720" s="11">
        <f t="shared" si="719"/>
        <v>120</v>
      </c>
      <c r="O720" s="12">
        <f> 'Optimal Choice'!$B$7*'Optimal Choice'!$B$8^(I720+1)</f>
        <v>77488429.21</v>
      </c>
      <c r="P720" s="12">
        <f> 'Optimal Choice'!$B$12*'Optimal Choice'!$B$13^(J720+1)</f>
        <v>871959697.6</v>
      </c>
      <c r="Q720" s="12">
        <f> 'Optimal Choice'!$B$17*'Optimal Choice'!$B$18^(K720+1)</f>
        <v>4256080224</v>
      </c>
      <c r="R720" s="12">
        <f> 'Optimal Choice'!$B$22*'Optimal Choice'!$B$23^(L720+1)</f>
        <v>15840543320</v>
      </c>
      <c r="S720" s="12">
        <f> 'Optimal Choice'!$B$27*'Optimal Choice'!$B$28^(M720+1)</f>
        <v>93556880300</v>
      </c>
    </row>
    <row r="721" ht="15.75" customHeight="1">
      <c r="A721" s="10">
        <f t="shared" si="2"/>
        <v>54256.55686</v>
      </c>
      <c r="B721" s="6">
        <f>(I721*'Optimal Choice'!$B$6+J721*'Optimal Choice'!$B$11+K721*'Optimal Choice'!$B$16+L721*'Optimal Choice'!$B$21+M721*'Optimal Choice'!$B$26)*'Optimal Choice'!$B$30</f>
        <v>314712.49</v>
      </c>
      <c r="C721" s="10">
        <f>(O721/$B721)+(O721/'Optimal Choice'!$B$6)</f>
        <v>46400503.23</v>
      </c>
      <c r="D721" s="10">
        <f>(P721/$B721)+(P721/'Optimal Choice'!$B$11)</f>
        <v>50140868.87</v>
      </c>
      <c r="E721" s="10">
        <f>(Q721/$B721)+(Q721/'Optimal Choice'!$B$16)</f>
        <v>47303303.97</v>
      </c>
      <c r="F721" s="10">
        <f>(R721/$B721)+(R721/'Optimal Choice'!$B$21)</f>
        <v>44051842.6</v>
      </c>
      <c r="G721" s="10">
        <f>(S721/$B721)+(S721/'Optimal Choice'!$B$26)</f>
        <v>43610647.81</v>
      </c>
      <c r="I721" s="11">
        <f t="shared" ref="I721:M721" si="720">if(min($C720:$G720)=C720,I720+1,I720)</f>
        <v>247</v>
      </c>
      <c r="J721" s="11">
        <f t="shared" si="720"/>
        <v>118</v>
      </c>
      <c r="K721" s="11">
        <f t="shared" si="720"/>
        <v>118</v>
      </c>
      <c r="L721" s="11">
        <f t="shared" si="720"/>
        <v>117</v>
      </c>
      <c r="M721" s="11">
        <f t="shared" si="720"/>
        <v>120</v>
      </c>
      <c r="O721" s="12">
        <f> 'Optimal Choice'!$B$7*'Optimal Choice'!$B$8^(I721+1)</f>
        <v>77488429.21</v>
      </c>
      <c r="P721" s="12">
        <f> 'Optimal Choice'!$B$12*'Optimal Choice'!$B$13^(J721+1)</f>
        <v>1002753652</v>
      </c>
      <c r="Q721" s="12">
        <f> 'Optimal Choice'!$B$17*'Optimal Choice'!$B$18^(K721+1)</f>
        <v>4256080224</v>
      </c>
      <c r="R721" s="12">
        <f> 'Optimal Choice'!$B$22*'Optimal Choice'!$B$23^(L721+1)</f>
        <v>15840543320</v>
      </c>
      <c r="S721" s="12">
        <f> 'Optimal Choice'!$B$27*'Optimal Choice'!$B$28^(M721+1)</f>
        <v>93556880300</v>
      </c>
    </row>
    <row r="722" ht="15.75" customHeight="1">
      <c r="A722" s="10">
        <f t="shared" si="2"/>
        <v>59211.17858</v>
      </c>
      <c r="B722" s="6">
        <f>(I722*'Optimal Choice'!$B$6+J722*'Optimal Choice'!$B$11+K722*'Optimal Choice'!$B$16+L722*'Optimal Choice'!$B$21+M722*'Optimal Choice'!$B$26)*'Optimal Choice'!$B$30</f>
        <v>316872.49</v>
      </c>
      <c r="C722" s="10">
        <f>(O722/$B722)+(O722/'Optimal Choice'!$B$6)</f>
        <v>46400501.55</v>
      </c>
      <c r="D722" s="10">
        <f>(P722/$B722)+(P722/'Optimal Choice'!$B$11)</f>
        <v>50140847.15</v>
      </c>
      <c r="E722" s="10">
        <f>(Q722/$B722)+(Q722/'Optimal Choice'!$B$16)</f>
        <v>47303211.79</v>
      </c>
      <c r="F722" s="10">
        <f>(R722/$B722)+(R722/'Optimal Choice'!$B$21)</f>
        <v>44051499.5</v>
      </c>
      <c r="G722" s="10">
        <f>(S722/$B722)+(S722/'Optimal Choice'!$B$26)</f>
        <v>48841655.95</v>
      </c>
      <c r="I722" s="11">
        <f t="shared" ref="I722:M722" si="721">if(min($C721:$G721)=C721,I721+1,I721)</f>
        <v>247</v>
      </c>
      <c r="J722" s="11">
        <f t="shared" si="721"/>
        <v>118</v>
      </c>
      <c r="K722" s="11">
        <f t="shared" si="721"/>
        <v>118</v>
      </c>
      <c r="L722" s="11">
        <f t="shared" si="721"/>
        <v>117</v>
      </c>
      <c r="M722" s="11">
        <f t="shared" si="721"/>
        <v>121</v>
      </c>
      <c r="O722" s="12">
        <f> 'Optimal Choice'!$B$7*'Optimal Choice'!$B$8^(I722+1)</f>
        <v>77488429.21</v>
      </c>
      <c r="P722" s="12">
        <f> 'Optimal Choice'!$B$12*'Optimal Choice'!$B$13^(J722+1)</f>
        <v>1002753652</v>
      </c>
      <c r="Q722" s="12">
        <f> 'Optimal Choice'!$B$17*'Optimal Choice'!$B$18^(K722+1)</f>
        <v>4256080224</v>
      </c>
      <c r="R722" s="12">
        <f> 'Optimal Choice'!$B$22*'Optimal Choice'!$B$23^(L722+1)</f>
        <v>15840543320</v>
      </c>
      <c r="S722" s="12">
        <f> 'Optimal Choice'!$B$27*'Optimal Choice'!$B$28^(M722+1)</f>
        <v>104783705937</v>
      </c>
    </row>
    <row r="723" ht="15.75" customHeight="1">
      <c r="A723" s="10">
        <f t="shared" si="2"/>
        <v>60044.34985</v>
      </c>
      <c r="B723" s="6">
        <f>(I723*'Optimal Choice'!$B$6+J723*'Optimal Choice'!$B$11+K723*'Optimal Choice'!$B$16+L723*'Optimal Choice'!$B$21+M723*'Optimal Choice'!$B$26)*'Optimal Choice'!$B$30</f>
        <v>317232.49</v>
      </c>
      <c r="C723" s="10">
        <f>(O723/$B723)+(O723/'Optimal Choice'!$B$6)</f>
        <v>46400501.27</v>
      </c>
      <c r="D723" s="10">
        <f>(P723/$B723)+(P723/'Optimal Choice'!$B$11)</f>
        <v>50140843.56</v>
      </c>
      <c r="E723" s="10">
        <f>(Q723/$B723)+(Q723/'Optimal Choice'!$B$16)</f>
        <v>47303196.54</v>
      </c>
      <c r="F723" s="10">
        <f>(R723/$B723)+(R723/'Optimal Choice'!$B$21)</f>
        <v>49778130.33</v>
      </c>
      <c r="G723" s="10">
        <f>(S723/$B723)+(S723/'Optimal Choice'!$B$26)</f>
        <v>48841280.69</v>
      </c>
      <c r="I723" s="11">
        <f t="shared" ref="I723:M723" si="722">if(min($C722:$G722)=C722,I722+1,I722)</f>
        <v>247</v>
      </c>
      <c r="J723" s="11">
        <f t="shared" si="722"/>
        <v>118</v>
      </c>
      <c r="K723" s="11">
        <f t="shared" si="722"/>
        <v>118</v>
      </c>
      <c r="L723" s="11">
        <f t="shared" si="722"/>
        <v>118</v>
      </c>
      <c r="M723" s="11">
        <f t="shared" si="722"/>
        <v>121</v>
      </c>
      <c r="O723" s="12">
        <f> 'Optimal Choice'!$B$7*'Optimal Choice'!$B$8^(I723+1)</f>
        <v>77488429.21</v>
      </c>
      <c r="P723" s="12">
        <f> 'Optimal Choice'!$B$12*'Optimal Choice'!$B$13^(J723+1)</f>
        <v>1002753652</v>
      </c>
      <c r="Q723" s="12">
        <f> 'Optimal Choice'!$B$17*'Optimal Choice'!$B$18^(K723+1)</f>
        <v>4256080224</v>
      </c>
      <c r="R723" s="12">
        <f> 'Optimal Choice'!$B$22*'Optimal Choice'!$B$23^(L723+1)</f>
        <v>17899813952</v>
      </c>
      <c r="S723" s="12">
        <f> 'Optimal Choice'!$B$27*'Optimal Choice'!$B$28^(M723+1)</f>
        <v>104783705937</v>
      </c>
    </row>
    <row r="724" ht="15.75" customHeight="1">
      <c r="A724" s="10">
        <f t="shared" si="2"/>
        <v>60048.42091</v>
      </c>
      <c r="B724" s="6">
        <f>(I724*'Optimal Choice'!$B$6+J724*'Optimal Choice'!$B$11+K724*'Optimal Choice'!$B$16+L724*'Optimal Choice'!$B$21+M724*'Optimal Choice'!$B$26)*'Optimal Choice'!$B$30</f>
        <v>317234.16</v>
      </c>
      <c r="C724" s="10">
        <f>(O724/$B724)+(O724/'Optimal Choice'!$B$6)</f>
        <v>49648536.36</v>
      </c>
      <c r="D724" s="10">
        <f>(P724/$B724)+(P724/'Optimal Choice'!$B$11)</f>
        <v>50140843.54</v>
      </c>
      <c r="E724" s="10">
        <f>(Q724/$B724)+(Q724/'Optimal Choice'!$B$16)</f>
        <v>47303196.47</v>
      </c>
      <c r="F724" s="10">
        <f>(R724/$B724)+(R724/'Optimal Choice'!$B$21)</f>
        <v>49778130.03</v>
      </c>
      <c r="G724" s="10">
        <f>(S724/$B724)+(S724/'Optimal Choice'!$B$26)</f>
        <v>48841278.95</v>
      </c>
      <c r="I724" s="11">
        <f t="shared" ref="I724:M724" si="723">if(min($C723:$G723)=C723,I723+1,I723)</f>
        <v>248</v>
      </c>
      <c r="J724" s="11">
        <f t="shared" si="723"/>
        <v>118</v>
      </c>
      <c r="K724" s="11">
        <f t="shared" si="723"/>
        <v>118</v>
      </c>
      <c r="L724" s="11">
        <f t="shared" si="723"/>
        <v>118</v>
      </c>
      <c r="M724" s="11">
        <f t="shared" si="723"/>
        <v>121</v>
      </c>
      <c r="O724" s="12">
        <f> 'Optimal Choice'!$B$7*'Optimal Choice'!$B$8^(I724+1)</f>
        <v>82912619.25</v>
      </c>
      <c r="P724" s="12">
        <f> 'Optimal Choice'!$B$12*'Optimal Choice'!$B$13^(J724+1)</f>
        <v>1002753652</v>
      </c>
      <c r="Q724" s="12">
        <f> 'Optimal Choice'!$B$17*'Optimal Choice'!$B$18^(K724+1)</f>
        <v>4256080224</v>
      </c>
      <c r="R724" s="12">
        <f> 'Optimal Choice'!$B$22*'Optimal Choice'!$B$23^(L724+1)</f>
        <v>17899813952</v>
      </c>
      <c r="S724" s="12">
        <f> 'Optimal Choice'!$B$27*'Optimal Choice'!$B$28^(M724+1)</f>
        <v>104783705937</v>
      </c>
    </row>
    <row r="725" ht="15.75" customHeight="1">
      <c r="A725" s="10">
        <f t="shared" si="2"/>
        <v>60272.02442</v>
      </c>
      <c r="B725" s="6">
        <f>(I725*'Optimal Choice'!$B$6+J725*'Optimal Choice'!$B$11+K725*'Optimal Choice'!$B$16+L725*'Optimal Choice'!$B$21+M725*'Optimal Choice'!$B$26)*'Optimal Choice'!$B$30</f>
        <v>317324.16</v>
      </c>
      <c r="C725" s="10">
        <f>(O725/$B725)+(O725/'Optimal Choice'!$B$6)</f>
        <v>49648536.29</v>
      </c>
      <c r="D725" s="10">
        <f>(P725/$B725)+(P725/'Optimal Choice'!$B$11)</f>
        <v>50140842.64</v>
      </c>
      <c r="E725" s="10">
        <f>(Q725/$B725)+(Q725/'Optimal Choice'!$B$16)</f>
        <v>53925639.64</v>
      </c>
      <c r="F725" s="10">
        <f>(R725/$B725)+(R725/'Optimal Choice'!$B$21)</f>
        <v>49778114.03</v>
      </c>
      <c r="G725" s="10">
        <f>(S725/$B725)+(S725/'Optimal Choice'!$B$26)</f>
        <v>48841185.27</v>
      </c>
      <c r="I725" s="11">
        <f t="shared" ref="I725:M725" si="724">if(min($C724:$G724)=C724,I724+1,I724)</f>
        <v>248</v>
      </c>
      <c r="J725" s="11">
        <f t="shared" si="724"/>
        <v>118</v>
      </c>
      <c r="K725" s="11">
        <f t="shared" si="724"/>
        <v>119</v>
      </c>
      <c r="L725" s="11">
        <f t="shared" si="724"/>
        <v>118</v>
      </c>
      <c r="M725" s="11">
        <f t="shared" si="724"/>
        <v>121</v>
      </c>
      <c r="O725" s="12">
        <f> 'Optimal Choice'!$B$7*'Optimal Choice'!$B$8^(I725+1)</f>
        <v>82912619.25</v>
      </c>
      <c r="P725" s="12">
        <f> 'Optimal Choice'!$B$12*'Optimal Choice'!$B$13^(J725+1)</f>
        <v>1002753652</v>
      </c>
      <c r="Q725" s="12">
        <f> 'Optimal Choice'!$B$17*'Optimal Choice'!$B$18^(K725+1)</f>
        <v>4851931455</v>
      </c>
      <c r="R725" s="12">
        <f> 'Optimal Choice'!$B$22*'Optimal Choice'!$B$23^(L725+1)</f>
        <v>17899813952</v>
      </c>
      <c r="S725" s="12">
        <f> 'Optimal Choice'!$B$27*'Optimal Choice'!$B$28^(M725+1)</f>
        <v>104783705937</v>
      </c>
    </row>
    <row r="726" ht="15.75" customHeight="1">
      <c r="A726" s="10">
        <f t="shared" si="2"/>
        <v>65775.52941</v>
      </c>
      <c r="B726" s="6">
        <f>(I726*'Optimal Choice'!$B$6+J726*'Optimal Choice'!$B$11+K726*'Optimal Choice'!$B$16+L726*'Optimal Choice'!$B$21+M726*'Optimal Choice'!$B$26)*'Optimal Choice'!$B$30</f>
        <v>319484.16</v>
      </c>
      <c r="C726" s="10">
        <f>(O726/$B726)+(O726/'Optimal Choice'!$B$6)</f>
        <v>49648534.52</v>
      </c>
      <c r="D726" s="10">
        <f>(P726/$B726)+(P726/'Optimal Choice'!$B$11)</f>
        <v>50140821.28</v>
      </c>
      <c r="E726" s="10">
        <f>(Q726/$B726)+(Q726/'Optimal Choice'!$B$16)</f>
        <v>53925536.27</v>
      </c>
      <c r="F726" s="10">
        <f>(R726/$B726)+(R726/'Optimal Choice'!$B$21)</f>
        <v>49777732.66</v>
      </c>
      <c r="G726" s="10">
        <f>(S726/$B726)+(S726/'Optimal Choice'!$B$26)</f>
        <v>54699627.08</v>
      </c>
      <c r="I726" s="11">
        <f t="shared" ref="I726:M726" si="725">if(min($C725:$G725)=C725,I725+1,I725)</f>
        <v>248</v>
      </c>
      <c r="J726" s="11">
        <f t="shared" si="725"/>
        <v>118</v>
      </c>
      <c r="K726" s="11">
        <f t="shared" si="725"/>
        <v>119</v>
      </c>
      <c r="L726" s="11">
        <f t="shared" si="725"/>
        <v>118</v>
      </c>
      <c r="M726" s="11">
        <f t="shared" si="725"/>
        <v>122</v>
      </c>
      <c r="O726" s="12">
        <f> 'Optimal Choice'!$B$7*'Optimal Choice'!$B$8^(I726+1)</f>
        <v>82912619.25</v>
      </c>
      <c r="P726" s="12">
        <f> 'Optimal Choice'!$B$12*'Optimal Choice'!$B$13^(J726+1)</f>
        <v>1002753652</v>
      </c>
      <c r="Q726" s="12">
        <f> 'Optimal Choice'!$B$17*'Optimal Choice'!$B$18^(K726+1)</f>
        <v>4851931455</v>
      </c>
      <c r="R726" s="12">
        <f> 'Optimal Choice'!$B$22*'Optimal Choice'!$B$23^(L726+1)</f>
        <v>17899813952</v>
      </c>
      <c r="S726" s="12">
        <f> 'Optimal Choice'!$B$27*'Optimal Choice'!$B$28^(M726+1)</f>
        <v>117357750649</v>
      </c>
    </row>
    <row r="727" ht="15.75" customHeight="1">
      <c r="A727" s="10">
        <f t="shared" si="2"/>
        <v>65779.85475</v>
      </c>
      <c r="B727" s="6">
        <f>(I727*'Optimal Choice'!$B$6+J727*'Optimal Choice'!$B$11+K727*'Optimal Choice'!$B$16+L727*'Optimal Choice'!$B$21+M727*'Optimal Choice'!$B$26)*'Optimal Choice'!$B$30</f>
        <v>319485.83</v>
      </c>
      <c r="C727" s="10">
        <f>(O727/$B727)+(O727/'Optimal Choice'!$B$6)</f>
        <v>53123931.94</v>
      </c>
      <c r="D727" s="10">
        <f>(P727/$B727)+(P727/'Optimal Choice'!$B$11)</f>
        <v>50140821.26</v>
      </c>
      <c r="E727" s="10">
        <f>(Q727/$B727)+(Q727/'Optimal Choice'!$B$16)</f>
        <v>53925536.19</v>
      </c>
      <c r="F727" s="10">
        <f>(R727/$B727)+(R727/'Optimal Choice'!$B$21)</f>
        <v>49777732.36</v>
      </c>
      <c r="G727" s="10">
        <f>(S727/$B727)+(S727/'Optimal Choice'!$B$26)</f>
        <v>54699625.16</v>
      </c>
      <c r="I727" s="11">
        <f t="shared" ref="I727:M727" si="726">if(min($C726:$G726)=C726,I726+1,I726)</f>
        <v>249</v>
      </c>
      <c r="J727" s="11">
        <f t="shared" si="726"/>
        <v>118</v>
      </c>
      <c r="K727" s="11">
        <f t="shared" si="726"/>
        <v>119</v>
      </c>
      <c r="L727" s="11">
        <f t="shared" si="726"/>
        <v>118</v>
      </c>
      <c r="M727" s="11">
        <f t="shared" si="726"/>
        <v>122</v>
      </c>
      <c r="O727" s="12">
        <f> 'Optimal Choice'!$B$7*'Optimal Choice'!$B$8^(I727+1)</f>
        <v>88716502.6</v>
      </c>
      <c r="P727" s="12">
        <f> 'Optimal Choice'!$B$12*'Optimal Choice'!$B$13^(J727+1)</f>
        <v>1002753652</v>
      </c>
      <c r="Q727" s="12">
        <f> 'Optimal Choice'!$B$17*'Optimal Choice'!$B$18^(K727+1)</f>
        <v>4851931455</v>
      </c>
      <c r="R727" s="12">
        <f> 'Optimal Choice'!$B$22*'Optimal Choice'!$B$23^(L727+1)</f>
        <v>17899813952</v>
      </c>
      <c r="S727" s="12">
        <f> 'Optimal Choice'!$B$27*'Optimal Choice'!$B$28^(M727+1)</f>
        <v>117357750649</v>
      </c>
    </row>
    <row r="728" ht="15.75" customHeight="1">
      <c r="A728" s="10">
        <f t="shared" si="2"/>
        <v>66713.63711</v>
      </c>
      <c r="B728" s="6">
        <f>(I728*'Optimal Choice'!$B$6+J728*'Optimal Choice'!$B$11+K728*'Optimal Choice'!$B$16+L728*'Optimal Choice'!$B$21+M728*'Optimal Choice'!$B$26)*'Optimal Choice'!$B$30</f>
        <v>319845.83</v>
      </c>
      <c r="C728" s="10">
        <f>(O728/$B728)+(O728/'Optimal Choice'!$B$6)</f>
        <v>53123931.62</v>
      </c>
      <c r="D728" s="10">
        <f>(P728/$B728)+(P728/'Optimal Choice'!$B$11)</f>
        <v>50140817.73</v>
      </c>
      <c r="E728" s="10">
        <f>(Q728/$B728)+(Q728/'Optimal Choice'!$B$16)</f>
        <v>53925519.09</v>
      </c>
      <c r="F728" s="10">
        <f>(R728/$B728)+(R728/'Optimal Choice'!$B$21)</f>
        <v>56248766.31</v>
      </c>
      <c r="G728" s="10">
        <f>(S728/$B728)+(S728/'Optimal Choice'!$B$26)</f>
        <v>54699211.71</v>
      </c>
      <c r="I728" s="11">
        <f t="shared" ref="I728:M728" si="727">if(min($C727:$G727)=C727,I727+1,I727)</f>
        <v>249</v>
      </c>
      <c r="J728" s="11">
        <f t="shared" si="727"/>
        <v>118</v>
      </c>
      <c r="K728" s="11">
        <f t="shared" si="727"/>
        <v>119</v>
      </c>
      <c r="L728" s="11">
        <f t="shared" si="727"/>
        <v>119</v>
      </c>
      <c r="M728" s="11">
        <f t="shared" si="727"/>
        <v>122</v>
      </c>
      <c r="O728" s="12">
        <f> 'Optimal Choice'!$B$7*'Optimal Choice'!$B$8^(I728+1)</f>
        <v>88716502.6</v>
      </c>
      <c r="P728" s="12">
        <f> 'Optimal Choice'!$B$12*'Optimal Choice'!$B$13^(J728+1)</f>
        <v>1002753652</v>
      </c>
      <c r="Q728" s="12">
        <f> 'Optimal Choice'!$B$17*'Optimal Choice'!$B$18^(K728+1)</f>
        <v>4851931455</v>
      </c>
      <c r="R728" s="12">
        <f> 'Optimal Choice'!$B$22*'Optimal Choice'!$B$23^(L728+1)</f>
        <v>20226789766</v>
      </c>
      <c r="S728" s="12">
        <f> 'Optimal Choice'!$B$27*'Optimal Choice'!$B$28^(M728+1)</f>
        <v>117357750649</v>
      </c>
    </row>
    <row r="729" ht="15.75" customHeight="1">
      <c r="A729" s="10">
        <f t="shared" si="2"/>
        <v>66765.88904</v>
      </c>
      <c r="B729" s="6">
        <f>(I729*'Optimal Choice'!$B$6+J729*'Optimal Choice'!$B$11+K729*'Optimal Choice'!$B$16+L729*'Optimal Choice'!$B$21+M729*'Optimal Choice'!$B$26)*'Optimal Choice'!$B$30</f>
        <v>319865.83</v>
      </c>
      <c r="C729" s="10">
        <f>(O729/$B729)+(O729/'Optimal Choice'!$B$6)</f>
        <v>53123931.61</v>
      </c>
      <c r="D729" s="10">
        <f>(P729/$B729)+(P729/'Optimal Choice'!$B$11)</f>
        <v>57661940.16</v>
      </c>
      <c r="E729" s="10">
        <f>(Q729/$B729)+(Q729/'Optimal Choice'!$B$16)</f>
        <v>53925518.15</v>
      </c>
      <c r="F729" s="10">
        <f>(R729/$B729)+(R729/'Optimal Choice'!$B$21)</f>
        <v>56248762.36</v>
      </c>
      <c r="G729" s="10">
        <f>(S729/$B729)+(S729/'Optimal Choice'!$B$26)</f>
        <v>54699188.77</v>
      </c>
      <c r="I729" s="11">
        <f t="shared" ref="I729:M729" si="728">if(min($C728:$G728)=C728,I728+1,I728)</f>
        <v>249</v>
      </c>
      <c r="J729" s="11">
        <f t="shared" si="728"/>
        <v>119</v>
      </c>
      <c r="K729" s="11">
        <f t="shared" si="728"/>
        <v>119</v>
      </c>
      <c r="L729" s="11">
        <f t="shared" si="728"/>
        <v>119</v>
      </c>
      <c r="M729" s="11">
        <f t="shared" si="728"/>
        <v>122</v>
      </c>
      <c r="O729" s="12">
        <f> 'Optimal Choice'!$B$7*'Optimal Choice'!$B$8^(I729+1)</f>
        <v>88716502.6</v>
      </c>
      <c r="P729" s="12">
        <f> 'Optimal Choice'!$B$12*'Optimal Choice'!$B$13^(J729+1)</f>
        <v>1153166700</v>
      </c>
      <c r="Q729" s="12">
        <f> 'Optimal Choice'!$B$17*'Optimal Choice'!$B$18^(K729+1)</f>
        <v>4851931455</v>
      </c>
      <c r="R729" s="12">
        <f> 'Optimal Choice'!$B$22*'Optimal Choice'!$B$23^(L729+1)</f>
        <v>20226789766</v>
      </c>
      <c r="S729" s="12">
        <f> 'Optimal Choice'!$B$27*'Optimal Choice'!$B$28^(M729+1)</f>
        <v>117357750649</v>
      </c>
    </row>
    <row r="730" ht="15.75" customHeight="1">
      <c r="A730" s="10">
        <f t="shared" si="2"/>
        <v>66770.51163</v>
      </c>
      <c r="B730" s="6">
        <f>(I730*'Optimal Choice'!$B$6+J730*'Optimal Choice'!$B$11+K730*'Optimal Choice'!$B$16+L730*'Optimal Choice'!$B$21+M730*'Optimal Choice'!$B$26)*'Optimal Choice'!$B$30</f>
        <v>319867.5</v>
      </c>
      <c r="C730" s="10">
        <f>(O730/$B730)+(O730/'Optimal Choice'!$B$6)</f>
        <v>56842606.82</v>
      </c>
      <c r="D730" s="10">
        <f>(P730/$B730)+(P730/'Optimal Choice'!$B$11)</f>
        <v>57661940.14</v>
      </c>
      <c r="E730" s="10">
        <f>(Q730/$B730)+(Q730/'Optimal Choice'!$B$16)</f>
        <v>53925518.07</v>
      </c>
      <c r="F730" s="10">
        <f>(R730/$B730)+(R730/'Optimal Choice'!$B$21)</f>
        <v>56248762.03</v>
      </c>
      <c r="G730" s="10">
        <f>(S730/$B730)+(S730/'Optimal Choice'!$B$26)</f>
        <v>54699186.86</v>
      </c>
      <c r="I730" s="11">
        <f t="shared" ref="I730:M730" si="729">if(min($C729:$G729)=C729,I729+1,I729)</f>
        <v>250</v>
      </c>
      <c r="J730" s="11">
        <f t="shared" si="729"/>
        <v>119</v>
      </c>
      <c r="K730" s="11">
        <f t="shared" si="729"/>
        <v>119</v>
      </c>
      <c r="L730" s="11">
        <f t="shared" si="729"/>
        <v>119</v>
      </c>
      <c r="M730" s="11">
        <f t="shared" si="729"/>
        <v>122</v>
      </c>
      <c r="O730" s="12">
        <f> 'Optimal Choice'!$B$7*'Optimal Choice'!$B$8^(I730+1)</f>
        <v>94926657.78</v>
      </c>
      <c r="P730" s="12">
        <f> 'Optimal Choice'!$B$12*'Optimal Choice'!$B$13^(J730+1)</f>
        <v>1153166700</v>
      </c>
      <c r="Q730" s="12">
        <f> 'Optimal Choice'!$B$17*'Optimal Choice'!$B$18^(K730+1)</f>
        <v>4851931455</v>
      </c>
      <c r="R730" s="12">
        <f> 'Optimal Choice'!$B$22*'Optimal Choice'!$B$23^(L730+1)</f>
        <v>20226789766</v>
      </c>
      <c r="S730" s="12">
        <f> 'Optimal Choice'!$B$27*'Optimal Choice'!$B$28^(M730+1)</f>
        <v>117357750649</v>
      </c>
    </row>
    <row r="731" ht="15.75" customHeight="1">
      <c r="A731" s="10">
        <f t="shared" si="2"/>
        <v>67023.32107</v>
      </c>
      <c r="B731" s="6">
        <f>(I731*'Optimal Choice'!$B$6+J731*'Optimal Choice'!$B$11+K731*'Optimal Choice'!$B$16+L731*'Optimal Choice'!$B$21+M731*'Optimal Choice'!$B$26)*'Optimal Choice'!$B$30</f>
        <v>319957.5</v>
      </c>
      <c r="C731" s="10">
        <f>(O731/$B731)+(O731/'Optimal Choice'!$B$6)</f>
        <v>56842606.73</v>
      </c>
      <c r="D731" s="10">
        <f>(P731/$B731)+(P731/'Optimal Choice'!$B$11)</f>
        <v>57661939.13</v>
      </c>
      <c r="E731" s="10">
        <f>(Q731/$B731)+(Q731/'Optimal Choice'!$B$16)</f>
        <v>61475085.73</v>
      </c>
      <c r="F731" s="10">
        <f>(R731/$B731)+(R731/'Optimal Choice'!$B$21)</f>
        <v>56248744.24</v>
      </c>
      <c r="G731" s="10">
        <f>(S731/$B731)+(S731/'Optimal Choice'!$B$26)</f>
        <v>54699083.65</v>
      </c>
      <c r="I731" s="11">
        <f t="shared" ref="I731:M731" si="730">if(min($C730:$G730)=C730,I730+1,I730)</f>
        <v>250</v>
      </c>
      <c r="J731" s="11">
        <f t="shared" si="730"/>
        <v>119</v>
      </c>
      <c r="K731" s="11">
        <f t="shared" si="730"/>
        <v>120</v>
      </c>
      <c r="L731" s="11">
        <f t="shared" si="730"/>
        <v>119</v>
      </c>
      <c r="M731" s="11">
        <f t="shared" si="730"/>
        <v>122</v>
      </c>
      <c r="O731" s="12">
        <f> 'Optimal Choice'!$B$7*'Optimal Choice'!$B$8^(I731+1)</f>
        <v>94926657.78</v>
      </c>
      <c r="P731" s="12">
        <f> 'Optimal Choice'!$B$12*'Optimal Choice'!$B$13^(J731+1)</f>
        <v>1153166700</v>
      </c>
      <c r="Q731" s="12">
        <f> 'Optimal Choice'!$B$17*'Optimal Choice'!$B$18^(K731+1)</f>
        <v>5531201859</v>
      </c>
      <c r="R731" s="12">
        <f> 'Optimal Choice'!$B$22*'Optimal Choice'!$B$23^(L731+1)</f>
        <v>20226789766</v>
      </c>
      <c r="S731" s="12">
        <f> 'Optimal Choice'!$B$27*'Optimal Choice'!$B$28^(M731+1)</f>
        <v>117357750649</v>
      </c>
    </row>
    <row r="732" ht="15.75" customHeight="1">
      <c r="A732" s="10">
        <f t="shared" si="2"/>
        <v>73136.51582</v>
      </c>
      <c r="B732" s="6">
        <f>(I732*'Optimal Choice'!$B$6+J732*'Optimal Choice'!$B$11+K732*'Optimal Choice'!$B$16+L732*'Optimal Choice'!$B$21+M732*'Optimal Choice'!$B$26)*'Optimal Choice'!$B$30</f>
        <v>322117.5</v>
      </c>
      <c r="C732" s="10">
        <f>(O732/$B732)+(O732/'Optimal Choice'!$B$6)</f>
        <v>56842604.74</v>
      </c>
      <c r="D732" s="10">
        <f>(P732/$B732)+(P732/'Optimal Choice'!$B$11)</f>
        <v>57661914.96</v>
      </c>
      <c r="E732" s="10">
        <f>(Q732/$B732)+(Q732/'Optimal Choice'!$B$16)</f>
        <v>61474969.81</v>
      </c>
      <c r="F732" s="10">
        <f>(R732/$B732)+(R732/'Optimal Choice'!$B$21)</f>
        <v>56248320.33</v>
      </c>
      <c r="G732" s="10">
        <f>(S732/$B732)+(S732/'Optimal Choice'!$B$26)</f>
        <v>61260218.97</v>
      </c>
      <c r="I732" s="11">
        <f t="shared" ref="I732:M732" si="731">if(min($C731:$G731)=C731,I731+1,I731)</f>
        <v>250</v>
      </c>
      <c r="J732" s="11">
        <f t="shared" si="731"/>
        <v>119</v>
      </c>
      <c r="K732" s="11">
        <f t="shared" si="731"/>
        <v>120</v>
      </c>
      <c r="L732" s="11">
        <f t="shared" si="731"/>
        <v>119</v>
      </c>
      <c r="M732" s="11">
        <f t="shared" si="731"/>
        <v>123</v>
      </c>
      <c r="O732" s="12">
        <f> 'Optimal Choice'!$B$7*'Optimal Choice'!$B$8^(I732+1)</f>
        <v>94926657.78</v>
      </c>
      <c r="P732" s="12">
        <f> 'Optimal Choice'!$B$12*'Optimal Choice'!$B$13^(J732+1)</f>
        <v>1153166700</v>
      </c>
      <c r="Q732" s="12">
        <f> 'Optimal Choice'!$B$17*'Optimal Choice'!$B$18^(K732+1)</f>
        <v>5531201859</v>
      </c>
      <c r="R732" s="12">
        <f> 'Optimal Choice'!$B$22*'Optimal Choice'!$B$23^(L732+1)</f>
        <v>20226789766</v>
      </c>
      <c r="S732" s="12">
        <f> 'Optimal Choice'!$B$27*'Optimal Choice'!$B$28^(M732+1)</f>
        <v>131440680727</v>
      </c>
    </row>
    <row r="733" ht="15.75" customHeight="1">
      <c r="A733" s="10">
        <f t="shared" si="2"/>
        <v>74183.06922</v>
      </c>
      <c r="B733" s="6">
        <f>(I733*'Optimal Choice'!$B$6+J733*'Optimal Choice'!$B$11+K733*'Optimal Choice'!$B$16+L733*'Optimal Choice'!$B$21+M733*'Optimal Choice'!$B$26)*'Optimal Choice'!$B$30</f>
        <v>322477.5</v>
      </c>
      <c r="C733" s="10">
        <f>(O733/$B733)+(O733/'Optimal Choice'!$B$6)</f>
        <v>56842604.42</v>
      </c>
      <c r="D733" s="10">
        <f>(P733/$B733)+(P733/'Optimal Choice'!$B$11)</f>
        <v>57661910.97</v>
      </c>
      <c r="E733" s="10">
        <f>(Q733/$B733)+(Q733/'Optimal Choice'!$B$16)</f>
        <v>61474950.64</v>
      </c>
      <c r="F733" s="10">
        <f>(R733/$B733)+(R733/'Optimal Choice'!$B$21)</f>
        <v>63560522.76</v>
      </c>
      <c r="G733" s="10">
        <f>(S733/$B733)+(S733/'Optimal Choice'!$B$26)</f>
        <v>61259763.44</v>
      </c>
      <c r="I733" s="11">
        <f t="shared" ref="I733:M733" si="732">if(min($C732:$G732)=C732,I732+1,I732)</f>
        <v>250</v>
      </c>
      <c r="J733" s="11">
        <f t="shared" si="732"/>
        <v>119</v>
      </c>
      <c r="K733" s="11">
        <f t="shared" si="732"/>
        <v>120</v>
      </c>
      <c r="L733" s="11">
        <f t="shared" si="732"/>
        <v>120</v>
      </c>
      <c r="M733" s="11">
        <f t="shared" si="732"/>
        <v>123</v>
      </c>
      <c r="O733" s="12">
        <f> 'Optimal Choice'!$B$7*'Optimal Choice'!$B$8^(I733+1)</f>
        <v>94926657.78</v>
      </c>
      <c r="P733" s="12">
        <f> 'Optimal Choice'!$B$12*'Optimal Choice'!$B$13^(J733+1)</f>
        <v>1153166700</v>
      </c>
      <c r="Q733" s="12">
        <f> 'Optimal Choice'!$B$17*'Optimal Choice'!$B$18^(K733+1)</f>
        <v>5531201859</v>
      </c>
      <c r="R733" s="12">
        <f> 'Optimal Choice'!$B$22*'Optimal Choice'!$B$23^(L733+1)</f>
        <v>22856272435</v>
      </c>
      <c r="S733" s="12">
        <f> 'Optimal Choice'!$B$27*'Optimal Choice'!$B$28^(M733+1)</f>
        <v>131440680727</v>
      </c>
    </row>
    <row r="734" ht="15.75" customHeight="1">
      <c r="A734" s="10">
        <f t="shared" si="2"/>
        <v>74187.97533</v>
      </c>
      <c r="B734" s="6">
        <f>(I734*'Optimal Choice'!$B$6+J734*'Optimal Choice'!$B$11+K734*'Optimal Choice'!$B$16+L734*'Optimal Choice'!$B$21+M734*'Optimal Choice'!$B$26)*'Optimal Choice'!$B$30</f>
        <v>322479.17</v>
      </c>
      <c r="C734" s="10">
        <f>(O734/$B734)+(O734/'Optimal Choice'!$B$6)</f>
        <v>60821586.72</v>
      </c>
      <c r="D734" s="10">
        <f>(P734/$B734)+(P734/'Optimal Choice'!$B$11)</f>
        <v>57661910.95</v>
      </c>
      <c r="E734" s="10">
        <f>(Q734/$B734)+(Q734/'Optimal Choice'!$B$16)</f>
        <v>61474950.55</v>
      </c>
      <c r="F734" s="10">
        <f>(R734/$B734)+(R734/'Optimal Choice'!$B$21)</f>
        <v>63560522.39</v>
      </c>
      <c r="G734" s="10">
        <f>(S734/$B734)+(S734/'Optimal Choice'!$B$26)</f>
        <v>61259761.33</v>
      </c>
      <c r="I734" s="11">
        <f t="shared" ref="I734:M734" si="733">if(min($C733:$G733)=C733,I733+1,I733)</f>
        <v>251</v>
      </c>
      <c r="J734" s="11">
        <f t="shared" si="733"/>
        <v>119</v>
      </c>
      <c r="K734" s="11">
        <f t="shared" si="733"/>
        <v>120</v>
      </c>
      <c r="L734" s="11">
        <f t="shared" si="733"/>
        <v>120</v>
      </c>
      <c r="M734" s="11">
        <f t="shared" si="733"/>
        <v>123</v>
      </c>
      <c r="O734" s="12">
        <f> 'Optimal Choice'!$B$7*'Optimal Choice'!$B$8^(I734+1)</f>
        <v>101571523.8</v>
      </c>
      <c r="P734" s="12">
        <f> 'Optimal Choice'!$B$12*'Optimal Choice'!$B$13^(J734+1)</f>
        <v>1153166700</v>
      </c>
      <c r="Q734" s="12">
        <f> 'Optimal Choice'!$B$17*'Optimal Choice'!$B$18^(K734+1)</f>
        <v>5531201859</v>
      </c>
      <c r="R734" s="12">
        <f> 'Optimal Choice'!$B$22*'Optimal Choice'!$B$23^(L734+1)</f>
        <v>22856272435</v>
      </c>
      <c r="S734" s="12">
        <f> 'Optimal Choice'!$B$27*'Optimal Choice'!$B$28^(M734+1)</f>
        <v>131440680727</v>
      </c>
    </row>
    <row r="735" ht="15.75" customHeight="1">
      <c r="A735" s="10">
        <f t="shared" si="2"/>
        <v>74247.57436</v>
      </c>
      <c r="B735" s="6">
        <f>(I735*'Optimal Choice'!$B$6+J735*'Optimal Choice'!$B$11+K735*'Optimal Choice'!$B$16+L735*'Optimal Choice'!$B$21+M735*'Optimal Choice'!$B$26)*'Optimal Choice'!$B$30</f>
        <v>322499.17</v>
      </c>
      <c r="C735" s="10">
        <f>(O735/$B735)+(O735/'Optimal Choice'!$B$6)</f>
        <v>60821586.7</v>
      </c>
      <c r="D735" s="10">
        <f>(P735/$B735)+(P735/'Optimal Choice'!$B$11)</f>
        <v>66311197.33</v>
      </c>
      <c r="E735" s="10">
        <f>(Q735/$B735)+(Q735/'Optimal Choice'!$B$16)</f>
        <v>61474949.49</v>
      </c>
      <c r="F735" s="10">
        <f>(R735/$B735)+(R735/'Optimal Choice'!$B$21)</f>
        <v>63560518</v>
      </c>
      <c r="G735" s="10">
        <f>(S735/$B735)+(S735/'Optimal Choice'!$B$26)</f>
        <v>61259736.05</v>
      </c>
      <c r="I735" s="11">
        <f t="shared" ref="I735:M735" si="734">if(min($C734:$G734)=C734,I734+1,I734)</f>
        <v>251</v>
      </c>
      <c r="J735" s="11">
        <f t="shared" si="734"/>
        <v>120</v>
      </c>
      <c r="K735" s="11">
        <f t="shared" si="734"/>
        <v>120</v>
      </c>
      <c r="L735" s="11">
        <f t="shared" si="734"/>
        <v>120</v>
      </c>
      <c r="M735" s="11">
        <f t="shared" si="734"/>
        <v>123</v>
      </c>
      <c r="O735" s="12">
        <f> 'Optimal Choice'!$B$7*'Optimal Choice'!$B$8^(I735+1)</f>
        <v>101571523.8</v>
      </c>
      <c r="P735" s="12">
        <f> 'Optimal Choice'!$B$12*'Optimal Choice'!$B$13^(J735+1)</f>
        <v>1326141705</v>
      </c>
      <c r="Q735" s="12">
        <f> 'Optimal Choice'!$B$17*'Optimal Choice'!$B$18^(K735+1)</f>
        <v>5531201859</v>
      </c>
      <c r="R735" s="12">
        <f> 'Optimal Choice'!$B$22*'Optimal Choice'!$B$23^(L735+1)</f>
        <v>22856272435</v>
      </c>
      <c r="S735" s="12">
        <f> 'Optimal Choice'!$B$27*'Optimal Choice'!$B$28^(M735+1)</f>
        <v>131440680727</v>
      </c>
    </row>
    <row r="736" ht="15.75" customHeight="1">
      <c r="A736" s="10">
        <f t="shared" si="2"/>
        <v>74252.82355</v>
      </c>
      <c r="B736" s="6">
        <f>(I736*'Optimal Choice'!$B$6+J736*'Optimal Choice'!$B$11+K736*'Optimal Choice'!$B$16+L736*'Optimal Choice'!$B$21+M736*'Optimal Choice'!$B$26)*'Optimal Choice'!$B$30</f>
        <v>322500.84</v>
      </c>
      <c r="C736" s="10">
        <f>(O736/$B736)+(O736/'Optimal Choice'!$B$6)</f>
        <v>65079097.77</v>
      </c>
      <c r="D736" s="10">
        <f>(P736/$B736)+(P736/'Optimal Choice'!$B$11)</f>
        <v>66311197.31</v>
      </c>
      <c r="E736" s="10">
        <f>(Q736/$B736)+(Q736/'Optimal Choice'!$B$16)</f>
        <v>61474949.4</v>
      </c>
      <c r="F736" s="10">
        <f>(R736/$B736)+(R736/'Optimal Choice'!$B$21)</f>
        <v>63560517.63</v>
      </c>
      <c r="G736" s="10">
        <f>(S736/$B736)+(S736/'Optimal Choice'!$B$26)</f>
        <v>61259733.94</v>
      </c>
      <c r="I736" s="11">
        <f t="shared" ref="I736:M736" si="735">if(min($C735:$G735)=C735,I735+1,I735)</f>
        <v>252</v>
      </c>
      <c r="J736" s="11">
        <f t="shared" si="735"/>
        <v>120</v>
      </c>
      <c r="K736" s="11">
        <f t="shared" si="735"/>
        <v>120</v>
      </c>
      <c r="L736" s="11">
        <f t="shared" si="735"/>
        <v>120</v>
      </c>
      <c r="M736" s="11">
        <f t="shared" si="735"/>
        <v>123</v>
      </c>
      <c r="O736" s="12">
        <f> 'Optimal Choice'!$B$7*'Optimal Choice'!$B$8^(I736+1)</f>
        <v>108681530.5</v>
      </c>
      <c r="P736" s="12">
        <f> 'Optimal Choice'!$B$12*'Optimal Choice'!$B$13^(J736+1)</f>
        <v>1326141705</v>
      </c>
      <c r="Q736" s="12">
        <f> 'Optimal Choice'!$B$17*'Optimal Choice'!$B$18^(K736+1)</f>
        <v>5531201859</v>
      </c>
      <c r="R736" s="12">
        <f> 'Optimal Choice'!$B$22*'Optimal Choice'!$B$23^(L736+1)</f>
        <v>22856272435</v>
      </c>
      <c r="S736" s="12">
        <f> 'Optimal Choice'!$B$27*'Optimal Choice'!$B$28^(M736+1)</f>
        <v>131440680727</v>
      </c>
    </row>
    <row r="737" ht="15.75" customHeight="1">
      <c r="A737" s="10">
        <f t="shared" si="2"/>
        <v>81045.60589</v>
      </c>
      <c r="B737" s="6">
        <f>(I737*'Optimal Choice'!$B$6+J737*'Optimal Choice'!$B$11+K737*'Optimal Choice'!$B$16+L737*'Optimal Choice'!$B$21+M737*'Optimal Choice'!$B$26)*'Optimal Choice'!$B$30</f>
        <v>324660.84</v>
      </c>
      <c r="C737" s="10">
        <f>(O737/$B737)+(O737/'Optimal Choice'!$B$6)</f>
        <v>65079095.53</v>
      </c>
      <c r="D737" s="10">
        <f>(P737/$B737)+(P737/'Optimal Choice'!$B$11)</f>
        <v>66311169.96</v>
      </c>
      <c r="E737" s="10">
        <f>(Q737/$B737)+(Q737/'Optimal Choice'!$B$16)</f>
        <v>61474835.29</v>
      </c>
      <c r="F737" s="10">
        <f>(R737/$B737)+(R737/'Optimal Choice'!$B$21)</f>
        <v>63560046.11</v>
      </c>
      <c r="G737" s="10">
        <f>(S737/$B737)+(S737/'Optimal Choice'!$B$26)</f>
        <v>68607865.04</v>
      </c>
      <c r="I737" s="11">
        <f t="shared" ref="I737:M737" si="736">if(min($C736:$G736)=C736,I736+1,I736)</f>
        <v>252</v>
      </c>
      <c r="J737" s="11">
        <f t="shared" si="736"/>
        <v>120</v>
      </c>
      <c r="K737" s="11">
        <f t="shared" si="736"/>
        <v>120</v>
      </c>
      <c r="L737" s="11">
        <f t="shared" si="736"/>
        <v>120</v>
      </c>
      <c r="M737" s="11">
        <f t="shared" si="736"/>
        <v>124</v>
      </c>
      <c r="O737" s="12">
        <f> 'Optimal Choice'!$B$7*'Optimal Choice'!$B$8^(I737+1)</f>
        <v>108681530.5</v>
      </c>
      <c r="P737" s="12">
        <f> 'Optimal Choice'!$B$12*'Optimal Choice'!$B$13^(J737+1)</f>
        <v>1326141705</v>
      </c>
      <c r="Q737" s="12">
        <f> 'Optimal Choice'!$B$17*'Optimal Choice'!$B$18^(K737+1)</f>
        <v>5531201859</v>
      </c>
      <c r="R737" s="12">
        <f> 'Optimal Choice'!$B$22*'Optimal Choice'!$B$23^(L737+1)</f>
        <v>22856272435</v>
      </c>
      <c r="S737" s="12">
        <f> 'Optimal Choice'!$B$27*'Optimal Choice'!$B$28^(M737+1)</f>
        <v>147213562414</v>
      </c>
    </row>
    <row r="738" ht="15.75" customHeight="1">
      <c r="A738" s="10">
        <f t="shared" si="2"/>
        <v>81329.55359</v>
      </c>
      <c r="B738" s="6">
        <f>(I738*'Optimal Choice'!$B$6+J738*'Optimal Choice'!$B$11+K738*'Optimal Choice'!$B$16+L738*'Optimal Choice'!$B$21+M738*'Optimal Choice'!$B$26)*'Optimal Choice'!$B$30</f>
        <v>324750.84</v>
      </c>
      <c r="C738" s="10">
        <f>(O738/$B738)+(O738/'Optimal Choice'!$B$6)</f>
        <v>65079095.44</v>
      </c>
      <c r="D738" s="10">
        <f>(P738/$B738)+(P738/'Optimal Choice'!$B$11)</f>
        <v>66311168.82</v>
      </c>
      <c r="E738" s="10">
        <f>(Q738/$B738)+(Q738/'Optimal Choice'!$B$16)</f>
        <v>70081306.85</v>
      </c>
      <c r="F738" s="10">
        <f>(R738/$B738)+(R738/'Optimal Choice'!$B$21)</f>
        <v>63560026.6</v>
      </c>
      <c r="G738" s="10">
        <f>(S738/$B738)+(S738/'Optimal Choice'!$B$26)</f>
        <v>68607739.38</v>
      </c>
      <c r="I738" s="11">
        <f t="shared" ref="I738:M738" si="737">if(min($C737:$G737)=C737,I737+1,I737)</f>
        <v>252</v>
      </c>
      <c r="J738" s="11">
        <f t="shared" si="737"/>
        <v>120</v>
      </c>
      <c r="K738" s="11">
        <f t="shared" si="737"/>
        <v>121</v>
      </c>
      <c r="L738" s="11">
        <f t="shared" si="737"/>
        <v>120</v>
      </c>
      <c r="M738" s="11">
        <f t="shared" si="737"/>
        <v>124</v>
      </c>
      <c r="O738" s="12">
        <f> 'Optimal Choice'!$B$7*'Optimal Choice'!$B$8^(I738+1)</f>
        <v>108681530.5</v>
      </c>
      <c r="P738" s="12">
        <f> 'Optimal Choice'!$B$12*'Optimal Choice'!$B$13^(J738+1)</f>
        <v>1326141705</v>
      </c>
      <c r="Q738" s="12">
        <f> 'Optimal Choice'!$B$17*'Optimal Choice'!$B$18^(K738+1)</f>
        <v>6305570119</v>
      </c>
      <c r="R738" s="12">
        <f> 'Optimal Choice'!$B$22*'Optimal Choice'!$B$23^(L738+1)</f>
        <v>22856272435</v>
      </c>
      <c r="S738" s="12">
        <f> 'Optimal Choice'!$B$27*'Optimal Choice'!$B$28^(M738+1)</f>
        <v>147213562414</v>
      </c>
    </row>
    <row r="739" ht="15.75" customHeight="1">
      <c r="A739" s="10">
        <f t="shared" si="2"/>
        <v>82502.56941</v>
      </c>
      <c r="B739" s="6">
        <f>(I739*'Optimal Choice'!$B$6+J739*'Optimal Choice'!$B$11+K739*'Optimal Choice'!$B$16+L739*'Optimal Choice'!$B$21+M739*'Optimal Choice'!$B$26)*'Optimal Choice'!$B$30</f>
        <v>325110.84</v>
      </c>
      <c r="C739" s="10">
        <f>(O739/$B739)+(O739/'Optimal Choice'!$B$6)</f>
        <v>65079095.07</v>
      </c>
      <c r="D739" s="10">
        <f>(P739/$B739)+(P739/'Optimal Choice'!$B$11)</f>
        <v>66311164.3</v>
      </c>
      <c r="E739" s="10">
        <f>(Q739/$B739)+(Q739/'Optimal Choice'!$B$16)</f>
        <v>70081285.35</v>
      </c>
      <c r="F739" s="10">
        <f>(R739/$B739)+(R739/'Optimal Choice'!$B$21)</f>
        <v>71822742</v>
      </c>
      <c r="G739" s="10">
        <f>(S739/$B739)+(S739/'Optimal Choice'!$B$26)</f>
        <v>68607237.42</v>
      </c>
      <c r="I739" s="11">
        <f t="shared" ref="I739:M739" si="738">if(min($C738:$G738)=C738,I738+1,I738)</f>
        <v>252</v>
      </c>
      <c r="J739" s="11">
        <f t="shared" si="738"/>
        <v>120</v>
      </c>
      <c r="K739" s="11">
        <f t="shared" si="738"/>
        <v>121</v>
      </c>
      <c r="L739" s="11">
        <f t="shared" si="738"/>
        <v>121</v>
      </c>
      <c r="M739" s="11">
        <f t="shared" si="738"/>
        <v>124</v>
      </c>
      <c r="O739" s="12">
        <f> 'Optimal Choice'!$B$7*'Optimal Choice'!$B$8^(I739+1)</f>
        <v>108681530.5</v>
      </c>
      <c r="P739" s="12">
        <f> 'Optimal Choice'!$B$12*'Optimal Choice'!$B$13^(J739+1)</f>
        <v>1326141705</v>
      </c>
      <c r="Q739" s="12">
        <f> 'Optimal Choice'!$B$17*'Optimal Choice'!$B$18^(K739+1)</f>
        <v>6305570119</v>
      </c>
      <c r="R739" s="12">
        <f> 'Optimal Choice'!$B$22*'Optimal Choice'!$B$23^(L739+1)</f>
        <v>25827587852</v>
      </c>
      <c r="S739" s="12">
        <f> 'Optimal Choice'!$B$27*'Optimal Choice'!$B$28^(M739+1)</f>
        <v>147213562414</v>
      </c>
    </row>
    <row r="740" ht="15.75" customHeight="1">
      <c r="A740" s="10">
        <f t="shared" si="2"/>
        <v>82508.14092</v>
      </c>
      <c r="B740" s="6">
        <f>(I740*'Optimal Choice'!$B$6+J740*'Optimal Choice'!$B$11+K740*'Optimal Choice'!$B$16+L740*'Optimal Choice'!$B$21+M740*'Optimal Choice'!$B$26)*'Optimal Choice'!$B$30</f>
        <v>325112.51</v>
      </c>
      <c r="C740" s="10">
        <f>(O740/$B740)+(O740/'Optimal Choice'!$B$6)</f>
        <v>69634631.72</v>
      </c>
      <c r="D740" s="10">
        <f>(P740/$B740)+(P740/'Optimal Choice'!$B$11)</f>
        <v>66311164.28</v>
      </c>
      <c r="E740" s="10">
        <f>(Q740/$B740)+(Q740/'Optimal Choice'!$B$16)</f>
        <v>70081285.25</v>
      </c>
      <c r="F740" s="10">
        <f>(R740/$B740)+(R740/'Optimal Choice'!$B$21)</f>
        <v>71822741.59</v>
      </c>
      <c r="G740" s="10">
        <f>(S740/$B740)+(S740/'Optimal Choice'!$B$26)</f>
        <v>68607235.1</v>
      </c>
      <c r="I740" s="11">
        <f t="shared" ref="I740:M740" si="739">if(min($C739:$G739)=C739,I739+1,I739)</f>
        <v>253</v>
      </c>
      <c r="J740" s="11">
        <f t="shared" si="739"/>
        <v>120</v>
      </c>
      <c r="K740" s="11">
        <f t="shared" si="739"/>
        <v>121</v>
      </c>
      <c r="L740" s="11">
        <f t="shared" si="739"/>
        <v>121</v>
      </c>
      <c r="M740" s="11">
        <f t="shared" si="739"/>
        <v>124</v>
      </c>
      <c r="O740" s="12">
        <f> 'Optimal Choice'!$B$7*'Optimal Choice'!$B$8^(I740+1)</f>
        <v>116289237.6</v>
      </c>
      <c r="P740" s="12">
        <f> 'Optimal Choice'!$B$12*'Optimal Choice'!$B$13^(J740+1)</f>
        <v>1326141705</v>
      </c>
      <c r="Q740" s="12">
        <f> 'Optimal Choice'!$B$17*'Optimal Choice'!$B$18^(K740+1)</f>
        <v>6305570119</v>
      </c>
      <c r="R740" s="12">
        <f> 'Optimal Choice'!$B$22*'Optimal Choice'!$B$23^(L740+1)</f>
        <v>25827587852</v>
      </c>
      <c r="S740" s="12">
        <f> 'Optimal Choice'!$B$27*'Optimal Choice'!$B$28^(M740+1)</f>
        <v>147213562414</v>
      </c>
    </row>
    <row r="741" ht="15.75" customHeight="1">
      <c r="A741" s="10">
        <f t="shared" si="2"/>
        <v>82576.12465</v>
      </c>
      <c r="B741" s="6">
        <f>(I741*'Optimal Choice'!$B$6+J741*'Optimal Choice'!$B$11+K741*'Optimal Choice'!$B$16+L741*'Optimal Choice'!$B$21+M741*'Optimal Choice'!$B$26)*'Optimal Choice'!$B$30</f>
        <v>325132.51</v>
      </c>
      <c r="C741" s="10">
        <f>(O741/$B741)+(O741/'Optimal Choice'!$B$6)</f>
        <v>69634631.7</v>
      </c>
      <c r="D741" s="10">
        <f>(P741/$B741)+(P741/'Optimal Choice'!$B$11)</f>
        <v>76257838.63</v>
      </c>
      <c r="E741" s="10">
        <f>(Q741/$B741)+(Q741/'Optimal Choice'!$B$16)</f>
        <v>70081284.06</v>
      </c>
      <c r="F741" s="10">
        <f>(R741/$B741)+(R741/'Optimal Choice'!$B$21)</f>
        <v>71822736.7</v>
      </c>
      <c r="G741" s="10">
        <f>(S741/$B741)+(S741/'Optimal Choice'!$B$26)</f>
        <v>68607207.24</v>
      </c>
      <c r="I741" s="11">
        <f t="shared" ref="I741:M741" si="740">if(min($C740:$G740)=C740,I740+1,I740)</f>
        <v>253</v>
      </c>
      <c r="J741" s="11">
        <f t="shared" si="740"/>
        <v>121</v>
      </c>
      <c r="K741" s="11">
        <f t="shared" si="740"/>
        <v>121</v>
      </c>
      <c r="L741" s="11">
        <f t="shared" si="740"/>
        <v>121</v>
      </c>
      <c r="M741" s="11">
        <f t="shared" si="740"/>
        <v>124</v>
      </c>
      <c r="O741" s="12">
        <f> 'Optimal Choice'!$B$7*'Optimal Choice'!$B$8^(I741+1)</f>
        <v>116289237.6</v>
      </c>
      <c r="P741" s="12">
        <f> 'Optimal Choice'!$B$12*'Optimal Choice'!$B$13^(J741+1)</f>
        <v>1525062961</v>
      </c>
      <c r="Q741" s="12">
        <f> 'Optimal Choice'!$B$17*'Optimal Choice'!$B$18^(K741+1)</f>
        <v>6305570119</v>
      </c>
      <c r="R741" s="12">
        <f> 'Optimal Choice'!$B$22*'Optimal Choice'!$B$23^(L741+1)</f>
        <v>25827587852</v>
      </c>
      <c r="S741" s="12">
        <f> 'Optimal Choice'!$B$27*'Optimal Choice'!$B$28^(M741+1)</f>
        <v>147213562414</v>
      </c>
    </row>
    <row r="742" ht="15.75" customHeight="1">
      <c r="A742" s="10">
        <f t="shared" si="2"/>
        <v>90122.4613</v>
      </c>
      <c r="B742" s="6">
        <f>(I742*'Optimal Choice'!$B$6+J742*'Optimal Choice'!$B$11+K742*'Optimal Choice'!$B$16+L742*'Optimal Choice'!$B$21+M742*'Optimal Choice'!$B$26)*'Optimal Choice'!$B$30</f>
        <v>327292.51</v>
      </c>
      <c r="C742" s="10">
        <f>(O742/$B742)+(O742/'Optimal Choice'!$B$6)</f>
        <v>69634629.34</v>
      </c>
      <c r="D742" s="10">
        <f>(P742/$B742)+(P742/'Optimal Choice'!$B$11)</f>
        <v>76257807.68</v>
      </c>
      <c r="E742" s="10">
        <f>(Q742/$B742)+(Q742/'Optimal Choice'!$B$16)</f>
        <v>70081156.07</v>
      </c>
      <c r="F742" s="10">
        <f>(R742/$B742)+(R742/'Optimal Choice'!$B$21)</f>
        <v>71822212.45</v>
      </c>
      <c r="G742" s="10">
        <f>(S742/$B742)+(S742/'Optimal Choice'!$B$26)</f>
        <v>76836725.36</v>
      </c>
      <c r="I742" s="11">
        <f t="shared" ref="I742:M742" si="741">if(min($C741:$G741)=C741,I741+1,I741)</f>
        <v>253</v>
      </c>
      <c r="J742" s="11">
        <f t="shared" si="741"/>
        <v>121</v>
      </c>
      <c r="K742" s="11">
        <f t="shared" si="741"/>
        <v>121</v>
      </c>
      <c r="L742" s="11">
        <f t="shared" si="741"/>
        <v>121</v>
      </c>
      <c r="M742" s="11">
        <f t="shared" si="741"/>
        <v>125</v>
      </c>
      <c r="O742" s="12">
        <f> 'Optimal Choice'!$B$7*'Optimal Choice'!$B$8^(I742+1)</f>
        <v>116289237.6</v>
      </c>
      <c r="P742" s="12">
        <f> 'Optimal Choice'!$B$12*'Optimal Choice'!$B$13^(J742+1)</f>
        <v>1525062961</v>
      </c>
      <c r="Q742" s="12">
        <f> 'Optimal Choice'!$B$17*'Optimal Choice'!$B$18^(K742+1)</f>
        <v>6305570119</v>
      </c>
      <c r="R742" s="12">
        <f> 'Optimal Choice'!$B$22*'Optimal Choice'!$B$23^(L742+1)</f>
        <v>25827587852</v>
      </c>
      <c r="S742" s="12">
        <f> 'Optimal Choice'!$B$27*'Optimal Choice'!$B$28^(M742+1)</f>
        <v>164879189904</v>
      </c>
    </row>
    <row r="743" ht="15.75" customHeight="1">
      <c r="A743" s="10">
        <f t="shared" si="2"/>
        <v>90128.38308</v>
      </c>
      <c r="B743" s="6">
        <f>(I743*'Optimal Choice'!$B$6+J743*'Optimal Choice'!$B$11+K743*'Optimal Choice'!$B$16+L743*'Optimal Choice'!$B$21+M743*'Optimal Choice'!$B$26)*'Optimal Choice'!$B$30</f>
        <v>327294.18</v>
      </c>
      <c r="C743" s="10">
        <f>(O743/$B743)+(O743/'Optimal Choice'!$B$6)</f>
        <v>74509053.39</v>
      </c>
      <c r="D743" s="10">
        <f>(P743/$B743)+(P743/'Optimal Choice'!$B$11)</f>
        <v>76257807.65</v>
      </c>
      <c r="E743" s="10">
        <f>(Q743/$B743)+(Q743/'Optimal Choice'!$B$16)</f>
        <v>70081155.97</v>
      </c>
      <c r="F743" s="10">
        <f>(R743/$B743)+(R743/'Optimal Choice'!$B$21)</f>
        <v>71822212.04</v>
      </c>
      <c r="G743" s="10">
        <f>(S743/$B743)+(S743/'Optimal Choice'!$B$26)</f>
        <v>76836722.79</v>
      </c>
      <c r="I743" s="11">
        <f t="shared" ref="I743:M743" si="742">if(min($C742:$G742)=C742,I742+1,I742)</f>
        <v>254</v>
      </c>
      <c r="J743" s="11">
        <f t="shared" si="742"/>
        <v>121</v>
      </c>
      <c r="K743" s="11">
        <f t="shared" si="742"/>
        <v>121</v>
      </c>
      <c r="L743" s="11">
        <f t="shared" si="742"/>
        <v>121</v>
      </c>
      <c r="M743" s="11">
        <f t="shared" si="742"/>
        <v>125</v>
      </c>
      <c r="O743" s="12">
        <f> 'Optimal Choice'!$B$7*'Optimal Choice'!$B$8^(I743+1)</f>
        <v>124429484.3</v>
      </c>
      <c r="P743" s="12">
        <f> 'Optimal Choice'!$B$12*'Optimal Choice'!$B$13^(J743+1)</f>
        <v>1525062961</v>
      </c>
      <c r="Q743" s="12">
        <f> 'Optimal Choice'!$B$17*'Optimal Choice'!$B$18^(K743+1)</f>
        <v>6305570119</v>
      </c>
      <c r="R743" s="12">
        <f> 'Optimal Choice'!$B$22*'Optimal Choice'!$B$23^(L743+1)</f>
        <v>25827587852</v>
      </c>
      <c r="S743" s="12">
        <f> 'Optimal Choice'!$B$27*'Optimal Choice'!$B$28^(M743+1)</f>
        <v>164879189904</v>
      </c>
    </row>
    <row r="744" ht="15.75" customHeight="1">
      <c r="A744" s="10">
        <f t="shared" si="2"/>
        <v>90449.47902</v>
      </c>
      <c r="B744" s="6">
        <f>(I744*'Optimal Choice'!$B$6+J744*'Optimal Choice'!$B$11+K744*'Optimal Choice'!$B$16+L744*'Optimal Choice'!$B$21+M744*'Optimal Choice'!$B$26)*'Optimal Choice'!$B$30</f>
        <v>327384.18</v>
      </c>
      <c r="C744" s="10">
        <f>(O744/$B744)+(O744/'Optimal Choice'!$B$6)</f>
        <v>74509053.28</v>
      </c>
      <c r="D744" s="10">
        <f>(P744/$B744)+(P744/'Optimal Choice'!$B$11)</f>
        <v>76257806.37</v>
      </c>
      <c r="E744" s="10">
        <f>(Q744/$B744)+(Q744/'Optimal Choice'!$B$16)</f>
        <v>79892511.77</v>
      </c>
      <c r="F744" s="10">
        <f>(R744/$B744)+(R744/'Optimal Choice'!$B$21)</f>
        <v>71822190.35</v>
      </c>
      <c r="G744" s="10">
        <f>(S744/$B744)+(S744/'Optimal Choice'!$B$26)</f>
        <v>76836584.3</v>
      </c>
      <c r="I744" s="11">
        <f t="shared" ref="I744:M744" si="743">if(min($C743:$G743)=C743,I743+1,I743)</f>
        <v>254</v>
      </c>
      <c r="J744" s="11">
        <f t="shared" si="743"/>
        <v>121</v>
      </c>
      <c r="K744" s="11">
        <f t="shared" si="743"/>
        <v>122</v>
      </c>
      <c r="L744" s="11">
        <f t="shared" si="743"/>
        <v>121</v>
      </c>
      <c r="M744" s="11">
        <f t="shared" si="743"/>
        <v>125</v>
      </c>
      <c r="O744" s="12">
        <f> 'Optimal Choice'!$B$7*'Optimal Choice'!$B$8^(I744+1)</f>
        <v>124429484.3</v>
      </c>
      <c r="P744" s="12">
        <f> 'Optimal Choice'!$B$12*'Optimal Choice'!$B$13^(J744+1)</f>
        <v>1525062961</v>
      </c>
      <c r="Q744" s="12">
        <f> 'Optimal Choice'!$B$17*'Optimal Choice'!$B$18^(K744+1)</f>
        <v>7188349936</v>
      </c>
      <c r="R744" s="12">
        <f> 'Optimal Choice'!$B$22*'Optimal Choice'!$B$23^(L744+1)</f>
        <v>25827587852</v>
      </c>
      <c r="S744" s="12">
        <f> 'Optimal Choice'!$B$27*'Optimal Choice'!$B$28^(M744+1)</f>
        <v>164879189904</v>
      </c>
    </row>
    <row r="745" ht="15.75" customHeight="1">
      <c r="A745" s="10">
        <f t="shared" si="2"/>
        <v>91764.32508</v>
      </c>
      <c r="B745" s="6">
        <f>(I745*'Optimal Choice'!$B$6+J745*'Optimal Choice'!$B$11+K745*'Optimal Choice'!$B$16+L745*'Optimal Choice'!$B$21+M745*'Optimal Choice'!$B$26)*'Optimal Choice'!$B$30</f>
        <v>327744.18</v>
      </c>
      <c r="C745" s="10">
        <f>(O745/$B745)+(O745/'Optimal Choice'!$B$6)</f>
        <v>74509052.87</v>
      </c>
      <c r="D745" s="10">
        <f>(P745/$B745)+(P745/'Optimal Choice'!$B$11)</f>
        <v>76257801.26</v>
      </c>
      <c r="E745" s="10">
        <f>(Q745/$B745)+(Q745/'Optimal Choice'!$B$16)</f>
        <v>79892487.65</v>
      </c>
      <c r="F745" s="10">
        <f>(R745/$B745)+(R745/'Optimal Choice'!$B$21)</f>
        <v>81158977.18</v>
      </c>
      <c r="G745" s="10">
        <f>(S745/$B745)+(S745/'Optimal Choice'!$B$26)</f>
        <v>76836031.11</v>
      </c>
      <c r="I745" s="11">
        <f t="shared" ref="I745:M745" si="744">if(min($C744:$G744)=C744,I744+1,I744)</f>
        <v>254</v>
      </c>
      <c r="J745" s="11">
        <f t="shared" si="744"/>
        <v>121</v>
      </c>
      <c r="K745" s="11">
        <f t="shared" si="744"/>
        <v>122</v>
      </c>
      <c r="L745" s="11">
        <f t="shared" si="744"/>
        <v>122</v>
      </c>
      <c r="M745" s="11">
        <f t="shared" si="744"/>
        <v>125</v>
      </c>
      <c r="O745" s="12">
        <f> 'Optimal Choice'!$B$7*'Optimal Choice'!$B$8^(I745+1)</f>
        <v>124429484.3</v>
      </c>
      <c r="P745" s="12">
        <f> 'Optimal Choice'!$B$12*'Optimal Choice'!$B$13^(J745+1)</f>
        <v>1525062961</v>
      </c>
      <c r="Q745" s="12">
        <f> 'Optimal Choice'!$B$17*'Optimal Choice'!$B$18^(K745+1)</f>
        <v>7188349936</v>
      </c>
      <c r="R745" s="12">
        <f> 'Optimal Choice'!$B$22*'Optimal Choice'!$B$23^(L745+1)</f>
        <v>29185174272</v>
      </c>
      <c r="S745" s="12">
        <f> 'Optimal Choice'!$B$27*'Optimal Choice'!$B$28^(M745+1)</f>
        <v>164879189904</v>
      </c>
    </row>
    <row r="746" ht="15.75" customHeight="1">
      <c r="A746" s="10">
        <f t="shared" si="2"/>
        <v>91770.65265</v>
      </c>
      <c r="B746" s="6">
        <f>(I746*'Optimal Choice'!$B$6+J746*'Optimal Choice'!$B$11+K746*'Optimal Choice'!$B$16+L746*'Optimal Choice'!$B$21+M746*'Optimal Choice'!$B$26)*'Optimal Choice'!$B$30</f>
        <v>327745.85</v>
      </c>
      <c r="C746" s="10">
        <f>(O746/$B746)+(O746/'Optimal Choice'!$B$6)</f>
        <v>79724686.56</v>
      </c>
      <c r="D746" s="10">
        <f>(P746/$B746)+(P746/'Optimal Choice'!$B$11)</f>
        <v>76257801.23</v>
      </c>
      <c r="E746" s="10">
        <f>(Q746/$B746)+(Q746/'Optimal Choice'!$B$16)</f>
        <v>79892487.54</v>
      </c>
      <c r="F746" s="10">
        <f>(R746/$B746)+(R746/'Optimal Choice'!$B$21)</f>
        <v>81158976.72</v>
      </c>
      <c r="G746" s="10">
        <f>(S746/$B746)+(S746/'Optimal Choice'!$B$26)</f>
        <v>76836028.55</v>
      </c>
      <c r="I746" s="11">
        <f t="shared" ref="I746:M746" si="745">if(min($C745:$G745)=C745,I745+1,I745)</f>
        <v>255</v>
      </c>
      <c r="J746" s="11">
        <f t="shared" si="745"/>
        <v>121</v>
      </c>
      <c r="K746" s="11">
        <f t="shared" si="745"/>
        <v>122</v>
      </c>
      <c r="L746" s="11">
        <f t="shared" si="745"/>
        <v>122</v>
      </c>
      <c r="M746" s="11">
        <f t="shared" si="745"/>
        <v>125</v>
      </c>
      <c r="O746" s="12">
        <f> 'Optimal Choice'!$B$7*'Optimal Choice'!$B$8^(I746+1)</f>
        <v>133139548.2</v>
      </c>
      <c r="P746" s="12">
        <f> 'Optimal Choice'!$B$12*'Optimal Choice'!$B$13^(J746+1)</f>
        <v>1525062961</v>
      </c>
      <c r="Q746" s="12">
        <f> 'Optimal Choice'!$B$17*'Optimal Choice'!$B$18^(K746+1)</f>
        <v>7188349936</v>
      </c>
      <c r="R746" s="12">
        <f> 'Optimal Choice'!$B$22*'Optimal Choice'!$B$23^(L746+1)</f>
        <v>29185174272</v>
      </c>
      <c r="S746" s="12">
        <f> 'Optimal Choice'!$B$27*'Optimal Choice'!$B$28^(M746+1)</f>
        <v>164879189904</v>
      </c>
    </row>
    <row r="747" ht="15.75" customHeight="1">
      <c r="A747" s="10">
        <f t="shared" si="2"/>
        <v>91848.20578</v>
      </c>
      <c r="B747" s="6">
        <f>(I747*'Optimal Choice'!$B$6+J747*'Optimal Choice'!$B$11+K747*'Optimal Choice'!$B$16+L747*'Optimal Choice'!$B$21+M747*'Optimal Choice'!$B$26)*'Optimal Choice'!$B$30</f>
        <v>327765.85</v>
      </c>
      <c r="C747" s="10">
        <f>(O747/$B747)+(O747/'Optimal Choice'!$B$6)</f>
        <v>79724686.54</v>
      </c>
      <c r="D747" s="10">
        <f>(P747/$B747)+(P747/'Optimal Choice'!$B$11)</f>
        <v>87696471.09</v>
      </c>
      <c r="E747" s="10">
        <f>(Q747/$B747)+(Q747/'Optimal Choice'!$B$16)</f>
        <v>79892486.2</v>
      </c>
      <c r="F747" s="10">
        <f>(R747/$B747)+(R747/'Optimal Choice'!$B$21)</f>
        <v>81158971.29</v>
      </c>
      <c r="G747" s="10">
        <f>(S747/$B747)+(S747/'Optimal Choice'!$B$26)</f>
        <v>76835997.85</v>
      </c>
      <c r="I747" s="11">
        <f t="shared" ref="I747:M747" si="746">if(min($C746:$G746)=C746,I746+1,I746)</f>
        <v>255</v>
      </c>
      <c r="J747" s="11">
        <f t="shared" si="746"/>
        <v>122</v>
      </c>
      <c r="K747" s="11">
        <f t="shared" si="746"/>
        <v>122</v>
      </c>
      <c r="L747" s="11">
        <f t="shared" si="746"/>
        <v>122</v>
      </c>
      <c r="M747" s="11">
        <f t="shared" si="746"/>
        <v>125</v>
      </c>
      <c r="O747" s="12">
        <f> 'Optimal Choice'!$B$7*'Optimal Choice'!$B$8^(I747+1)</f>
        <v>133139548.2</v>
      </c>
      <c r="P747" s="12">
        <f> 'Optimal Choice'!$B$12*'Optimal Choice'!$B$13^(J747+1)</f>
        <v>1753822405</v>
      </c>
      <c r="Q747" s="12">
        <f> 'Optimal Choice'!$B$17*'Optimal Choice'!$B$18^(K747+1)</f>
        <v>7188349936</v>
      </c>
      <c r="R747" s="12">
        <f> 'Optimal Choice'!$B$22*'Optimal Choice'!$B$23^(L747+1)</f>
        <v>29185174272</v>
      </c>
      <c r="S747" s="12">
        <f> 'Optimal Choice'!$B$27*'Optimal Choice'!$B$28^(M747+1)</f>
        <v>164879189904</v>
      </c>
    </row>
    <row r="748" ht="15.75" customHeight="1">
      <c r="A748" s="10">
        <f t="shared" si="2"/>
        <v>100232.1985</v>
      </c>
      <c r="B748" s="6">
        <f>(I748*'Optimal Choice'!$B$6+J748*'Optimal Choice'!$B$11+K748*'Optimal Choice'!$B$16+L748*'Optimal Choice'!$B$21+M748*'Optimal Choice'!$B$26)*'Optimal Choice'!$B$30</f>
        <v>329925.85</v>
      </c>
      <c r="C748" s="10">
        <f>(O748/$B748)+(O748/'Optimal Choice'!$B$6)</f>
        <v>79724683.88</v>
      </c>
      <c r="D748" s="10">
        <f>(P748/$B748)+(P748/'Optimal Choice'!$B$11)</f>
        <v>87696436.06</v>
      </c>
      <c r="E748" s="10">
        <f>(Q748/$B748)+(Q748/'Optimal Choice'!$B$16)</f>
        <v>79892342.62</v>
      </c>
      <c r="F748" s="10">
        <f>(R748/$B748)+(R748/'Optimal Choice'!$B$21)</f>
        <v>81158388.33</v>
      </c>
      <c r="G748" s="10">
        <f>(S748/$B748)+(S748/'Optimal Choice'!$B$26)</f>
        <v>86052629.03</v>
      </c>
      <c r="I748" s="11">
        <f t="shared" ref="I748:M748" si="747">if(min($C747:$G747)=C747,I747+1,I747)</f>
        <v>255</v>
      </c>
      <c r="J748" s="11">
        <f t="shared" si="747"/>
        <v>122</v>
      </c>
      <c r="K748" s="11">
        <f t="shared" si="747"/>
        <v>122</v>
      </c>
      <c r="L748" s="11">
        <f t="shared" si="747"/>
        <v>122</v>
      </c>
      <c r="M748" s="11">
        <f t="shared" si="747"/>
        <v>126</v>
      </c>
      <c r="O748" s="12">
        <f> 'Optimal Choice'!$B$7*'Optimal Choice'!$B$8^(I748+1)</f>
        <v>133139548.2</v>
      </c>
      <c r="P748" s="12">
        <f> 'Optimal Choice'!$B$12*'Optimal Choice'!$B$13^(J748+1)</f>
        <v>1753822405</v>
      </c>
      <c r="Q748" s="12">
        <f> 'Optimal Choice'!$B$17*'Optimal Choice'!$B$18^(K748+1)</f>
        <v>7188349936</v>
      </c>
      <c r="R748" s="12">
        <f> 'Optimal Choice'!$B$22*'Optimal Choice'!$B$23^(L748+1)</f>
        <v>29185174272</v>
      </c>
      <c r="S748" s="12">
        <f> 'Optimal Choice'!$B$27*'Optimal Choice'!$B$28^(M748+1)</f>
        <v>184664692692</v>
      </c>
    </row>
    <row r="749" ht="15.75" customHeight="1">
      <c r="A749" s="10">
        <f t="shared" si="2"/>
        <v>100238.9242</v>
      </c>
      <c r="B749" s="6">
        <f>(I749*'Optimal Choice'!$B$6+J749*'Optimal Choice'!$B$11+K749*'Optimal Choice'!$B$16+L749*'Optimal Choice'!$B$21+M749*'Optimal Choice'!$B$26)*'Optimal Choice'!$B$30</f>
        <v>329927.52</v>
      </c>
      <c r="C749" s="10">
        <f>(O749/$B749)+(O749/'Optimal Choice'!$B$6)</f>
        <v>85305411.75</v>
      </c>
      <c r="D749" s="10">
        <f>(P749/$B749)+(P749/'Optimal Choice'!$B$11)</f>
        <v>87696436.03</v>
      </c>
      <c r="E749" s="10">
        <f>(Q749/$B749)+(Q749/'Optimal Choice'!$B$16)</f>
        <v>79892342.5</v>
      </c>
      <c r="F749" s="10">
        <f>(R749/$B749)+(R749/'Optimal Choice'!$B$21)</f>
        <v>81158387.89</v>
      </c>
      <c r="G749" s="10">
        <f>(S749/$B749)+(S749/'Optimal Choice'!$B$26)</f>
        <v>86052626.19</v>
      </c>
      <c r="I749" s="11">
        <f t="shared" ref="I749:M749" si="748">if(min($C748:$G748)=C748,I748+1,I748)</f>
        <v>256</v>
      </c>
      <c r="J749" s="11">
        <f t="shared" si="748"/>
        <v>122</v>
      </c>
      <c r="K749" s="11">
        <f t="shared" si="748"/>
        <v>122</v>
      </c>
      <c r="L749" s="11">
        <f t="shared" si="748"/>
        <v>122</v>
      </c>
      <c r="M749" s="11">
        <f t="shared" si="748"/>
        <v>126</v>
      </c>
      <c r="O749" s="12">
        <f> 'Optimal Choice'!$B$7*'Optimal Choice'!$B$8^(I749+1)</f>
        <v>142459316.5</v>
      </c>
      <c r="P749" s="12">
        <f> 'Optimal Choice'!$B$12*'Optimal Choice'!$B$13^(J749+1)</f>
        <v>1753822405</v>
      </c>
      <c r="Q749" s="12">
        <f> 'Optimal Choice'!$B$17*'Optimal Choice'!$B$18^(K749+1)</f>
        <v>7188349936</v>
      </c>
      <c r="R749" s="12">
        <f> 'Optimal Choice'!$B$22*'Optimal Choice'!$B$23^(L749+1)</f>
        <v>29185174272</v>
      </c>
      <c r="S749" s="12">
        <f> 'Optimal Choice'!$B$27*'Optimal Choice'!$B$28^(M749+1)</f>
        <v>184664692692</v>
      </c>
    </row>
    <row r="750" ht="15.75" customHeight="1">
      <c r="A750" s="10">
        <f t="shared" si="2"/>
        <v>100602.052</v>
      </c>
      <c r="B750" s="6">
        <f>(I750*'Optimal Choice'!$B$6+J750*'Optimal Choice'!$B$11+K750*'Optimal Choice'!$B$16+L750*'Optimal Choice'!$B$21+M750*'Optimal Choice'!$B$26)*'Optimal Choice'!$B$30</f>
        <v>330017.52</v>
      </c>
      <c r="C750" s="10">
        <f>(O750/$B750)+(O750/'Optimal Choice'!$B$6)</f>
        <v>85305411.63</v>
      </c>
      <c r="D750" s="10">
        <f>(P750/$B750)+(P750/'Optimal Choice'!$B$11)</f>
        <v>87696434.58</v>
      </c>
      <c r="E750" s="10">
        <f>(Q750/$B750)+(Q750/'Optimal Choice'!$B$16)</f>
        <v>91077263.68</v>
      </c>
      <c r="F750" s="10">
        <f>(R750/$B750)+(R750/'Optimal Choice'!$B$21)</f>
        <v>81158363.76</v>
      </c>
      <c r="G750" s="10">
        <f>(S750/$B750)+(S750/'Optimal Choice'!$B$26)</f>
        <v>86052473.55</v>
      </c>
      <c r="I750" s="11">
        <f t="shared" ref="I750:M750" si="749">if(min($C749:$G749)=C749,I749+1,I749)</f>
        <v>256</v>
      </c>
      <c r="J750" s="11">
        <f t="shared" si="749"/>
        <v>122</v>
      </c>
      <c r="K750" s="11">
        <f t="shared" si="749"/>
        <v>123</v>
      </c>
      <c r="L750" s="11">
        <f t="shared" si="749"/>
        <v>122</v>
      </c>
      <c r="M750" s="11">
        <f t="shared" si="749"/>
        <v>126</v>
      </c>
      <c r="O750" s="12">
        <f> 'Optimal Choice'!$B$7*'Optimal Choice'!$B$8^(I750+1)</f>
        <v>142459316.5</v>
      </c>
      <c r="P750" s="12">
        <f> 'Optimal Choice'!$B$12*'Optimal Choice'!$B$13^(J750+1)</f>
        <v>1753822405</v>
      </c>
      <c r="Q750" s="12">
        <f> 'Optimal Choice'!$B$17*'Optimal Choice'!$B$18^(K750+1)</f>
        <v>8194718927</v>
      </c>
      <c r="R750" s="12">
        <f> 'Optimal Choice'!$B$22*'Optimal Choice'!$B$23^(L750+1)</f>
        <v>29185174272</v>
      </c>
      <c r="S750" s="12">
        <f> 'Optimal Choice'!$B$27*'Optimal Choice'!$B$28^(M750+1)</f>
        <v>184664692692</v>
      </c>
    </row>
    <row r="751" ht="15.75" customHeight="1">
      <c r="A751" s="10"/>
      <c r="B751" s="6"/>
      <c r="C751" s="10"/>
      <c r="D751" s="10"/>
      <c r="E751" s="10"/>
      <c r="F751" s="10"/>
      <c r="G751" s="10"/>
      <c r="I751" s="11"/>
      <c r="J751" s="11"/>
      <c r="K751" s="11"/>
      <c r="L751" s="11"/>
      <c r="M751" s="11"/>
      <c r="O751" s="12"/>
      <c r="P751" s="12"/>
      <c r="Q751" s="12"/>
      <c r="R751" s="12"/>
      <c r="S751" s="12"/>
    </row>
    <row r="752" ht="15.75" customHeight="1">
      <c r="A752" s="10"/>
      <c r="B752" s="6"/>
      <c r="C752" s="10"/>
      <c r="D752" s="10"/>
      <c r="E752" s="10"/>
      <c r="F752" s="10"/>
      <c r="G752" s="10"/>
      <c r="I752" s="11"/>
      <c r="J752" s="11"/>
      <c r="K752" s="11"/>
      <c r="L752" s="11"/>
      <c r="M752" s="11"/>
      <c r="O752" s="12"/>
      <c r="P752" s="12"/>
      <c r="Q752" s="12"/>
      <c r="R752" s="12"/>
      <c r="S752" s="12"/>
    </row>
    <row r="753" ht="15.75" customHeight="1">
      <c r="A753" s="10"/>
      <c r="B753" s="6"/>
      <c r="C753" s="10"/>
      <c r="D753" s="10"/>
      <c r="E753" s="10"/>
      <c r="F753" s="10"/>
      <c r="G753" s="10"/>
      <c r="I753" s="11"/>
      <c r="J753" s="11"/>
      <c r="K753" s="11"/>
      <c r="L753" s="11"/>
      <c r="M753" s="11"/>
      <c r="O753" s="12"/>
      <c r="P753" s="12"/>
      <c r="Q753" s="12"/>
      <c r="R753" s="12"/>
      <c r="S753" s="12"/>
    </row>
    <row r="754" ht="15.75" customHeight="1">
      <c r="A754" s="10"/>
      <c r="B754" s="6"/>
      <c r="C754" s="10"/>
      <c r="D754" s="10"/>
      <c r="E754" s="10"/>
      <c r="F754" s="10"/>
      <c r="G754" s="10"/>
      <c r="I754" s="11"/>
      <c r="J754" s="11"/>
      <c r="K754" s="11"/>
      <c r="L754" s="11"/>
      <c r="M754" s="11"/>
      <c r="O754" s="12"/>
      <c r="P754" s="12"/>
      <c r="Q754" s="12"/>
      <c r="R754" s="12"/>
      <c r="S754" s="12"/>
    </row>
    <row r="755" ht="15.75" customHeight="1">
      <c r="A755" s="10"/>
      <c r="B755" s="6"/>
      <c r="C755" s="10"/>
      <c r="D755" s="10"/>
      <c r="E755" s="10"/>
      <c r="F755" s="10"/>
      <c r="G755" s="10"/>
      <c r="I755" s="11"/>
      <c r="J755" s="11"/>
      <c r="K755" s="11"/>
      <c r="L755" s="11"/>
      <c r="M755" s="11"/>
      <c r="O755" s="12"/>
      <c r="P755" s="12"/>
      <c r="Q755" s="12"/>
      <c r="R755" s="12"/>
      <c r="S755" s="12"/>
    </row>
    <row r="756" ht="15.75" customHeight="1">
      <c r="A756" s="10"/>
      <c r="B756" s="6"/>
      <c r="C756" s="10"/>
      <c r="D756" s="10"/>
      <c r="E756" s="10"/>
      <c r="F756" s="10"/>
      <c r="G756" s="10"/>
      <c r="I756" s="11"/>
      <c r="J756" s="11"/>
      <c r="K756" s="11"/>
      <c r="L756" s="11"/>
      <c r="M756" s="11"/>
      <c r="O756" s="12"/>
      <c r="P756" s="12"/>
      <c r="Q756" s="12"/>
      <c r="R756" s="12"/>
      <c r="S756" s="12"/>
    </row>
    <row r="757" ht="15.75" customHeight="1">
      <c r="A757" s="10"/>
      <c r="B757" s="6"/>
      <c r="C757" s="10"/>
      <c r="D757" s="10"/>
      <c r="E757" s="10"/>
      <c r="F757" s="10"/>
      <c r="G757" s="10"/>
      <c r="I757" s="11"/>
      <c r="J757" s="11"/>
      <c r="K757" s="11"/>
      <c r="L757" s="11"/>
      <c r="M757" s="11"/>
      <c r="O757" s="12"/>
      <c r="P757" s="12"/>
      <c r="Q757" s="12"/>
      <c r="R757" s="12"/>
      <c r="S757" s="12"/>
    </row>
    <row r="758" ht="15.75" customHeight="1">
      <c r="A758" s="10"/>
      <c r="B758" s="6"/>
      <c r="C758" s="10"/>
      <c r="D758" s="10"/>
      <c r="E758" s="10"/>
      <c r="F758" s="10"/>
      <c r="G758" s="10"/>
      <c r="I758" s="11"/>
      <c r="J758" s="11"/>
      <c r="K758" s="11"/>
      <c r="L758" s="11"/>
      <c r="M758" s="11"/>
      <c r="O758" s="12"/>
      <c r="P758" s="12"/>
      <c r="Q758" s="12"/>
      <c r="R758" s="12"/>
      <c r="S758" s="12"/>
    </row>
    <row r="759" ht="15.75" customHeight="1">
      <c r="A759" s="10"/>
      <c r="B759" s="6"/>
      <c r="C759" s="10"/>
      <c r="D759" s="10"/>
      <c r="E759" s="10"/>
      <c r="F759" s="10"/>
      <c r="G759" s="10"/>
      <c r="I759" s="11"/>
      <c r="J759" s="11"/>
      <c r="K759" s="11"/>
      <c r="L759" s="11"/>
      <c r="M759" s="11"/>
      <c r="O759" s="12"/>
      <c r="P759" s="12"/>
      <c r="Q759" s="12"/>
      <c r="R759" s="12"/>
      <c r="S759" s="12"/>
    </row>
    <row r="760" ht="15.75" customHeight="1">
      <c r="A760" s="10"/>
      <c r="B760" s="6"/>
      <c r="C760" s="10"/>
      <c r="D760" s="10"/>
      <c r="E760" s="10"/>
      <c r="F760" s="10"/>
      <c r="G760" s="10"/>
      <c r="I760" s="11"/>
      <c r="J760" s="11"/>
      <c r="K760" s="11"/>
      <c r="L760" s="11"/>
      <c r="M760" s="11"/>
      <c r="O760" s="12"/>
      <c r="P760" s="12"/>
      <c r="Q760" s="12"/>
      <c r="R760" s="12"/>
      <c r="S760" s="12"/>
    </row>
    <row r="761" ht="15.75" customHeight="1">
      <c r="A761" s="10"/>
      <c r="B761" s="6"/>
      <c r="C761" s="10"/>
      <c r="D761" s="10"/>
      <c r="E761" s="10"/>
      <c r="F761" s="10"/>
      <c r="G761" s="10"/>
      <c r="I761" s="11"/>
      <c r="J761" s="11"/>
      <c r="K761" s="11"/>
      <c r="L761" s="11"/>
      <c r="M761" s="11"/>
      <c r="O761" s="12"/>
      <c r="P761" s="12"/>
      <c r="Q761" s="12"/>
      <c r="R761" s="12"/>
      <c r="S761" s="12"/>
    </row>
    <row r="762" ht="15.75" customHeight="1">
      <c r="A762" s="10"/>
      <c r="B762" s="6"/>
      <c r="C762" s="10"/>
      <c r="D762" s="10"/>
      <c r="E762" s="10"/>
      <c r="F762" s="10"/>
      <c r="G762" s="10"/>
      <c r="I762" s="11"/>
      <c r="J762" s="11"/>
      <c r="K762" s="11"/>
      <c r="L762" s="11"/>
      <c r="M762" s="11"/>
      <c r="O762" s="12"/>
      <c r="P762" s="12"/>
      <c r="Q762" s="12"/>
      <c r="R762" s="12"/>
      <c r="S762" s="12"/>
    </row>
    <row r="763" ht="15.75" customHeight="1">
      <c r="A763" s="10"/>
      <c r="B763" s="6"/>
      <c r="C763" s="10"/>
      <c r="D763" s="10"/>
      <c r="E763" s="10"/>
      <c r="F763" s="10"/>
      <c r="G763" s="10"/>
      <c r="I763" s="11"/>
      <c r="J763" s="11"/>
      <c r="K763" s="11"/>
      <c r="L763" s="11"/>
      <c r="M763" s="11"/>
      <c r="O763" s="12"/>
      <c r="P763" s="12"/>
      <c r="Q763" s="12"/>
      <c r="R763" s="12"/>
      <c r="S763" s="12"/>
    </row>
    <row r="764" ht="15.75" customHeight="1">
      <c r="A764" s="10"/>
      <c r="B764" s="6"/>
      <c r="C764" s="10"/>
      <c r="D764" s="10"/>
      <c r="E764" s="10"/>
      <c r="F764" s="10"/>
      <c r="G764" s="10"/>
      <c r="I764" s="11"/>
      <c r="J764" s="11"/>
      <c r="K764" s="11"/>
      <c r="L764" s="11"/>
      <c r="M764" s="11"/>
      <c r="O764" s="12"/>
      <c r="P764" s="12"/>
      <c r="Q764" s="12"/>
      <c r="R764" s="12"/>
      <c r="S764" s="12"/>
    </row>
    <row r="765" ht="15.75" customHeight="1">
      <c r="A765" s="10"/>
      <c r="B765" s="6"/>
      <c r="C765" s="10"/>
      <c r="D765" s="10"/>
      <c r="E765" s="10"/>
      <c r="F765" s="10"/>
      <c r="G765" s="10"/>
      <c r="I765" s="11"/>
      <c r="J765" s="11"/>
      <c r="K765" s="11"/>
      <c r="L765" s="11"/>
      <c r="M765" s="11"/>
      <c r="O765" s="12"/>
      <c r="P765" s="12"/>
      <c r="Q765" s="12"/>
      <c r="R765" s="12"/>
      <c r="S765" s="12"/>
    </row>
    <row r="766" ht="15.75" customHeight="1">
      <c r="A766" s="10"/>
      <c r="B766" s="6"/>
      <c r="C766" s="10"/>
      <c r="D766" s="10"/>
      <c r="E766" s="10"/>
      <c r="F766" s="10"/>
      <c r="G766" s="10"/>
      <c r="I766" s="11"/>
      <c r="J766" s="11"/>
      <c r="K766" s="11"/>
      <c r="L766" s="11"/>
      <c r="M766" s="11"/>
      <c r="O766" s="12"/>
      <c r="P766" s="12"/>
      <c r="Q766" s="12"/>
      <c r="R766" s="12"/>
      <c r="S766" s="12"/>
    </row>
    <row r="767" ht="15.75" customHeight="1">
      <c r="A767" s="10"/>
      <c r="B767" s="6"/>
      <c r="C767" s="10"/>
      <c r="D767" s="10"/>
      <c r="E767" s="10"/>
      <c r="F767" s="10"/>
      <c r="G767" s="10"/>
      <c r="I767" s="11"/>
      <c r="J767" s="11"/>
      <c r="K767" s="11"/>
      <c r="L767" s="11"/>
      <c r="M767" s="11"/>
      <c r="O767" s="12"/>
      <c r="P767" s="12"/>
      <c r="Q767" s="12"/>
      <c r="R767" s="12"/>
      <c r="S767" s="12"/>
    </row>
    <row r="768" ht="15.75" customHeight="1">
      <c r="A768" s="10"/>
      <c r="B768" s="6"/>
      <c r="C768" s="10"/>
      <c r="D768" s="10"/>
      <c r="E768" s="10"/>
      <c r="F768" s="10"/>
      <c r="G768" s="10"/>
      <c r="I768" s="11"/>
      <c r="J768" s="11"/>
      <c r="K768" s="11"/>
      <c r="L768" s="11"/>
      <c r="M768" s="11"/>
      <c r="O768" s="12"/>
      <c r="P768" s="12"/>
      <c r="Q768" s="12"/>
      <c r="R768" s="12"/>
      <c r="S768" s="12"/>
    </row>
    <row r="769" ht="15.75" customHeight="1">
      <c r="A769" s="10"/>
      <c r="B769" s="6"/>
      <c r="C769" s="10"/>
      <c r="D769" s="10"/>
      <c r="E769" s="10"/>
      <c r="F769" s="10"/>
      <c r="G769" s="10"/>
      <c r="I769" s="11"/>
      <c r="J769" s="11"/>
      <c r="K769" s="11"/>
      <c r="L769" s="11"/>
      <c r="M769" s="11"/>
      <c r="O769" s="12"/>
      <c r="P769" s="12"/>
      <c r="Q769" s="12"/>
      <c r="R769" s="12"/>
      <c r="S769" s="12"/>
    </row>
    <row r="770" ht="15.75" customHeight="1">
      <c r="A770" s="10"/>
      <c r="B770" s="6"/>
      <c r="C770" s="10"/>
      <c r="D770" s="10"/>
      <c r="E770" s="10"/>
      <c r="F770" s="10"/>
      <c r="G770" s="10"/>
      <c r="I770" s="11"/>
      <c r="J770" s="11"/>
      <c r="K770" s="11"/>
      <c r="L770" s="11"/>
      <c r="M770" s="11"/>
      <c r="O770" s="12"/>
      <c r="P770" s="12"/>
      <c r="Q770" s="12"/>
      <c r="R770" s="12"/>
      <c r="S770" s="12"/>
    </row>
    <row r="771" ht="15.75" customHeight="1">
      <c r="A771" s="10"/>
      <c r="B771" s="6"/>
      <c r="C771" s="10"/>
      <c r="D771" s="10"/>
      <c r="E771" s="10"/>
      <c r="F771" s="10"/>
      <c r="G771" s="10"/>
      <c r="I771" s="11"/>
      <c r="J771" s="11"/>
      <c r="K771" s="11"/>
      <c r="L771" s="11"/>
      <c r="M771" s="11"/>
      <c r="O771" s="12"/>
      <c r="P771" s="12"/>
      <c r="Q771" s="12"/>
      <c r="R771" s="12"/>
      <c r="S771" s="12"/>
    </row>
    <row r="772" ht="15.75" customHeight="1">
      <c r="A772" s="10"/>
      <c r="B772" s="6"/>
      <c r="C772" s="10"/>
      <c r="D772" s="10"/>
      <c r="E772" s="10"/>
      <c r="F772" s="10"/>
      <c r="G772" s="10"/>
      <c r="I772" s="11"/>
      <c r="J772" s="11"/>
      <c r="K772" s="11"/>
      <c r="L772" s="11"/>
      <c r="M772" s="11"/>
      <c r="O772" s="12"/>
      <c r="P772" s="12"/>
      <c r="Q772" s="12"/>
      <c r="R772" s="12"/>
      <c r="S772" s="12"/>
    </row>
    <row r="773" ht="15.75" customHeight="1">
      <c r="A773" s="10"/>
      <c r="B773" s="6"/>
      <c r="C773" s="10"/>
      <c r="D773" s="10"/>
      <c r="E773" s="10"/>
      <c r="F773" s="10"/>
      <c r="G773" s="10"/>
      <c r="I773" s="11"/>
      <c r="J773" s="11"/>
      <c r="K773" s="11"/>
      <c r="L773" s="11"/>
      <c r="M773" s="11"/>
      <c r="O773" s="12"/>
      <c r="P773" s="12"/>
      <c r="Q773" s="12"/>
      <c r="R773" s="12"/>
      <c r="S773" s="12"/>
    </row>
    <row r="774" ht="15.75" customHeight="1">
      <c r="A774" s="10"/>
      <c r="B774" s="6"/>
      <c r="C774" s="10"/>
      <c r="D774" s="10"/>
      <c r="E774" s="10"/>
      <c r="F774" s="10"/>
      <c r="G774" s="10"/>
      <c r="I774" s="11"/>
      <c r="J774" s="11"/>
      <c r="K774" s="11"/>
      <c r="L774" s="11"/>
      <c r="M774" s="11"/>
      <c r="O774" s="12"/>
      <c r="P774" s="12"/>
      <c r="Q774" s="12"/>
      <c r="R774" s="12"/>
      <c r="S774" s="12"/>
    </row>
    <row r="775" ht="15.75" customHeight="1">
      <c r="A775" s="10"/>
      <c r="B775" s="6"/>
      <c r="C775" s="10"/>
      <c r="D775" s="10"/>
      <c r="E775" s="10"/>
      <c r="F775" s="10"/>
      <c r="G775" s="10"/>
      <c r="I775" s="11"/>
      <c r="J775" s="11"/>
      <c r="K775" s="11"/>
      <c r="L775" s="11"/>
      <c r="M775" s="11"/>
      <c r="O775" s="12"/>
      <c r="P775" s="12"/>
      <c r="Q775" s="12"/>
      <c r="R775" s="12"/>
      <c r="S775" s="12"/>
    </row>
    <row r="776" ht="15.75" customHeight="1">
      <c r="A776" s="10"/>
      <c r="B776" s="6"/>
      <c r="C776" s="10"/>
      <c r="D776" s="10"/>
      <c r="E776" s="10"/>
      <c r="F776" s="10"/>
      <c r="G776" s="10"/>
      <c r="I776" s="11"/>
      <c r="J776" s="11"/>
      <c r="K776" s="11"/>
      <c r="L776" s="11"/>
      <c r="M776" s="11"/>
      <c r="O776" s="12"/>
      <c r="P776" s="12"/>
      <c r="Q776" s="12"/>
      <c r="R776" s="12"/>
      <c r="S776" s="12"/>
    </row>
    <row r="777" ht="15.75" customHeight="1">
      <c r="A777" s="10"/>
      <c r="B777" s="6"/>
      <c r="C777" s="10"/>
      <c r="D777" s="10"/>
      <c r="E777" s="10"/>
      <c r="F777" s="10"/>
      <c r="G777" s="10"/>
      <c r="I777" s="11"/>
      <c r="J777" s="11"/>
      <c r="K777" s="11"/>
      <c r="L777" s="11"/>
      <c r="M777" s="11"/>
      <c r="O777" s="12"/>
      <c r="P777" s="12"/>
      <c r="Q777" s="12"/>
      <c r="R777" s="12"/>
      <c r="S777" s="12"/>
    </row>
    <row r="778" ht="15.75" customHeight="1">
      <c r="A778" s="10"/>
      <c r="B778" s="6"/>
      <c r="C778" s="10"/>
      <c r="D778" s="10"/>
      <c r="E778" s="10"/>
      <c r="F778" s="10"/>
      <c r="G778" s="10"/>
      <c r="I778" s="11"/>
      <c r="J778" s="11"/>
      <c r="K778" s="11"/>
      <c r="L778" s="11"/>
      <c r="M778" s="11"/>
      <c r="O778" s="12"/>
      <c r="P778" s="12"/>
      <c r="Q778" s="12"/>
      <c r="R778" s="12"/>
      <c r="S778" s="12"/>
    </row>
    <row r="779" ht="15.75" customHeight="1">
      <c r="A779" s="10"/>
      <c r="B779" s="6"/>
      <c r="C779" s="10"/>
      <c r="D779" s="10"/>
      <c r="E779" s="10"/>
      <c r="F779" s="10"/>
      <c r="G779" s="10"/>
      <c r="I779" s="11"/>
      <c r="J779" s="11"/>
      <c r="K779" s="11"/>
      <c r="L779" s="11"/>
      <c r="M779" s="11"/>
      <c r="O779" s="12"/>
      <c r="P779" s="12"/>
      <c r="Q779" s="12"/>
      <c r="R779" s="12"/>
      <c r="S779" s="12"/>
    </row>
    <row r="780" ht="15.75" customHeight="1">
      <c r="A780" s="10"/>
      <c r="B780" s="6"/>
      <c r="C780" s="10"/>
      <c r="D780" s="10"/>
      <c r="E780" s="10"/>
      <c r="F780" s="10"/>
      <c r="G780" s="10"/>
      <c r="I780" s="11"/>
      <c r="J780" s="11"/>
      <c r="K780" s="11"/>
      <c r="L780" s="11"/>
      <c r="M780" s="11"/>
      <c r="O780" s="12"/>
      <c r="P780" s="12"/>
      <c r="Q780" s="12"/>
      <c r="R780" s="12"/>
      <c r="S780" s="12"/>
    </row>
    <row r="781" ht="15.75" customHeight="1">
      <c r="A781" s="10"/>
      <c r="B781" s="6"/>
      <c r="C781" s="10"/>
      <c r="D781" s="10"/>
      <c r="E781" s="10"/>
      <c r="F781" s="10"/>
      <c r="G781" s="10"/>
      <c r="I781" s="11"/>
      <c r="J781" s="11"/>
      <c r="K781" s="11"/>
      <c r="L781" s="11"/>
      <c r="M781" s="11"/>
      <c r="O781" s="12"/>
      <c r="P781" s="12"/>
      <c r="Q781" s="12"/>
      <c r="R781" s="12"/>
      <c r="S781" s="12"/>
    </row>
    <row r="782" ht="15.75" customHeight="1">
      <c r="A782" s="10"/>
      <c r="B782" s="6"/>
      <c r="C782" s="10"/>
      <c r="D782" s="10"/>
      <c r="E782" s="10"/>
      <c r="F782" s="10"/>
      <c r="G782" s="10"/>
      <c r="I782" s="11"/>
      <c r="J782" s="11"/>
      <c r="K782" s="11"/>
      <c r="L782" s="11"/>
      <c r="M782" s="11"/>
      <c r="O782" s="12"/>
      <c r="P782" s="12"/>
      <c r="Q782" s="12"/>
      <c r="R782" s="12"/>
      <c r="S782" s="12"/>
    </row>
    <row r="783" ht="15.75" customHeight="1">
      <c r="A783" s="10"/>
      <c r="B783" s="6"/>
      <c r="C783" s="10"/>
      <c r="D783" s="10"/>
      <c r="E783" s="10"/>
      <c r="F783" s="10"/>
      <c r="G783" s="10"/>
      <c r="I783" s="11"/>
      <c r="J783" s="11"/>
      <c r="K783" s="11"/>
      <c r="L783" s="11"/>
      <c r="M783" s="11"/>
      <c r="O783" s="12"/>
      <c r="P783" s="12"/>
      <c r="Q783" s="12"/>
      <c r="R783" s="12"/>
      <c r="S783" s="12"/>
    </row>
    <row r="784" ht="15.75" customHeight="1">
      <c r="A784" s="10"/>
      <c r="B784" s="6"/>
      <c r="C784" s="10"/>
      <c r="D784" s="10"/>
      <c r="E784" s="10"/>
      <c r="F784" s="10"/>
      <c r="G784" s="10"/>
      <c r="I784" s="11"/>
      <c r="J784" s="11"/>
      <c r="K784" s="11"/>
      <c r="L784" s="11"/>
      <c r="M784" s="11"/>
      <c r="O784" s="12"/>
      <c r="P784" s="12"/>
      <c r="Q784" s="12"/>
      <c r="R784" s="12"/>
      <c r="S784" s="12"/>
    </row>
    <row r="785" ht="15.75" customHeight="1">
      <c r="A785" s="10"/>
      <c r="B785" s="6"/>
      <c r="C785" s="10"/>
      <c r="D785" s="10"/>
      <c r="E785" s="10"/>
      <c r="F785" s="10"/>
      <c r="G785" s="10"/>
      <c r="I785" s="11"/>
      <c r="J785" s="11"/>
      <c r="K785" s="11"/>
      <c r="L785" s="11"/>
      <c r="M785" s="11"/>
      <c r="O785" s="12"/>
      <c r="P785" s="12"/>
      <c r="Q785" s="12"/>
      <c r="R785" s="12"/>
      <c r="S785" s="12"/>
    </row>
    <row r="786" ht="15.75" customHeight="1">
      <c r="A786" s="10"/>
      <c r="B786" s="6"/>
      <c r="C786" s="10"/>
      <c r="D786" s="10"/>
      <c r="E786" s="10"/>
      <c r="F786" s="10"/>
      <c r="G786" s="10"/>
      <c r="I786" s="11"/>
      <c r="J786" s="11"/>
      <c r="K786" s="11"/>
      <c r="L786" s="11"/>
      <c r="M786" s="11"/>
      <c r="O786" s="12"/>
      <c r="P786" s="12"/>
      <c r="Q786" s="12"/>
      <c r="R786" s="12"/>
      <c r="S786" s="12"/>
    </row>
    <row r="787" ht="15.75" customHeight="1">
      <c r="A787" s="10"/>
      <c r="B787" s="6"/>
      <c r="C787" s="10"/>
      <c r="D787" s="10"/>
      <c r="E787" s="10"/>
      <c r="F787" s="10"/>
      <c r="G787" s="10"/>
      <c r="I787" s="11"/>
      <c r="J787" s="11"/>
      <c r="K787" s="11"/>
      <c r="L787" s="11"/>
      <c r="M787" s="11"/>
      <c r="O787" s="12"/>
      <c r="P787" s="12"/>
      <c r="Q787" s="12"/>
      <c r="R787" s="12"/>
      <c r="S787" s="12"/>
    </row>
    <row r="788" ht="15.75" customHeight="1">
      <c r="A788" s="10"/>
      <c r="B788" s="6"/>
      <c r="C788" s="10"/>
      <c r="D788" s="10"/>
      <c r="E788" s="10"/>
      <c r="F788" s="10"/>
      <c r="G788" s="10"/>
      <c r="I788" s="11"/>
      <c r="J788" s="11"/>
      <c r="K788" s="11"/>
      <c r="L788" s="11"/>
      <c r="M788" s="11"/>
      <c r="O788" s="12"/>
      <c r="P788" s="12"/>
      <c r="Q788" s="12"/>
      <c r="R788" s="12"/>
      <c r="S788" s="12"/>
    </row>
    <row r="789" ht="15.75" customHeight="1">
      <c r="A789" s="10"/>
      <c r="B789" s="6"/>
      <c r="C789" s="10"/>
      <c r="D789" s="10"/>
      <c r="E789" s="10"/>
      <c r="F789" s="10"/>
      <c r="G789" s="10"/>
      <c r="I789" s="11"/>
      <c r="J789" s="11"/>
      <c r="K789" s="11"/>
      <c r="L789" s="11"/>
      <c r="M789" s="11"/>
      <c r="O789" s="12"/>
      <c r="P789" s="12"/>
      <c r="Q789" s="12"/>
      <c r="R789" s="12"/>
      <c r="S789" s="12"/>
    </row>
    <row r="790" ht="15.75" customHeight="1">
      <c r="A790" s="10"/>
      <c r="B790" s="6"/>
      <c r="C790" s="10"/>
      <c r="D790" s="10"/>
      <c r="E790" s="10"/>
      <c r="F790" s="10"/>
      <c r="G790" s="10"/>
      <c r="I790" s="11"/>
      <c r="J790" s="11"/>
      <c r="K790" s="11"/>
      <c r="L790" s="11"/>
      <c r="M790" s="11"/>
      <c r="O790" s="12"/>
      <c r="P790" s="12"/>
      <c r="Q790" s="12"/>
      <c r="R790" s="12"/>
      <c r="S790" s="12"/>
    </row>
    <row r="791" ht="15.75" customHeight="1">
      <c r="A791" s="10"/>
      <c r="B791" s="6"/>
      <c r="C791" s="10"/>
      <c r="D791" s="10"/>
      <c r="E791" s="10"/>
      <c r="F791" s="10"/>
      <c r="G791" s="10"/>
      <c r="I791" s="11"/>
      <c r="J791" s="11"/>
      <c r="K791" s="11"/>
      <c r="L791" s="11"/>
      <c r="M791" s="11"/>
      <c r="O791" s="12"/>
      <c r="P791" s="12"/>
      <c r="Q791" s="12"/>
      <c r="R791" s="12"/>
      <c r="S791" s="12"/>
    </row>
    <row r="792" ht="15.75" customHeight="1">
      <c r="A792" s="10"/>
      <c r="B792" s="6"/>
      <c r="C792" s="10"/>
      <c r="D792" s="10"/>
      <c r="E792" s="10"/>
      <c r="F792" s="10"/>
      <c r="G792" s="10"/>
      <c r="I792" s="11"/>
      <c r="J792" s="11"/>
      <c r="K792" s="11"/>
      <c r="L792" s="11"/>
      <c r="M792" s="11"/>
      <c r="O792" s="12"/>
      <c r="P792" s="12"/>
      <c r="Q792" s="12"/>
      <c r="R792" s="12"/>
      <c r="S792" s="12"/>
    </row>
    <row r="793" ht="15.75" customHeight="1">
      <c r="A793" s="10"/>
      <c r="B793" s="6"/>
      <c r="C793" s="10"/>
      <c r="D793" s="10"/>
      <c r="E793" s="10"/>
      <c r="F793" s="10"/>
      <c r="G793" s="10"/>
      <c r="I793" s="11"/>
      <c r="J793" s="11"/>
      <c r="K793" s="11"/>
      <c r="L793" s="11"/>
      <c r="M793" s="11"/>
      <c r="O793" s="12"/>
      <c r="P793" s="12"/>
      <c r="Q793" s="12"/>
      <c r="R793" s="12"/>
      <c r="S793" s="12"/>
    </row>
    <row r="794" ht="15.75" customHeight="1">
      <c r="A794" s="10"/>
      <c r="B794" s="6"/>
      <c r="C794" s="10"/>
      <c r="D794" s="10"/>
      <c r="E794" s="10"/>
      <c r="F794" s="10"/>
      <c r="G794" s="10"/>
      <c r="I794" s="11"/>
      <c r="J794" s="11"/>
      <c r="K794" s="11"/>
      <c r="L794" s="11"/>
      <c r="M794" s="11"/>
      <c r="O794" s="12"/>
      <c r="P794" s="12"/>
      <c r="Q794" s="12"/>
      <c r="R794" s="12"/>
      <c r="S794" s="12"/>
    </row>
    <row r="795" ht="15.75" customHeight="1">
      <c r="A795" s="10"/>
      <c r="B795" s="6"/>
      <c r="C795" s="10"/>
      <c r="D795" s="10"/>
      <c r="E795" s="10"/>
      <c r="F795" s="10"/>
      <c r="G795" s="10"/>
      <c r="I795" s="11"/>
      <c r="J795" s="11"/>
      <c r="K795" s="11"/>
      <c r="L795" s="11"/>
      <c r="M795" s="11"/>
      <c r="O795" s="12"/>
      <c r="P795" s="12"/>
      <c r="Q795" s="12"/>
      <c r="R795" s="12"/>
      <c r="S795" s="12"/>
    </row>
    <row r="796" ht="15.75" customHeight="1">
      <c r="A796" s="10"/>
      <c r="B796" s="6"/>
      <c r="C796" s="10"/>
      <c r="D796" s="10"/>
      <c r="E796" s="10"/>
      <c r="F796" s="10"/>
      <c r="G796" s="10"/>
      <c r="I796" s="11"/>
      <c r="J796" s="11"/>
      <c r="K796" s="11"/>
      <c r="L796" s="11"/>
      <c r="M796" s="11"/>
      <c r="O796" s="12"/>
      <c r="P796" s="12"/>
      <c r="Q796" s="12"/>
      <c r="R796" s="12"/>
      <c r="S796" s="12"/>
    </row>
    <row r="797" ht="15.75" customHeight="1">
      <c r="A797" s="10"/>
      <c r="B797" s="6"/>
      <c r="C797" s="10"/>
      <c r="D797" s="10"/>
      <c r="E797" s="10"/>
      <c r="F797" s="10"/>
      <c r="G797" s="10"/>
      <c r="I797" s="11"/>
      <c r="J797" s="11"/>
      <c r="K797" s="11"/>
      <c r="L797" s="11"/>
      <c r="M797" s="11"/>
      <c r="O797" s="12"/>
      <c r="P797" s="12"/>
      <c r="Q797" s="12"/>
      <c r="R797" s="12"/>
      <c r="S797" s="12"/>
    </row>
    <row r="798" ht="15.75" customHeight="1">
      <c r="A798" s="10"/>
      <c r="B798" s="6"/>
      <c r="C798" s="10"/>
      <c r="D798" s="10"/>
      <c r="E798" s="10"/>
      <c r="F798" s="10"/>
      <c r="G798" s="10"/>
      <c r="I798" s="11"/>
      <c r="J798" s="11"/>
      <c r="K798" s="11"/>
      <c r="L798" s="11"/>
      <c r="M798" s="11"/>
      <c r="O798" s="12"/>
      <c r="P798" s="12"/>
      <c r="Q798" s="12"/>
      <c r="R798" s="12"/>
      <c r="S798" s="12"/>
    </row>
    <row r="799" ht="15.75" customHeight="1">
      <c r="A799" s="10"/>
      <c r="B799" s="6"/>
      <c r="C799" s="10"/>
      <c r="D799" s="10"/>
      <c r="E799" s="10"/>
      <c r="F799" s="10"/>
      <c r="G799" s="10"/>
      <c r="I799" s="11"/>
      <c r="J799" s="11"/>
      <c r="K799" s="11"/>
      <c r="L799" s="11"/>
      <c r="M799" s="11"/>
      <c r="O799" s="12"/>
      <c r="P799" s="12"/>
      <c r="Q799" s="12"/>
      <c r="R799" s="12"/>
      <c r="S799" s="12"/>
    </row>
    <row r="800" ht="15.75" customHeight="1">
      <c r="A800" s="10"/>
      <c r="B800" s="6"/>
      <c r="C800" s="10"/>
      <c r="D800" s="10"/>
      <c r="E800" s="10"/>
      <c r="F800" s="10"/>
      <c r="G800" s="10"/>
      <c r="I800" s="11"/>
      <c r="J800" s="11"/>
      <c r="K800" s="11"/>
      <c r="L800" s="11"/>
      <c r="M800" s="11"/>
      <c r="O800" s="12"/>
      <c r="P800" s="12"/>
      <c r="Q800" s="12"/>
      <c r="R800" s="12"/>
      <c r="S800" s="12"/>
    </row>
    <row r="801" ht="15.75" customHeight="1">
      <c r="A801" s="10"/>
      <c r="B801" s="6"/>
      <c r="C801" s="10"/>
      <c r="D801" s="10"/>
      <c r="E801" s="10"/>
      <c r="F801" s="10"/>
      <c r="G801" s="10"/>
      <c r="I801" s="11"/>
      <c r="J801" s="11"/>
      <c r="K801" s="11"/>
      <c r="L801" s="11"/>
      <c r="M801" s="11"/>
      <c r="O801" s="12"/>
      <c r="P801" s="12"/>
      <c r="Q801" s="12"/>
      <c r="R801" s="12"/>
      <c r="S801" s="12"/>
    </row>
    <row r="802" ht="15.75" customHeight="1">
      <c r="A802" s="10"/>
      <c r="B802" s="6"/>
      <c r="C802" s="10"/>
      <c r="D802" s="10"/>
      <c r="E802" s="10"/>
      <c r="F802" s="10"/>
      <c r="G802" s="10"/>
      <c r="I802" s="11"/>
      <c r="J802" s="11"/>
      <c r="K802" s="11"/>
      <c r="L802" s="11"/>
      <c r="M802" s="11"/>
      <c r="O802" s="12"/>
      <c r="P802" s="12"/>
      <c r="Q802" s="12"/>
      <c r="R802" s="12"/>
      <c r="S802" s="12"/>
    </row>
    <row r="803" ht="15.75" customHeight="1">
      <c r="A803" s="10"/>
      <c r="B803" s="6"/>
      <c r="C803" s="10"/>
      <c r="D803" s="10"/>
      <c r="E803" s="10"/>
      <c r="F803" s="10"/>
      <c r="G803" s="10"/>
      <c r="I803" s="11"/>
      <c r="J803" s="11"/>
      <c r="K803" s="11"/>
      <c r="L803" s="11"/>
      <c r="M803" s="11"/>
      <c r="O803" s="12"/>
      <c r="P803" s="12"/>
      <c r="Q803" s="12"/>
      <c r="R803" s="12"/>
      <c r="S803" s="12"/>
    </row>
    <row r="804" ht="15.75" customHeight="1">
      <c r="A804" s="10"/>
      <c r="B804" s="6"/>
      <c r="C804" s="10"/>
      <c r="D804" s="10"/>
      <c r="E804" s="10"/>
      <c r="F804" s="10"/>
      <c r="G804" s="10"/>
      <c r="I804" s="11"/>
      <c r="J804" s="11"/>
      <c r="K804" s="11"/>
      <c r="L804" s="11"/>
      <c r="M804" s="11"/>
      <c r="O804" s="12"/>
      <c r="P804" s="12"/>
      <c r="Q804" s="12"/>
      <c r="R804" s="12"/>
      <c r="S804" s="12"/>
    </row>
    <row r="805" ht="15.75" customHeight="1">
      <c r="A805" s="10"/>
      <c r="B805" s="6"/>
      <c r="C805" s="10"/>
      <c r="D805" s="10"/>
      <c r="E805" s="10"/>
      <c r="F805" s="10"/>
      <c r="G805" s="10"/>
      <c r="I805" s="11"/>
      <c r="J805" s="11"/>
      <c r="K805" s="11"/>
      <c r="L805" s="11"/>
      <c r="M805" s="11"/>
      <c r="O805" s="12"/>
      <c r="P805" s="12"/>
      <c r="Q805" s="12"/>
      <c r="R805" s="12"/>
      <c r="S805" s="12"/>
    </row>
    <row r="806" ht="15.75" customHeight="1">
      <c r="A806" s="10"/>
      <c r="B806" s="6"/>
      <c r="C806" s="10"/>
      <c r="D806" s="10"/>
      <c r="E806" s="10"/>
      <c r="F806" s="10"/>
      <c r="G806" s="10"/>
      <c r="I806" s="11"/>
      <c r="J806" s="11"/>
      <c r="K806" s="11"/>
      <c r="L806" s="11"/>
      <c r="M806" s="11"/>
      <c r="O806" s="12"/>
      <c r="P806" s="12"/>
      <c r="Q806" s="12"/>
      <c r="R806" s="12"/>
      <c r="S806" s="12"/>
    </row>
    <row r="807" ht="15.75" customHeight="1">
      <c r="A807" s="10"/>
      <c r="B807" s="6"/>
      <c r="C807" s="10"/>
      <c r="D807" s="10"/>
      <c r="E807" s="10"/>
      <c r="F807" s="10"/>
      <c r="G807" s="10"/>
      <c r="I807" s="11"/>
      <c r="J807" s="11"/>
      <c r="K807" s="11"/>
      <c r="L807" s="11"/>
      <c r="M807" s="11"/>
      <c r="O807" s="12"/>
      <c r="P807" s="12"/>
      <c r="Q807" s="12"/>
      <c r="R807" s="12"/>
      <c r="S807" s="12"/>
    </row>
    <row r="808" ht="15.75" customHeight="1">
      <c r="A808" s="10"/>
      <c r="B808" s="6"/>
      <c r="C808" s="10"/>
      <c r="D808" s="10"/>
      <c r="E808" s="10"/>
      <c r="F808" s="10"/>
      <c r="G808" s="10"/>
      <c r="I808" s="11"/>
      <c r="J808" s="11"/>
      <c r="K808" s="11"/>
      <c r="L808" s="11"/>
      <c r="M808" s="11"/>
      <c r="O808" s="12"/>
      <c r="P808" s="12"/>
      <c r="Q808" s="12"/>
      <c r="R808" s="12"/>
      <c r="S808" s="12"/>
    </row>
    <row r="809" ht="15.75" customHeight="1">
      <c r="A809" s="10"/>
      <c r="B809" s="6"/>
      <c r="C809" s="10"/>
      <c r="D809" s="10"/>
      <c r="E809" s="10"/>
      <c r="F809" s="10"/>
      <c r="G809" s="10"/>
      <c r="I809" s="11"/>
      <c r="J809" s="11"/>
      <c r="K809" s="11"/>
      <c r="L809" s="11"/>
      <c r="M809" s="11"/>
      <c r="O809" s="12"/>
      <c r="P809" s="12"/>
      <c r="Q809" s="12"/>
      <c r="R809" s="12"/>
      <c r="S809" s="12"/>
    </row>
    <row r="810" ht="15.75" customHeight="1">
      <c r="A810" s="10"/>
      <c r="B810" s="6"/>
      <c r="C810" s="10"/>
      <c r="D810" s="10"/>
      <c r="E810" s="10"/>
      <c r="F810" s="10"/>
      <c r="G810" s="10"/>
      <c r="I810" s="11"/>
      <c r="J810" s="11"/>
      <c r="K810" s="11"/>
      <c r="L810" s="11"/>
      <c r="M810" s="11"/>
      <c r="O810" s="12"/>
      <c r="P810" s="12"/>
      <c r="Q810" s="12"/>
      <c r="R810" s="12"/>
      <c r="S810" s="12"/>
    </row>
    <row r="811" ht="15.75" customHeight="1">
      <c r="A811" s="10"/>
      <c r="B811" s="6"/>
      <c r="C811" s="10"/>
      <c r="D811" s="10"/>
      <c r="E811" s="10"/>
      <c r="F811" s="10"/>
      <c r="G811" s="10"/>
      <c r="I811" s="11"/>
      <c r="J811" s="11"/>
      <c r="K811" s="11"/>
      <c r="L811" s="11"/>
      <c r="M811" s="11"/>
      <c r="O811" s="12"/>
      <c r="P811" s="12"/>
      <c r="Q811" s="12"/>
      <c r="R811" s="12"/>
      <c r="S811" s="12"/>
    </row>
    <row r="812" ht="15.75" customHeight="1">
      <c r="A812" s="10"/>
      <c r="B812" s="6"/>
      <c r="C812" s="10"/>
      <c r="D812" s="10"/>
      <c r="E812" s="10"/>
      <c r="F812" s="10"/>
      <c r="G812" s="10"/>
      <c r="I812" s="11"/>
      <c r="J812" s="11"/>
      <c r="K812" s="11"/>
      <c r="L812" s="11"/>
      <c r="M812" s="11"/>
      <c r="O812" s="12"/>
      <c r="P812" s="12"/>
      <c r="Q812" s="12"/>
      <c r="R812" s="12"/>
      <c r="S812" s="12"/>
    </row>
    <row r="813" ht="15.75" customHeight="1">
      <c r="A813" s="10"/>
      <c r="B813" s="6"/>
      <c r="C813" s="10"/>
      <c r="D813" s="10"/>
      <c r="E813" s="10"/>
      <c r="F813" s="10"/>
      <c r="G813" s="10"/>
      <c r="I813" s="11"/>
      <c r="J813" s="11"/>
      <c r="K813" s="11"/>
      <c r="L813" s="11"/>
      <c r="M813" s="11"/>
      <c r="O813" s="12"/>
      <c r="P813" s="12"/>
      <c r="Q813" s="12"/>
      <c r="R813" s="12"/>
      <c r="S813" s="12"/>
    </row>
    <row r="814" ht="15.75" customHeight="1">
      <c r="A814" s="10"/>
      <c r="B814" s="6"/>
      <c r="C814" s="10"/>
      <c r="D814" s="10"/>
      <c r="E814" s="10"/>
      <c r="F814" s="10"/>
      <c r="G814" s="10"/>
      <c r="I814" s="11"/>
      <c r="J814" s="11"/>
      <c r="K814" s="11"/>
      <c r="L814" s="11"/>
      <c r="M814" s="11"/>
      <c r="O814" s="12"/>
      <c r="P814" s="12"/>
      <c r="Q814" s="12"/>
      <c r="R814" s="12"/>
      <c r="S814" s="12"/>
    </row>
    <row r="815" ht="15.75" customHeight="1">
      <c r="A815" s="10"/>
      <c r="B815" s="6"/>
      <c r="C815" s="10"/>
      <c r="D815" s="10"/>
      <c r="E815" s="10"/>
      <c r="F815" s="10"/>
      <c r="G815" s="10"/>
      <c r="I815" s="11"/>
      <c r="J815" s="11"/>
      <c r="K815" s="11"/>
      <c r="L815" s="11"/>
      <c r="M815" s="11"/>
      <c r="O815" s="12"/>
      <c r="P815" s="12"/>
      <c r="Q815" s="12"/>
      <c r="R815" s="12"/>
      <c r="S815" s="12"/>
    </row>
    <row r="816" ht="15.75" customHeight="1">
      <c r="A816" s="10"/>
      <c r="B816" s="6"/>
      <c r="C816" s="10"/>
      <c r="D816" s="10"/>
      <c r="E816" s="10"/>
      <c r="F816" s="10"/>
      <c r="G816" s="10"/>
      <c r="I816" s="11"/>
      <c r="J816" s="11"/>
      <c r="K816" s="11"/>
      <c r="L816" s="11"/>
      <c r="M816" s="11"/>
      <c r="O816" s="12"/>
      <c r="P816" s="12"/>
      <c r="Q816" s="12"/>
      <c r="R816" s="12"/>
      <c r="S816" s="12"/>
    </row>
    <row r="817" ht="15.75" customHeight="1">
      <c r="A817" s="10"/>
      <c r="B817" s="6"/>
      <c r="C817" s="10"/>
      <c r="D817" s="10"/>
      <c r="E817" s="10"/>
      <c r="F817" s="10"/>
      <c r="G817" s="10"/>
      <c r="I817" s="11"/>
      <c r="J817" s="11"/>
      <c r="K817" s="11"/>
      <c r="L817" s="11"/>
      <c r="M817" s="11"/>
      <c r="O817" s="12"/>
      <c r="P817" s="12"/>
      <c r="Q817" s="12"/>
      <c r="R817" s="12"/>
      <c r="S817" s="12"/>
    </row>
    <row r="818" ht="15.75" customHeight="1">
      <c r="A818" s="10"/>
      <c r="B818" s="6"/>
      <c r="C818" s="10"/>
      <c r="D818" s="10"/>
      <c r="E818" s="10"/>
      <c r="F818" s="10"/>
      <c r="G818" s="10"/>
      <c r="I818" s="11"/>
      <c r="J818" s="11"/>
      <c r="K818" s="11"/>
      <c r="L818" s="11"/>
      <c r="M818" s="11"/>
      <c r="O818" s="12"/>
      <c r="P818" s="12"/>
      <c r="Q818" s="12"/>
      <c r="R818" s="12"/>
      <c r="S818" s="12"/>
    </row>
    <row r="819" ht="15.75" customHeight="1">
      <c r="A819" s="10"/>
      <c r="B819" s="6"/>
      <c r="C819" s="10"/>
      <c r="D819" s="10"/>
      <c r="E819" s="10"/>
      <c r="F819" s="10"/>
      <c r="G819" s="10"/>
      <c r="I819" s="11"/>
      <c r="J819" s="11"/>
      <c r="K819" s="11"/>
      <c r="L819" s="11"/>
      <c r="M819" s="11"/>
      <c r="O819" s="12"/>
      <c r="P819" s="12"/>
      <c r="Q819" s="12"/>
      <c r="R819" s="12"/>
      <c r="S819" s="12"/>
    </row>
    <row r="820" ht="15.75" customHeight="1">
      <c r="A820" s="10"/>
      <c r="B820" s="6"/>
      <c r="C820" s="10"/>
      <c r="D820" s="10"/>
      <c r="E820" s="10"/>
      <c r="F820" s="10"/>
      <c r="G820" s="10"/>
      <c r="I820" s="11"/>
      <c r="J820" s="11"/>
      <c r="K820" s="11"/>
      <c r="L820" s="11"/>
      <c r="M820" s="11"/>
      <c r="O820" s="12"/>
      <c r="P820" s="12"/>
      <c r="Q820" s="12"/>
      <c r="R820" s="12"/>
      <c r="S820" s="12"/>
    </row>
    <row r="821" ht="15.75" customHeight="1">
      <c r="A821" s="10"/>
      <c r="B821" s="6"/>
      <c r="C821" s="10"/>
      <c r="D821" s="10"/>
      <c r="E821" s="10"/>
      <c r="F821" s="10"/>
      <c r="G821" s="10"/>
      <c r="I821" s="11"/>
      <c r="J821" s="11"/>
      <c r="K821" s="11"/>
      <c r="L821" s="11"/>
      <c r="M821" s="11"/>
      <c r="O821" s="12"/>
      <c r="P821" s="12"/>
      <c r="Q821" s="12"/>
      <c r="R821" s="12"/>
      <c r="S821" s="12"/>
    </row>
    <row r="822" ht="15.75" customHeight="1">
      <c r="A822" s="10"/>
      <c r="B822" s="6"/>
      <c r="C822" s="10"/>
      <c r="D822" s="10"/>
      <c r="E822" s="10"/>
      <c r="F822" s="10"/>
      <c r="G822" s="10"/>
      <c r="I822" s="11"/>
      <c r="J822" s="11"/>
      <c r="K822" s="11"/>
      <c r="L822" s="11"/>
      <c r="M822" s="11"/>
      <c r="O822" s="12"/>
      <c r="P822" s="12"/>
      <c r="Q822" s="12"/>
      <c r="R822" s="12"/>
      <c r="S822" s="12"/>
    </row>
    <row r="823" ht="15.75" customHeight="1">
      <c r="A823" s="10"/>
      <c r="B823" s="6"/>
      <c r="C823" s="10"/>
      <c r="D823" s="10"/>
      <c r="E823" s="10"/>
      <c r="F823" s="10"/>
      <c r="G823" s="10"/>
      <c r="I823" s="11"/>
      <c r="J823" s="11"/>
      <c r="K823" s="11"/>
      <c r="L823" s="11"/>
      <c r="M823" s="11"/>
      <c r="O823" s="12"/>
      <c r="P823" s="12"/>
      <c r="Q823" s="12"/>
      <c r="R823" s="12"/>
      <c r="S823" s="12"/>
    </row>
    <row r="824" ht="15.75" customHeight="1">
      <c r="A824" s="10"/>
      <c r="B824" s="6"/>
      <c r="C824" s="10"/>
      <c r="D824" s="10"/>
      <c r="E824" s="10"/>
      <c r="F824" s="10"/>
      <c r="G824" s="10"/>
      <c r="I824" s="11"/>
      <c r="J824" s="11"/>
      <c r="K824" s="11"/>
      <c r="L824" s="11"/>
      <c r="M824" s="11"/>
      <c r="O824" s="12"/>
      <c r="P824" s="12"/>
      <c r="Q824" s="12"/>
      <c r="R824" s="12"/>
      <c r="S824" s="12"/>
    </row>
    <row r="825" ht="15.75" customHeight="1">
      <c r="A825" s="10"/>
      <c r="B825" s="6"/>
      <c r="C825" s="10"/>
      <c r="D825" s="10"/>
      <c r="E825" s="10"/>
      <c r="F825" s="10"/>
      <c r="G825" s="10"/>
      <c r="I825" s="11"/>
      <c r="J825" s="11"/>
      <c r="K825" s="11"/>
      <c r="L825" s="11"/>
      <c r="M825" s="11"/>
      <c r="O825" s="12"/>
      <c r="P825" s="12"/>
      <c r="Q825" s="12"/>
      <c r="R825" s="12"/>
      <c r="S825" s="12"/>
    </row>
    <row r="826" ht="15.75" customHeight="1">
      <c r="A826" s="10"/>
      <c r="B826" s="6"/>
      <c r="C826" s="10"/>
      <c r="D826" s="10"/>
      <c r="E826" s="10"/>
      <c r="F826" s="10"/>
      <c r="G826" s="10"/>
      <c r="I826" s="11"/>
      <c r="J826" s="11"/>
      <c r="K826" s="11"/>
      <c r="L826" s="11"/>
      <c r="M826" s="11"/>
      <c r="O826" s="12"/>
      <c r="P826" s="12"/>
      <c r="Q826" s="12"/>
      <c r="R826" s="12"/>
      <c r="S826" s="12"/>
    </row>
    <row r="827" ht="15.75" customHeight="1">
      <c r="A827" s="10"/>
      <c r="B827" s="6"/>
      <c r="C827" s="10"/>
      <c r="D827" s="10"/>
      <c r="E827" s="10"/>
      <c r="F827" s="10"/>
      <c r="G827" s="10"/>
      <c r="I827" s="11"/>
      <c r="J827" s="11"/>
      <c r="K827" s="11"/>
      <c r="L827" s="11"/>
      <c r="M827" s="11"/>
      <c r="O827" s="12"/>
      <c r="P827" s="12"/>
      <c r="Q827" s="12"/>
      <c r="R827" s="12"/>
      <c r="S827" s="12"/>
    </row>
    <row r="828" ht="15.75" customHeight="1">
      <c r="A828" s="10"/>
      <c r="B828" s="6"/>
      <c r="C828" s="10"/>
      <c r="D828" s="10"/>
      <c r="E828" s="10"/>
      <c r="F828" s="10"/>
      <c r="G828" s="10"/>
      <c r="I828" s="11"/>
      <c r="J828" s="11"/>
      <c r="K828" s="11"/>
      <c r="L828" s="11"/>
      <c r="M828" s="11"/>
      <c r="O828" s="12"/>
      <c r="P828" s="12"/>
      <c r="Q828" s="12"/>
      <c r="R828" s="12"/>
      <c r="S828" s="12"/>
    </row>
    <row r="829" ht="15.75" customHeight="1">
      <c r="A829" s="10"/>
      <c r="B829" s="6"/>
      <c r="C829" s="10"/>
      <c r="D829" s="10"/>
      <c r="E829" s="10"/>
      <c r="F829" s="10"/>
      <c r="G829" s="10"/>
      <c r="I829" s="11"/>
      <c r="J829" s="11"/>
      <c r="K829" s="11"/>
      <c r="L829" s="11"/>
      <c r="M829" s="11"/>
      <c r="O829" s="12"/>
      <c r="P829" s="12"/>
      <c r="Q829" s="12"/>
      <c r="R829" s="12"/>
      <c r="S829" s="12"/>
    </row>
    <row r="830" ht="15.75" customHeight="1">
      <c r="A830" s="10"/>
      <c r="B830" s="6"/>
      <c r="C830" s="10"/>
      <c r="D830" s="10"/>
      <c r="E830" s="10"/>
      <c r="F830" s="10"/>
      <c r="G830" s="10"/>
      <c r="I830" s="11"/>
      <c r="J830" s="11"/>
      <c r="K830" s="11"/>
      <c r="L830" s="11"/>
      <c r="M830" s="11"/>
      <c r="O830" s="12"/>
      <c r="P830" s="12"/>
      <c r="Q830" s="12"/>
      <c r="R830" s="12"/>
      <c r="S830" s="12"/>
    </row>
    <row r="831" ht="15.75" customHeight="1">
      <c r="A831" s="10"/>
      <c r="B831" s="6"/>
      <c r="C831" s="10"/>
      <c r="D831" s="10"/>
      <c r="E831" s="10"/>
      <c r="F831" s="10"/>
      <c r="G831" s="10"/>
      <c r="I831" s="11"/>
      <c r="J831" s="11"/>
      <c r="K831" s="11"/>
      <c r="L831" s="11"/>
      <c r="M831" s="11"/>
      <c r="O831" s="12"/>
      <c r="P831" s="12"/>
      <c r="Q831" s="12"/>
      <c r="R831" s="12"/>
      <c r="S831" s="12"/>
    </row>
    <row r="832" ht="15.75" customHeight="1">
      <c r="A832" s="10"/>
      <c r="B832" s="6"/>
      <c r="C832" s="10"/>
      <c r="D832" s="10"/>
      <c r="E832" s="10"/>
      <c r="F832" s="10"/>
      <c r="G832" s="10"/>
      <c r="I832" s="11"/>
      <c r="J832" s="11"/>
      <c r="K832" s="11"/>
      <c r="L832" s="11"/>
      <c r="M832" s="11"/>
      <c r="O832" s="12"/>
      <c r="P832" s="12"/>
      <c r="Q832" s="12"/>
      <c r="R832" s="12"/>
      <c r="S832" s="12"/>
    </row>
    <row r="833" ht="15.75" customHeight="1">
      <c r="A833" s="10"/>
      <c r="B833" s="6"/>
      <c r="C833" s="10"/>
      <c r="D833" s="10"/>
      <c r="E833" s="10"/>
      <c r="F833" s="10"/>
      <c r="G833" s="10"/>
      <c r="I833" s="11"/>
      <c r="J833" s="11"/>
      <c r="K833" s="11"/>
      <c r="L833" s="11"/>
      <c r="M833" s="11"/>
      <c r="O833" s="12"/>
      <c r="P833" s="12"/>
      <c r="Q833" s="12"/>
      <c r="R833" s="12"/>
      <c r="S833" s="12"/>
    </row>
    <row r="834" ht="15.75" customHeight="1">
      <c r="A834" s="10"/>
      <c r="B834" s="6"/>
      <c r="C834" s="10"/>
      <c r="D834" s="10"/>
      <c r="E834" s="10"/>
      <c r="F834" s="10"/>
      <c r="G834" s="10"/>
      <c r="I834" s="11"/>
      <c r="J834" s="11"/>
      <c r="K834" s="11"/>
      <c r="L834" s="11"/>
      <c r="M834" s="11"/>
      <c r="O834" s="12"/>
      <c r="P834" s="12"/>
      <c r="Q834" s="12"/>
      <c r="R834" s="12"/>
      <c r="S834" s="12"/>
    </row>
    <row r="835" ht="15.75" customHeight="1">
      <c r="A835" s="10"/>
      <c r="B835" s="6"/>
      <c r="C835" s="10"/>
      <c r="D835" s="10"/>
      <c r="E835" s="10"/>
      <c r="F835" s="10"/>
      <c r="G835" s="10"/>
      <c r="I835" s="11"/>
      <c r="J835" s="11"/>
      <c r="K835" s="11"/>
      <c r="L835" s="11"/>
      <c r="M835" s="11"/>
      <c r="O835" s="12"/>
      <c r="P835" s="12"/>
      <c r="Q835" s="12"/>
      <c r="R835" s="12"/>
      <c r="S835" s="12"/>
    </row>
    <row r="836" ht="15.75" customHeight="1">
      <c r="A836" s="10"/>
      <c r="B836" s="6"/>
      <c r="C836" s="10"/>
      <c r="D836" s="10"/>
      <c r="E836" s="10"/>
      <c r="F836" s="10"/>
      <c r="G836" s="10"/>
      <c r="I836" s="11"/>
      <c r="J836" s="11"/>
      <c r="K836" s="11"/>
      <c r="L836" s="11"/>
      <c r="M836" s="11"/>
      <c r="O836" s="12"/>
      <c r="P836" s="12"/>
      <c r="Q836" s="12"/>
      <c r="R836" s="12"/>
      <c r="S836" s="12"/>
    </row>
    <row r="837" ht="15.75" customHeight="1">
      <c r="A837" s="10"/>
      <c r="B837" s="6"/>
      <c r="C837" s="10"/>
      <c r="D837" s="10"/>
      <c r="E837" s="10"/>
      <c r="F837" s="10"/>
      <c r="G837" s="10"/>
      <c r="I837" s="11"/>
      <c r="J837" s="11"/>
      <c r="K837" s="11"/>
      <c r="L837" s="11"/>
      <c r="M837" s="11"/>
      <c r="O837" s="12"/>
      <c r="P837" s="12"/>
      <c r="Q837" s="12"/>
      <c r="R837" s="12"/>
      <c r="S837" s="12"/>
    </row>
    <row r="838" ht="15.75" customHeight="1">
      <c r="A838" s="10"/>
      <c r="B838" s="6"/>
      <c r="C838" s="10"/>
      <c r="D838" s="10"/>
      <c r="E838" s="10"/>
      <c r="F838" s="10"/>
      <c r="G838" s="10"/>
      <c r="I838" s="11"/>
      <c r="J838" s="11"/>
      <c r="K838" s="11"/>
      <c r="L838" s="11"/>
      <c r="M838" s="11"/>
      <c r="O838" s="12"/>
      <c r="P838" s="12"/>
      <c r="Q838" s="12"/>
      <c r="R838" s="12"/>
      <c r="S838" s="12"/>
    </row>
    <row r="839" ht="15.75" customHeight="1">
      <c r="A839" s="10"/>
      <c r="B839" s="6"/>
      <c r="C839" s="10"/>
      <c r="D839" s="10"/>
      <c r="E839" s="10"/>
      <c r="F839" s="10"/>
      <c r="G839" s="10"/>
      <c r="I839" s="11"/>
      <c r="J839" s="11"/>
      <c r="K839" s="11"/>
      <c r="L839" s="11"/>
      <c r="M839" s="11"/>
      <c r="O839" s="12"/>
      <c r="P839" s="12"/>
      <c r="Q839" s="12"/>
      <c r="R839" s="12"/>
      <c r="S839" s="12"/>
    </row>
    <row r="840" ht="15.75" customHeight="1">
      <c r="A840" s="10"/>
      <c r="B840" s="6"/>
      <c r="C840" s="10"/>
      <c r="D840" s="10"/>
      <c r="E840" s="10"/>
      <c r="F840" s="10"/>
      <c r="G840" s="10"/>
      <c r="I840" s="11"/>
      <c r="J840" s="11"/>
      <c r="K840" s="11"/>
      <c r="L840" s="11"/>
      <c r="M840" s="11"/>
      <c r="O840" s="12"/>
      <c r="P840" s="12"/>
      <c r="Q840" s="12"/>
      <c r="R840" s="12"/>
      <c r="S840" s="12"/>
    </row>
    <row r="841" ht="15.75" customHeight="1">
      <c r="A841" s="10"/>
      <c r="B841" s="6"/>
      <c r="C841" s="10"/>
      <c r="D841" s="10"/>
      <c r="E841" s="10"/>
      <c r="F841" s="10"/>
      <c r="G841" s="10"/>
      <c r="I841" s="11"/>
      <c r="J841" s="11"/>
      <c r="K841" s="11"/>
      <c r="L841" s="11"/>
      <c r="M841" s="11"/>
      <c r="O841" s="12"/>
      <c r="P841" s="12"/>
      <c r="Q841" s="12"/>
      <c r="R841" s="12"/>
      <c r="S841" s="12"/>
    </row>
    <row r="842" ht="15.75" customHeight="1">
      <c r="A842" s="10"/>
      <c r="B842" s="6"/>
      <c r="C842" s="10"/>
      <c r="D842" s="10"/>
      <c r="E842" s="10"/>
      <c r="F842" s="10"/>
      <c r="G842" s="10"/>
      <c r="I842" s="11"/>
      <c r="J842" s="11"/>
      <c r="K842" s="11"/>
      <c r="L842" s="11"/>
      <c r="M842" s="11"/>
      <c r="O842" s="12"/>
      <c r="P842" s="12"/>
      <c r="Q842" s="12"/>
      <c r="R842" s="12"/>
      <c r="S842" s="12"/>
    </row>
    <row r="843" ht="15.75" customHeight="1">
      <c r="A843" s="10"/>
      <c r="B843" s="6"/>
      <c r="C843" s="10"/>
      <c r="D843" s="10"/>
      <c r="E843" s="10"/>
      <c r="F843" s="10"/>
      <c r="G843" s="10"/>
      <c r="I843" s="11"/>
      <c r="J843" s="11"/>
      <c r="K843" s="11"/>
      <c r="L843" s="11"/>
      <c r="M843" s="11"/>
      <c r="O843" s="12"/>
      <c r="P843" s="12"/>
      <c r="Q843" s="12"/>
      <c r="R843" s="12"/>
      <c r="S843" s="12"/>
    </row>
    <row r="844" ht="15.75" customHeight="1">
      <c r="A844" s="10"/>
      <c r="B844" s="6"/>
      <c r="C844" s="10"/>
      <c r="D844" s="10"/>
      <c r="E844" s="10"/>
      <c r="F844" s="10"/>
      <c r="G844" s="10"/>
      <c r="I844" s="11"/>
      <c r="J844" s="11"/>
      <c r="K844" s="11"/>
      <c r="L844" s="11"/>
      <c r="M844" s="11"/>
      <c r="O844" s="12"/>
      <c r="P844" s="12"/>
      <c r="Q844" s="12"/>
      <c r="R844" s="12"/>
      <c r="S844" s="12"/>
    </row>
    <row r="845" ht="15.75" customHeight="1">
      <c r="A845" s="10"/>
      <c r="B845" s="6"/>
      <c r="C845" s="10"/>
      <c r="D845" s="10"/>
      <c r="E845" s="10"/>
      <c r="F845" s="10"/>
      <c r="G845" s="10"/>
      <c r="I845" s="11"/>
      <c r="J845" s="11"/>
      <c r="K845" s="11"/>
      <c r="L845" s="11"/>
      <c r="M845" s="11"/>
      <c r="O845" s="12"/>
      <c r="P845" s="12"/>
      <c r="Q845" s="12"/>
      <c r="R845" s="12"/>
      <c r="S845" s="12"/>
    </row>
    <row r="846" ht="15.75" customHeight="1">
      <c r="A846" s="10"/>
      <c r="B846" s="6"/>
      <c r="C846" s="10"/>
      <c r="D846" s="10"/>
      <c r="E846" s="10"/>
      <c r="F846" s="10"/>
      <c r="G846" s="10"/>
      <c r="I846" s="11"/>
      <c r="J846" s="11"/>
      <c r="K846" s="11"/>
      <c r="L846" s="11"/>
      <c r="M846" s="11"/>
      <c r="O846" s="12"/>
      <c r="P846" s="12"/>
      <c r="Q846" s="12"/>
      <c r="R846" s="12"/>
      <c r="S846" s="12"/>
    </row>
    <row r="847" ht="15.75" customHeight="1">
      <c r="A847" s="10"/>
      <c r="B847" s="6"/>
      <c r="C847" s="10"/>
      <c r="D847" s="10"/>
      <c r="E847" s="10"/>
      <c r="F847" s="10"/>
      <c r="G847" s="10"/>
      <c r="I847" s="11"/>
      <c r="J847" s="11"/>
      <c r="K847" s="11"/>
      <c r="L847" s="11"/>
      <c r="M847" s="11"/>
      <c r="O847" s="12"/>
      <c r="P847" s="12"/>
      <c r="Q847" s="12"/>
      <c r="R847" s="12"/>
      <c r="S847" s="12"/>
    </row>
    <row r="848" ht="15.75" customHeight="1">
      <c r="A848" s="10"/>
      <c r="B848" s="6"/>
      <c r="C848" s="10"/>
      <c r="D848" s="10"/>
      <c r="E848" s="10"/>
      <c r="F848" s="10"/>
      <c r="G848" s="10"/>
      <c r="I848" s="11"/>
      <c r="J848" s="11"/>
      <c r="K848" s="11"/>
      <c r="L848" s="11"/>
      <c r="M848" s="11"/>
      <c r="O848" s="12"/>
      <c r="P848" s="12"/>
      <c r="Q848" s="12"/>
      <c r="R848" s="12"/>
      <c r="S848" s="12"/>
    </row>
    <row r="849" ht="15.75" customHeight="1">
      <c r="A849" s="10"/>
      <c r="B849" s="6"/>
      <c r="C849" s="10"/>
      <c r="D849" s="10"/>
      <c r="E849" s="10"/>
      <c r="F849" s="10"/>
      <c r="G849" s="10"/>
      <c r="I849" s="11"/>
      <c r="J849" s="11"/>
      <c r="K849" s="11"/>
      <c r="L849" s="11"/>
      <c r="M849" s="11"/>
      <c r="O849" s="12"/>
      <c r="P849" s="12"/>
      <c r="Q849" s="12"/>
      <c r="R849" s="12"/>
      <c r="S849" s="12"/>
    </row>
    <row r="850" ht="15.75" customHeight="1">
      <c r="A850" s="10"/>
      <c r="B850" s="6"/>
      <c r="C850" s="10"/>
      <c r="D850" s="10"/>
      <c r="E850" s="10"/>
      <c r="F850" s="10"/>
      <c r="G850" s="10"/>
      <c r="I850" s="11"/>
      <c r="J850" s="11"/>
      <c r="K850" s="11"/>
      <c r="L850" s="11"/>
      <c r="M850" s="11"/>
      <c r="O850" s="12"/>
      <c r="P850" s="12"/>
      <c r="Q850" s="12"/>
      <c r="R850" s="12"/>
      <c r="S850" s="12"/>
    </row>
    <row r="851" ht="15.75" customHeight="1">
      <c r="A851" s="10"/>
      <c r="B851" s="6"/>
      <c r="C851" s="10"/>
      <c r="D851" s="10"/>
      <c r="E851" s="10"/>
      <c r="F851" s="10"/>
      <c r="G851" s="10"/>
      <c r="I851" s="11"/>
      <c r="J851" s="11"/>
      <c r="K851" s="11"/>
      <c r="L851" s="11"/>
      <c r="M851" s="11"/>
      <c r="O851" s="12"/>
      <c r="P851" s="12"/>
      <c r="Q851" s="12"/>
      <c r="R851" s="12"/>
      <c r="S851" s="12"/>
    </row>
    <row r="852" ht="15.75" customHeight="1">
      <c r="A852" s="10"/>
      <c r="B852" s="6"/>
      <c r="C852" s="10"/>
      <c r="D852" s="10"/>
      <c r="E852" s="10"/>
      <c r="F852" s="10"/>
      <c r="G852" s="10"/>
      <c r="I852" s="11"/>
      <c r="J852" s="11"/>
      <c r="K852" s="11"/>
      <c r="L852" s="11"/>
      <c r="M852" s="11"/>
      <c r="O852" s="12"/>
      <c r="P852" s="12"/>
      <c r="Q852" s="12"/>
      <c r="R852" s="12"/>
      <c r="S852" s="12"/>
    </row>
    <row r="853" ht="15.75" customHeight="1">
      <c r="A853" s="10"/>
      <c r="B853" s="6"/>
      <c r="C853" s="10"/>
      <c r="D853" s="10"/>
      <c r="E853" s="10"/>
      <c r="F853" s="10"/>
      <c r="G853" s="10"/>
      <c r="I853" s="11"/>
      <c r="J853" s="11"/>
      <c r="K853" s="11"/>
      <c r="L853" s="11"/>
      <c r="M853" s="11"/>
      <c r="O853" s="12"/>
      <c r="P853" s="12"/>
      <c r="Q853" s="12"/>
      <c r="R853" s="12"/>
      <c r="S853" s="12"/>
    </row>
    <row r="854" ht="15.75" customHeight="1">
      <c r="A854" s="10"/>
      <c r="B854" s="6"/>
      <c r="C854" s="10"/>
      <c r="D854" s="10"/>
      <c r="E854" s="10"/>
      <c r="F854" s="10"/>
      <c r="G854" s="10"/>
      <c r="I854" s="11"/>
      <c r="J854" s="11"/>
      <c r="K854" s="11"/>
      <c r="L854" s="11"/>
      <c r="M854" s="11"/>
      <c r="O854" s="12"/>
      <c r="P854" s="12"/>
      <c r="Q854" s="12"/>
      <c r="R854" s="12"/>
      <c r="S854" s="12"/>
    </row>
    <row r="855" ht="15.75" customHeight="1">
      <c r="A855" s="10"/>
      <c r="B855" s="6"/>
      <c r="C855" s="10"/>
      <c r="D855" s="10"/>
      <c r="E855" s="10"/>
      <c r="F855" s="10"/>
      <c r="G855" s="10"/>
      <c r="I855" s="11"/>
      <c r="J855" s="11"/>
      <c r="K855" s="11"/>
      <c r="L855" s="11"/>
      <c r="M855" s="11"/>
      <c r="O855" s="12"/>
      <c r="P855" s="12"/>
      <c r="Q855" s="12"/>
      <c r="R855" s="12"/>
      <c r="S855" s="12"/>
    </row>
    <row r="856" ht="15.75" customHeight="1">
      <c r="A856" s="10"/>
      <c r="B856" s="6"/>
      <c r="C856" s="10"/>
      <c r="D856" s="10"/>
      <c r="E856" s="10"/>
      <c r="F856" s="10"/>
      <c r="G856" s="10"/>
      <c r="I856" s="11"/>
      <c r="J856" s="11"/>
      <c r="K856" s="11"/>
      <c r="L856" s="11"/>
      <c r="M856" s="11"/>
      <c r="O856" s="12"/>
      <c r="P856" s="12"/>
      <c r="Q856" s="12"/>
      <c r="R856" s="12"/>
      <c r="S856" s="12"/>
    </row>
    <row r="857" ht="15.75" customHeight="1">
      <c r="A857" s="10"/>
      <c r="B857" s="6"/>
      <c r="C857" s="10"/>
      <c r="D857" s="10"/>
      <c r="E857" s="10"/>
      <c r="F857" s="10"/>
      <c r="G857" s="10"/>
      <c r="I857" s="11"/>
      <c r="J857" s="11"/>
      <c r="K857" s="11"/>
      <c r="L857" s="11"/>
      <c r="M857" s="11"/>
      <c r="O857" s="12"/>
      <c r="P857" s="12"/>
      <c r="Q857" s="12"/>
      <c r="R857" s="12"/>
      <c r="S857" s="12"/>
    </row>
    <row r="858" ht="15.75" customHeight="1">
      <c r="A858" s="10"/>
      <c r="B858" s="6"/>
      <c r="C858" s="10"/>
      <c r="D858" s="10"/>
      <c r="E858" s="10"/>
      <c r="F858" s="10"/>
      <c r="G858" s="10"/>
      <c r="I858" s="11"/>
      <c r="J858" s="11"/>
      <c r="K858" s="11"/>
      <c r="L858" s="11"/>
      <c r="M858" s="11"/>
      <c r="O858" s="12"/>
      <c r="P858" s="12"/>
      <c r="Q858" s="12"/>
      <c r="R858" s="12"/>
      <c r="S858" s="12"/>
    </row>
    <row r="859" ht="15.75" customHeight="1">
      <c r="A859" s="10"/>
      <c r="B859" s="6"/>
      <c r="C859" s="10"/>
      <c r="D859" s="10"/>
      <c r="E859" s="10"/>
      <c r="F859" s="10"/>
      <c r="G859" s="10"/>
      <c r="I859" s="11"/>
      <c r="J859" s="11"/>
      <c r="K859" s="11"/>
      <c r="L859" s="11"/>
      <c r="M859" s="11"/>
      <c r="O859" s="12"/>
      <c r="P859" s="12"/>
      <c r="Q859" s="12"/>
      <c r="R859" s="12"/>
      <c r="S859" s="12"/>
    </row>
    <row r="860" ht="15.75" customHeight="1">
      <c r="A860" s="10"/>
      <c r="B860" s="6"/>
      <c r="C860" s="10"/>
      <c r="D860" s="10"/>
      <c r="E860" s="10"/>
      <c r="F860" s="10"/>
      <c r="G860" s="10"/>
      <c r="I860" s="11"/>
      <c r="J860" s="11"/>
      <c r="K860" s="11"/>
      <c r="L860" s="11"/>
      <c r="M860" s="11"/>
      <c r="O860" s="12"/>
      <c r="P860" s="12"/>
      <c r="Q860" s="12"/>
      <c r="R860" s="12"/>
      <c r="S860" s="12"/>
    </row>
    <row r="861" ht="15.75" customHeight="1">
      <c r="A861" s="10"/>
      <c r="B861" s="6"/>
      <c r="C861" s="10"/>
      <c r="D861" s="10"/>
      <c r="E861" s="10"/>
      <c r="F861" s="10"/>
      <c r="G861" s="10"/>
      <c r="I861" s="11"/>
      <c r="J861" s="11"/>
      <c r="K861" s="11"/>
      <c r="L861" s="11"/>
      <c r="M861" s="11"/>
      <c r="O861" s="12"/>
      <c r="P861" s="12"/>
      <c r="Q861" s="12"/>
      <c r="R861" s="12"/>
      <c r="S861" s="12"/>
    </row>
    <row r="862" ht="15.75" customHeight="1">
      <c r="A862" s="10"/>
      <c r="B862" s="6"/>
      <c r="C862" s="10"/>
      <c r="D862" s="10"/>
      <c r="E862" s="10"/>
      <c r="F862" s="10"/>
      <c r="G862" s="10"/>
      <c r="I862" s="11"/>
      <c r="J862" s="11"/>
      <c r="K862" s="11"/>
      <c r="L862" s="11"/>
      <c r="M862" s="11"/>
      <c r="O862" s="12"/>
      <c r="P862" s="12"/>
      <c r="Q862" s="12"/>
      <c r="R862" s="12"/>
      <c r="S862" s="12"/>
    </row>
    <row r="863" ht="15.75" customHeight="1">
      <c r="A863" s="10"/>
      <c r="B863" s="6"/>
      <c r="C863" s="10"/>
      <c r="D863" s="10"/>
      <c r="E863" s="10"/>
      <c r="F863" s="10"/>
      <c r="G863" s="10"/>
      <c r="I863" s="11"/>
      <c r="J863" s="11"/>
      <c r="K863" s="11"/>
      <c r="L863" s="11"/>
      <c r="M863" s="11"/>
      <c r="O863" s="12"/>
      <c r="P863" s="12"/>
      <c r="Q863" s="12"/>
      <c r="R863" s="12"/>
      <c r="S863" s="12"/>
    </row>
    <row r="864" ht="15.75" customHeight="1">
      <c r="A864" s="10"/>
      <c r="B864" s="6"/>
      <c r="C864" s="10"/>
      <c r="D864" s="10"/>
      <c r="E864" s="10"/>
      <c r="F864" s="10"/>
      <c r="G864" s="10"/>
      <c r="I864" s="11"/>
      <c r="J864" s="11"/>
      <c r="K864" s="11"/>
      <c r="L864" s="11"/>
      <c r="M864" s="11"/>
      <c r="O864" s="12"/>
      <c r="P864" s="12"/>
      <c r="Q864" s="12"/>
      <c r="R864" s="12"/>
      <c r="S864" s="12"/>
    </row>
    <row r="865" ht="15.75" customHeight="1">
      <c r="A865" s="10"/>
      <c r="B865" s="6"/>
      <c r="C865" s="10"/>
      <c r="D865" s="10"/>
      <c r="E865" s="10"/>
      <c r="F865" s="10"/>
      <c r="G865" s="10"/>
      <c r="I865" s="11"/>
      <c r="J865" s="11"/>
      <c r="K865" s="11"/>
      <c r="L865" s="11"/>
      <c r="M865" s="11"/>
      <c r="O865" s="12"/>
      <c r="P865" s="12"/>
      <c r="Q865" s="12"/>
      <c r="R865" s="12"/>
      <c r="S865" s="12"/>
    </row>
    <row r="866" ht="15.75" customHeight="1">
      <c r="A866" s="10"/>
      <c r="B866" s="6"/>
      <c r="C866" s="10"/>
      <c r="D866" s="10"/>
      <c r="E866" s="10"/>
      <c r="F866" s="10"/>
      <c r="G866" s="10"/>
      <c r="I866" s="11"/>
      <c r="J866" s="11"/>
      <c r="K866" s="11"/>
      <c r="L866" s="11"/>
      <c r="M866" s="11"/>
      <c r="O866" s="12"/>
      <c r="P866" s="12"/>
      <c r="Q866" s="12"/>
      <c r="R866" s="12"/>
      <c r="S866" s="12"/>
    </row>
    <row r="867" ht="15.75" customHeight="1">
      <c r="A867" s="10"/>
      <c r="B867" s="6"/>
      <c r="C867" s="10"/>
      <c r="D867" s="10"/>
      <c r="E867" s="10"/>
      <c r="F867" s="10"/>
      <c r="G867" s="10"/>
      <c r="I867" s="11"/>
      <c r="J867" s="11"/>
      <c r="K867" s="11"/>
      <c r="L867" s="11"/>
      <c r="M867" s="11"/>
      <c r="O867" s="12"/>
      <c r="P867" s="12"/>
      <c r="Q867" s="12"/>
      <c r="R867" s="12"/>
      <c r="S867" s="12"/>
    </row>
    <row r="868" ht="15.75" customHeight="1">
      <c r="A868" s="10"/>
      <c r="B868" s="6"/>
      <c r="C868" s="10"/>
      <c r="D868" s="10"/>
      <c r="E868" s="10"/>
      <c r="F868" s="10"/>
      <c r="G868" s="10"/>
      <c r="I868" s="11"/>
      <c r="J868" s="11"/>
      <c r="K868" s="11"/>
      <c r="L868" s="11"/>
      <c r="M868" s="11"/>
      <c r="O868" s="12"/>
      <c r="P868" s="12"/>
      <c r="Q868" s="12"/>
      <c r="R868" s="12"/>
      <c r="S868" s="12"/>
    </row>
    <row r="869" ht="15.75" customHeight="1">
      <c r="A869" s="10"/>
      <c r="B869" s="6"/>
      <c r="C869" s="10"/>
      <c r="D869" s="10"/>
      <c r="E869" s="10"/>
      <c r="F869" s="10"/>
      <c r="G869" s="10"/>
      <c r="I869" s="11"/>
      <c r="J869" s="11"/>
      <c r="K869" s="11"/>
      <c r="L869" s="11"/>
      <c r="M869" s="11"/>
      <c r="O869" s="12"/>
      <c r="P869" s="12"/>
      <c r="Q869" s="12"/>
      <c r="R869" s="12"/>
      <c r="S869" s="12"/>
    </row>
    <row r="870" ht="15.75" customHeight="1">
      <c r="A870" s="10"/>
      <c r="B870" s="6"/>
      <c r="C870" s="10"/>
      <c r="D870" s="10"/>
      <c r="E870" s="10"/>
      <c r="F870" s="10"/>
      <c r="G870" s="10"/>
      <c r="I870" s="11"/>
      <c r="J870" s="11"/>
      <c r="K870" s="11"/>
      <c r="L870" s="11"/>
      <c r="M870" s="11"/>
      <c r="O870" s="12"/>
      <c r="P870" s="12"/>
      <c r="Q870" s="12"/>
      <c r="R870" s="12"/>
      <c r="S870" s="12"/>
    </row>
    <row r="871" ht="15.75" customHeight="1">
      <c r="A871" s="10"/>
      <c r="B871" s="6"/>
      <c r="C871" s="10"/>
      <c r="D871" s="10"/>
      <c r="E871" s="10"/>
      <c r="F871" s="10"/>
      <c r="G871" s="10"/>
      <c r="I871" s="11"/>
      <c r="J871" s="11"/>
      <c r="K871" s="11"/>
      <c r="L871" s="11"/>
      <c r="M871" s="11"/>
      <c r="O871" s="12"/>
      <c r="P871" s="12"/>
      <c r="Q871" s="12"/>
      <c r="R871" s="12"/>
      <c r="S871" s="12"/>
    </row>
    <row r="872" ht="15.75" customHeight="1">
      <c r="A872" s="10"/>
      <c r="B872" s="6"/>
      <c r="C872" s="10"/>
      <c r="D872" s="10"/>
      <c r="E872" s="10"/>
      <c r="F872" s="10"/>
      <c r="G872" s="10"/>
      <c r="I872" s="11"/>
      <c r="J872" s="11"/>
      <c r="K872" s="11"/>
      <c r="L872" s="11"/>
      <c r="M872" s="11"/>
      <c r="O872" s="12"/>
      <c r="P872" s="12"/>
      <c r="Q872" s="12"/>
      <c r="R872" s="12"/>
      <c r="S872" s="12"/>
    </row>
    <row r="873" ht="15.75" customHeight="1">
      <c r="A873" s="10"/>
      <c r="B873" s="6"/>
      <c r="C873" s="10"/>
      <c r="D873" s="10"/>
      <c r="E873" s="10"/>
      <c r="F873" s="10"/>
      <c r="G873" s="10"/>
      <c r="I873" s="11"/>
      <c r="J873" s="11"/>
      <c r="K873" s="11"/>
      <c r="L873" s="11"/>
      <c r="M873" s="11"/>
      <c r="O873" s="12"/>
      <c r="P873" s="12"/>
      <c r="Q873" s="12"/>
      <c r="R873" s="12"/>
      <c r="S873" s="12"/>
    </row>
    <row r="874" ht="15.75" customHeight="1">
      <c r="A874" s="10"/>
      <c r="B874" s="6"/>
      <c r="C874" s="10"/>
      <c r="D874" s="10"/>
      <c r="E874" s="10"/>
      <c r="F874" s="10"/>
      <c r="G874" s="10"/>
      <c r="I874" s="11"/>
      <c r="J874" s="11"/>
      <c r="K874" s="11"/>
      <c r="L874" s="11"/>
      <c r="M874" s="11"/>
      <c r="O874" s="12"/>
      <c r="P874" s="12"/>
      <c r="Q874" s="12"/>
      <c r="R874" s="12"/>
      <c r="S874" s="12"/>
    </row>
    <row r="875" ht="15.75" customHeight="1">
      <c r="A875" s="10"/>
      <c r="B875" s="6"/>
      <c r="C875" s="10"/>
      <c r="D875" s="10"/>
      <c r="E875" s="10"/>
      <c r="F875" s="10"/>
      <c r="G875" s="10"/>
      <c r="I875" s="11"/>
      <c r="J875" s="11"/>
      <c r="K875" s="11"/>
      <c r="L875" s="11"/>
      <c r="M875" s="11"/>
      <c r="O875" s="12"/>
      <c r="P875" s="12"/>
      <c r="Q875" s="12"/>
      <c r="R875" s="12"/>
      <c r="S875" s="12"/>
    </row>
    <row r="876" ht="15.75" customHeight="1">
      <c r="A876" s="10"/>
      <c r="B876" s="6"/>
      <c r="C876" s="10"/>
      <c r="D876" s="10"/>
      <c r="E876" s="10"/>
      <c r="F876" s="10"/>
      <c r="G876" s="10"/>
      <c r="I876" s="11"/>
      <c r="J876" s="11"/>
      <c r="K876" s="11"/>
      <c r="L876" s="11"/>
      <c r="M876" s="11"/>
      <c r="O876" s="12"/>
      <c r="P876" s="12"/>
      <c r="Q876" s="12"/>
      <c r="R876" s="12"/>
      <c r="S876" s="12"/>
    </row>
    <row r="877" ht="15.75" customHeight="1">
      <c r="A877" s="10"/>
      <c r="B877" s="6"/>
      <c r="C877" s="10"/>
      <c r="D877" s="10"/>
      <c r="E877" s="10"/>
      <c r="F877" s="10"/>
      <c r="G877" s="10"/>
      <c r="I877" s="11"/>
      <c r="J877" s="11"/>
      <c r="K877" s="11"/>
      <c r="L877" s="11"/>
      <c r="M877" s="11"/>
      <c r="O877" s="12"/>
      <c r="P877" s="12"/>
      <c r="Q877" s="12"/>
      <c r="R877" s="12"/>
      <c r="S877" s="12"/>
    </row>
    <row r="878" ht="15.75" customHeight="1">
      <c r="A878" s="10"/>
      <c r="B878" s="6"/>
      <c r="C878" s="10"/>
      <c r="D878" s="10"/>
      <c r="E878" s="10"/>
      <c r="F878" s="10"/>
      <c r="G878" s="10"/>
      <c r="I878" s="11"/>
      <c r="J878" s="11"/>
      <c r="K878" s="11"/>
      <c r="L878" s="11"/>
      <c r="M878" s="11"/>
      <c r="O878" s="12"/>
      <c r="P878" s="12"/>
      <c r="Q878" s="12"/>
      <c r="R878" s="12"/>
      <c r="S878" s="12"/>
    </row>
    <row r="879" ht="15.75" customHeight="1">
      <c r="A879" s="10"/>
      <c r="B879" s="6"/>
      <c r="C879" s="10"/>
      <c r="D879" s="10"/>
      <c r="E879" s="10"/>
      <c r="F879" s="10"/>
      <c r="G879" s="10"/>
      <c r="I879" s="11"/>
      <c r="J879" s="11"/>
      <c r="K879" s="11"/>
      <c r="L879" s="11"/>
      <c r="M879" s="11"/>
      <c r="O879" s="12"/>
      <c r="P879" s="12"/>
      <c r="Q879" s="12"/>
      <c r="R879" s="12"/>
      <c r="S879" s="12"/>
    </row>
    <row r="880" ht="15.75" customHeight="1">
      <c r="A880" s="10"/>
      <c r="B880" s="6"/>
      <c r="C880" s="10"/>
      <c r="D880" s="10"/>
      <c r="E880" s="10"/>
      <c r="F880" s="10"/>
      <c r="G880" s="10"/>
      <c r="I880" s="11"/>
      <c r="J880" s="11"/>
      <c r="K880" s="11"/>
      <c r="L880" s="11"/>
      <c r="M880" s="11"/>
      <c r="O880" s="12"/>
      <c r="P880" s="12"/>
      <c r="Q880" s="12"/>
      <c r="R880" s="12"/>
      <c r="S880" s="12"/>
    </row>
    <row r="881" ht="15.75" customHeight="1">
      <c r="A881" s="10"/>
      <c r="B881" s="6"/>
      <c r="C881" s="10"/>
      <c r="D881" s="10"/>
      <c r="E881" s="10"/>
      <c r="F881" s="10"/>
      <c r="G881" s="10"/>
      <c r="I881" s="11"/>
      <c r="J881" s="11"/>
      <c r="K881" s="11"/>
      <c r="L881" s="11"/>
      <c r="M881" s="11"/>
      <c r="O881" s="12"/>
      <c r="P881" s="12"/>
      <c r="Q881" s="12"/>
      <c r="R881" s="12"/>
      <c r="S881" s="12"/>
    </row>
    <row r="882" ht="15.75" customHeight="1">
      <c r="A882" s="10"/>
      <c r="B882" s="6"/>
      <c r="C882" s="10"/>
      <c r="D882" s="10"/>
      <c r="E882" s="10"/>
      <c r="F882" s="10"/>
      <c r="G882" s="10"/>
      <c r="I882" s="11"/>
      <c r="J882" s="11"/>
      <c r="K882" s="11"/>
      <c r="L882" s="11"/>
      <c r="M882" s="11"/>
      <c r="O882" s="12"/>
      <c r="P882" s="12"/>
      <c r="Q882" s="12"/>
      <c r="R882" s="12"/>
      <c r="S882" s="12"/>
    </row>
    <row r="883" ht="15.75" customHeight="1">
      <c r="A883" s="10"/>
      <c r="B883" s="6"/>
      <c r="C883" s="10"/>
      <c r="D883" s="10"/>
      <c r="E883" s="10"/>
      <c r="F883" s="10"/>
      <c r="G883" s="10"/>
      <c r="I883" s="11"/>
      <c r="J883" s="11"/>
      <c r="K883" s="11"/>
      <c r="L883" s="11"/>
      <c r="M883" s="11"/>
      <c r="O883" s="12"/>
      <c r="P883" s="12"/>
      <c r="Q883" s="12"/>
      <c r="R883" s="12"/>
      <c r="S883" s="12"/>
    </row>
    <row r="884" ht="15.75" customHeight="1">
      <c r="A884" s="10"/>
      <c r="B884" s="6"/>
      <c r="C884" s="10"/>
      <c r="D884" s="10"/>
      <c r="E884" s="10"/>
      <c r="F884" s="10"/>
      <c r="G884" s="10"/>
      <c r="I884" s="11"/>
      <c r="J884" s="11"/>
      <c r="K884" s="11"/>
      <c r="L884" s="11"/>
      <c r="M884" s="11"/>
      <c r="O884" s="12"/>
      <c r="P884" s="12"/>
      <c r="Q884" s="12"/>
      <c r="R884" s="12"/>
      <c r="S884" s="12"/>
    </row>
    <row r="885" ht="15.75" customHeight="1">
      <c r="A885" s="10"/>
      <c r="B885" s="6"/>
      <c r="C885" s="10"/>
      <c r="D885" s="10"/>
      <c r="E885" s="10"/>
      <c r="F885" s="10"/>
      <c r="G885" s="10"/>
      <c r="I885" s="11"/>
      <c r="J885" s="11"/>
      <c r="K885" s="11"/>
      <c r="L885" s="11"/>
      <c r="M885" s="11"/>
      <c r="O885" s="12"/>
      <c r="P885" s="12"/>
      <c r="Q885" s="12"/>
      <c r="R885" s="12"/>
      <c r="S885" s="12"/>
    </row>
    <row r="886" ht="15.75" customHeight="1">
      <c r="A886" s="10"/>
      <c r="B886" s="6"/>
      <c r="C886" s="10"/>
      <c r="D886" s="10"/>
      <c r="E886" s="10"/>
      <c r="F886" s="10"/>
      <c r="G886" s="10"/>
      <c r="I886" s="11"/>
      <c r="J886" s="11"/>
      <c r="K886" s="11"/>
      <c r="L886" s="11"/>
      <c r="M886" s="11"/>
      <c r="O886" s="12"/>
      <c r="P886" s="12"/>
      <c r="Q886" s="12"/>
      <c r="R886" s="12"/>
      <c r="S886" s="12"/>
    </row>
    <row r="887" ht="15.75" customHeight="1">
      <c r="A887" s="10"/>
      <c r="B887" s="6"/>
      <c r="C887" s="10"/>
      <c r="D887" s="10"/>
      <c r="E887" s="10"/>
      <c r="F887" s="10"/>
      <c r="G887" s="10"/>
      <c r="I887" s="11"/>
      <c r="J887" s="11"/>
      <c r="K887" s="11"/>
      <c r="L887" s="11"/>
      <c r="M887" s="11"/>
      <c r="O887" s="12"/>
      <c r="P887" s="12"/>
      <c r="Q887" s="12"/>
      <c r="R887" s="12"/>
      <c r="S887" s="12"/>
    </row>
    <row r="888" ht="15.75" customHeight="1">
      <c r="A888" s="10"/>
      <c r="B888" s="6"/>
      <c r="C888" s="10"/>
      <c r="D888" s="10"/>
      <c r="E888" s="10"/>
      <c r="F888" s="10"/>
      <c r="G888" s="10"/>
      <c r="I888" s="11"/>
      <c r="J888" s="11"/>
      <c r="K888" s="11"/>
      <c r="L888" s="11"/>
      <c r="M888" s="11"/>
      <c r="O888" s="12"/>
      <c r="P888" s="12"/>
      <c r="Q888" s="12"/>
      <c r="R888" s="12"/>
      <c r="S888" s="12"/>
    </row>
    <row r="889" ht="15.75" customHeight="1">
      <c r="A889" s="10"/>
      <c r="B889" s="6"/>
      <c r="C889" s="10"/>
      <c r="D889" s="10"/>
      <c r="E889" s="10"/>
      <c r="F889" s="10"/>
      <c r="G889" s="10"/>
      <c r="I889" s="11"/>
      <c r="J889" s="11"/>
      <c r="K889" s="11"/>
      <c r="L889" s="11"/>
      <c r="M889" s="11"/>
      <c r="O889" s="12"/>
      <c r="P889" s="12"/>
      <c r="Q889" s="12"/>
      <c r="R889" s="12"/>
      <c r="S889" s="12"/>
    </row>
    <row r="890" ht="15.75" customHeight="1">
      <c r="A890" s="10"/>
      <c r="B890" s="6"/>
      <c r="C890" s="10"/>
      <c r="D890" s="10"/>
      <c r="E890" s="10"/>
      <c r="F890" s="10"/>
      <c r="G890" s="10"/>
      <c r="I890" s="11"/>
      <c r="J890" s="11"/>
      <c r="K890" s="11"/>
      <c r="L890" s="11"/>
      <c r="M890" s="11"/>
      <c r="O890" s="12"/>
      <c r="P890" s="12"/>
      <c r="Q890" s="12"/>
      <c r="R890" s="12"/>
      <c r="S890" s="12"/>
    </row>
    <row r="891" ht="15.75" customHeight="1">
      <c r="A891" s="10"/>
      <c r="B891" s="6"/>
      <c r="C891" s="10"/>
      <c r="D891" s="10"/>
      <c r="E891" s="10"/>
      <c r="F891" s="10"/>
      <c r="G891" s="10"/>
      <c r="I891" s="11"/>
      <c r="J891" s="11"/>
      <c r="K891" s="11"/>
      <c r="L891" s="11"/>
      <c r="M891" s="11"/>
      <c r="O891" s="12"/>
      <c r="P891" s="12"/>
      <c r="Q891" s="12"/>
      <c r="R891" s="12"/>
      <c r="S891" s="12"/>
    </row>
    <row r="892" ht="15.75" customHeight="1">
      <c r="A892" s="10"/>
      <c r="B892" s="6"/>
      <c r="C892" s="10"/>
      <c r="D892" s="10"/>
      <c r="E892" s="10"/>
      <c r="F892" s="10"/>
      <c r="G892" s="10"/>
      <c r="I892" s="11"/>
      <c r="J892" s="11"/>
      <c r="K892" s="11"/>
      <c r="L892" s="11"/>
      <c r="M892" s="11"/>
      <c r="O892" s="12"/>
      <c r="P892" s="12"/>
      <c r="Q892" s="12"/>
      <c r="R892" s="12"/>
      <c r="S892" s="12"/>
    </row>
    <row r="893" ht="15.75" customHeight="1">
      <c r="A893" s="10"/>
      <c r="B893" s="6"/>
      <c r="C893" s="10"/>
      <c r="D893" s="10"/>
      <c r="E893" s="10"/>
      <c r="F893" s="10"/>
      <c r="G893" s="10"/>
      <c r="I893" s="11"/>
      <c r="J893" s="11"/>
      <c r="K893" s="11"/>
      <c r="L893" s="11"/>
      <c r="M893" s="11"/>
      <c r="O893" s="12"/>
      <c r="P893" s="12"/>
      <c r="Q893" s="12"/>
      <c r="R893" s="12"/>
      <c r="S893" s="12"/>
    </row>
    <row r="894" ht="15.75" customHeight="1">
      <c r="A894" s="10"/>
      <c r="B894" s="6"/>
      <c r="C894" s="10"/>
      <c r="D894" s="10"/>
      <c r="E894" s="10"/>
      <c r="F894" s="10"/>
      <c r="G894" s="10"/>
      <c r="I894" s="11"/>
      <c r="J894" s="11"/>
      <c r="K894" s="11"/>
      <c r="L894" s="11"/>
      <c r="M894" s="11"/>
      <c r="O894" s="12"/>
      <c r="P894" s="12"/>
      <c r="Q894" s="12"/>
      <c r="R894" s="12"/>
      <c r="S894" s="12"/>
    </row>
    <row r="895" ht="15.75" customHeight="1">
      <c r="A895" s="10"/>
      <c r="B895" s="6"/>
      <c r="C895" s="10"/>
      <c r="D895" s="10"/>
      <c r="E895" s="10"/>
      <c r="F895" s="10"/>
      <c r="G895" s="10"/>
      <c r="I895" s="11"/>
      <c r="J895" s="11"/>
      <c r="K895" s="11"/>
      <c r="L895" s="11"/>
      <c r="M895" s="11"/>
      <c r="O895" s="12"/>
      <c r="P895" s="12"/>
      <c r="Q895" s="12"/>
      <c r="R895" s="12"/>
      <c r="S895" s="12"/>
    </row>
    <row r="896" ht="15.75" customHeight="1">
      <c r="A896" s="10"/>
      <c r="B896" s="6"/>
      <c r="C896" s="10"/>
      <c r="D896" s="10"/>
      <c r="E896" s="10"/>
      <c r="F896" s="10"/>
      <c r="G896" s="10"/>
      <c r="I896" s="11"/>
      <c r="J896" s="11"/>
      <c r="K896" s="11"/>
      <c r="L896" s="11"/>
      <c r="M896" s="11"/>
      <c r="O896" s="12"/>
      <c r="P896" s="12"/>
      <c r="Q896" s="12"/>
      <c r="R896" s="12"/>
      <c r="S896" s="12"/>
    </row>
    <row r="897" ht="15.75" customHeight="1">
      <c r="A897" s="10"/>
      <c r="B897" s="6"/>
      <c r="C897" s="10"/>
      <c r="D897" s="10"/>
      <c r="E897" s="10"/>
      <c r="F897" s="10"/>
      <c r="G897" s="10"/>
      <c r="I897" s="11"/>
      <c r="J897" s="11"/>
      <c r="K897" s="11"/>
      <c r="L897" s="11"/>
      <c r="M897" s="11"/>
      <c r="O897" s="12"/>
      <c r="P897" s="12"/>
      <c r="Q897" s="12"/>
      <c r="R897" s="12"/>
      <c r="S897" s="12"/>
    </row>
    <row r="898" ht="15.75" customHeight="1">
      <c r="A898" s="10"/>
      <c r="B898" s="6"/>
      <c r="C898" s="10"/>
      <c r="D898" s="10"/>
      <c r="E898" s="10"/>
      <c r="F898" s="10"/>
      <c r="G898" s="10"/>
      <c r="I898" s="11"/>
      <c r="J898" s="11"/>
      <c r="K898" s="11"/>
      <c r="L898" s="11"/>
      <c r="M898" s="11"/>
      <c r="O898" s="12"/>
      <c r="P898" s="12"/>
      <c r="Q898" s="12"/>
      <c r="R898" s="12"/>
      <c r="S898" s="12"/>
    </row>
    <row r="899" ht="15.75" customHeight="1">
      <c r="A899" s="10"/>
      <c r="B899" s="6"/>
      <c r="C899" s="10"/>
      <c r="D899" s="10"/>
      <c r="E899" s="10"/>
      <c r="F899" s="10"/>
      <c r="G899" s="10"/>
      <c r="I899" s="11"/>
      <c r="J899" s="11"/>
      <c r="K899" s="11"/>
      <c r="L899" s="11"/>
      <c r="M899" s="11"/>
      <c r="O899" s="12"/>
      <c r="P899" s="12"/>
      <c r="Q899" s="12"/>
      <c r="R899" s="12"/>
      <c r="S899" s="12"/>
    </row>
    <row r="900" ht="15.75" customHeight="1">
      <c r="A900" s="10"/>
      <c r="B900" s="6"/>
      <c r="C900" s="10"/>
      <c r="D900" s="10"/>
      <c r="E900" s="10"/>
      <c r="F900" s="10"/>
      <c r="G900" s="10"/>
      <c r="I900" s="11"/>
      <c r="J900" s="11"/>
      <c r="K900" s="11"/>
      <c r="L900" s="11"/>
      <c r="M900" s="11"/>
      <c r="O900" s="12"/>
      <c r="P900" s="12"/>
      <c r="Q900" s="12"/>
      <c r="R900" s="12"/>
      <c r="S900" s="12"/>
    </row>
    <row r="901" ht="15.75" customHeight="1">
      <c r="A901" s="10"/>
      <c r="B901" s="6"/>
      <c r="C901" s="10"/>
      <c r="D901" s="10"/>
      <c r="E901" s="10"/>
      <c r="F901" s="10"/>
      <c r="G901" s="10"/>
      <c r="I901" s="11"/>
      <c r="J901" s="11"/>
      <c r="K901" s="11"/>
      <c r="L901" s="11"/>
      <c r="M901" s="11"/>
      <c r="O901" s="12"/>
      <c r="P901" s="12"/>
      <c r="Q901" s="12"/>
      <c r="R901" s="12"/>
      <c r="S901" s="12"/>
    </row>
    <row r="902" ht="15.75" customHeight="1">
      <c r="A902" s="10"/>
      <c r="B902" s="6"/>
      <c r="C902" s="10"/>
      <c r="D902" s="10"/>
      <c r="E902" s="10"/>
      <c r="F902" s="10"/>
      <c r="G902" s="10"/>
      <c r="I902" s="11"/>
      <c r="J902" s="11"/>
      <c r="K902" s="11"/>
      <c r="L902" s="11"/>
      <c r="M902" s="11"/>
      <c r="O902" s="12"/>
      <c r="P902" s="12"/>
      <c r="Q902" s="12"/>
      <c r="R902" s="12"/>
      <c r="S902" s="12"/>
    </row>
    <row r="903" ht="15.75" customHeight="1">
      <c r="A903" s="10"/>
      <c r="B903" s="6"/>
      <c r="C903" s="10"/>
      <c r="D903" s="10"/>
      <c r="E903" s="10"/>
      <c r="F903" s="10"/>
      <c r="G903" s="10"/>
      <c r="I903" s="11"/>
      <c r="J903" s="11"/>
      <c r="K903" s="11"/>
      <c r="L903" s="11"/>
      <c r="M903" s="11"/>
      <c r="O903" s="12"/>
      <c r="P903" s="12"/>
      <c r="Q903" s="12"/>
      <c r="R903" s="12"/>
      <c r="S903" s="12"/>
    </row>
    <row r="904" ht="15.75" customHeight="1">
      <c r="A904" s="10"/>
      <c r="B904" s="6"/>
      <c r="C904" s="10"/>
      <c r="D904" s="10"/>
      <c r="E904" s="10"/>
      <c r="F904" s="10"/>
      <c r="G904" s="10"/>
      <c r="I904" s="11"/>
      <c r="J904" s="11"/>
      <c r="K904" s="11"/>
      <c r="L904" s="11"/>
      <c r="M904" s="11"/>
      <c r="O904" s="12"/>
      <c r="P904" s="12"/>
      <c r="Q904" s="12"/>
      <c r="R904" s="12"/>
      <c r="S904" s="12"/>
    </row>
    <row r="905" ht="15.75" customHeight="1">
      <c r="A905" s="10"/>
      <c r="B905" s="6"/>
      <c r="C905" s="10"/>
      <c r="D905" s="10"/>
      <c r="E905" s="10"/>
      <c r="F905" s="10"/>
      <c r="G905" s="10"/>
      <c r="I905" s="11"/>
      <c r="J905" s="11"/>
      <c r="K905" s="11"/>
      <c r="L905" s="11"/>
      <c r="M905" s="11"/>
      <c r="O905" s="12"/>
      <c r="P905" s="12"/>
      <c r="Q905" s="12"/>
      <c r="R905" s="12"/>
      <c r="S905" s="12"/>
    </row>
    <row r="906" ht="15.75" customHeight="1">
      <c r="A906" s="10"/>
      <c r="B906" s="6"/>
      <c r="C906" s="10"/>
      <c r="D906" s="10"/>
      <c r="E906" s="10"/>
      <c r="F906" s="10"/>
      <c r="G906" s="10"/>
      <c r="I906" s="11"/>
      <c r="J906" s="11"/>
      <c r="K906" s="11"/>
      <c r="L906" s="11"/>
      <c r="M906" s="11"/>
      <c r="O906" s="12"/>
      <c r="P906" s="12"/>
      <c r="Q906" s="12"/>
      <c r="R906" s="12"/>
      <c r="S906" s="12"/>
    </row>
    <row r="907" ht="15.75" customHeight="1">
      <c r="A907" s="10"/>
      <c r="B907" s="6"/>
      <c r="C907" s="10"/>
      <c r="D907" s="10"/>
      <c r="E907" s="10"/>
      <c r="F907" s="10"/>
      <c r="G907" s="10"/>
      <c r="I907" s="11"/>
      <c r="J907" s="11"/>
      <c r="K907" s="11"/>
      <c r="L907" s="11"/>
      <c r="M907" s="11"/>
      <c r="O907" s="12"/>
      <c r="P907" s="12"/>
      <c r="Q907" s="12"/>
      <c r="R907" s="12"/>
      <c r="S907" s="12"/>
    </row>
    <row r="908" ht="15.75" customHeight="1">
      <c r="A908" s="10"/>
      <c r="B908" s="6"/>
      <c r="C908" s="10"/>
      <c r="D908" s="10"/>
      <c r="E908" s="10"/>
      <c r="F908" s="10"/>
      <c r="G908" s="10"/>
      <c r="I908" s="11"/>
      <c r="J908" s="11"/>
      <c r="K908" s="11"/>
      <c r="L908" s="11"/>
      <c r="M908" s="11"/>
      <c r="O908" s="12"/>
      <c r="P908" s="12"/>
      <c r="Q908" s="12"/>
      <c r="R908" s="12"/>
      <c r="S908" s="12"/>
    </row>
    <row r="909" ht="15.75" customHeight="1">
      <c r="A909" s="10"/>
      <c r="B909" s="6"/>
      <c r="C909" s="10"/>
      <c r="D909" s="10"/>
      <c r="E909" s="10"/>
      <c r="F909" s="10"/>
      <c r="G909" s="10"/>
      <c r="I909" s="11"/>
      <c r="J909" s="11"/>
      <c r="K909" s="11"/>
      <c r="L909" s="11"/>
      <c r="M909" s="11"/>
      <c r="O909" s="12"/>
      <c r="P909" s="12"/>
      <c r="Q909" s="12"/>
      <c r="R909" s="12"/>
      <c r="S909" s="12"/>
    </row>
    <row r="910" ht="15.75" customHeight="1">
      <c r="A910" s="10"/>
      <c r="B910" s="6"/>
      <c r="C910" s="10"/>
      <c r="D910" s="10"/>
      <c r="E910" s="10"/>
      <c r="F910" s="10"/>
      <c r="G910" s="10"/>
      <c r="I910" s="11"/>
      <c r="J910" s="11"/>
      <c r="K910" s="11"/>
      <c r="L910" s="11"/>
      <c r="M910" s="11"/>
      <c r="O910" s="12"/>
      <c r="P910" s="12"/>
      <c r="Q910" s="12"/>
      <c r="R910" s="12"/>
      <c r="S910" s="12"/>
    </row>
    <row r="911" ht="15.75" customHeight="1">
      <c r="A911" s="10"/>
      <c r="B911" s="6"/>
      <c r="C911" s="10"/>
      <c r="D911" s="10"/>
      <c r="E911" s="10"/>
      <c r="F911" s="10"/>
      <c r="G911" s="10"/>
      <c r="I911" s="11"/>
      <c r="J911" s="11"/>
      <c r="K911" s="11"/>
      <c r="L911" s="11"/>
      <c r="M911" s="11"/>
      <c r="O911" s="12"/>
      <c r="P911" s="12"/>
      <c r="Q911" s="12"/>
      <c r="R911" s="12"/>
      <c r="S911" s="12"/>
    </row>
    <row r="912" ht="15.75" customHeight="1">
      <c r="A912" s="10"/>
      <c r="B912" s="6"/>
      <c r="C912" s="10"/>
      <c r="D912" s="10"/>
      <c r="E912" s="10"/>
      <c r="F912" s="10"/>
      <c r="G912" s="10"/>
      <c r="I912" s="11"/>
      <c r="J912" s="11"/>
      <c r="K912" s="11"/>
      <c r="L912" s="11"/>
      <c r="M912" s="11"/>
      <c r="O912" s="12"/>
      <c r="P912" s="12"/>
      <c r="Q912" s="12"/>
      <c r="R912" s="12"/>
      <c r="S912" s="12"/>
    </row>
    <row r="913" ht="15.75" customHeight="1">
      <c r="A913" s="10"/>
      <c r="B913" s="6"/>
      <c r="C913" s="10"/>
      <c r="D913" s="10"/>
      <c r="E913" s="10"/>
      <c r="F913" s="10"/>
      <c r="G913" s="10"/>
      <c r="I913" s="11"/>
      <c r="J913" s="11"/>
      <c r="K913" s="11"/>
      <c r="L913" s="11"/>
      <c r="M913" s="11"/>
      <c r="O913" s="12"/>
      <c r="P913" s="12"/>
      <c r="Q913" s="12"/>
      <c r="R913" s="12"/>
      <c r="S913" s="12"/>
    </row>
    <row r="914" ht="15.75" customHeight="1">
      <c r="A914" s="10"/>
      <c r="B914" s="6"/>
      <c r="C914" s="10"/>
      <c r="D914" s="10"/>
      <c r="E914" s="10"/>
      <c r="F914" s="10"/>
      <c r="G914" s="10"/>
      <c r="I914" s="11"/>
      <c r="J914" s="11"/>
      <c r="K914" s="11"/>
      <c r="L914" s="11"/>
      <c r="M914" s="11"/>
      <c r="O914" s="12"/>
      <c r="P914" s="12"/>
      <c r="Q914" s="12"/>
      <c r="R914" s="12"/>
      <c r="S914" s="12"/>
    </row>
    <row r="915" ht="15.75" customHeight="1">
      <c r="A915" s="10"/>
      <c r="B915" s="6"/>
      <c r="C915" s="10"/>
      <c r="D915" s="10"/>
      <c r="E915" s="10"/>
      <c r="F915" s="10"/>
      <c r="G915" s="10"/>
      <c r="I915" s="11"/>
      <c r="J915" s="11"/>
      <c r="K915" s="11"/>
      <c r="L915" s="11"/>
      <c r="M915" s="11"/>
      <c r="O915" s="12"/>
      <c r="P915" s="12"/>
      <c r="Q915" s="12"/>
      <c r="R915" s="12"/>
      <c r="S915" s="12"/>
    </row>
    <row r="916" ht="15.75" customHeight="1">
      <c r="A916" s="10"/>
      <c r="B916" s="6"/>
      <c r="C916" s="10"/>
      <c r="D916" s="10"/>
      <c r="E916" s="10"/>
      <c r="F916" s="10"/>
      <c r="G916" s="10"/>
      <c r="I916" s="11"/>
      <c r="J916" s="11"/>
      <c r="K916" s="11"/>
      <c r="L916" s="11"/>
      <c r="M916" s="11"/>
      <c r="O916" s="12"/>
      <c r="P916" s="12"/>
      <c r="Q916" s="12"/>
      <c r="R916" s="12"/>
      <c r="S916" s="12"/>
    </row>
    <row r="917" ht="15.75" customHeight="1">
      <c r="A917" s="10"/>
      <c r="B917" s="6"/>
      <c r="C917" s="10"/>
      <c r="D917" s="10"/>
      <c r="E917" s="10"/>
      <c r="F917" s="10"/>
      <c r="G917" s="10"/>
      <c r="I917" s="11"/>
      <c r="J917" s="11"/>
      <c r="K917" s="11"/>
      <c r="L917" s="11"/>
      <c r="M917" s="11"/>
      <c r="O917" s="12"/>
      <c r="P917" s="12"/>
      <c r="Q917" s="12"/>
      <c r="R917" s="12"/>
      <c r="S917" s="12"/>
    </row>
    <row r="918" ht="15.75" customHeight="1">
      <c r="A918" s="10"/>
      <c r="B918" s="6"/>
      <c r="C918" s="10"/>
      <c r="D918" s="10"/>
      <c r="E918" s="10"/>
      <c r="F918" s="10"/>
      <c r="G918" s="10"/>
      <c r="I918" s="11"/>
      <c r="J918" s="11"/>
      <c r="K918" s="11"/>
      <c r="L918" s="11"/>
      <c r="M918" s="11"/>
      <c r="O918" s="12"/>
      <c r="P918" s="12"/>
      <c r="Q918" s="12"/>
      <c r="R918" s="12"/>
      <c r="S918" s="12"/>
    </row>
    <row r="919" ht="15.75" customHeight="1">
      <c r="A919" s="10"/>
      <c r="B919" s="6"/>
      <c r="C919" s="10"/>
      <c r="D919" s="10"/>
      <c r="E919" s="10"/>
      <c r="F919" s="10"/>
      <c r="G919" s="10"/>
      <c r="I919" s="11"/>
      <c r="J919" s="11"/>
      <c r="K919" s="11"/>
      <c r="L919" s="11"/>
      <c r="M919" s="11"/>
      <c r="O919" s="12"/>
      <c r="P919" s="12"/>
      <c r="Q919" s="12"/>
      <c r="R919" s="12"/>
      <c r="S919" s="12"/>
    </row>
    <row r="920" ht="15.75" customHeight="1">
      <c r="A920" s="10"/>
      <c r="B920" s="6"/>
      <c r="C920" s="10"/>
      <c r="D920" s="10"/>
      <c r="E920" s="10"/>
      <c r="F920" s="10"/>
      <c r="G920" s="10"/>
      <c r="I920" s="11"/>
      <c r="J920" s="11"/>
      <c r="K920" s="11"/>
      <c r="L920" s="11"/>
      <c r="M920" s="11"/>
      <c r="O920" s="12"/>
      <c r="P920" s="12"/>
      <c r="Q920" s="12"/>
      <c r="R920" s="12"/>
      <c r="S920" s="12"/>
    </row>
    <row r="921" ht="15.75" customHeight="1">
      <c r="A921" s="10"/>
      <c r="B921" s="6"/>
      <c r="C921" s="10"/>
      <c r="D921" s="10"/>
      <c r="E921" s="10"/>
      <c r="F921" s="10"/>
      <c r="G921" s="10"/>
      <c r="I921" s="11"/>
      <c r="J921" s="11"/>
      <c r="K921" s="11"/>
      <c r="L921" s="11"/>
      <c r="M921" s="11"/>
      <c r="O921" s="12"/>
      <c r="P921" s="12"/>
      <c r="Q921" s="12"/>
      <c r="R921" s="12"/>
      <c r="S921" s="12"/>
    </row>
    <row r="922" ht="15.75" customHeight="1">
      <c r="A922" s="10"/>
      <c r="B922" s="6"/>
      <c r="C922" s="10"/>
      <c r="D922" s="10"/>
      <c r="E922" s="10"/>
      <c r="F922" s="10"/>
      <c r="G922" s="10"/>
      <c r="I922" s="11"/>
      <c r="J922" s="11"/>
      <c r="K922" s="11"/>
      <c r="L922" s="11"/>
      <c r="M922" s="11"/>
      <c r="O922" s="12"/>
      <c r="P922" s="12"/>
      <c r="Q922" s="12"/>
      <c r="R922" s="12"/>
      <c r="S922" s="12"/>
    </row>
    <row r="923" ht="15.75" customHeight="1">
      <c r="A923" s="10"/>
      <c r="B923" s="6"/>
      <c r="C923" s="10"/>
      <c r="D923" s="10"/>
      <c r="E923" s="10"/>
      <c r="F923" s="10"/>
      <c r="G923" s="10"/>
      <c r="I923" s="11"/>
      <c r="J923" s="11"/>
      <c r="K923" s="11"/>
      <c r="L923" s="11"/>
      <c r="M923" s="11"/>
      <c r="O923" s="12"/>
      <c r="P923" s="12"/>
      <c r="Q923" s="12"/>
      <c r="R923" s="12"/>
      <c r="S923" s="12"/>
    </row>
    <row r="924" ht="15.75" customHeight="1">
      <c r="A924" s="10"/>
      <c r="B924" s="6"/>
      <c r="C924" s="10"/>
      <c r="D924" s="10"/>
      <c r="E924" s="10"/>
      <c r="F924" s="10"/>
      <c r="G924" s="10"/>
      <c r="I924" s="11"/>
      <c r="J924" s="11"/>
      <c r="K924" s="11"/>
      <c r="L924" s="11"/>
      <c r="M924" s="11"/>
      <c r="O924" s="12"/>
      <c r="P924" s="12"/>
      <c r="Q924" s="12"/>
      <c r="R924" s="12"/>
      <c r="S924" s="12"/>
    </row>
    <row r="925" ht="15.75" customHeight="1">
      <c r="A925" s="10"/>
      <c r="B925" s="6"/>
      <c r="C925" s="10"/>
      <c r="D925" s="10"/>
      <c r="E925" s="10"/>
      <c r="F925" s="10"/>
      <c r="G925" s="10"/>
      <c r="I925" s="11"/>
      <c r="J925" s="11"/>
      <c r="K925" s="11"/>
      <c r="L925" s="11"/>
      <c r="M925" s="11"/>
      <c r="O925" s="12"/>
      <c r="P925" s="12"/>
      <c r="Q925" s="12"/>
      <c r="R925" s="12"/>
      <c r="S925" s="12"/>
    </row>
    <row r="926" ht="15.75" customHeight="1">
      <c r="A926" s="10"/>
      <c r="B926" s="6"/>
      <c r="C926" s="10"/>
      <c r="D926" s="10"/>
      <c r="E926" s="10"/>
      <c r="F926" s="10"/>
      <c r="G926" s="10"/>
      <c r="I926" s="11"/>
      <c r="J926" s="11"/>
      <c r="K926" s="11"/>
      <c r="L926" s="11"/>
      <c r="M926" s="11"/>
      <c r="O926" s="12"/>
      <c r="P926" s="12"/>
      <c r="Q926" s="12"/>
      <c r="R926" s="12"/>
      <c r="S926" s="12"/>
    </row>
    <row r="927" ht="15.75" customHeight="1">
      <c r="A927" s="10"/>
      <c r="B927" s="6"/>
      <c r="C927" s="10"/>
      <c r="D927" s="10"/>
      <c r="E927" s="10"/>
      <c r="F927" s="10"/>
      <c r="G927" s="10"/>
      <c r="I927" s="11"/>
      <c r="J927" s="11"/>
      <c r="K927" s="11"/>
      <c r="L927" s="11"/>
      <c r="M927" s="11"/>
      <c r="O927" s="12"/>
      <c r="P927" s="12"/>
      <c r="Q927" s="12"/>
      <c r="R927" s="12"/>
      <c r="S927" s="12"/>
    </row>
    <row r="928" ht="15.75" customHeight="1">
      <c r="A928" s="10"/>
      <c r="B928" s="6"/>
      <c r="C928" s="10"/>
      <c r="D928" s="10"/>
      <c r="E928" s="10"/>
      <c r="F928" s="10"/>
      <c r="G928" s="10"/>
      <c r="I928" s="11"/>
      <c r="J928" s="11"/>
      <c r="K928" s="11"/>
      <c r="L928" s="11"/>
      <c r="M928" s="11"/>
      <c r="O928" s="12"/>
      <c r="P928" s="12"/>
      <c r="Q928" s="12"/>
      <c r="R928" s="12"/>
      <c r="S928" s="12"/>
    </row>
    <row r="929" ht="15.75" customHeight="1">
      <c r="A929" s="10"/>
      <c r="B929" s="6"/>
      <c r="C929" s="10"/>
      <c r="D929" s="10"/>
      <c r="E929" s="10"/>
      <c r="F929" s="10"/>
      <c r="G929" s="10"/>
      <c r="I929" s="11"/>
      <c r="J929" s="11"/>
      <c r="K929" s="11"/>
      <c r="L929" s="11"/>
      <c r="M929" s="11"/>
      <c r="O929" s="12"/>
      <c r="P929" s="12"/>
      <c r="Q929" s="12"/>
      <c r="R929" s="12"/>
      <c r="S929" s="12"/>
    </row>
    <row r="930" ht="15.75" customHeight="1">
      <c r="A930" s="10"/>
      <c r="B930" s="6"/>
      <c r="C930" s="10"/>
      <c r="D930" s="10"/>
      <c r="E930" s="10"/>
      <c r="F930" s="10"/>
      <c r="G930" s="10"/>
      <c r="I930" s="11"/>
      <c r="J930" s="11"/>
      <c r="K930" s="11"/>
      <c r="L930" s="11"/>
      <c r="M930" s="11"/>
      <c r="O930" s="12"/>
      <c r="P930" s="12"/>
      <c r="Q930" s="12"/>
      <c r="R930" s="12"/>
      <c r="S930" s="12"/>
    </row>
    <row r="931" ht="15.75" customHeight="1">
      <c r="A931" s="10"/>
      <c r="B931" s="6"/>
      <c r="C931" s="10"/>
      <c r="D931" s="10"/>
      <c r="E931" s="10"/>
      <c r="F931" s="10"/>
      <c r="G931" s="10"/>
      <c r="I931" s="11"/>
      <c r="J931" s="11"/>
      <c r="K931" s="11"/>
      <c r="L931" s="11"/>
      <c r="M931" s="11"/>
      <c r="O931" s="12"/>
      <c r="P931" s="12"/>
      <c r="Q931" s="12"/>
      <c r="R931" s="12"/>
      <c r="S931" s="12"/>
    </row>
    <row r="932" ht="15.75" customHeight="1">
      <c r="A932" s="10"/>
      <c r="B932" s="6"/>
      <c r="C932" s="10"/>
      <c r="D932" s="10"/>
      <c r="E932" s="10"/>
      <c r="F932" s="10"/>
      <c r="G932" s="10"/>
      <c r="I932" s="11"/>
      <c r="J932" s="11"/>
      <c r="K932" s="11"/>
      <c r="L932" s="11"/>
      <c r="M932" s="11"/>
      <c r="O932" s="12"/>
      <c r="P932" s="12"/>
      <c r="Q932" s="12"/>
      <c r="R932" s="12"/>
      <c r="S932" s="12"/>
    </row>
    <row r="933" ht="15.75" customHeight="1">
      <c r="A933" s="10"/>
      <c r="B933" s="6"/>
      <c r="C933" s="10"/>
      <c r="D933" s="10"/>
      <c r="E933" s="10"/>
      <c r="F933" s="10"/>
      <c r="G933" s="10"/>
      <c r="I933" s="11"/>
      <c r="J933" s="11"/>
      <c r="K933" s="11"/>
      <c r="L933" s="11"/>
      <c r="M933" s="11"/>
      <c r="O933" s="12"/>
      <c r="P933" s="12"/>
      <c r="Q933" s="12"/>
      <c r="R933" s="12"/>
      <c r="S933" s="12"/>
    </row>
    <row r="934" ht="15.75" customHeight="1">
      <c r="A934" s="10"/>
      <c r="B934" s="6"/>
      <c r="C934" s="10"/>
      <c r="D934" s="10"/>
      <c r="E934" s="10"/>
      <c r="F934" s="10"/>
      <c r="G934" s="10"/>
      <c r="I934" s="11"/>
      <c r="J934" s="11"/>
      <c r="K934" s="11"/>
      <c r="L934" s="11"/>
      <c r="M934" s="11"/>
      <c r="O934" s="12"/>
      <c r="P934" s="12"/>
      <c r="Q934" s="12"/>
      <c r="R934" s="12"/>
      <c r="S934" s="12"/>
    </row>
    <row r="935" ht="15.75" customHeight="1">
      <c r="A935" s="10"/>
      <c r="B935" s="6"/>
      <c r="C935" s="10"/>
      <c r="D935" s="10"/>
      <c r="E935" s="10"/>
      <c r="F935" s="10"/>
      <c r="G935" s="10"/>
      <c r="I935" s="11"/>
      <c r="J935" s="11"/>
      <c r="K935" s="11"/>
      <c r="L935" s="11"/>
      <c r="M935" s="11"/>
      <c r="O935" s="12"/>
      <c r="P935" s="12"/>
      <c r="Q935" s="12"/>
      <c r="R935" s="12"/>
      <c r="S935" s="12"/>
    </row>
    <row r="936" ht="15.75" customHeight="1">
      <c r="A936" s="10"/>
      <c r="B936" s="6"/>
      <c r="C936" s="10"/>
      <c r="D936" s="10"/>
      <c r="E936" s="10"/>
      <c r="F936" s="10"/>
      <c r="G936" s="10"/>
      <c r="I936" s="11"/>
      <c r="J936" s="11"/>
      <c r="K936" s="11"/>
      <c r="L936" s="11"/>
      <c r="M936" s="11"/>
      <c r="O936" s="12"/>
      <c r="P936" s="12"/>
      <c r="Q936" s="12"/>
      <c r="R936" s="12"/>
      <c r="S936" s="12"/>
    </row>
    <row r="937" ht="15.75" customHeight="1">
      <c r="A937" s="10"/>
      <c r="B937" s="6"/>
      <c r="C937" s="10"/>
      <c r="D937" s="10"/>
      <c r="E937" s="10"/>
      <c r="F937" s="10"/>
      <c r="G937" s="10"/>
      <c r="I937" s="11"/>
      <c r="J937" s="11"/>
      <c r="K937" s="11"/>
      <c r="L937" s="11"/>
      <c r="M937" s="11"/>
      <c r="O937" s="12"/>
      <c r="P937" s="12"/>
      <c r="Q937" s="12"/>
      <c r="R937" s="12"/>
      <c r="S937" s="12"/>
    </row>
    <row r="938" ht="15.75" customHeight="1">
      <c r="A938" s="10"/>
      <c r="B938" s="6"/>
      <c r="C938" s="10"/>
      <c r="D938" s="10"/>
      <c r="E938" s="10"/>
      <c r="F938" s="10"/>
      <c r="G938" s="10"/>
      <c r="I938" s="11"/>
      <c r="J938" s="11"/>
      <c r="K938" s="11"/>
      <c r="L938" s="11"/>
      <c r="M938" s="11"/>
      <c r="O938" s="12"/>
      <c r="P938" s="12"/>
      <c r="Q938" s="12"/>
      <c r="R938" s="12"/>
      <c r="S938" s="12"/>
    </row>
    <row r="939" ht="15.75" customHeight="1">
      <c r="A939" s="10"/>
      <c r="B939" s="6"/>
      <c r="C939" s="10"/>
      <c r="D939" s="10"/>
      <c r="E939" s="10"/>
      <c r="F939" s="10"/>
      <c r="G939" s="10"/>
      <c r="I939" s="11"/>
      <c r="J939" s="11"/>
      <c r="K939" s="11"/>
      <c r="L939" s="11"/>
      <c r="M939" s="11"/>
      <c r="O939" s="12"/>
      <c r="P939" s="12"/>
      <c r="Q939" s="12"/>
      <c r="R939" s="12"/>
      <c r="S939" s="12"/>
    </row>
    <row r="940" ht="15.75" customHeight="1">
      <c r="A940" s="10"/>
      <c r="B940" s="6"/>
      <c r="C940" s="10"/>
      <c r="D940" s="10"/>
      <c r="E940" s="10"/>
      <c r="F940" s="10"/>
      <c r="G940" s="10"/>
      <c r="I940" s="11"/>
      <c r="J940" s="11"/>
      <c r="K940" s="11"/>
      <c r="L940" s="11"/>
      <c r="M940" s="11"/>
      <c r="O940" s="12"/>
      <c r="P940" s="12"/>
      <c r="Q940" s="12"/>
      <c r="R940" s="12"/>
      <c r="S940" s="12"/>
    </row>
    <row r="941" ht="15.75" customHeight="1">
      <c r="A941" s="10"/>
      <c r="B941" s="6"/>
      <c r="C941" s="10"/>
      <c r="D941" s="10"/>
      <c r="E941" s="10"/>
      <c r="F941" s="10"/>
      <c r="G941" s="10"/>
      <c r="I941" s="11"/>
      <c r="J941" s="11"/>
      <c r="K941" s="11"/>
      <c r="L941" s="11"/>
      <c r="M941" s="11"/>
      <c r="O941" s="12"/>
      <c r="P941" s="12"/>
      <c r="Q941" s="12"/>
      <c r="R941" s="12"/>
      <c r="S941" s="12"/>
    </row>
    <row r="942" ht="15.75" customHeight="1">
      <c r="A942" s="10"/>
      <c r="B942" s="6"/>
      <c r="C942" s="10"/>
      <c r="D942" s="10"/>
      <c r="E942" s="10"/>
      <c r="F942" s="10"/>
      <c r="G942" s="10"/>
      <c r="I942" s="11"/>
      <c r="J942" s="11"/>
      <c r="K942" s="11"/>
      <c r="L942" s="11"/>
      <c r="M942" s="11"/>
      <c r="O942" s="12"/>
      <c r="P942" s="12"/>
      <c r="Q942" s="12"/>
      <c r="R942" s="12"/>
      <c r="S942" s="12"/>
    </row>
    <row r="943" ht="15.75" customHeight="1">
      <c r="A943" s="10"/>
      <c r="B943" s="6"/>
      <c r="C943" s="10"/>
      <c r="D943" s="10"/>
      <c r="E943" s="10"/>
      <c r="F943" s="10"/>
      <c r="G943" s="10"/>
      <c r="I943" s="11"/>
      <c r="J943" s="11"/>
      <c r="K943" s="11"/>
      <c r="L943" s="11"/>
      <c r="M943" s="11"/>
      <c r="O943" s="12"/>
      <c r="P943" s="12"/>
      <c r="Q943" s="12"/>
      <c r="R943" s="12"/>
      <c r="S943" s="12"/>
    </row>
    <row r="944" ht="15.75" customHeight="1">
      <c r="A944" s="10"/>
      <c r="B944" s="6"/>
      <c r="C944" s="10"/>
      <c r="D944" s="10"/>
      <c r="E944" s="10"/>
      <c r="F944" s="10"/>
      <c r="G944" s="10"/>
      <c r="I944" s="11"/>
      <c r="J944" s="11"/>
      <c r="K944" s="11"/>
      <c r="L944" s="11"/>
      <c r="M944" s="11"/>
      <c r="O944" s="12"/>
      <c r="P944" s="12"/>
      <c r="Q944" s="12"/>
      <c r="R944" s="12"/>
      <c r="S944" s="12"/>
    </row>
    <row r="945" ht="15.75" customHeight="1">
      <c r="A945" s="10"/>
      <c r="B945" s="6"/>
      <c r="C945" s="10"/>
      <c r="D945" s="10"/>
      <c r="E945" s="10"/>
      <c r="F945" s="10"/>
      <c r="G945" s="10"/>
      <c r="I945" s="11"/>
      <c r="J945" s="11"/>
      <c r="K945" s="11"/>
      <c r="L945" s="11"/>
      <c r="M945" s="11"/>
      <c r="O945" s="12"/>
      <c r="P945" s="12"/>
      <c r="Q945" s="12"/>
      <c r="R945" s="12"/>
      <c r="S945" s="12"/>
    </row>
    <row r="946" ht="15.75" customHeight="1">
      <c r="A946" s="10"/>
      <c r="B946" s="6"/>
      <c r="C946" s="10"/>
      <c r="D946" s="10"/>
      <c r="E946" s="10"/>
      <c r="F946" s="10"/>
      <c r="G946" s="10"/>
      <c r="I946" s="11"/>
      <c r="J946" s="11"/>
      <c r="K946" s="11"/>
      <c r="L946" s="11"/>
      <c r="M946" s="11"/>
      <c r="O946" s="12"/>
      <c r="P946" s="12"/>
      <c r="Q946" s="12"/>
      <c r="R946" s="12"/>
      <c r="S946" s="12"/>
    </row>
    <row r="947" ht="15.75" customHeight="1">
      <c r="A947" s="10"/>
      <c r="B947" s="6"/>
      <c r="C947" s="10"/>
      <c r="D947" s="10"/>
      <c r="E947" s="10"/>
      <c r="F947" s="10"/>
      <c r="G947" s="10"/>
      <c r="I947" s="11"/>
      <c r="J947" s="11"/>
      <c r="K947" s="11"/>
      <c r="L947" s="11"/>
      <c r="M947" s="11"/>
      <c r="O947" s="12"/>
      <c r="P947" s="12"/>
      <c r="Q947" s="12"/>
      <c r="R947" s="12"/>
      <c r="S947" s="12"/>
    </row>
    <row r="948" ht="15.75" customHeight="1">
      <c r="A948" s="10"/>
      <c r="B948" s="6"/>
      <c r="C948" s="10"/>
      <c r="D948" s="10"/>
      <c r="E948" s="10"/>
      <c r="F948" s="10"/>
      <c r="G948" s="10"/>
      <c r="I948" s="11"/>
      <c r="J948" s="11"/>
      <c r="K948" s="11"/>
      <c r="L948" s="11"/>
      <c r="M948" s="11"/>
      <c r="O948" s="12"/>
      <c r="P948" s="12"/>
      <c r="Q948" s="12"/>
      <c r="R948" s="12"/>
      <c r="S948" s="12"/>
    </row>
    <row r="949" ht="15.75" customHeight="1">
      <c r="A949" s="10"/>
      <c r="B949" s="6"/>
      <c r="C949" s="10"/>
      <c r="D949" s="10"/>
      <c r="E949" s="10"/>
      <c r="F949" s="10"/>
      <c r="G949" s="10"/>
      <c r="I949" s="11"/>
      <c r="J949" s="11"/>
      <c r="K949" s="11"/>
      <c r="L949" s="11"/>
      <c r="M949" s="11"/>
      <c r="O949" s="12"/>
      <c r="P949" s="12"/>
      <c r="Q949" s="12"/>
      <c r="R949" s="12"/>
      <c r="S949" s="12"/>
    </row>
    <row r="950" ht="15.75" customHeight="1">
      <c r="A950" s="10"/>
      <c r="B950" s="6"/>
      <c r="C950" s="10"/>
      <c r="D950" s="10"/>
      <c r="E950" s="10"/>
      <c r="F950" s="10"/>
      <c r="G950" s="10"/>
      <c r="I950" s="11"/>
      <c r="J950" s="11"/>
      <c r="K950" s="11"/>
      <c r="L950" s="11"/>
      <c r="M950" s="11"/>
      <c r="O950" s="12"/>
      <c r="P950" s="12"/>
      <c r="Q950" s="12"/>
      <c r="R950" s="12"/>
      <c r="S950" s="12"/>
    </row>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